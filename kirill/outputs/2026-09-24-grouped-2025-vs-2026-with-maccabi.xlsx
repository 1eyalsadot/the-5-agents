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Group Mapping" sheetId="2" state="visible" r:id="rId4"/>
    <sheet name="בתי מרקחת" sheetId="3" state="visible" r:id="rId5"/>
    <sheet name="BE" sheetId="4" state="visible" r:id="rId6"/>
    <sheet name="סופר פארם" sheetId="5" state="visible" r:id="rId7"/>
    <sheet name="מאוחדת" sheetId="6" state="visible" r:id="rId8"/>
    <sheet name="מכבי" sheetId="7" state="visible" r:id="rId9"/>
    <sheet name="Source 2025" sheetId="8" state="visible" r:id="rId10"/>
    <sheet name="Source 20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this source file is snapshotted 23/09/2026 (see row 3 of the raw upload), so 1/1-23/9 (~8.75 months) is used here instead of the 9.5 used elsewhere.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this source file is snapshotted 23/09/2026 (see row 3 of the raw upload), so 1/1-23/9 (~8.75 months) is used here instead of the 9.5 used elsewhere.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this source file is snapshotted 23/09/2026 (see row 3 of the raw upload), so 1/1-23/9 (~8.75 months) is used here instead of the 9.5 used elsewhere.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this source file is snapshotted 23/09/2026 (see row 3 of the raw upload), so 1/1-23/9 (~8.75 months) is used here instead of the 9.5 used elsewhere.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input: this source file is snapshotted 23/09/2026 (see row 3 of the raw upload), so 1/1-23/9 (~8.75 months) is used here instead of the 9.5 used elsewhere.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<sst xmlns="http://schemas.openxmlformats.org/spreadsheetml/2006/main" count="6458" uniqueCount="865">
  <si>
    <t xml:space="preserve">Sales Comparison 2025 vs 2026 - by Daily-Report Group, WITH MACCABI (new PPLAY1 export, group # from source row 7)</t>
  </si>
  <si>
    <t xml:space="preserve">Calculation date:</t>
  </si>
  <si>
    <t xml:space="preserve">Same methodology/column layout as 2026-09-19-grouped-2025-vs-2026.xlsx!Index (that file was NOT modified) - this is a NEW, separate workbook built from a new PPLAY1 source ("חנה_1", uploaded 24/09/2026) that already combines 2025+2026 with an explicit group # per column. Adds a 5th group, "מכבי" (#20), which did not exist before. Per the user’s decision (24/09/2026), "0פארמים" (standalone group in the 19/09 workbook) is intentionally NOT included here, since the new source file does not contain it. Annualization factor here uses 8.75 months (1/1-23/9, per this source’s own snapshot date), NOT the 9.5 used in the other workbooks - see each group sheet’s row 4 note.</t>
  </si>
  <si>
    <t xml:space="preserve">Group</t>
  </si>
  <si>
    <t xml:space="preserve">Sheet</t>
  </si>
  <si>
    <t xml:space="preserve"># Raw categories</t>
  </si>
  <si>
    <t xml:space="preserve"># Codes</t>
  </si>
  <si>
    <t xml:space="preserve"># Codes 25</t>
  </si>
  <si>
    <t xml:space="preserve"># Codes 26</t>
  </si>
  <si>
    <t xml:space="preserve"># DROP</t>
  </si>
  <si>
    <t xml:space="preserve"># NEW</t>
  </si>
  <si>
    <t xml:space="preserve">Total Units Drop 25</t>
  </si>
  <si>
    <t xml:space="preserve">Total Amount Drop 25</t>
  </si>
  <si>
    <t xml:space="preserve">NEW — Quantity 2026</t>
  </si>
  <si>
    <t xml:space="preserve">NEW — Amount 2026 (₪)</t>
  </si>
  <si>
    <t xml:space="preserve">NEW — Quantity 2026 Annualized</t>
  </si>
  <si>
    <t xml:space="preserve">NEW — Amount 2026 Annualized (₪)</t>
  </si>
  <si>
    <t xml:space="preserve">Quantity 2025</t>
  </si>
  <si>
    <t xml:space="preserve">Quantity 2026 (Actual)</t>
  </si>
  <si>
    <t xml:space="preserve">Quantity 2026 Annualized</t>
  </si>
  <si>
    <t xml:space="preserve">Qty Change % (vs Annualized)</t>
  </si>
  <si>
    <t xml:space="preserve">Amount 2025 (₪)</t>
  </si>
  <si>
    <t xml:space="preserve">Amount 2026 (Actual) (₪)</t>
  </si>
  <si>
    <t xml:space="preserve">Amount 2026 (Annualized) (₪)</t>
  </si>
  <si>
    <t xml:space="preserve">Amount Change % (vs Annualized)</t>
  </si>
  <si>
    <t xml:space="preserve">בתי מרקחת</t>
  </si>
  <si>
    <t xml:space="preserve">BE</t>
  </si>
  <si>
    <t xml:space="preserve">סופר פארם</t>
  </si>
  <si>
    <t xml:space="preserve">מאוחדת</t>
  </si>
  <si>
    <t xml:space="preserve">מכבי</t>
  </si>
  <si>
    <t xml:space="preserve">Category -&gt; Group mapping, sourced directly from row 7 (group #) of the new PPLAY1 export "חנה_1" (24/09/2026)</t>
  </si>
  <si>
    <t xml:space="preserve">Raw category (source column)</t>
  </si>
  <si>
    <t xml:space="preserve">Group #</t>
  </si>
  <si>
    <t xml:space="preserve">Group name</t>
  </si>
  <si>
    <t xml:space="preserve">Source of mapping</t>
  </si>
  <si>
    <t xml:space="preserve">Note</t>
  </si>
  <si>
    <t xml:space="preserve">0בתי מרקחת</t>
  </si>
  <si>
    <t xml:space="preserve">Row 7 of source file "חנה_1"</t>
  </si>
  <si>
    <t xml:space="preserve">גוד פארם</t>
  </si>
  <si>
    <t xml:space="preserve">גוד פארם מרכז</t>
  </si>
  <si>
    <t xml:space="preserve">0מפיצי משנה</t>
  </si>
  <si>
    <t xml:space="preserve">0צרכנים פרטיים</t>
  </si>
  <si>
    <t xml:space="preserve">0שונות</t>
  </si>
  <si>
    <t xml:space="preserve">This single "BE" column already equals the full old group-7 total (verified against the old raw-customer breakdown: 27,268 units / ₪889,730 in 2025, matching the sum of the 5 old BE sub-customers) - the new export pre-aggregates it, no separate sub-customer columns provided.</t>
  </si>
  <si>
    <t xml:space="preserve">סופרפארם</t>
  </si>
  <si>
    <t xml:space="preserve">ק.חולים מאוחדת</t>
  </si>
  <si>
    <t xml:space="preserve">ק.חולים מכבי</t>
  </si>
  <si>
    <t xml:space="preserve">NEW group (#20) - not present in 2026-09-19-grouped-2025-vs-2026.xlsx. Added per user upload 24/09/2026.</t>
  </si>
  <si>
    <t xml:space="preserve">Note: "0פארמים" (standalone group in the 19/09 workbook) is deliberately NOT included here - the new source file does not contain it, and the user decided (24/09/2026) to leave it out rather than pull it from the old raw files.</t>
  </si>
  <si>
    <t xml:space="preserve">Sales Comparison 2025 vs 2026 (Annualized) - Group: בתי מרקחת (by Product CODE) [with Maccabi, 24/09/2026]</t>
  </si>
  <si>
    <t xml:space="preserve">Source: new PPLAY1 export "חנה_1" (uploaded 24/09/2026, internal snapshot timestamp 23/09/2026 17:01), which combines 2025 and 2026 in one sheet with an explicit group # per customer column (row 7) - used directly instead of the 2025.xls/2026.xls + manual mapping used for the 19/09 workbook. Group "בתי מרקחת" (#4) = sum of raw customer column(s): 0בתי מרקחת, גוד פארם, גוד פארם מרכז, 0מפיצי משנה, 0צרכנים פרטיים, 0שונות (column(s) D, E, F, G, J, M in 'Source 2025'/'Source 2026'). Product CODE = column A ("מקט") in the source, already clean (no parsing needed, unlike the old combined code+name format). Rows below only include product codes with non-zero quantity or amount for this group in at least one of the two years. This is a NEW, SEPARATE workbook - 2026-09-19-grouped-2025-vs-2026.xlsx was NOT modified.</t>
  </si>
  <si>
    <t xml:space="preserve">Annualization note: 2026 actual data covers approximately 8.75 months (1 Jan - 23 Sep 2026, per this source file’s own snapshot date - DIFFERENT from the 9.5 months / 15 Sep used in the other workbooks, which were built from an earlier snapshot). Scaled to a full year via factor = 12 / 8.75 (≈ 1.371429) - straight-line extrapolation, no seasonality adjustment.</t>
  </si>
  <si>
    <t xml:space="preserve">Months in full year:</t>
  </si>
  <si>
    <t xml:space="preserve">Months covered by 2026 actual (1/1–23/9):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</si>
  <si>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</si>
  <si>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</si>
  <si>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</si>
  <si>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</si>
  <si>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</si>
  <si>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</si>
  <si>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</si>
  <si>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NEW — Quantity 2026 Annualized:</t>
  </si>
  <si>
    <t xml:space="preserve">NEW — Amount 2026 Annualized (₪):</t>
  </si>
  <si>
    <t xml:space="preserve">Product Code</t>
  </si>
  <si>
    <t xml:space="preserve">Product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</si>
  <si>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</si>
  <si>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</si>
  <si>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</si>
  <si>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</si>
  <si>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</si>
  <si>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Change (Annualized vs 2025) (₪)</t>
  </si>
  <si>
    <t xml:space="preserve">Amount Change % (Annualized vs 2025)</t>
  </si>
  <si>
    <t xml:space="preserve">TOTAL</t>
  </si>
  <si>
    <t xml:space="preserve">Sales Comparison 2025 vs 2026 (Annualized) - Group: BE (by Product CODE) [with Maccabi, 24/09/2026]</t>
  </si>
  <si>
    <t xml:space="preserve">Source: new PPLAY1 export "חנה_1" (uploaded 24/09/2026, internal snapshot timestamp 23/09/2026 17:01), which combines 2025 and 2026 in one sheet with an explicit group # per customer column (row 7) - used directly instead of the 2025.xls/2026.xls + manual mapping used for the 19/09 workbook. Group "BE" (#7) = sum of raw customer column(s): BE (column(s) I in 'Source 2025'/'Source 2026'). Product CODE = column A ("מקט") in the source, already clean (no parsing needed, unlike the old combined code+name format). Rows below only include product codes with non-zero quantity or amount for this group in at least one of the two years. This is a NEW, SEPARATE workbook - 2026-09-19-grouped-2025-vs-2026.xlsx was NOT modified.</t>
  </si>
  <si>
    <t xml:space="preserve">Sales Comparison 2025 vs 2026 (Annualized) - Group: סופר פארם (by Product CODE) [with Maccabi, 24/09/2026]</t>
  </si>
  <si>
    <t xml:space="preserve">Source: new PPLAY1 export "חנה_1" (uploaded 24/09/2026, internal snapshot timestamp 23/09/2026 17:01), which combines 2025 and 2026 in one sheet with an explicit group # per customer column (row 7) - used directly instead of the 2025.xls/2026.xls + manual mapping used for the 19/09 workbook. Group "סופר פארם" (#1) = sum of raw customer column(s): סופרפארם (column(s) H in 'Source 2025'/'Source 2026'). Product CODE = column A ("מקט") in the source, already clean (no parsing needed, unlike the old combined code+name format). Rows below only include product codes with non-zero quantity or amount for this group in at least one of the two years. This is a NEW, SEPARATE workbook - 2026-09-19-grouped-2025-vs-2026.xlsx was NOT modified.</t>
  </si>
  <si>
    <t xml:space="preserve">Sales Comparison 2025 vs 2026 (Annualized) - Group: מאוחדת (by Product CODE) [with Maccabi, 24/09/2026]</t>
  </si>
  <si>
    <t xml:space="preserve">Source: new PPLAY1 export "חנה_1" (uploaded 24/09/2026, internal snapshot timestamp 23/09/2026 17:01), which combines 2025 and 2026 in one sheet with an explicit group # per customer column (row 7) - used directly instead of the 2025.xls/2026.xls + manual mapping used for the 19/09 workbook. Group "מאוחדת" (#8) = sum of raw customer column(s): ק.חולים מאוחדת (column(s) K in 'Source 2025'/'Source 2026'). Product CODE = column A ("מקט") in the source, already clean (no parsing needed, unlike the old combined code+name format). Rows below only include product codes with non-zero quantity or amount for this group in at least one of the two years. This is a NEW, SEPARATE workbook - 2026-09-19-grouped-2025-vs-2026.xlsx was NOT modified.</t>
  </si>
  <si>
    <t xml:space="preserve">Sales Comparison 2025 vs 2026 (Annualized) - Group: מכבי (by Product CODE) [with Maccabi, 24/09/2026]</t>
  </si>
  <si>
    <t xml:space="preserve">Source: new PPLAY1 export "חנה_1" (uploaded 24/09/2026, internal snapshot timestamp 23/09/2026 17:01), which combines 2025 and 2026 in one sheet with an explicit group # per customer column (row 7) - used directly instead of the 2025.xls/2026.xls + manual mapping used for the 19/09 workbook. Group "מכבי" (#20) = sum of raw customer column(s): ק.חולים מכבי (column(s) L in 'Source 2025'/'Source 2026'). Product CODE = column A ("מקט") in the source, already clean (no parsing needed, unlike the old combined code+name format). Rows below only include product codes with non-zero quantity or amount for this group in at least one of the two years. This is a NEW, SEPARATE workbook - 2026-09-19-grouped-2025-vs-2026.xlsx was NOT modified.</t>
  </si>
  <si>
    <t xml:space="preserve">Raw source rows - 2025 - all 10 customer columns from the new PPLAY1 export ("חנה_1", uploaded 24/09/2026, snapshot timestamp 23/09/2026 17:01), unchanged</t>
  </si>
  <si>
    <t xml:space="preserve">Block</t>
  </si>
  <si>
    <t xml:space="preserve">CODE</t>
  </si>
  <si>
    <t xml:space="preserve">Item description (raw)</t>
  </si>
  <si>
    <t xml:space="preserve">Quantity (units)</t>
  </si>
  <si>
    <t xml:space="preserve">BE CARE  תחבושת אלסטית 10ס""מ</t>
  </si>
  <si>
    <t xml:space="preserve">Amount (NIS)</t>
  </si>
  <si>
    <t xml:space="preserve">BE CARE  תחבושת אלסטית 5 ס""מ</t>
  </si>
  <si>
    <t xml:space="preserve">BE CARE  תחבושת אלסטית 7.5סמ</t>
  </si>
  <si>
    <t xml:space="preserve">BE CARE CB BEIGE</t>
  </si>
  <si>
    <t xml:space="preserve">BE CARE CB BLACK</t>
  </si>
  <si>
    <t xml:space="preserve">BE CARE CB GREEN</t>
  </si>
  <si>
    <t xml:space="preserve">BE CARE CB PINK</t>
  </si>
  <si>
    <t xml:space="preserve">BE CARE KT BEIGE</t>
  </si>
  <si>
    <t xml:space="preserve">BE CARE KT BLACK</t>
  </si>
  <si>
    <t xml:space="preserve">BE CARE KT BLUE</t>
  </si>
  <si>
    <t xml:space="preserve">BE CARE KT PINK</t>
  </si>
  <si>
    <t xml:space="preserve">40-רצועת פיקה לברך</t>
  </si>
  <si>
    <t xml:space="preserve">4022 רצועת ""פיקה""+כרית</t>
  </si>
  <si>
    <t xml:space="preserve">41  XL.מ.ברך מוצלב+ספירלות בצד</t>
  </si>
  <si>
    <t xml:space="preserve">41 Lמ.ברך מוצלב+ספירלות בצדדים</t>
  </si>
  <si>
    <t xml:space="preserve">41 Mמ.ברך מוצלב+ספירלות בצדדים</t>
  </si>
  <si>
    <t xml:space="preserve">41 Sמ.ברך מוצלב+ספירלות בצדדים</t>
  </si>
  <si>
    <t xml:space="preserve">41 XS מ.ברך מוצלב+מוטות</t>
  </si>
  <si>
    <t xml:space="preserve">41 XXL.מ.ברך מוצלב+ספירלות בצד</t>
  </si>
  <si>
    <t xml:space="preserve">41X L מגן ברך מוצלב+מוט</t>
  </si>
  <si>
    <t xml:space="preserve">41X M מגן ברך מוצלב+מוט</t>
  </si>
  <si>
    <t xml:space="preserve">41X S מגן ברך מוצלב+מוט</t>
  </si>
  <si>
    <t xml:space="preserve">41X XL מגן ברך מוצלב+מוט</t>
  </si>
  <si>
    <t xml:space="preserve">41X XS מגן ברך מוצלב+מוט</t>
  </si>
  <si>
    <t xml:space="preserve">41X XXL מגן ברך מוצלב+מוט</t>
  </si>
  <si>
    <t xml:space="preserve">422 Lמ.ברך+כרית סיל.סביב לפיקה</t>
  </si>
  <si>
    <t xml:space="preserve">422 Mמ.ברך+כרית סיל.סביב לפיקה</t>
  </si>
  <si>
    <t xml:space="preserve">422 Sמ.ברך+כרית סיל.סביב לפיקה</t>
  </si>
  <si>
    <t xml:space="preserve">422 XLמ.ברך+כרית סיל.סביב לפיק</t>
  </si>
  <si>
    <t xml:space="preserve">422 XXLמ.ברך+כרית סיל.סב. פיקה</t>
  </si>
  <si>
    <t xml:space="preserve">422+ L מ.ברך סיליק.רצועות לבן</t>
  </si>
  <si>
    <t xml:space="preserve">422+ Mמ.ברך סיל.רצועות חזק לבן</t>
  </si>
  <si>
    <t xml:space="preserve">422+ XLמ.ברך סיליק.לבן</t>
  </si>
  <si>
    <t xml:space="preserve">422+ XXLמ.ברך סיל.רצוע.חזק לבן</t>
  </si>
  <si>
    <t xml:space="preserve">422E L מגן ברך ארוך עם כרית</t>
  </si>
  <si>
    <t xml:space="preserve">422E M מגן ברך ארוך עם כרית</t>
  </si>
  <si>
    <t xml:space="preserve">422E S מגן ברך ארוך עם כרית</t>
  </si>
  <si>
    <t xml:space="preserve">422E XL מגן ברך ארוך עם כרית</t>
  </si>
  <si>
    <t xml:space="preserve">422E XXL מגן ברך ארוך עם כרית</t>
  </si>
  <si>
    <t xml:space="preserve">422E XXXL מגן ברך ארוך עם כרית</t>
  </si>
  <si>
    <t xml:space="preserve">422N L מ.ברך אפור+כרית סיליקון</t>
  </si>
  <si>
    <t xml:space="preserve">422N M מ.ברך אפור+כרית סיליקון</t>
  </si>
  <si>
    <t xml:space="preserve">422N XLמ.ברך אפור+כרית סיליקון</t>
  </si>
  <si>
    <t xml:space="preserve">422N XXL.מ.ברך אפור+כרית סיליק</t>
  </si>
  <si>
    <t xml:space="preserve">44G XL-Lסד ברך לאחר ניתוח</t>
  </si>
  <si>
    <t xml:space="preserve">45  XS מגן ברך רגיל לבן</t>
  </si>
  <si>
    <t xml:space="preserve">45 L מגן ברך לבן</t>
  </si>
  <si>
    <t xml:space="preserve">45 M מגן ברך לבן</t>
  </si>
  <si>
    <t xml:space="preserve">45 S מגן ברך לבן</t>
  </si>
  <si>
    <t xml:space="preserve">45 XL מגן ברך לבן</t>
  </si>
  <si>
    <t xml:space="preserve">45 XXL מגן ברך לבן</t>
  </si>
  <si>
    <t xml:space="preserve">45B L מגן ברך שחור</t>
  </si>
  <si>
    <t xml:space="preserve">45B M מגן ברך שחור</t>
  </si>
  <si>
    <t xml:space="preserve">45B S מגן ברך שחור</t>
  </si>
  <si>
    <t xml:space="preserve">45B XL מגן ברך שחור</t>
  </si>
  <si>
    <t xml:space="preserve">45B XXLמגן ברך שחור</t>
  </si>
  <si>
    <t xml:space="preserve">45C L מגן ברך חום</t>
  </si>
  <si>
    <t xml:space="preserve">45C M מגן ברך חום</t>
  </si>
  <si>
    <t xml:space="preserve">45C S מגן ברך חום</t>
  </si>
  <si>
    <t xml:space="preserve">45C XL מגן ברך חום</t>
  </si>
  <si>
    <t xml:space="preserve">45E  L        מגן ברך ארוך לבן</t>
  </si>
  <si>
    <t xml:space="preserve">45E Mמגן ברך ארוך לבן</t>
  </si>
  <si>
    <t xml:space="preserve">45E Sמגן ברך ארוך לבן</t>
  </si>
  <si>
    <t xml:space="preserve">45E XLמגן ברך ארוך לבן</t>
  </si>
  <si>
    <t xml:space="preserve">45E XXLמגן ברך ארוך לבן</t>
  </si>
  <si>
    <t xml:space="preserve">45EC L 'מגן ברך ארוך בז</t>
  </si>
  <si>
    <t xml:space="preserve">45EC M 'מגן ברך ארוך בז</t>
  </si>
  <si>
    <t xml:space="preserve">45EC S 'מגן ברך ארוך בז</t>
  </si>
  <si>
    <t xml:space="preserve">45EC XL'מגן ברך ארוך בז</t>
  </si>
  <si>
    <t xml:space="preserve">45EC XXL'מגן ברך ארוך בז</t>
  </si>
  <si>
    <t xml:space="preserve">48 L מגן ברך מחמם</t>
  </si>
  <si>
    <t xml:space="preserve">48 M מגן ברך מחמם</t>
  </si>
  <si>
    <t xml:space="preserve">48 S מגן ברך מחמם</t>
  </si>
  <si>
    <t xml:space="preserve">48 XL מגן ברך מחמם</t>
  </si>
  <si>
    <t xml:space="preserve">48 XXL מגן ברך מחמם</t>
  </si>
  <si>
    <t xml:space="preserve">AC40 רצועה לפיקת הברך</t>
  </si>
  <si>
    <t xml:space="preserve">AC43D מגן ברך + צירים</t>
  </si>
  <si>
    <t xml:space="preserve">AC45X מגן ברך עם תמיכות</t>
  </si>
  <si>
    <t xml:space="preserve">S-XLST422 מגן ברך+כרית ג'ל</t>
  </si>
  <si>
    <t xml:space="preserve">SC422  S מגן ברך</t>
  </si>
  <si>
    <t xml:space="preserve">SC422 XXLמגן ברך</t>
  </si>
  <si>
    <t xml:space="preserve">SH422 1 תומך ברך גנושילד</t>
  </si>
  <si>
    <t xml:space="preserve">SH422 2 תומך ברך גנושילד</t>
  </si>
  <si>
    <t xml:space="preserve">SH422 3 תומך ברך גנושילד</t>
  </si>
  <si>
    <t xml:space="preserve">SH422 4 תומך ברך גנושילד</t>
  </si>
  <si>
    <t xml:space="preserve">SH422 5 תומך ברך גנושילד</t>
  </si>
  <si>
    <t xml:space="preserve">SH422 6 תומך ברך גנושילד</t>
  </si>
  <si>
    <t xml:space="preserve">ST433 H מגן ברך עם ציר</t>
  </si>
  <si>
    <t xml:space="preserve">T 45 L מגן ברך רגיל</t>
  </si>
  <si>
    <t xml:space="preserve">T 45 M מגן ברך רגיל</t>
  </si>
  <si>
    <t xml:space="preserve">T 45XL מגן ברך רגיל</t>
  </si>
  <si>
    <t xml:space="preserve">T40 רצועת פיקה לברך</t>
  </si>
  <si>
    <t xml:space="preserve">T402 L מיצב פיקה</t>
  </si>
  <si>
    <t xml:space="preserve">T402 M מיצב פיקה</t>
  </si>
  <si>
    <t xml:space="preserve">T402 S מיצב פיקה</t>
  </si>
  <si>
    <t xml:space="preserve">T402 XL מיצב פיקה</t>
  </si>
  <si>
    <t xml:space="preserve">T402 XXL מיצב פיקה</t>
  </si>
  <si>
    <t xml:space="preserve">T40B רצועה לפיקה</t>
  </si>
  <si>
    <t xml:space="preserve">T43 SKI XXL מגן ברך לסקי</t>
  </si>
  <si>
    <t xml:space="preserve">T433 XL מגן ברך משופר</t>
  </si>
  <si>
    <t xml:space="preserve">T43SKI L מגן ברך לסקי</t>
  </si>
  <si>
    <t xml:space="preserve">T43SKI M מגן ברך לסקי</t>
  </si>
  <si>
    <t xml:space="preserve">T43SKI XLמגן ברך לסקי</t>
  </si>
  <si>
    <t xml:space="preserve">T45 S מגן ברך רגיל</t>
  </si>
  <si>
    <t xml:space="preserve">T45 XXL מגן ברך רגיל</t>
  </si>
  <si>
    <t xml:space="preserve">T45X-XXLמגן ברך רגיל</t>
  </si>
  <si>
    <t xml:space="preserve">T45X L מגן ברך רגיל</t>
  </si>
  <si>
    <t xml:space="preserve">T45X M מגן ברך רגיל</t>
  </si>
  <si>
    <t xml:space="preserve">T45X S מגן ברך רגיל</t>
  </si>
  <si>
    <t xml:space="preserve">T45X XL מגן ברך רגיל</t>
  </si>
  <si>
    <t xml:space="preserve">3444 0   גרביים+סיליקון</t>
  </si>
  <si>
    <t xml:space="preserve">3444B גרבי ג'ל לריכוך עור העקב</t>
  </si>
  <si>
    <t xml:space="preserve">3445Wתתגרב לבן סיליקון טיפ יום</t>
  </si>
  <si>
    <t xml:space="preserve">390B 39-42.גרב.כסף לסכרתיים שח</t>
  </si>
  <si>
    <t xml:space="preserve">390B 43-46.גרב.כסף לסכרתיים שח</t>
  </si>
  <si>
    <t xml:space="preserve">390B גרב.כסף לסכרתים שחור35-38</t>
  </si>
  <si>
    <t xml:space="preserve">390G 39-42.גרב.כסף לסכרתיים אפ</t>
  </si>
  <si>
    <t xml:space="preserve">390G ג.כסף לסכרתיים אפור35-38</t>
  </si>
  <si>
    <t xml:space="preserve">390W גרב כסף לסכרתיים לבן35-38</t>
  </si>
  <si>
    <t xml:space="preserve">390W גרב.כסף לסכרתיים לבן39-42</t>
  </si>
  <si>
    <t xml:space="preserve">390W גרב.כסף לסכרתיים לבן43-46</t>
  </si>
  <si>
    <t xml:space="preserve">394B גרב.כסף לסכרתים שחור35-38</t>
  </si>
  <si>
    <t xml:space="preserve">394B גרב.כסף לסכרתים שחור39-42</t>
  </si>
  <si>
    <t xml:space="preserve">394B גרב.כסף לסכרתים שחור43-46</t>
  </si>
  <si>
    <t xml:space="preserve">394G גרב.כסף לסכרתים אפור35-38</t>
  </si>
  <si>
    <t xml:space="preserve">394G גרב.כסף לסכרתים אפור39-42</t>
  </si>
  <si>
    <t xml:space="preserve">394G גרב.כסף לסכרתים אפור43-46</t>
  </si>
  <si>
    <t xml:space="preserve">394W 35-38 גרב.כסף לסכרתים לבן</t>
  </si>
  <si>
    <t xml:space="preserve">394W 39-42 גרב.כסף לסכרתים לבן</t>
  </si>
  <si>
    <t xml:space="preserve">394W 43-46 גרב.כסף לסכרתים לבן</t>
  </si>
  <si>
    <t xml:space="preserve">395B גרבי קיץ אנטי בקטריא39-42</t>
  </si>
  <si>
    <t xml:space="preserve">395B גרבי קיץ אנטי בקטריא43-46</t>
  </si>
  <si>
    <t xml:space="preserve">396-35-38 גרביים טרמיות</t>
  </si>
  <si>
    <t xml:space="preserve">396-39-42 גרביים טרמיות</t>
  </si>
  <si>
    <t xml:space="preserve">397 35-38 גרבי טיסה מידה</t>
  </si>
  <si>
    <t xml:space="preserve">397 39-42 גרבי טיסה מידה</t>
  </si>
  <si>
    <t xml:space="preserve">397 43-46 גרבי טיסה מידה</t>
  </si>
  <si>
    <t xml:space="preserve">397A-גרבי טיסה אנטי בקטרי35-38</t>
  </si>
  <si>
    <t xml:space="preserve">397A-גרבי טיסה אנטי בקטרי39-42</t>
  </si>
  <si>
    <t xml:space="preserve">397A-גרבי טיסה אנטי בקטרי43-46</t>
  </si>
  <si>
    <t xml:space="preserve">G390.43-46 גרבי כסף לסכרת מידה</t>
  </si>
  <si>
    <t xml:space="preserve">ST3555 S-Mגרב לילה לטיפ.בדורבן</t>
  </si>
  <si>
    <t xml:space="preserve">ST3555L-XLגרב לילה לטיפ.בדורבן</t>
  </si>
  <si>
    <t xml:space="preserve">06 L  ""ח.גב קלה ""מיקדו</t>
  </si>
  <si>
    <t xml:space="preserve">06 M  ""ח.גב קלה ""מיקדו</t>
  </si>
  <si>
    <t xml:space="preserve">06 S  ""ח.גב קלה ""מיקדו</t>
  </si>
  <si>
    <t xml:space="preserve">06 XL ""ח.גב קלה ""מיקדו</t>
  </si>
  <si>
    <t xml:space="preserve">06 XXL ""ח.גב קלה ""מיקדו</t>
  </si>
  <si>
    <t xml:space="preserve">06U  XXL ח.בטן מותנית צר</t>
  </si>
  <si>
    <t xml:space="preserve">06U L ח.בטן מותנית צר</t>
  </si>
  <si>
    <t xml:space="preserve">06U M ח.בטן מותנית צר</t>
  </si>
  <si>
    <t xml:space="preserve">06U XL ח.בטן מותנית צר</t>
  </si>
  <si>
    <t xml:space="preserve">06W S חגורת גב לנשים</t>
  </si>
  <si>
    <t xml:space="preserve">077A   XXL חגורת גב עם חיזוקים</t>
  </si>
  <si>
    <t xml:space="preserve">077A L-XLחגורת גב</t>
  </si>
  <si>
    <t xml:space="preserve">077A S-M חגורת גב</t>
  </si>
  <si>
    <t xml:space="preserve">078 L חגורת גב +סגירה</t>
  </si>
  <si>
    <t xml:space="preserve">078C L'חגורת גב+סגירה כפו בז</t>
  </si>
  <si>
    <t xml:space="preserve">078C M'חגורת גב+סגירה כפו בז</t>
  </si>
  <si>
    <t xml:space="preserve">078C S'חגורת גב+סגירה כפו בז</t>
  </si>
  <si>
    <t xml:space="preserve">078C XLתתחגורת גב+סגירה כפו בז</t>
  </si>
  <si>
    <t xml:space="preserve">078C XXL 'חג.גב+סגירה כפו בז</t>
  </si>
  <si>
    <t xml:space="preserve">078G-L חגורת גב אפורה</t>
  </si>
  <si>
    <t xml:space="preserve">078G-M חגורת גב אפורה</t>
  </si>
  <si>
    <t xml:space="preserve">078G-S חגורת גב אפורה</t>
  </si>
  <si>
    <t xml:space="preserve">078G-XLחגורת גב אפורה</t>
  </si>
  <si>
    <t xml:space="preserve">078G-XXLחגורת גב אפורה</t>
  </si>
  <si>
    <t xml:space="preserve">078XL חגורת גב +סגירה כפולה</t>
  </si>
  <si>
    <t xml:space="preserve">078XXL חגורת גב +סגירה כפולה</t>
  </si>
  <si>
    <t xml:space="preserve">079  M ח.גב סג.כפולה שחור+אדום</t>
  </si>
  <si>
    <t xml:space="preserve">079 L ח.גב סג.כפולה שחור+אדום</t>
  </si>
  <si>
    <t xml:space="preserve">079 S ח.גב סג. כפולה שחור+אדום</t>
  </si>
  <si>
    <t xml:space="preserve">079 XL ח.גב סג.כפולה שחור+אדום</t>
  </si>
  <si>
    <t xml:space="preserve">079 XXLח.גב סג.כפולה שחור+אדום</t>
  </si>
  <si>
    <t xml:space="preserve">07AU L ח.גב ""איטלקית"" אורירית</t>
  </si>
  <si>
    <t xml:space="preserve">07AU M ח.גב ""איטלקית"" אורירית</t>
  </si>
  <si>
    <t xml:space="preserve">07AU S ח.גב ""איטלקית"" אורירית</t>
  </si>
  <si>
    <t xml:space="preserve">07AU XL ח.גב ""איטלקית"" אורירית</t>
  </si>
  <si>
    <t xml:space="preserve">07AU XXL.ח.גב ""איטלקית"" אוריר</t>
  </si>
  <si>
    <t xml:space="preserve">07UC L-XLח.גב אמר+סגירה כפ.חום</t>
  </si>
  <si>
    <t xml:space="preserve">10 L ""חגורת גב ""לומבו</t>
  </si>
  <si>
    <t xml:space="preserve">10 M ""חגורת גב ""לומבו</t>
  </si>
  <si>
    <t xml:space="preserve">10 S ""חגורת גב ""לומבו</t>
  </si>
  <si>
    <t xml:space="preserve">10 XL ""חגורת גב ""לומבו</t>
  </si>
  <si>
    <t xml:space="preserve">10 XXL""חגורת גב ""לומבו</t>
  </si>
  <si>
    <t xml:space="preserve">11 L""חגורת בטן""אורירית</t>
  </si>
  <si>
    <t xml:space="preserve">11 M""חגורת בטן""אורירית</t>
  </si>
  <si>
    <t xml:space="preserve">11 S""חגורת בטן""אורירית</t>
  </si>
  <si>
    <t xml:space="preserve">11 XL""חגורת בטן""אורירית</t>
  </si>
  <si>
    <t xml:space="preserve">11 XS  חגורת בטן</t>
  </si>
  <si>
    <t xml:space="preserve">11 XXL""חגורת בטן""אורירית</t>
  </si>
  <si>
    <t xml:space="preserve">11EU L ח.בטן לאחר ניתוח</t>
  </si>
  <si>
    <t xml:space="preserve">11EU M ח.בטן לאחר ניתוח</t>
  </si>
  <si>
    <t xml:space="preserve">11EU S ח.בטן לאחר ניתוח</t>
  </si>
  <si>
    <t xml:space="preserve">11EU XLח.בטן לאחר ניתוח</t>
  </si>
  <si>
    <t xml:space="preserve">11EU XXL חגורת בטןלאחר ניתוח</t>
  </si>
  <si>
    <t xml:space="preserve">11PS Lחגורה למנותחי בטן</t>
  </si>
  <si>
    <t xml:space="preserve">11PS Mחגורה למנותחי בטן</t>
  </si>
  <si>
    <t xml:space="preserve">11PS Sחגורה למנותחי בטן</t>
  </si>
  <si>
    <t xml:space="preserve">11PS XLחגורה למנותחי בטן</t>
  </si>
  <si>
    <t xml:space="preserve">11PS XXLחגורה למנותחי בטן</t>
  </si>
  <si>
    <t xml:space="preserve">11STO L חגורה אחרי ניתוח</t>
  </si>
  <si>
    <t xml:space="preserve">11STO M חגורה אחרי ניתוח</t>
  </si>
  <si>
    <t xml:space="preserve">11STO S חגורה אחרי ניתוח</t>
  </si>
  <si>
    <t xml:space="preserve">11STO XL  חגורה אחרי ניתוח</t>
  </si>
  <si>
    <t xml:space="preserve">11STO XXL חגורה אחרי ניתוח</t>
  </si>
  <si>
    <t xml:space="preserve">11TO L חגורה למנותחי בית החזה</t>
  </si>
  <si>
    <t xml:space="preserve">11TO M חגורה למנותחי בית החזה</t>
  </si>
  <si>
    <t xml:space="preserve">11TO S חגורה למנותחי בית החזה</t>
  </si>
  <si>
    <t xml:space="preserve">11TO XLחגורה למנותחי בית החזה</t>
  </si>
  <si>
    <t xml:space="preserve">11TO XXLחגורה למנותחי בית החזה</t>
  </si>
  <si>
    <t xml:space="preserve">11U Lחגורת בטן וחזה אחרי ניתוח</t>
  </si>
  <si>
    <t xml:space="preserve">11U Mחגורת בטן וחזה אחרי ניתוח</t>
  </si>
  <si>
    <t xml:space="preserve">11U XL ח.בטן לאחר ניתוח קלה</t>
  </si>
  <si>
    <t xml:space="preserve">11UC'M'תתחגורת בטן עממית בז</t>
  </si>
  <si>
    <t xml:space="preserve">11UC S'תתחגורת בטן עממית בז</t>
  </si>
  <si>
    <t xml:space="preserve">11UC XL 'תתחגורת בטן עממ.בז</t>
  </si>
  <si>
    <t xml:space="preserve">12 L ח.גב מגנטית+מוטות תמיכה</t>
  </si>
  <si>
    <t xml:space="preserve">12 M ח.גב מגנטית+מוטות תמיכה</t>
  </si>
  <si>
    <t xml:space="preserve">12 S ח.גב מגנטית+מוטות תמיכה</t>
  </si>
  <si>
    <t xml:space="preserve">12 XL ח.גב מגנטית+מוטות תמיכה</t>
  </si>
  <si>
    <t xml:space="preserve">13 L חגורה לשבר טבור</t>
  </si>
  <si>
    <t xml:space="preserve">13 M חגורה לשבר טבור</t>
  </si>
  <si>
    <t xml:space="preserve">13 S חגורה לשבר טבור</t>
  </si>
  <si>
    <t xml:space="preserve">13 XL חגורה לשבר טבור</t>
  </si>
  <si>
    <t xml:space="preserve">13 XXL חגורה לשבר טבור</t>
  </si>
  <si>
    <t xml:space="preserve">14 0 חגורה למנותחי בית חזה</t>
  </si>
  <si>
    <t xml:space="preserve">15M L חגורת צלעות לגבר</t>
  </si>
  <si>
    <t xml:space="preserve">15M M חגורת צלעות לגבר</t>
  </si>
  <si>
    <t xml:space="preserve">15M XL חגורת צלעות לגבר</t>
  </si>
  <si>
    <t xml:space="preserve">15W L חגורת צלעות לאשה</t>
  </si>
  <si>
    <t xml:space="preserve">15W M חגורת צלעות לאשה</t>
  </si>
  <si>
    <t xml:space="preserve">15W XL חגורת צלעות לאשה</t>
  </si>
  <si>
    <t xml:space="preserve">15W XXL חגורת צלעות לאשה</t>
  </si>
  <si>
    <t xml:space="preserve">16 L-XL חגורת הריון</t>
  </si>
  <si>
    <t xml:space="preserve">16 S-M חגורת הריון</t>
  </si>
  <si>
    <t xml:space="preserve">16 XXL חגורת הריון</t>
  </si>
  <si>
    <t xml:space="preserve">18  XL.ח.הריון מכנס למניעת כאב</t>
  </si>
  <si>
    <t xml:space="preserve">18 L ח.הריון מכנס למניעת כאבים</t>
  </si>
  <si>
    <t xml:space="preserve">18 M ח.הריון מכנס למניעת כאבים</t>
  </si>
  <si>
    <t xml:space="preserve">18 S ח.הריון מכנס למניעת כאבים</t>
  </si>
  <si>
    <t xml:space="preserve">19 L-XLחגורת הריון בכאב.חזק</t>
  </si>
  <si>
    <t xml:space="preserve">19 S-M חגורת הריון בכאב חזק</t>
  </si>
  <si>
    <t xml:space="preserve">70 L חגורת פיסוק פאב</t>
  </si>
  <si>
    <t xml:space="preserve">70 M חגורת פיסוק פאב</t>
  </si>
  <si>
    <t xml:space="preserve">70 S חגורת פיסוק פאב</t>
  </si>
  <si>
    <t xml:space="preserve">70N L חגורת פאבליק</t>
  </si>
  <si>
    <t xml:space="preserve">70N M חגורת פאבליק</t>
  </si>
  <si>
    <t xml:space="preserve">70N S חגורת פאבליק</t>
  </si>
  <si>
    <t xml:space="preserve">70N XS חגורת פאבליק</t>
  </si>
  <si>
    <t xml:space="preserve">776 L  ח.גב גבוהה</t>
  </si>
  <si>
    <t xml:space="preserve">776 M  ח.גב גבוהה</t>
  </si>
  <si>
    <t xml:space="preserve">776 XL ח.גב גבוהה</t>
  </si>
  <si>
    <t xml:space="preserve">AC-07 חגורת גב עם תמיכות</t>
  </si>
  <si>
    <t xml:space="preserve">AC-11 חגורת בטן קלה</t>
  </si>
  <si>
    <t xml:space="preserve">L-XL 099 חגורת גב שרוכים</t>
  </si>
  <si>
    <t xml:space="preserve">L 11 אפורUG חגורת בטן</t>
  </si>
  <si>
    <t xml:space="preserve">M 11 אפורUG חגורת בטן</t>
  </si>
  <si>
    <t xml:space="preserve">M078 חגורת גב +סגירה כפולה</t>
  </si>
  <si>
    <t xml:space="preserve">S-M 099 חגורת גב שרוכים</t>
  </si>
  <si>
    <t xml:space="preserve">S 11 אפורUGחגורת בטן</t>
  </si>
  <si>
    <t xml:space="preserve">S078 חגורת גב +סגירה כפולה</t>
  </si>
  <si>
    <t xml:space="preserve">ST11  חגורת בטן</t>
  </si>
  <si>
    <t xml:space="preserve">T11C L  חגורת גב פוג'יאמה</t>
  </si>
  <si>
    <t xml:space="preserve">T11C M  חגורת גב פוג'יאמה</t>
  </si>
  <si>
    <t xml:space="preserve">T11C S  חגורת גב פוג'יאמה</t>
  </si>
  <si>
    <t xml:space="preserve">T11C XL חגורת גב פוג'יאמה</t>
  </si>
  <si>
    <t xml:space="preserve">T11C XXL חגורת גב פוג'יאמה</t>
  </si>
  <si>
    <t xml:space="preserve">XL 11 אפורUG חגורת בטן</t>
  </si>
  <si>
    <t xml:space="preserve">XXL 11אפורUGחגורת בטן</t>
  </si>
  <si>
    <t xml:space="preserve">804AT-B      טייפ חבישה לספורט</t>
  </si>
  <si>
    <t xml:space="preserve">804AT-BL     טייפ חבישה לספורט</t>
  </si>
  <si>
    <t xml:space="preserve">804AT-C      טייפ חבישה לספורט</t>
  </si>
  <si>
    <t xml:space="preserve">804AT-W      טייפ חבישה לספורט</t>
  </si>
  <si>
    <t xml:space="preserve">805AT-B אתלטיק טייפ שחור 20מ""מ</t>
  </si>
  <si>
    <t xml:space="preserve">805AT-BLאתלטיק טייפ כחול 20מ""מ</t>
  </si>
  <si>
    <t xml:space="preserve">805AT-Cאתלטיק טייפ בז' 20מ""מ20</t>
  </si>
  <si>
    <t xml:space="preserve">805AT-W  אתלטיק טייפ לבן 20מ""מ</t>
  </si>
  <si>
    <t xml:space="preserve">808KT-B        טייפ קינזיולוגי</t>
  </si>
  <si>
    <t xml:space="preserve">808KT-BL       טייפ קינזיולוגי</t>
  </si>
  <si>
    <t xml:space="preserve">808KT-C        טייפ קינזיולוגי</t>
  </si>
  <si>
    <t xml:space="preserve">808KT-P        טייפ קינזיולוגי</t>
  </si>
  <si>
    <t xml:space="preserve">239B L-XL STRAP4U</t>
  </si>
  <si>
    <t xml:space="preserve">239B S-M STRAP4U</t>
  </si>
  <si>
    <t xml:space="preserve">239P S-M STRAP4U</t>
  </si>
  <si>
    <t xml:space="preserve">239TR L-XL STRAP4U</t>
  </si>
  <si>
    <t xml:space="preserve">67 כרית שינה חלומי</t>
  </si>
  <si>
    <t xml:space="preserve">FC342-נוזל לציפורן חודרנית</t>
  </si>
  <si>
    <t xml:space="preserve">FCתתסבון אנטי ספטי לכף הרגל350</t>
  </si>
  <si>
    <t xml:space="preserve">STRAP4U DISPLAY 239D</t>
  </si>
  <si>
    <t xml:space="preserve">שרוול לגבס ארוך רגל</t>
  </si>
  <si>
    <t xml:space="preserve">שרוול לגבס קצר רגל</t>
  </si>
  <si>
    <t xml:space="preserve">FC321-מלח אמבט לכף הרגל</t>
  </si>
  <si>
    <t xml:space="preserve">FC334  תרסיס דאודורנט לכף הרגל</t>
  </si>
  <si>
    <t xml:space="preserve">FC335 טלק מעושר באלוורה</t>
  </si>
  <si>
    <t xml:space="preserve">FCתרסיס דאודורנט אנטיבק.נעל333</t>
  </si>
  <si>
    <t xml:space="preserve">שרוול לגבס ארוך יד</t>
  </si>
  <si>
    <t xml:space="preserve">שרוול לגבס קצר יד</t>
  </si>
  <si>
    <t xml:space="preserve">74  SM מיצב כתפיים</t>
  </si>
  <si>
    <t xml:space="preserve">74 L-XL מיצב כתפיים</t>
  </si>
  <si>
    <t xml:space="preserve">75  XXL מיישר כתף יציב ישור צר</t>
  </si>
  <si>
    <t xml:space="preserve">75 Lמיישר כתף יציב יישור גב צר</t>
  </si>
  <si>
    <t xml:space="preserve">75 Mמיישר כתף יציב יישור גב צר</t>
  </si>
  <si>
    <t xml:space="preserve">75 Sמיישר כתף יציב יישור גב צר</t>
  </si>
  <si>
    <t xml:space="preserve">75 XLמיישר כתף יציב יישור ג.צר</t>
  </si>
  <si>
    <t xml:space="preserve">76 Lמיישר כתף יציב יישור רחב</t>
  </si>
  <si>
    <t xml:space="preserve">76 Mמיישר כתף יציב,יישור רחב</t>
  </si>
  <si>
    <t xml:space="preserve">76 Sמיישר כתף יציב יישור ג.רחב</t>
  </si>
  <si>
    <t xml:space="preserve">76 XLמיישר כתף יציב יישור רחב</t>
  </si>
  <si>
    <t xml:space="preserve">76 XXL מישר כתפיים רחב</t>
  </si>
  <si>
    <t xml:space="preserve">776 S  ח.גב גבוהה</t>
  </si>
  <si>
    <t xml:space="preserve">78 M מגן למרפק כתף</t>
  </si>
  <si>
    <t xml:space="preserve">78 XXLמגן למרפק כתף</t>
  </si>
  <si>
    <t xml:space="preserve">78A  M מגן למפרק כתף</t>
  </si>
  <si>
    <t xml:space="preserve">78A L מגן למפרק כתף</t>
  </si>
  <si>
    <t xml:space="preserve">78A S מגן למפרק כתף</t>
  </si>
  <si>
    <t xml:space="preserve">78A XL מגן למפרק כתף</t>
  </si>
  <si>
    <t xml:space="preserve">78A XXL מגן למפרק כתף</t>
  </si>
  <si>
    <t xml:space="preserve">87 L מקבע כתף ויד</t>
  </si>
  <si>
    <t xml:space="preserve">87 M מקבע כתף ויד</t>
  </si>
  <si>
    <t xml:space="preserve">87 S מקבע כתף ויד</t>
  </si>
  <si>
    <t xml:space="preserve">87 XL מקבע כתף ויד</t>
  </si>
  <si>
    <t xml:space="preserve">87 XXL מקבע כתף ויד</t>
  </si>
  <si>
    <t xml:space="preserve">AC75 XXL  מיישר כתפיים אקטיב</t>
  </si>
  <si>
    <t xml:space="preserve">AC75 מישר כתפיים אקטיב</t>
  </si>
  <si>
    <t xml:space="preserve">T78 L תומך זרוע וכתף</t>
  </si>
  <si>
    <t xml:space="preserve">T78 M תומך זרוע וכתף</t>
  </si>
  <si>
    <t xml:space="preserve">T78 S תומך זרוע וכתף</t>
  </si>
  <si>
    <t xml:space="preserve">T78 XLתומך זרוע וכתף</t>
  </si>
  <si>
    <t xml:space="preserve">T78 XXL תומך זרוע וכתף</t>
  </si>
  <si>
    <t xml:space="preserve">LF360 מדרס מטטרזלי לנעלי עקב</t>
  </si>
  <si>
    <t xml:space="preserve">LF370 ריפוד סיליקון לעקב אחורי</t>
  </si>
  <si>
    <t xml:space="preserve">LF371 ריפוד סיליקון לנעלי אצבע</t>
  </si>
  <si>
    <t xml:space="preserve">LF374 ריפוד סיליק.לעקב תחתון</t>
  </si>
  <si>
    <t xml:space="preserve">LF377 L-מדרס סיליקון לנעלי עקב</t>
  </si>
  <si>
    <t xml:space="preserve">LF377 M-מדרס סיליקון לנעלי עקב</t>
  </si>
  <si>
    <t xml:space="preserve">LF377 S-מדרס סיליקון לנעלי עקב</t>
  </si>
  <si>
    <t xml:space="preserve">LF378 L מדרס ג'ל לנעלי עקב</t>
  </si>
  <si>
    <t xml:space="preserve">LFריפוד סיליק.לכרית כף הרגל373</t>
  </si>
  <si>
    <t xml:space="preserve">300M תתמדרס.ציפוי עור גבר זו43</t>
  </si>
  <si>
    <t xml:space="preserve">300M תתמדרס/ציפוי עור גבר זו44</t>
  </si>
  <si>
    <t xml:space="preserve">302 W מדרס לאישה</t>
  </si>
  <si>
    <t xml:space="preserve">302 מדרס ג'ל לגבר</t>
  </si>
  <si>
    <t xml:space="preserve">302SP M מדרס ג'ל ספורט לגבר</t>
  </si>
  <si>
    <t xml:space="preserve">302SP Wמדרס ג'ל ספורט לאישה</t>
  </si>
  <si>
    <t xml:space="preserve">303 37-38 מדרסי סיליק.לח.סכרת</t>
  </si>
  <si>
    <t xml:space="preserve">303 39-40 מדרסי סיליק.לח.סכרת</t>
  </si>
  <si>
    <t xml:space="preserve">303 41-42 מדרסי סיליק.לח.סכרת</t>
  </si>
  <si>
    <t xml:space="preserve">303 43-44 מדרסי סיליק.לח.סכרת</t>
  </si>
  <si>
    <t xml:space="preserve">303 45-46 מדרסי סיליק.לח.סכרת</t>
  </si>
  <si>
    <t xml:space="preserve">305GA מדרס אורטופ.מתכוון35-36</t>
  </si>
  <si>
    <t xml:space="preserve">305GA מדרס אורטופ.מתכוון37-38</t>
  </si>
  <si>
    <t xml:space="preserve">305GA מדרס אורטופ.מתכוון39-40</t>
  </si>
  <si>
    <t xml:space="preserve">305GA מדרס אורטופ.מתכוון41-42</t>
  </si>
  <si>
    <t xml:space="preserve">305GA מדרס אורטופ.מתכוון43-44</t>
  </si>
  <si>
    <t xml:space="preserve">305GA מדרס אורטופ.מתכוון45-46</t>
  </si>
  <si>
    <t xml:space="preserve">305GA מדרס מתכוונן47-48</t>
  </si>
  <si>
    <t xml:space="preserve">310Lמדרס 3/4לכאבי דורבן וספורט</t>
  </si>
  <si>
    <t xml:space="preserve">310Mמדרס 3/4לכאבי דורבן וספורט</t>
  </si>
  <si>
    <t xml:space="preserve">310Sמדרס 3/4לכאבי דורבן וספורט</t>
  </si>
  <si>
    <t xml:space="preserve">35-38 מדרסי אפיק ג'ל נוחות</t>
  </si>
  <si>
    <t xml:space="preserve">35-38 מדרסי אפיק ג'ל עבודה</t>
  </si>
  <si>
    <t xml:space="preserve">39-42 מדרסי אפיק ג'ל נוחות</t>
  </si>
  <si>
    <t xml:space="preserve">39-42 מדרסי אפיק ג'ל עבודה</t>
  </si>
  <si>
    <t xml:space="preserve">43-47 מדרסי אפיק ג'ל נוחות</t>
  </si>
  <si>
    <t xml:space="preserve">43-47 מדרסי אפיק ג'ל עבודה</t>
  </si>
  <si>
    <t xml:space="preserve">LF378 M מדרס ג'ל לנעלי עקב</t>
  </si>
  <si>
    <t xml:space="preserve">LF378 S מדרס ג'ל לנעלי עקב</t>
  </si>
  <si>
    <t xml:space="preserve">מדרסי אפיק ג'ל מולט.ספורט35-38</t>
  </si>
  <si>
    <t xml:space="preserve">מדרסי אפיק ג'ל מולט.ספורט43-47</t>
  </si>
  <si>
    <t xml:space="preserve">מדרסי אפיק ג'ל מולטי ספור39-42</t>
  </si>
  <si>
    <t xml:space="preserve">50 L מתלה אשכים לאחר ניתוח</t>
  </si>
  <si>
    <t xml:space="preserve">50 M מתלה אשכים לאחר ניתוח</t>
  </si>
  <si>
    <t xml:space="preserve">50 S מתלה אשכים לאחר ניתוח</t>
  </si>
  <si>
    <t xml:space="preserve">50 XL מתלה אשכים לאחר ניתוח</t>
  </si>
  <si>
    <t xml:space="preserve">50 XXL מתלה אשכים לאחר ניתוח</t>
  </si>
  <si>
    <t xml:space="preserve">55 L מתלה אשכים לספורטאים</t>
  </si>
  <si>
    <t xml:space="preserve">55 M מתלה אשכים לספורטאים</t>
  </si>
  <si>
    <t xml:space="preserve">55 S מתלה אשכים לספורטאים</t>
  </si>
  <si>
    <t xml:space="preserve">55 XL מתלה אשכים לספורטאים</t>
  </si>
  <si>
    <t xml:space="preserve">55 XXL מתלה אשכים לספורטאים</t>
  </si>
  <si>
    <t xml:space="preserve">59D L חגורת שבר דו צדדי</t>
  </si>
  <si>
    <t xml:space="preserve">59D M חגורת שבר דו צדדי</t>
  </si>
  <si>
    <t xml:space="preserve">59D S חגורת שבר דו צדדי</t>
  </si>
  <si>
    <t xml:space="preserve">59D XL חגורת שבר דו צדדי</t>
  </si>
  <si>
    <t xml:space="preserve">59D XXLחגורת שבר דו צדדי</t>
  </si>
  <si>
    <t xml:space="preserve">59L L חגורת שבר לצד שמאל</t>
  </si>
  <si>
    <t xml:space="preserve">59L M חגורת שבר לצד שמאל</t>
  </si>
  <si>
    <t xml:space="preserve">59L S חגורת שבר לצד שמאל</t>
  </si>
  <si>
    <t xml:space="preserve">59L XLחגורת שבר לצד שמאל</t>
  </si>
  <si>
    <t xml:space="preserve">59R L חגורת שבר לצד ימין</t>
  </si>
  <si>
    <t xml:space="preserve">59R M חגורת שבר לצד ימין</t>
  </si>
  <si>
    <t xml:space="preserve">59R S חגורת שבר לצד ימין</t>
  </si>
  <si>
    <t xml:space="preserve">59R XL חגורת שבר לצד ימין</t>
  </si>
  <si>
    <t xml:space="preserve">604L מסכה ארקי</t>
  </si>
  <si>
    <t xml:space="preserve">604XL מסכה ארקי</t>
  </si>
  <si>
    <t xml:space="preserve">605XL מסכה אלה</t>
  </si>
  <si>
    <t xml:space="preserve">655L ""מסכה ""גדי</t>
  </si>
  <si>
    <t xml:space="preserve">91  חבק ""טניס אלבו רצועה</t>
  </si>
  <si>
    <t xml:space="preserve">911 חבק לטניס אלבו</t>
  </si>
  <si>
    <t xml:space="preserve">91B חבק טניס אלבו</t>
  </si>
  <si>
    <t xml:space="preserve">922L.חבק יד לטניס כרית סיליק</t>
  </si>
  <si>
    <t xml:space="preserve">922M.מחבק יד לטניס כרית סילי</t>
  </si>
  <si>
    <t xml:space="preserve">922S.חבק יד לטניס כרית סיליק</t>
  </si>
  <si>
    <t xml:space="preserve">922XLחבק יד לטניס כרית סיליק</t>
  </si>
  <si>
    <t xml:space="preserve">922XXLמגן מרפק+כרית סילקון</t>
  </si>
  <si>
    <t xml:space="preserve">95 L מגן מרפק רגיל לבן</t>
  </si>
  <si>
    <t xml:space="preserve">95 M מגן מרפק רגיל לבן</t>
  </si>
  <si>
    <t xml:space="preserve">95 S מגן מרפק רגיל לבן</t>
  </si>
  <si>
    <t xml:space="preserve">95 XL מגן מרפק רגיל לבן</t>
  </si>
  <si>
    <t xml:space="preserve">95 XS מגן מרפק רגיל לבן</t>
  </si>
  <si>
    <t xml:space="preserve">95 XXL מגן מרפק רגיל לבן</t>
  </si>
  <si>
    <t xml:space="preserve">95+ L מגן מרפק+רצועה לטניס</t>
  </si>
  <si>
    <t xml:space="preserve">95+ M מגן מרפק+רצועה לטניס</t>
  </si>
  <si>
    <t xml:space="preserve">95+ XL מגן מרפק+רצועה לטניס</t>
  </si>
  <si>
    <t xml:space="preserve">95B L מגן מרפק שחור</t>
  </si>
  <si>
    <t xml:space="preserve">95B M מגן מרפק שחור</t>
  </si>
  <si>
    <t xml:space="preserve">95B S מגן מרפק שחור</t>
  </si>
  <si>
    <t xml:space="preserve">95B XL מגן מרפק שחור</t>
  </si>
  <si>
    <t xml:space="preserve">95B XXLמגן מרפק שחור</t>
  </si>
  <si>
    <t xml:space="preserve">95C L 'מגן מרפק בז</t>
  </si>
  <si>
    <t xml:space="preserve">95C M 'מגן מרפק בז</t>
  </si>
  <si>
    <t xml:space="preserve">95C S 'מגן מרפק בז</t>
  </si>
  <si>
    <t xml:space="preserve">95C XL'מגן מרפק בז</t>
  </si>
  <si>
    <t xml:space="preserve">95C XS'מגן מרפק בז</t>
  </si>
  <si>
    <t xml:space="preserve">95C XXL'מגן מרפק בז</t>
  </si>
  <si>
    <t xml:space="preserve">95G XXLמגן מרפק אפור</t>
  </si>
  <si>
    <t xml:space="preserve">AC91 חבק טניס</t>
  </si>
  <si>
    <t xml:space="preserve">AC95 מגן מרפק</t>
  </si>
  <si>
    <t xml:space="preserve">SC95 S מגן מרפק</t>
  </si>
  <si>
    <t xml:space="preserve">SC95 XXL מגן מרפק</t>
  </si>
  <si>
    <t xml:space="preserve">ST91 מגן מרפק לטניס</t>
  </si>
  <si>
    <t xml:space="preserve">T90 רצועת טניס אלבו עם פלסטיק</t>
  </si>
  <si>
    <t xml:space="preserve">T91  L-XL רצועת טניס אלבו</t>
  </si>
  <si>
    <t xml:space="preserve">T91 S-M רצועת טניס אלבו</t>
  </si>
  <si>
    <t xml:space="preserve">T95 L מגן מרפק רגיל</t>
  </si>
  <si>
    <t xml:space="preserve">T95 M מגן מרפק רגיל</t>
  </si>
  <si>
    <t xml:space="preserve">T95 S מגן מרפק רגיל</t>
  </si>
  <si>
    <t xml:space="preserve">T95 XLמגן מרפק רגיל</t>
  </si>
  <si>
    <t xml:space="preserve">T95+ L מגן מרפק +רצועה</t>
  </si>
  <si>
    <t xml:space="preserve">T95+ XLמגן מרפק +רצועה</t>
  </si>
  <si>
    <t xml:space="preserve">80 L תתמתלה ליד רצועה</t>
  </si>
  <si>
    <t xml:space="preserve">80 M תתמתלה ליד רצועה</t>
  </si>
  <si>
    <t xml:space="preserve">80 S תתמתלה ליד רצועה</t>
  </si>
  <si>
    <t xml:space="preserve">80 XL  תתמתלה ליד</t>
  </si>
  <si>
    <t xml:space="preserve">82 0 מתלה יד מספוג</t>
  </si>
  <si>
    <t xml:space="preserve">85 L (מתלה ליד )כיס</t>
  </si>
  <si>
    <t xml:space="preserve">85 M (מתלה ליד )כיס</t>
  </si>
  <si>
    <t xml:space="preserve">85 S (מתלה ליד )כיס</t>
  </si>
  <si>
    <t xml:space="preserve">85 XL (מתלה ליד )כיס</t>
  </si>
  <si>
    <t xml:space="preserve">85+ Lמתלה ליד)כיס(+רצועת חיזוק</t>
  </si>
  <si>
    <t xml:space="preserve">85+ Mמתלה ליד)כיס(+רצועת חיזוק</t>
  </si>
  <si>
    <t xml:space="preserve">85+ Sמתלה ליד)כיס(+רצועת חיזוק</t>
  </si>
  <si>
    <t xml:space="preserve">85+ XLמתלה ליד)כיס(רצועת חיזוק</t>
  </si>
  <si>
    <t xml:space="preserve">85B L מתלה רשת לזרוע שחור</t>
  </si>
  <si>
    <t xml:space="preserve">85B M מתלה רשת לזרוע שחור</t>
  </si>
  <si>
    <t xml:space="preserve">85B S מתלה רשת לזרוע שחור</t>
  </si>
  <si>
    <t xml:space="preserve">85B XL מתלה רשת לזרוע שחור</t>
  </si>
  <si>
    <t xml:space="preserve">85K מתלה ליד לילדים</t>
  </si>
  <si>
    <t xml:space="preserve">306  L זוג עקבים סיליקון</t>
  </si>
  <si>
    <t xml:space="preserve">307 L עקבים לדורבן-זוג כריות</t>
  </si>
  <si>
    <t xml:space="preserve">307 M עקבים לדורבן-זוג כריות</t>
  </si>
  <si>
    <t xml:space="preserve">307 S עקבים לדורבן-זוג כריות</t>
  </si>
  <si>
    <t xml:space="preserve">307 XL כרית סיליקון לעקב</t>
  </si>
  <si>
    <t xml:space="preserve">308 Lעקבים סיליקון כחול לדורבן</t>
  </si>
  <si>
    <t xml:space="preserve">308 Mעקבים סיליק.כחול לדורבן</t>
  </si>
  <si>
    <t xml:space="preserve">308 Sעקבים סיליק.כחול לדורבן</t>
  </si>
  <si>
    <t xml:space="preserve">309 L תתמוקפאעקב סיליקון+ קשת</t>
  </si>
  <si>
    <t xml:space="preserve">309 M תתעקב סיליקון+ קשת</t>
  </si>
  <si>
    <t xml:space="preserve">309 S תתמוקפאעקב סיליקון+ קשת</t>
  </si>
  <si>
    <t xml:space="preserve">311'מדב.ג'ל למניעת שפשוף 5 יח</t>
  </si>
  <si>
    <t xml:space="preserve">312 9 מ""ס להתאמהX5 מדבקה גדולה</t>
  </si>
  <si>
    <t xml:space="preserve">313 סט פלסטרים נגד שפשופים</t>
  </si>
  <si>
    <t xml:space="preserve">320 בליסטר פלסטר</t>
  </si>
  <si>
    <t xml:space="preserve">3611 שרוול מטטרזלי מסיליקון</t>
  </si>
  <si>
    <t xml:space="preserve">3622S מדבקה לשחרור לחץ 2 יח</t>
  </si>
  <si>
    <t xml:space="preserve">3623 כרית ליישור אצבע פטיש</t>
  </si>
  <si>
    <t xml:space="preserve">363  בננה לתמיכת אצבעות ז.כרית</t>
  </si>
  <si>
    <t xml:space="preserve">364 XLמפריד אצבע סיליקון ליבלת</t>
  </si>
  <si>
    <t xml:space="preserve">3641-מיישר בוהן סיליקון קשיח</t>
  </si>
  <si>
    <t xml:space="preserve">364S Lמפר.אצבע סיליק. ליבל.זוג</t>
  </si>
  <si>
    <t xml:space="preserve">365  X-Lטבעת אלסטית מסיליקון</t>
  </si>
  <si>
    <t xml:space="preserve">365 S-Lטבעת אלסטית מסיליקון</t>
  </si>
  <si>
    <t xml:space="preserve">3655 שרוול מסיליקון לאצבע</t>
  </si>
  <si>
    <t xml:space="preserve">3666 מפריד הלוקס</t>
  </si>
  <si>
    <t xml:space="preserve">366S-'מדבק.לשחרור לחץ מיבלת2יח</t>
  </si>
  <si>
    <t xml:space="preserve">3672 שרוול מגן לבוניון</t>
  </si>
  <si>
    <t xml:space="preserve">3674 0 מ.בוניון+מפריד אצבע</t>
  </si>
  <si>
    <t xml:space="preserve">3675    מגן זרת מסיליקון</t>
  </si>
  <si>
    <t xml:space="preserve">3677S-מד.לשחרור לחץ א.הבוניון</t>
  </si>
  <si>
    <t xml:space="preserve">369   XL אצבעון מסיליקון יחידה</t>
  </si>
  <si>
    <t xml:space="preserve">369  S-L אצבעון מסיליקון יחידה</t>
  </si>
  <si>
    <t xml:space="preserve">38 .חבישת""הלוקס ולגוס""לאחר נית</t>
  </si>
  <si>
    <t xml:space="preserve">386  מיישר בוניון-האלוקס ולגוס</t>
  </si>
  <si>
    <t xml:space="preserve">388L סד לילה לבוהן</t>
  </si>
  <si>
    <t xml:space="preserve">388R סד לילה לבוהן</t>
  </si>
  <si>
    <t xml:space="preserve">820 0 כרית חום וקור</t>
  </si>
  <si>
    <t xml:space="preserve">URI 3667 מגן בוניון</t>
  </si>
  <si>
    <t xml:space="preserve">כרית מטטרזלי סיליקון362</t>
  </si>
  <si>
    <t xml:space="preserve">PD 344-אבן טבעית להסרת עור קשה</t>
  </si>
  <si>
    <t xml:space="preserve">PD340-קוצץ ציפורניים</t>
  </si>
  <si>
    <t xml:space="preserve">PD341-מקצוע להסרת עור קשה</t>
  </si>
  <si>
    <t xml:space="preserve">PD342-פומפיה להסרת עור קשה</t>
  </si>
  <si>
    <t xml:space="preserve">PD343-פומפיה מאבן להסר.עור</t>
  </si>
  <si>
    <t xml:space="preserve">PD346-10 סכינים למקצוע</t>
  </si>
  <si>
    <t xml:space="preserve">PD350-תתמשופית ניקל קדמיום</t>
  </si>
  <si>
    <t xml:space="preserve">213CTSR L ימין CTS כפפות</t>
  </si>
  <si>
    <t xml:space="preserve">20 L חבק יד מתכוון עם צמדן</t>
  </si>
  <si>
    <t xml:space="preserve">20 M חבק יד מתכוון עם צמדן</t>
  </si>
  <si>
    <t xml:space="preserve">20 S חבק יד מתכוון עם צמדן</t>
  </si>
  <si>
    <t xml:space="preserve">20 XL חבק יד מתכוון עם צמדן</t>
  </si>
  <si>
    <t xml:space="preserve">20 XXL חבק יד מתכוון עם צמדן</t>
  </si>
  <si>
    <t xml:space="preserve">202  ONE SIZE חבק יד</t>
  </si>
  <si>
    <t xml:space="preserve">21 L  חבק יד ארוך</t>
  </si>
  <si>
    <t xml:space="preserve">21 M  חבק יד ארוך</t>
  </si>
  <si>
    <t xml:space="preserve">21 S  חבק יד ארוך</t>
  </si>
  <si>
    <t xml:space="preserve">21 XL חבק יד ארוך</t>
  </si>
  <si>
    <t xml:space="preserve">21 XS מגן יד</t>
  </si>
  <si>
    <t xml:space="preserve">21 XXL מגן יד</t>
  </si>
  <si>
    <t xml:space="preserve">211L כפפות לחץ</t>
  </si>
  <si>
    <t xml:space="preserve">211M כפפות לחץ</t>
  </si>
  <si>
    <t xml:space="preserve">211S כפפות לחץ</t>
  </si>
  <si>
    <t xml:space="preserve">211XL כפפות לחץ</t>
  </si>
  <si>
    <t xml:space="preserve">212L כפפות אגודל לחץ</t>
  </si>
  <si>
    <t xml:space="preserve">212M כפפות אגודל לחץ</t>
  </si>
  <si>
    <t xml:space="preserve">212S כפפות אגודל לחץ</t>
  </si>
  <si>
    <t xml:space="preserve">212XL כפפות אגודל לחץ</t>
  </si>
  <si>
    <t xml:space="preserve">213CTS  S ימין CTS כפפות</t>
  </si>
  <si>
    <t xml:space="preserve">213CTSL L שמאל CTS כפפות</t>
  </si>
  <si>
    <t xml:space="preserve">213CTSL M שמאל CTS כפפות</t>
  </si>
  <si>
    <t xml:space="preserve">213CTSL S שמאל CTS כפפות</t>
  </si>
  <si>
    <t xml:space="preserve">213CTSR M ימין CTS כפפות</t>
  </si>
  <si>
    <t xml:space="preserve">238L סד ליישור אצבע</t>
  </si>
  <si>
    <t xml:space="preserve">238M סד ליישור אצבע</t>
  </si>
  <si>
    <t xml:space="preserve">238S סד ליישור אצבע</t>
  </si>
  <si>
    <t xml:space="preserve">238XL סד ליישור אצבע</t>
  </si>
  <si>
    <t xml:space="preserve">24 M(תתחבקון ליד )ללא צמדן</t>
  </si>
  <si>
    <t xml:space="preserve">25 L חבק יד אגודלי</t>
  </si>
  <si>
    <t xml:space="preserve">25 M חבק יד אגודלי</t>
  </si>
  <si>
    <t xml:space="preserve">25 S חבק יד אגודלי</t>
  </si>
  <si>
    <t xml:space="preserve">25 XL חבק יד אגודלי</t>
  </si>
  <si>
    <t xml:space="preserve">26 L סד ליד דו צדדי לאחר שבר</t>
  </si>
  <si>
    <t xml:space="preserve">26 M סד ליד דו צדדי לאחר שבר</t>
  </si>
  <si>
    <t xml:space="preserve">26 S סד ליד דו צדדי לאחר שבר</t>
  </si>
  <si>
    <t xml:space="preserve">26 XL סד ליד דו צדדי לאחר שבר</t>
  </si>
  <si>
    <t xml:space="preserve">26 XS סד ליד דו צדדי לאחר שבר</t>
  </si>
  <si>
    <t xml:space="preserve">26 XXL סד ליד דו צדדי לאחר שבר</t>
  </si>
  <si>
    <t xml:space="preserve">266 סד ליד דו צדדי</t>
  </si>
  <si>
    <t xml:space="preserve">267LB  L-XLסד יד שמאל שחור</t>
  </si>
  <si>
    <t xml:space="preserve">267LB  S-M סד יד שמאל שחור</t>
  </si>
  <si>
    <t xml:space="preserve">267LC   S-M'סד יד שמאל בז</t>
  </si>
  <si>
    <t xml:space="preserve">267LC  L-XL 'סד יד שמאל בז</t>
  </si>
  <si>
    <t xml:space="preserve">267LC  XXL'סד יד שמאל בז</t>
  </si>
  <si>
    <t xml:space="preserve">267RB  L-XLסד יד ימין שחור</t>
  </si>
  <si>
    <t xml:space="preserve">267RB  S-M סד יד ימין שחור</t>
  </si>
  <si>
    <t xml:space="preserve">267RC  L-XL 'סד יד ימין בז</t>
  </si>
  <si>
    <t xml:space="preserve">267RC  S-M 'סד יד ימין בז</t>
  </si>
  <si>
    <t xml:space="preserve">267RC XXL 'סד יד ימין בז</t>
  </si>
  <si>
    <t xml:space="preserve">268 סד לאגודל</t>
  </si>
  <si>
    <t xml:space="preserve">27 R-M סד ליד ימין</t>
  </si>
  <si>
    <t xml:space="preserve">278 L-XL סד יד ואגודל</t>
  </si>
  <si>
    <t xml:space="preserve">278 S-M סד יד ואגודל</t>
  </si>
  <si>
    <t xml:space="preserve">27L L סד ליד שמאל</t>
  </si>
  <si>
    <t xml:space="preserve">27L M סד ליד שמאל</t>
  </si>
  <si>
    <t xml:space="preserve">27L S סד ליד שמאל</t>
  </si>
  <si>
    <t xml:space="preserve">27L XLסד ליד שמאל</t>
  </si>
  <si>
    <t xml:space="preserve">27R L סד ליד ימין</t>
  </si>
  <si>
    <t xml:space="preserve">27R XLסד ליד ימין</t>
  </si>
  <si>
    <t xml:space="preserve">28-XS סד לאגודל לאחר שבר</t>
  </si>
  <si>
    <t xml:space="preserve">28 L סד לאגודל לאחר שבר</t>
  </si>
  <si>
    <t xml:space="preserve">28 M סד לאגודל לאחר שבר</t>
  </si>
  <si>
    <t xml:space="preserve">28 S סד לאגודל לאחר שבר</t>
  </si>
  <si>
    <t xml:space="preserve">28 XL סד לאגודל לאחר שבר</t>
  </si>
  <si>
    <t xml:space="preserve">28 XXL סד לאגודל לאחר שבר</t>
  </si>
  <si>
    <t xml:space="preserve">28A S-M  סד לאגודל</t>
  </si>
  <si>
    <t xml:space="preserve">AC-28 סד לאגודל</t>
  </si>
  <si>
    <t xml:space="preserve">ST20 חבק יד</t>
  </si>
  <si>
    <t xml:space="preserve">ST25 חבק שורש לכף היד</t>
  </si>
  <si>
    <t xml:space="preserve">ST28 סד אגודלי עם מוט תמיכה</t>
  </si>
  <si>
    <t xml:space="preserve">T20 L-XL  חבק יד עם צמדן</t>
  </si>
  <si>
    <t xml:space="preserve">T20 S-M חבק יד עם צמדן</t>
  </si>
  <si>
    <t xml:space="preserve">T20C L-XL חבק יד עם צמדן חום</t>
  </si>
  <si>
    <t xml:space="preserve">T20C S-M חבק יד עם צמדןחום</t>
  </si>
  <si>
    <t xml:space="preserve">T25-חבק יד אגודלי</t>
  </si>
  <si>
    <t xml:space="preserve">T25B   חבק יד אגודלי</t>
  </si>
  <si>
    <t xml:space="preserve">T25C-חבק יד אגודלי</t>
  </si>
  <si>
    <t xml:space="preserve">T26 L סד לאגודל דו צדדי</t>
  </si>
  <si>
    <t xml:space="preserve">T26 M סד לאגודל דו צדדי</t>
  </si>
  <si>
    <t xml:space="preserve">T26 S סד לאגודל דו צדדי</t>
  </si>
  <si>
    <t xml:space="preserve">T26 XLסד לאגודל דו צדדי</t>
  </si>
  <si>
    <t xml:space="preserve">T27L L סד ליד שמאל</t>
  </si>
  <si>
    <t xml:space="preserve">T27L M סד ליד שמאל</t>
  </si>
  <si>
    <t xml:space="preserve">T27L S סד ליד שמאל</t>
  </si>
  <si>
    <t xml:space="preserve">T27L XL סד ליד שמאל</t>
  </si>
  <si>
    <t xml:space="preserve">T27R Mסד ליד ימין</t>
  </si>
  <si>
    <t xml:space="preserve">T27R Sסד ליד ימין</t>
  </si>
  <si>
    <t xml:space="preserve">T27R XLסד ליד ימין</t>
  </si>
  <si>
    <t xml:space="preserve">T28 L סד לאגודל כפפה</t>
  </si>
  <si>
    <t xml:space="preserve">T28 M סד לאגודל כפפה</t>
  </si>
  <si>
    <t xml:space="preserve">T28 S סד לאגודל כפפה</t>
  </si>
  <si>
    <t xml:space="preserve">T28 XL סד לאגודל כפפה</t>
  </si>
  <si>
    <t xml:space="preserve">T28 XXLסד לאגודל צד ימין</t>
  </si>
  <si>
    <t xml:space="preserve">T28A L-XL סד לאגודל</t>
  </si>
  <si>
    <t xml:space="preserve">T28A S-M סד לאגודל</t>
  </si>
  <si>
    <t xml:space="preserve">T28A XS סד לאגודל</t>
  </si>
  <si>
    <t xml:space="preserve">T28AC L-XL סד לאגודל</t>
  </si>
  <si>
    <t xml:space="preserve">T28AC S-M סד לאגודל</t>
  </si>
  <si>
    <t xml:space="preserve">T28C  XL סד לאגודל כפפה</t>
  </si>
  <si>
    <t xml:space="preserve">T28C L סד לאגודל כפפה</t>
  </si>
  <si>
    <t xml:space="preserve">T28C M סד לאגודל כפפה</t>
  </si>
  <si>
    <t xml:space="preserve">T28C S סד לאגודל כפפה</t>
  </si>
  <si>
    <t xml:space="preserve">סד קיבוע לאצבע הדק</t>
  </si>
  <si>
    <t xml:space="preserve">1314-    62 L צוארון ספוגי</t>
  </si>
  <si>
    <t xml:space="preserve">60 L צוארון ספוגי</t>
  </si>
  <si>
    <t xml:space="preserve">60 M צוארון ספוגי</t>
  </si>
  <si>
    <t xml:space="preserve">60 S צוארון ספוגי</t>
  </si>
  <si>
    <t xml:space="preserve">60 XL צוארון ספוגי</t>
  </si>
  <si>
    <t xml:space="preserve">60 XXL צוארון ספוגי</t>
  </si>
  <si>
    <t xml:space="preserve">60XS צוארון ספוגי</t>
  </si>
  <si>
    <t xml:space="preserve">62 M צוארון ספוגי</t>
  </si>
  <si>
    <t xml:space="preserve">62 S צוארון ספוגי</t>
  </si>
  <si>
    <t xml:space="preserve">62 XL צוארון ספוגי</t>
  </si>
  <si>
    <t xml:space="preserve">63 L צוארון פלסטי מתכוון</t>
  </si>
  <si>
    <t xml:space="preserve">63 M צוארון פלסטי מתכוון</t>
  </si>
  <si>
    <t xml:space="preserve">63 S צוארון פלסטי מתכוון</t>
  </si>
  <si>
    <t xml:space="preserve">FC310-תתקרם הגנה לכף הרגל</t>
  </si>
  <si>
    <t xml:space="preserve">FC311-תתקרם דאודורנט לכף הרגל</t>
  </si>
  <si>
    <t xml:space="preserve">FC312-תתקרם מירוק גרגרי פילינג</t>
  </si>
  <si>
    <t xml:space="preserve">FC313- תתקרם ריכוך</t>
  </si>
  <si>
    <t xml:space="preserve">FC314-תתטלק נוזלי</t>
  </si>
  <si>
    <t xml:space="preserve">FC315-תתג'ל צינון</t>
  </si>
  <si>
    <t xml:space="preserve">FC316   קרם רגליים שיקומי</t>
  </si>
  <si>
    <t xml:space="preserve">FC330Z-תתדאו'אנטי בקט.לנעל120</t>
  </si>
  <si>
    <t xml:space="preserve">FC331Z- 120 תתתרסיס מרענן לרגל</t>
  </si>
  <si>
    <t xml:space="preserve">FC341-טיפות נגד פטרת הציפורן</t>
  </si>
  <si>
    <t xml:space="preserve">30 L מגן קרסול מתכוון עם סקוטש</t>
  </si>
  <si>
    <t xml:space="preserve">30 M מגן קרסול מתכוון עם סקוטש</t>
  </si>
  <si>
    <t xml:space="preserve">30 S מגן קרסול מתכוון עם סקוטש</t>
  </si>
  <si>
    <t xml:space="preserve">30 XL מגן קרסול מתכוון סקוטש</t>
  </si>
  <si>
    <t xml:space="preserve">30 XXL מגן קרסול מתכוון+סקוטש</t>
  </si>
  <si>
    <t xml:space="preserve">32 L  סד קרסול+מוטות אלומיניום</t>
  </si>
  <si>
    <t xml:space="preserve">32 M  סד קרסול+מוטות אלומיניום</t>
  </si>
  <si>
    <t xml:space="preserve">32 XL סד קרסול+מוטות אלומיניום</t>
  </si>
  <si>
    <t xml:space="preserve">322-L מגן קרסול+כרית סילקון</t>
  </si>
  <si>
    <t xml:space="preserve">322-M מגן קרסול+כרית סילקון</t>
  </si>
  <si>
    <t xml:space="preserve">322-S מגן קרסול+כרית סילקון</t>
  </si>
  <si>
    <t xml:space="preserve">322XL מגן קרסול+כרית סילקון</t>
  </si>
  <si>
    <t xml:space="preserve">322XXLמגן קרסול+כרית סילקון</t>
  </si>
  <si>
    <t xml:space="preserve">33 Lסד קל לקרסול עם סדי פלסטיק</t>
  </si>
  <si>
    <t xml:space="preserve">33 Mסד קל לקרסול עם סדי פלסטיק</t>
  </si>
  <si>
    <t xml:space="preserve">33 Sסד קל לקרסול עם סדי פלסטיק</t>
  </si>
  <si>
    <t xml:space="preserve">33 XL.סד קל לקרסול עם סדי פלסט</t>
  </si>
  <si>
    <t xml:space="preserve">332CL'מייצב קרסול עם שרוכים בז</t>
  </si>
  <si>
    <t xml:space="preserve">332CM'מייצב קרסול עם שרוכים בז</t>
  </si>
  <si>
    <t xml:space="preserve">332CS'מייצב קרסול עם שרוכים בז</t>
  </si>
  <si>
    <t xml:space="preserve">332CXLמייצב קרסול עם שרוכים בז</t>
  </si>
  <si>
    <t xml:space="preserve">332CXXLמיצב קרסול עם שרוכים בז</t>
  </si>
  <si>
    <t xml:space="preserve">333 סד לקרסול עם כריות אויר</t>
  </si>
  <si>
    <t xml:space="preserve">34  L מגן קרסול עקב סגור</t>
  </si>
  <si>
    <t xml:space="preserve">34  M מגן קרסול עקב סגור</t>
  </si>
  <si>
    <t xml:space="preserve">34  S מגן קרסול עקב סגור</t>
  </si>
  <si>
    <t xml:space="preserve">34 XL מגן קרסול עקב סגור</t>
  </si>
  <si>
    <t xml:space="preserve">34 XS מגן קרסול עקב סגור</t>
  </si>
  <si>
    <t xml:space="preserve">34 XXL מגן קרסול עקב סגור</t>
  </si>
  <si>
    <t xml:space="preserve">34+ L מגן קרסול עקב סגור+רצוע</t>
  </si>
  <si>
    <t xml:space="preserve">34+ M מגן קרסול עקב סגור+רצוע</t>
  </si>
  <si>
    <t xml:space="preserve">34+ S מגן קרסול עקב סגור+רצוע</t>
  </si>
  <si>
    <t xml:space="preserve">34+XL מגן קרסול עקב סגור+רצוע</t>
  </si>
  <si>
    <t xml:space="preserve">34+XXL מ.קרסול+עכב סגור+רצועות</t>
  </si>
  <si>
    <t xml:space="preserve">35 L מגן קרסול לבן</t>
  </si>
  <si>
    <t xml:space="preserve">35 M מגן קרסול לבן</t>
  </si>
  <si>
    <t xml:space="preserve">35 S מגן קרסול לבן</t>
  </si>
  <si>
    <t xml:space="preserve">35 XL מגן קרסול לבן</t>
  </si>
  <si>
    <t xml:space="preserve">35 XS מגן קרסול לבן</t>
  </si>
  <si>
    <t xml:space="preserve">35 XXL מגן קרסול לבן</t>
  </si>
  <si>
    <t xml:space="preserve">35B L מגן קרסול שחור</t>
  </si>
  <si>
    <t xml:space="preserve">35B M מגן קרסול שחור</t>
  </si>
  <si>
    <t xml:space="preserve">35B S מגן קרסול שחור</t>
  </si>
  <si>
    <t xml:space="preserve">35B XL מגן קרסול שחור</t>
  </si>
  <si>
    <t xml:space="preserve">35B XXL מגן קרסול שחור</t>
  </si>
  <si>
    <t xml:space="preserve">35C L מגן קרסול חום</t>
  </si>
  <si>
    <t xml:space="preserve">35C M מגן קרסול חום</t>
  </si>
  <si>
    <t xml:space="preserve">35C S מגן קרסול חום</t>
  </si>
  <si>
    <t xml:space="preserve">35C XL מגן קרסול חום</t>
  </si>
  <si>
    <t xml:space="preserve">35C XXL מגן קרסול חום</t>
  </si>
  <si>
    <t xml:space="preserve">AC37 מגן קרסול נושם</t>
  </si>
  <si>
    <t xml:space="preserve">SH333 מקבע קרסול</t>
  </si>
  <si>
    <t xml:space="preserve">ST37 חבק לקרסול</t>
  </si>
  <si>
    <t xml:space="preserve">T32 S סד קרסול+מוטות אלומיניום</t>
  </si>
  <si>
    <t xml:space="preserve">T33  L  סד לקרסול</t>
  </si>
  <si>
    <t xml:space="preserve">T33  M  סד לקרסול</t>
  </si>
  <si>
    <t xml:space="preserve">T33 XXL סד לקרסול</t>
  </si>
  <si>
    <t xml:space="preserve">T35 Lמגן קרסול+ צמדן</t>
  </si>
  <si>
    <t xml:space="preserve">T35 Mמגן קרסול+ צמדן</t>
  </si>
  <si>
    <t xml:space="preserve">T35 Sמגן קרסול+ צמדן</t>
  </si>
  <si>
    <t xml:space="preserve">T35 XLמגן קרסול+ צמדן</t>
  </si>
  <si>
    <t xml:space="preserve">301CM 41-45 'רפידת ג'ל בז</t>
  </si>
  <si>
    <t xml:space="preserve">301CW 36-40 'רפידת ג'ל בז</t>
  </si>
  <si>
    <t xml:space="preserve">301JM רפידת ג'ל כחול40-45</t>
  </si>
  <si>
    <t xml:space="preserve">301JW רפידת ג'ל כחול36-40</t>
  </si>
  <si>
    <t xml:space="preserve">35-37 רפידת ספורט 376 מידה</t>
  </si>
  <si>
    <t xml:space="preserve">370  רפידת נוחות-זוג</t>
  </si>
  <si>
    <t xml:space="preserve">370K 0 רפידת לילדים אנטי ריח</t>
  </si>
  <si>
    <t xml:space="preserve">371 רפידת מגבת כותנה-זוג</t>
  </si>
  <si>
    <t xml:space="preserve">372 רפידת אנטי ריח -זוג</t>
  </si>
  <si>
    <t xml:space="preserve">374 רפידת בולמת זעזועים -זוג</t>
  </si>
  <si>
    <t xml:space="preserve">377   רפ.ורטופדית ספורט זוג38</t>
  </si>
  <si>
    <t xml:space="preserve">377   רפידה אורט.ספורט זוג43</t>
  </si>
  <si>
    <t xml:space="preserve">377  רפ.אורטופדית ספורט זוג35</t>
  </si>
  <si>
    <t xml:space="preserve">377  רפ.אורטופדית ספורט זוג37</t>
  </si>
  <si>
    <t xml:space="preserve">377  רפ.אורטופדית ספורט זוג39</t>
  </si>
  <si>
    <t xml:space="preserve">377  רפ.אורטופדית ספורט זוג40</t>
  </si>
  <si>
    <t xml:space="preserve">377  רפ.אורטופדית ספורט זוג46</t>
  </si>
  <si>
    <t xml:space="preserve">377  רפידה אורט.ספורט זוג44</t>
  </si>
  <si>
    <t xml:space="preserve">377  רפידה אורטופ.ספורט זוג41</t>
  </si>
  <si>
    <t xml:space="preserve">377 רפ.אורטופדית ספורט זוג36</t>
  </si>
  <si>
    <t xml:space="preserve">377 רפ.אורטופדית ספורט זוג45</t>
  </si>
  <si>
    <t xml:space="preserve">377 רפידה אורטופ.ספורט זוג42</t>
  </si>
  <si>
    <t xml:space="preserve">38-40 רפידת ספורט 376 מידה</t>
  </si>
  <si>
    <t xml:space="preserve">41-43 רפידת ספורט 376 מידה</t>
  </si>
  <si>
    <t xml:space="preserve">44-45 רפידת ספורט 376 מידה</t>
  </si>
  <si>
    <t xml:space="preserve">46-47 רפידת ספורט 376 מידה</t>
  </si>
  <si>
    <t xml:space="preserve">SP372 רפידה אנטי ריח ספורט</t>
  </si>
  <si>
    <t xml:space="preserve">49  L מגן ירך</t>
  </si>
  <si>
    <t xml:space="preserve">49  M מגן ירך</t>
  </si>
  <si>
    <t xml:space="preserve">49  S מגן ירך</t>
  </si>
  <si>
    <t xml:space="preserve">49 XL מגן ירך</t>
  </si>
  <si>
    <t xml:space="preserve">49 XXL מגן ירך</t>
  </si>
  <si>
    <t xml:space="preserve">AC49 מגן ירך</t>
  </si>
  <si>
    <t xml:space="preserve">ST49 מגן ירך</t>
  </si>
  <si>
    <t xml:space="preserve">T39  M מגן שוק</t>
  </si>
  <si>
    <t xml:space="preserve">T39  S מגן שוק</t>
  </si>
  <si>
    <t xml:space="preserve">T39 XL מגן שוק</t>
  </si>
  <si>
    <t xml:space="preserve">T49 M מגן ירך</t>
  </si>
  <si>
    <t xml:space="preserve">T49 XS מגן ירך</t>
  </si>
  <si>
    <t xml:space="preserve">AC-25 חבק לשורש כף היד</t>
  </si>
  <si>
    <t xml:space="preserve">AC-27L סד לש.כף יד שמאל</t>
  </si>
  <si>
    <t xml:space="preserve">AC-27R סד לש.כף יד ימין</t>
  </si>
  <si>
    <t xml:space="preserve">SC25  L חבק יד</t>
  </si>
  <si>
    <t xml:space="preserve">SC25  M חבק יד</t>
  </si>
  <si>
    <t xml:space="preserve">SC25  S חבק יד</t>
  </si>
  <si>
    <t xml:space="preserve">SC25 XL חבק יד</t>
  </si>
  <si>
    <t xml:space="preserve">SC35L  L מגן קרסול שמאל</t>
  </si>
  <si>
    <t xml:space="preserve">SC35L  M מגן קרסול שמאל</t>
  </si>
  <si>
    <t xml:space="preserve">SC35L  S מגן קרסול שמאל</t>
  </si>
  <si>
    <t xml:space="preserve">SC35L XL מגן קרסול שמאל</t>
  </si>
  <si>
    <t xml:space="preserve">SC35R  L מגן קרסול ימין</t>
  </si>
  <si>
    <t xml:space="preserve">SC35R  M מגן קרסול ימין</t>
  </si>
  <si>
    <t xml:space="preserve">SC35R  S מגן קרסול ימין</t>
  </si>
  <si>
    <t xml:space="preserve">SC35R  XLמגן קרסול ימין</t>
  </si>
  <si>
    <t xml:space="preserve">SC39  L מגן שוק</t>
  </si>
  <si>
    <t xml:space="preserve">SC39  M מגן שוק</t>
  </si>
  <si>
    <t xml:space="preserve">SC39  S מגן שוק</t>
  </si>
  <si>
    <t xml:space="preserve">SC39 XL מגן שוק</t>
  </si>
  <si>
    <t xml:space="preserve">SC39 XXLמגן שוק</t>
  </si>
  <si>
    <t xml:space="preserve">SC422  L מגן ברך</t>
  </si>
  <si>
    <t xml:space="preserve">SC422  M מגן ברך</t>
  </si>
  <si>
    <t xml:space="preserve">SC422 XL מגן ברך</t>
  </si>
  <si>
    <t xml:space="preserve">SC95 L מגן מרפק</t>
  </si>
  <si>
    <t xml:space="preserve">SC95 M מגן מרפק</t>
  </si>
  <si>
    <t xml:space="preserve">SC95 XLמגן מרפק</t>
  </si>
  <si>
    <t xml:space="preserve">T39  L מגן שוק</t>
  </si>
  <si>
    <t xml:space="preserve">381 HV רצועה אלסטית</t>
  </si>
  <si>
    <t xml:space="preserve">388B L סד לילה שחור לבוהן ימין</t>
  </si>
  <si>
    <t xml:space="preserve">388B L סד לילה שחור לבוהן שמאל</t>
  </si>
  <si>
    <t xml:space="preserve">801  תחבושת אלסטית מקררת</t>
  </si>
  <si>
    <t xml:space="preserve">806CB-BEIGE      תחבושת א.נצמ</t>
  </si>
  <si>
    <t xml:space="preserve">806CB-BLACK      תחבושת א.נצמ</t>
  </si>
  <si>
    <t xml:space="preserve">806CB-GREEN      תחבושת א.נצמ</t>
  </si>
  <si>
    <t xml:space="preserve">806CB-PINK       תחבושת א.נצמ</t>
  </si>
  <si>
    <t xml:space="preserve">807B-Bתחבושת נצמדת שחור 20 מ""מ</t>
  </si>
  <si>
    <t xml:space="preserve">807CB-BLתחבושת נצמדת כחול20מ""מ</t>
  </si>
  <si>
    <t xml:space="preserve">807CB-Cתחבושת נצמדת בז' 20 מ""מ</t>
  </si>
  <si>
    <t xml:space="preserve">807CB-P תחבושת נצמדת ורוד 20ממ</t>
  </si>
  <si>
    <t xml:space="preserve">B10 - תחבושת אלסטית 10 ס""מ</t>
  </si>
  <si>
    <t xml:space="preserve">B10 - תחבושת אלסטית 5ס""מ</t>
  </si>
  <si>
    <t xml:space="preserve">B75 תחבושת אלסטית 7.5ס""מ</t>
  </si>
  <si>
    <t xml:space="preserve">Raw source rows - 2026 - all 10 customer columns from the new PPLAY1 export ("חנה_1", uploaded 24/09/2026, snapshot timestamp 23/09/2026 17:01), unchanged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</si>
</sst>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#,##0"/>
    <numFmt numFmtId="167" formatCode="0%"/>
    <numFmt numFmtId="168" formatCode="0.00"/>
    <numFmt numFmtId="169" formatCode="0.00000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21" min="19" style="0" width="14"/>
    <col collapsed="false" customWidth="true" hidden="false" outlineLevel="0" max="22" min="2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5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5" customFormat="false" ht="33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</row>
    <row r="6" customFormat="false" ht="15" hidden="false" customHeight="false" outlineLevel="0" collapsed="false">
      <c r="A6" s="6" t="s">
        <v>25</v>
      </c>
      <c r="B6" s="7" t="s">
        <v>25</v>
      </c>
      <c r="C6" s="7" t="n">
        <v>6</v>
      </c>
      <c r="D6" s="8" t="n">
        <f aca="false">COUNTA('בתי מרקחת'!$A$9:$A$593)</f>
        <v>585</v>
      </c>
      <c r="E6" s="8" t="n">
        <f aca="false">SUMPRODUCT(--(('בתי מרקחת'!$C$9:$C$593&lt;&gt;0)+('בתי מרקחת'!$H$9:$H$593&lt;&gt;0)&gt;0))</f>
        <v>532</v>
      </c>
      <c r="F6" s="8" t="n">
        <f aca="false">SUMPRODUCT(--(('בתי מרקחת'!$D$9:$D$593&lt;&gt;0)+('בתי מרקחת'!$I$9:$I$593&lt;&gt;0)&gt;0))</f>
        <v>481</v>
      </c>
      <c r="G6" s="8" t="n">
        <f aca="false">'בתי מרקחת'!B5</f>
        <v>104</v>
      </c>
      <c r="H6" s="8" t="n">
        <f aca="false">'בתי מרקחת'!D5</f>
        <v>53</v>
      </c>
      <c r="I6" s="8" t="n">
        <f aca="false">'בתי מרקחת'!B6</f>
        <v>253</v>
      </c>
      <c r="J6" s="8" t="n">
        <f aca="false">'בתי מרקחת'!D6</f>
        <v>21183.1</v>
      </c>
      <c r="K6" s="8" t="n">
        <f aca="false">'בתי מרקחת'!F6</f>
        <v>589</v>
      </c>
      <c r="L6" s="8" t="n">
        <f aca="false">'בתי מרקחת'!H6</f>
        <v>39128</v>
      </c>
      <c r="M6" s="8" t="n">
        <f aca="false">'בתי מרקחת'!J6</f>
        <v>807.771428571429</v>
      </c>
      <c r="N6" s="8" t="n">
        <f aca="false">'בתי מרקחת'!L6</f>
        <v>53661.2571428572</v>
      </c>
      <c r="O6" s="8" t="n">
        <f aca="false">'בתי מרקחת'!C595</f>
        <v>54177</v>
      </c>
      <c r="P6" s="8" t="n">
        <f aca="false">'בתי מרקחת'!D595</f>
        <v>33485</v>
      </c>
      <c r="Q6" s="8" t="n">
        <f aca="false">'בתי מרקחת'!E595</f>
        <v>45922.2857142857</v>
      </c>
      <c r="R6" s="9" t="n">
        <f aca="false">IF('בתי מרקחת'!C595=0,"N/A",('בתי מרקחת'!E595-'בתי מרקחת'!C595)/'בתי מרקחת'!C595)</f>
        <v>-0.152365658595239</v>
      </c>
      <c r="S6" s="8" t="n">
        <f aca="false">'בתי מרקחת'!H595</f>
        <v>1967633.7</v>
      </c>
      <c r="T6" s="8" t="n">
        <f aca="false">'בתי מרקחת'!I595</f>
        <v>1293687.8</v>
      </c>
      <c r="U6" s="8" t="n">
        <f aca="false">'בתי מרקחת'!J595</f>
        <v>1774200.41142857</v>
      </c>
      <c r="V6" s="9" t="n">
        <f aca="false">IF('בתי מרקחת'!H595=0,"N/A",('בתי מרקחת'!J595-'בתי מרקחת'!H595)/'בתי מרקחת'!H595)</f>
        <v>-0.0983075704443508</v>
      </c>
    </row>
    <row r="7" customFormat="false" ht="15" hidden="false" customHeight="false" outlineLevel="0" collapsed="false">
      <c r="A7" s="6" t="s">
        <v>26</v>
      </c>
      <c r="B7" s="7" t="s">
        <v>26</v>
      </c>
      <c r="C7" s="7" t="n">
        <v>1</v>
      </c>
      <c r="D7" s="8" t="n">
        <f aca="false">COUNTA('BE'!$A$9:$A$354)</f>
        <v>346</v>
      </c>
      <c r="E7" s="8" t="n">
        <f aca="false">SUMPRODUCT(--(('BE'!$C$9:$C$354&lt;&gt;0)+('BE'!$H$9:$H$354&lt;&gt;0)&gt;0))</f>
        <v>328</v>
      </c>
      <c r="F7" s="8" t="n">
        <f aca="false">SUMPRODUCT(--(('BE'!$D$9:$D$354&lt;&gt;0)+('BE'!$I$9:$I$354&lt;&gt;0)&gt;0))</f>
        <v>282</v>
      </c>
      <c r="G7" s="8" t="n">
        <f aca="false">'BE'!B5</f>
        <v>64</v>
      </c>
      <c r="H7" s="8" t="n">
        <f aca="false">'BE'!D5</f>
        <v>18</v>
      </c>
      <c r="I7" s="8" t="n">
        <f aca="false">'BE'!B6</f>
        <v>55</v>
      </c>
      <c r="J7" s="8" t="n">
        <f aca="false">'BE'!D6</f>
        <v>4567.1</v>
      </c>
      <c r="K7" s="8" t="n">
        <f aca="false">'BE'!F6</f>
        <v>11</v>
      </c>
      <c r="L7" s="8" t="n">
        <f aca="false">'BE'!H6</f>
        <v>1501.2</v>
      </c>
      <c r="M7" s="8" t="n">
        <f aca="false">'BE'!J6</f>
        <v>15.0857142857143</v>
      </c>
      <c r="N7" s="8" t="n">
        <f aca="false">'BE'!L6</f>
        <v>2058.78857142857</v>
      </c>
      <c r="O7" s="8" t="n">
        <f aca="false">'BE'!C356</f>
        <v>27268</v>
      </c>
      <c r="P7" s="8" t="n">
        <f aca="false">'BE'!D356</f>
        <v>19109</v>
      </c>
      <c r="Q7" s="8" t="n">
        <f aca="false">'BE'!E356</f>
        <v>26206.6285714286</v>
      </c>
      <c r="R7" s="9" t="n">
        <f aca="false">IF('BE'!C356=0,"N/A",('BE'!E356-'BE'!C356)/'BE'!C356)</f>
        <v>-0.0389236991554727</v>
      </c>
      <c r="S7" s="8" t="n">
        <f aca="false">'BE'!H356</f>
        <v>889501.5</v>
      </c>
      <c r="T7" s="8" t="n">
        <f aca="false">'BE'!I356</f>
        <v>676264.2</v>
      </c>
      <c r="U7" s="8" t="n">
        <f aca="false">'BE'!J356</f>
        <v>927448.045714286</v>
      </c>
      <c r="V7" s="9" t="n">
        <f aca="false">IF('BE'!H356=0,"N/A",('BE'!J356-'BE'!H356)/'BE'!H356)</f>
        <v>0.0426604628708166</v>
      </c>
    </row>
    <row r="8" customFormat="false" ht="15" hidden="false" customHeight="false" outlineLevel="0" collapsed="false">
      <c r="A8" s="6" t="s">
        <v>27</v>
      </c>
      <c r="B8" s="7" t="s">
        <v>27</v>
      </c>
      <c r="C8" s="7" t="n">
        <v>1</v>
      </c>
      <c r="D8" s="8" t="n">
        <f aca="false">COUNTA('סופר פארם'!$A$9:$A$444)</f>
        <v>436</v>
      </c>
      <c r="E8" s="8" t="n">
        <f aca="false">SUMPRODUCT(--(('סופר פארם'!$C$9:$C$444&lt;&gt;0)+('סופר פארם'!$H$9:$H$444&lt;&gt;0)&gt;0))</f>
        <v>384</v>
      </c>
      <c r="F8" s="8" t="n">
        <f aca="false">SUMPRODUCT(--(('סופר פארם'!$D$9:$D$444&lt;&gt;0)+('סופר פארם'!$I$9:$I$444&lt;&gt;0)&gt;0))</f>
        <v>382</v>
      </c>
      <c r="G8" s="8" t="n">
        <f aca="false">'סופר פארם'!B5</f>
        <v>54</v>
      </c>
      <c r="H8" s="8" t="n">
        <f aca="false">'סופר פארם'!D5</f>
        <v>52</v>
      </c>
      <c r="I8" s="8" t="n">
        <f aca="false">'סופר פארם'!B6</f>
        <v>23</v>
      </c>
      <c r="J8" s="8" t="n">
        <f aca="false">'סופר פארם'!D6</f>
        <v>-2700.3</v>
      </c>
      <c r="K8" s="8" t="n">
        <f aca="false">'סופר פארם'!F6</f>
        <v>1975</v>
      </c>
      <c r="L8" s="8" t="n">
        <f aca="false">'סופר פארם'!H6</f>
        <v>149982</v>
      </c>
      <c r="M8" s="8" t="n">
        <f aca="false">'סופר פארם'!J6</f>
        <v>2708.57142857143</v>
      </c>
      <c r="N8" s="8" t="n">
        <f aca="false">'סופר פארם'!L6</f>
        <v>205689.6</v>
      </c>
      <c r="O8" s="8" t="n">
        <f aca="false">'סופר פארם'!C446</f>
        <v>176505</v>
      </c>
      <c r="P8" s="8" t="n">
        <f aca="false">'סופר פארם'!D446</f>
        <v>119036</v>
      </c>
      <c r="Q8" s="8" t="n">
        <f aca="false">'סופר פארם'!E446</f>
        <v>163249.371428571</v>
      </c>
      <c r="R8" s="9" t="n">
        <f aca="false">IF('סופר פארם'!C446=0,"N/A",('סופר פארם'!E446-'סופר פארם'!C446)/'סופר פארם'!C446)</f>
        <v>-0.075100583957557</v>
      </c>
      <c r="S8" s="8" t="n">
        <f aca="false">'סופר פארם'!H446</f>
        <v>6689220.5</v>
      </c>
      <c r="T8" s="8" t="n">
        <f aca="false">'סופר פארם'!I446</f>
        <v>4507341</v>
      </c>
      <c r="U8" s="8" t="n">
        <f aca="false">'סופר פארם'!J446</f>
        <v>6181496.22857143</v>
      </c>
      <c r="V8" s="9" t="n">
        <f aca="false">IF('סופר פארם'!H446=0,"N/A",('סופר פארם'!J446-'סופר פארם'!H446)/'סופר פארם'!H446)</f>
        <v>-0.0759018590325393</v>
      </c>
    </row>
    <row r="9" customFormat="false" ht="15" hidden="false" customHeight="false" outlineLevel="0" collapsed="false">
      <c r="A9" s="6" t="s">
        <v>28</v>
      </c>
      <c r="B9" s="7" t="s">
        <v>28</v>
      </c>
      <c r="C9" s="7" t="n">
        <v>1</v>
      </c>
      <c r="D9" s="8" t="n">
        <f aca="false">COUNTA('מאוחדת'!$A$9:$A$198)</f>
        <v>190</v>
      </c>
      <c r="E9" s="8" t="n">
        <f aca="false">SUMPRODUCT(--(('מאוחדת'!$C$9:$C$198&lt;&gt;0)+('מאוחדת'!$H$9:$H$198&lt;&gt;0)&gt;0))</f>
        <v>0</v>
      </c>
      <c r="F9" s="8" t="n">
        <f aca="false">SUMPRODUCT(--(('מאוחדת'!$D$9:$D$198&lt;&gt;0)+('מאוחדת'!$I$9:$I$198&lt;&gt;0)&gt;0))</f>
        <v>190</v>
      </c>
      <c r="G9" s="8" t="n">
        <f aca="false">'מאוחדת'!B5</f>
        <v>0</v>
      </c>
      <c r="H9" s="8" t="n">
        <f aca="false">'מאוחדת'!D5</f>
        <v>190</v>
      </c>
      <c r="I9" s="8" t="n">
        <f aca="false">'מאוחדת'!B6</f>
        <v>0</v>
      </c>
      <c r="J9" s="8" t="n">
        <f aca="false">'מאוחדת'!D6</f>
        <v>0</v>
      </c>
      <c r="K9" s="8" t="n">
        <f aca="false">'מאוחדת'!F6</f>
        <v>10034</v>
      </c>
      <c r="L9" s="8" t="n">
        <f aca="false">'מאוחדת'!H6</f>
        <v>306848.4</v>
      </c>
      <c r="M9" s="8" t="n">
        <f aca="false">'מאוחדת'!J6</f>
        <v>13760.9142857143</v>
      </c>
      <c r="N9" s="8" t="n">
        <f aca="false">'מאוחדת'!L6</f>
        <v>420820.662857143</v>
      </c>
      <c r="O9" s="8" t="n">
        <f aca="false">'מאוחדת'!C200</f>
        <v>0</v>
      </c>
      <c r="P9" s="8" t="n">
        <f aca="false">'מאוחדת'!D200</f>
        <v>10034</v>
      </c>
      <c r="Q9" s="8" t="n">
        <f aca="false">'מאוחדת'!E200</f>
        <v>13760.9142857143</v>
      </c>
      <c r="R9" s="9" t="str">
        <f aca="false">IF('מאוחדת'!C200=0,"N/A",('מאוחדת'!E200-'מאוחדת'!C200)/'מאוחדת'!C200)</f>
        <v>N/A</v>
      </c>
      <c r="S9" s="8" t="n">
        <f aca="false">'מאוחדת'!H200</f>
        <v>0</v>
      </c>
      <c r="T9" s="8" t="n">
        <f aca="false">'מאוחדת'!I200</f>
        <v>306848.4</v>
      </c>
      <c r="U9" s="8" t="n">
        <f aca="false">'מאוחדת'!J200</f>
        <v>420820.662857143</v>
      </c>
      <c r="V9" s="9" t="str">
        <f aca="false">IF('מאוחדת'!H200=0,"N/A",('מאוחדת'!J200-'מאוחדת'!H200)/'מאוחדת'!H200)</f>
        <v>N/A</v>
      </c>
    </row>
    <row r="10" customFormat="false" ht="15" hidden="false" customHeight="false" outlineLevel="0" collapsed="false">
      <c r="A10" s="6" t="s">
        <v>29</v>
      </c>
      <c r="B10" s="7" t="s">
        <v>29</v>
      </c>
      <c r="C10" s="7" t="n">
        <v>1</v>
      </c>
      <c r="D10" s="8" t="n">
        <f aca="false">COUNTA('מכבי'!$A$9:$A$11)</f>
        <v>3</v>
      </c>
      <c r="E10" s="8" t="n">
        <f aca="false">SUMPRODUCT(--(('מכבי'!$C$9:$C$11&lt;&gt;0)+('מכבי'!$H$9:$H$11&lt;&gt;0)&gt;0))</f>
        <v>0</v>
      </c>
      <c r="F10" s="8" t="n">
        <f aca="false">SUMPRODUCT(--(('מכבי'!$D$9:$D$11&lt;&gt;0)+('מכבי'!$I$9:$I$11&lt;&gt;0)&gt;0))</f>
        <v>3</v>
      </c>
      <c r="G10" s="8" t="n">
        <f aca="false">'מכבי'!B5</f>
        <v>0</v>
      </c>
      <c r="H10" s="8" t="n">
        <f aca="false">'מכבי'!D5</f>
        <v>3</v>
      </c>
      <c r="I10" s="8" t="n">
        <f aca="false">'מכבי'!B6</f>
        <v>0</v>
      </c>
      <c r="J10" s="8" t="n">
        <f aca="false">'מכבי'!D6</f>
        <v>0</v>
      </c>
      <c r="K10" s="8" t="n">
        <f aca="false">'מכבי'!F6</f>
        <v>3</v>
      </c>
      <c r="L10" s="8" t="n">
        <f aca="false">'מכבי'!H6</f>
        <v>666</v>
      </c>
      <c r="M10" s="8" t="n">
        <f aca="false">'מכבי'!J6</f>
        <v>4.11428571428571</v>
      </c>
      <c r="N10" s="8" t="n">
        <f aca="false">'מכבי'!L6</f>
        <v>913.371428571429</v>
      </c>
      <c r="O10" s="8" t="n">
        <f aca="false">'מכבי'!C13</f>
        <v>0</v>
      </c>
      <c r="P10" s="8" t="n">
        <f aca="false">'מכבי'!D13</f>
        <v>3</v>
      </c>
      <c r="Q10" s="8" t="n">
        <f aca="false">'מכבי'!E13</f>
        <v>4.11428571428571</v>
      </c>
      <c r="R10" s="9" t="str">
        <f aca="false">IF('מכבי'!C13=0,"N/A",('מכבי'!E13-'מכבי'!C13)/'מכבי'!C13)</f>
        <v>N/A</v>
      </c>
      <c r="S10" s="8" t="n">
        <f aca="false">'מכבי'!H13</f>
        <v>0</v>
      </c>
      <c r="T10" s="8" t="n">
        <f aca="false">'מכבי'!I13</f>
        <v>666</v>
      </c>
      <c r="U10" s="8" t="n">
        <f aca="false">'מכבי'!J13</f>
        <v>913.371428571429</v>
      </c>
      <c r="V10" s="9" t="str">
        <f aca="false">IF('מכבי'!H13=0,"N/A",('מכבי'!J13-'מכבי'!H13)/'מכבי'!H13)</f>
        <v>N/A</v>
      </c>
    </row>
  </sheetData>
  <mergeCells count="1">
    <mergeCell ref="A3:V3"/>
  </mergeCells>
  <hyperlinks>
    <hyperlink ref="A6" location="'בתי מרקחת'!A1" display="בתי מרקחת"/>
    <hyperlink ref="A7" location="'BE'!A1" display="BE"/>
    <hyperlink ref="A8" location="'סופר פארם'!A1" display="סופר פארם"/>
    <hyperlink ref="A9" location="'מאוחדת'!A1" display="מאוחדת"/>
    <hyperlink ref="A10" location="'מכבי'!A1" display="מכבי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14.15" hidden="false" customHeight="false" outlineLevel="0" collapsed="false">
      <c r="A1" s="10" t="s">
        <v>30</v>
      </c>
      <c r="B1" s="10"/>
      <c r="C1" s="10"/>
      <c r="D1" s="10"/>
      <c r="E1" s="10"/>
    </row>
    <row r="2" customFormat="false" ht="15" hidden="false" customHeight="false" outlineLevel="0" collapsed="false">
      <c r="A2" s="11" t="s">
        <v>31</v>
      </c>
      <c r="B2" s="11" t="s">
        <v>32</v>
      </c>
      <c r="C2" s="11" t="s">
        <v>33</v>
      </c>
      <c r="D2" s="11" t="s">
        <v>34</v>
      </c>
      <c r="E2" s="11" t="s">
        <v>35</v>
      </c>
    </row>
    <row r="3" customFormat="false" ht="15" hidden="false" customHeight="false" outlineLevel="0" collapsed="false">
      <c r="A3" s="7" t="s">
        <v>36</v>
      </c>
      <c r="B3" s="7" t="n">
        <v>4</v>
      </c>
      <c r="C3" s="7" t="s">
        <v>25</v>
      </c>
      <c r="D3" s="7" t="s">
        <v>37</v>
      </c>
      <c r="E3" s="12"/>
    </row>
    <row r="4" customFormat="false" ht="15" hidden="false" customHeight="false" outlineLevel="0" collapsed="false">
      <c r="A4" s="7" t="s">
        <v>38</v>
      </c>
      <c r="B4" s="7" t="n">
        <v>4</v>
      </c>
      <c r="C4" s="7" t="s">
        <v>25</v>
      </c>
      <c r="D4" s="7" t="s">
        <v>37</v>
      </c>
      <c r="E4" s="12"/>
    </row>
    <row r="5" customFormat="false" ht="15" hidden="false" customHeight="false" outlineLevel="0" collapsed="false">
      <c r="A5" s="7" t="s">
        <v>39</v>
      </c>
      <c r="B5" s="7" t="n">
        <v>4</v>
      </c>
      <c r="C5" s="7" t="s">
        <v>25</v>
      </c>
      <c r="D5" s="7" t="s">
        <v>37</v>
      </c>
      <c r="E5" s="12"/>
    </row>
    <row r="6" customFormat="false" ht="15" hidden="false" customHeight="false" outlineLevel="0" collapsed="false">
      <c r="A6" s="7" t="s">
        <v>40</v>
      </c>
      <c r="B6" s="7" t="n">
        <v>4</v>
      </c>
      <c r="C6" s="7" t="s">
        <v>25</v>
      </c>
      <c r="D6" s="7" t="s">
        <v>37</v>
      </c>
      <c r="E6" s="12"/>
    </row>
    <row r="7" customFormat="false" ht="15" hidden="false" customHeight="false" outlineLevel="0" collapsed="false">
      <c r="A7" s="7" t="s">
        <v>41</v>
      </c>
      <c r="B7" s="7" t="n">
        <v>4</v>
      </c>
      <c r="C7" s="7" t="s">
        <v>25</v>
      </c>
      <c r="D7" s="7" t="s">
        <v>37</v>
      </c>
      <c r="E7" s="12"/>
    </row>
    <row r="8" customFormat="false" ht="15" hidden="false" customHeight="false" outlineLevel="0" collapsed="false">
      <c r="A8" s="7" t="s">
        <v>42</v>
      </c>
      <c r="B8" s="7" t="n">
        <v>4</v>
      </c>
      <c r="C8" s="7" t="s">
        <v>25</v>
      </c>
      <c r="D8" s="7" t="s">
        <v>37</v>
      </c>
      <c r="E8" s="12"/>
    </row>
    <row r="9" customFormat="false" ht="15" hidden="false" customHeight="false" outlineLevel="0" collapsed="false">
      <c r="A9" s="7" t="s">
        <v>26</v>
      </c>
      <c r="B9" s="7" t="n">
        <v>7</v>
      </c>
      <c r="C9" s="7" t="s">
        <v>26</v>
      </c>
      <c r="D9" s="7" t="s">
        <v>37</v>
      </c>
      <c r="E9" s="12" t="s">
        <v>43</v>
      </c>
    </row>
    <row r="10" customFormat="false" ht="15" hidden="false" customHeight="false" outlineLevel="0" collapsed="false">
      <c r="A10" s="7" t="s">
        <v>44</v>
      </c>
      <c r="B10" s="7" t="n">
        <v>1</v>
      </c>
      <c r="C10" s="7" t="s">
        <v>27</v>
      </c>
      <c r="D10" s="7" t="s">
        <v>37</v>
      </c>
      <c r="E10" s="12"/>
    </row>
    <row r="11" customFormat="false" ht="15" hidden="false" customHeight="false" outlineLevel="0" collapsed="false">
      <c r="A11" s="7" t="s">
        <v>45</v>
      </c>
      <c r="B11" s="7" t="n">
        <v>8</v>
      </c>
      <c r="C11" s="7" t="s">
        <v>28</v>
      </c>
      <c r="D11" s="7" t="s">
        <v>37</v>
      </c>
      <c r="E11" s="12"/>
    </row>
    <row r="12" customFormat="false" ht="15" hidden="false" customHeight="false" outlineLevel="0" collapsed="false">
      <c r="A12" s="7" t="s">
        <v>46</v>
      </c>
      <c r="B12" s="7" t="n">
        <v>20</v>
      </c>
      <c r="C12" s="7" t="s">
        <v>29</v>
      </c>
      <c r="D12" s="7" t="s">
        <v>37</v>
      </c>
      <c r="E12" s="12" t="s">
        <v>47</v>
      </c>
    </row>
    <row r="14" customFormat="false" ht="11.9" hidden="false" customHeight="false" outlineLevel="0" collapsed="false">
      <c r="A14" s="13" t="s">
        <v>48</v>
      </c>
      <c r="B14" s="13"/>
      <c r="C14" s="13"/>
      <c r="D14" s="13"/>
      <c r="E14" s="13"/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99.75" hidden="false" customHeight="true" outlineLevel="0" collapsed="false">
      <c r="A3" s="4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54.75" hidden="false" customHeight="true" outlineLevel="0" collapsed="false">
      <c r="A4" s="4" t="s">
        <v>51</v>
      </c>
      <c r="B4" s="4"/>
      <c r="C4" s="4"/>
      <c r="D4" s="4"/>
      <c r="E4" s="4"/>
      <c r="F4" s="4"/>
      <c r="G4" s="4"/>
      <c r="H4" s="4"/>
      <c r="I4" s="14" t="s">
        <v>52</v>
      </c>
      <c r="J4" s="15" t="n">
        <v>12</v>
      </c>
      <c r="K4" s="16" t="s">
        <v>53</v>
      </c>
      <c r="L4" s="15" t="n">
        <v>8.75</v>
      </c>
    </row>
    <row r="5" customFormat="false" ht="30" hidden="false" customHeight="true" outlineLevel="0" collapsed="false">
      <c r="A5" s="17" t="s">
        <v>54</v>
      </c>
      <c r="B5" s="18" t="n">
        <f aca="false">SUMPRODUCT(--((($C$9:$C$593&lt;&gt;0)+($H$9:$H$593&lt;&gt;0)&gt;0)*(($D$9:$D$593=0)*($I$9:$I$593=0))))</f>
        <v>104</v>
      </c>
      <c r="C5" s="17" t="s">
        <v>55</v>
      </c>
      <c r="D5" s="18" t="n">
        <f aca="false">SUMPRODUCT(--((($D$9:$D$593&lt;&gt;0)+($I$9:$I$593&lt;&gt;0)&gt;0)*(($C$9:$C$593=0)*($H$9:$H$593=0))))</f>
        <v>53</v>
      </c>
      <c r="I5" s="17" t="s">
        <v>56</v>
      </c>
      <c r="J5" s="19" t="n">
        <f aca="false">J4/L4</f>
        <v>1.37142857142857</v>
      </c>
    </row>
    <row r="6" customFormat="false" ht="30" hidden="false" customHeight="true" outlineLevel="0" collapsed="false">
      <c r="A6" s="17" t="s">
        <v>57</v>
      </c>
      <c r="B6" s="18" t="n">
        <f aca="false">SUMPRODUCT(--((($C$9:$C$593&lt;&gt;0)+($H$9:$H$593&lt;&gt;0)&gt;0)*(($D$9:$D$593=0)*($I$9:$I$593=0)))*$C$9:$C$593)</f>
        <v>253</v>
      </c>
      <c r="C6" s="17" t="s">
        <v>58</v>
      </c>
      <c r="D6" s="18" t="n">
        <f aca="false">SUMPRODUCT(--((($C$9:$C$593&lt;&gt;0)+($H$9:$H$593&lt;&gt;0)&gt;0)*(($D$9:$D$593=0)*($I$9:$I$593=0)))*$H$9:$H$593)</f>
        <v>21183.1</v>
      </c>
      <c r="E6" s="17" t="s">
        <v>59</v>
      </c>
      <c r="F6" s="18" t="n">
        <f aca="false">SUMPRODUCT(--((($D$9:$D$593&lt;&gt;0)+($I$9:$I$593&lt;&gt;0)&gt;0)*(($C$9:$C$593=0)*($H$9:$H$593=0)))*$D$9:$D$593)</f>
        <v>589</v>
      </c>
      <c r="G6" s="17" t="s">
        <v>60</v>
      </c>
      <c r="H6" s="18" t="n">
        <f aca="false">SUMPRODUCT(--((($D$9:$D$593&lt;&gt;0)+($I$9:$I$593&lt;&gt;0)&gt;0)*(($C$9:$C$593=0)*($H$9:$H$593=0)))*$I$9:$I$593)</f>
        <v>39128</v>
      </c>
      <c r="I6" s="17" t="s">
        <v>61</v>
      </c>
      <c r="J6" s="18" t="n">
        <f aca="false">F6*$J$5</f>
        <v>807.771428571429</v>
      </c>
      <c r="K6" s="17" t="s">
        <v>62</v>
      </c>
      <c r="L6" s="18" t="n">
        <f aca="false">H6*$J$5</f>
        <v>53661.2571428572</v>
      </c>
    </row>
    <row r="8" customFormat="false" ht="43.5" hidden="false" customHeight="true" outlineLevel="0" collapsed="false">
      <c r="A8" s="5" t="s">
        <v>63</v>
      </c>
      <c r="B8" s="5" t="s">
        <v>64</v>
      </c>
      <c r="C8" s="5" t="s">
        <v>17</v>
      </c>
      <c r="D8" s="20" t="s">
        <v>65</v>
      </c>
      <c r="E8" s="5" t="s">
        <v>66</v>
      </c>
      <c r="F8" s="5" t="s">
        <v>67</v>
      </c>
      <c r="G8" s="5" t="s">
        <v>68</v>
      </c>
      <c r="H8" s="5" t="s">
        <v>21</v>
      </c>
      <c r="I8" s="20" t="s">
        <v>69</v>
      </c>
      <c r="J8" s="5" t="s">
        <v>23</v>
      </c>
      <c r="K8" s="5" t="s">
        <v>70</v>
      </c>
      <c r="L8" s="5" t="s">
        <v>71</v>
      </c>
    </row>
    <row r="9" customFormat="false" ht="15" hidden="false" customHeight="false" outlineLevel="0" collapsed="false">
      <c r="A9" s="7" t="n">
        <v>4408205</v>
      </c>
      <c r="B9" s="7" t="str">
        <f aca="false">IFERROR(INDEX('Source 2026'!$C:$C,MATCH($A9,'Source 2026'!$B:$B,0)),IFERROR(INDEX('Source 2025'!$C:$C,MATCH($A9,'Source 2025'!$B:$B,0)),""))</f>
        <v>AC-07 חגורת גב עם תמיכות</v>
      </c>
      <c r="C9" s="8" t="n">
        <f aca="false">SUMIFS('Source 2025'!$D:$D,'Source 2025'!$B:$B,$A9,'Source 2025'!$A:$A,"Quantity (units)")+SUMIFS('Source 2025'!$E:$E,'Source 2025'!$B:$B,$A9,'Source 2025'!$A:$A,"Quantity (units)")+SUMIFS('Source 2025'!$F:$F,'Source 2025'!$B:$B,$A9,'Source 2025'!$A:$A,"Quantity (units)")+SUMIFS('Source 2025'!$G:$G,'Source 2025'!$B:$B,$A9,'Source 2025'!$A:$A,"Quantity (units)")+SUMIFS('Source 2025'!$J:$J,'Source 2025'!$B:$B,$A9,'Source 2025'!$A:$A,"Quantity (units)")+SUMIFS('Source 2025'!$M:$M,'Source 2025'!$B:$B,$A9,'Source 2025'!$A:$A,"Quantity (units)")</f>
        <v>1110</v>
      </c>
      <c r="D9" s="8" t="n">
        <f aca="false">SUMIFS('Source 2026'!$D:$D,'Source 2026'!$B:$B,$A9,'Source 2026'!$A:$A,"Quantity (units)")+SUMIFS('Source 2026'!$E:$E,'Source 2026'!$B:$B,$A9,'Source 2026'!$A:$A,"Quantity (units)")+SUMIFS('Source 2026'!$F:$F,'Source 2026'!$B:$B,$A9,'Source 2026'!$A:$A,"Quantity (units)")+SUMIFS('Source 2026'!$G:$G,'Source 2026'!$B:$B,$A9,'Source 2026'!$A:$A,"Quantity (units)")+SUMIFS('Source 2026'!$J:$J,'Source 2026'!$B:$B,$A9,'Source 2026'!$A:$A,"Quantity (units)")+SUMIFS('Source 2026'!$M:$M,'Source 2026'!$B:$B,$A9,'Source 2026'!$A:$A,"Quantity (units)")</f>
        <v>802</v>
      </c>
      <c r="E9" s="8" t="n">
        <f aca="false">D9*$J$5</f>
        <v>1099.88571428571</v>
      </c>
      <c r="F9" s="8" t="n">
        <f aca="false">E9-C9</f>
        <v>-10.1142857142856</v>
      </c>
      <c r="G9" s="9" t="n">
        <f aca="false">IF(AND(C9=0,E9=0),0,IF(C9=0,"New",(E9-C9)/C9))</f>
        <v>-0.00911196911196905</v>
      </c>
      <c r="H9" s="8" t="n">
        <f aca="false">SUMIFS('Source 2025'!$D:$D,'Source 2025'!$B:$B,$A9,'Source 2025'!$A:$A,"Amount (NIS)")+SUMIFS('Source 2025'!$E:$E,'Source 2025'!$B:$B,$A9,'Source 2025'!$A:$A,"Amount (NIS)")+SUMIFS('Source 2025'!$F:$F,'Source 2025'!$B:$B,$A9,'Source 2025'!$A:$A,"Amount (NIS)")+SUMIFS('Source 2025'!$G:$G,'Source 2025'!$B:$B,$A9,'Source 2025'!$A:$A,"Amount (NIS)")+SUMIFS('Source 2025'!$J:$J,'Source 2025'!$B:$B,$A9,'Source 2025'!$A:$A,"Amount (NIS)")+SUMIFS('Source 2025'!$M:$M,'Source 2025'!$B:$B,$A9,'Source 2025'!$A:$A,"Amount (NIS)")</f>
        <v>94616.3</v>
      </c>
      <c r="I9" s="8" t="n">
        <f aca="false">SUMIFS('Source 2026'!$D:$D,'Source 2026'!$B:$B,$A9,'Source 2026'!$A:$A,"Amount (NIS)")+SUMIFS('Source 2026'!$E:$E,'Source 2026'!$B:$B,$A9,'Source 2026'!$A:$A,"Amount (NIS)")+SUMIFS('Source 2026'!$F:$F,'Source 2026'!$B:$B,$A9,'Source 2026'!$A:$A,"Amount (NIS)")+SUMIFS('Source 2026'!$G:$G,'Source 2026'!$B:$B,$A9,'Source 2026'!$A:$A,"Amount (NIS)")+SUMIFS('Source 2026'!$J:$J,'Source 2026'!$B:$B,$A9,'Source 2026'!$A:$A,"Amount (NIS)")+SUMIFS('Source 2026'!$M:$M,'Source 2026'!$B:$B,$A9,'Source 2026'!$A:$A,"Amount (NIS)")</f>
        <v>69090.9</v>
      </c>
      <c r="J9" s="8" t="n">
        <f aca="false">I9*$J$5</f>
        <v>94753.2342857143</v>
      </c>
      <c r="K9" s="8" t="n">
        <f aca="false">J9-H9</f>
        <v>136.934285714291</v>
      </c>
      <c r="L9" s="9" t="n">
        <f aca="false">IF(AND(H9=0,J9=0),0,IF(H9=0,"New",(J9-H9)/H9))</f>
        <v>0.00144725893650767</v>
      </c>
    </row>
    <row r="10" customFormat="false" ht="15" hidden="false" customHeight="false" outlineLevel="0" collapsed="false">
      <c r="A10" s="7" t="n">
        <v>4413348</v>
      </c>
      <c r="B10" s="7" t="str">
        <f aca="false">IFERROR(INDEX('Source 2026'!$C:$C,MATCH($A10,'Source 2026'!$B:$B,0)),IFERROR(INDEX('Source 2025'!$C:$C,MATCH($A10,'Source 2025'!$B:$B,0)),""))</f>
        <v>302 מדרס ג'ל לגבר</v>
      </c>
      <c r="C10" s="8" t="n">
        <f aca="false">SUMIFS('Source 2025'!$D:$D,'Source 2025'!$B:$B,$A10,'Source 2025'!$A:$A,"Quantity (units)")+SUMIFS('Source 2025'!$E:$E,'Source 2025'!$B:$B,$A10,'Source 2025'!$A:$A,"Quantity (units)")+SUMIFS('Source 2025'!$F:$F,'Source 2025'!$B:$B,$A10,'Source 2025'!$A:$A,"Quantity (units)")+SUMIFS('Source 2025'!$G:$G,'Source 2025'!$B:$B,$A10,'Source 2025'!$A:$A,"Quantity (units)")+SUMIFS('Source 2025'!$J:$J,'Source 2025'!$B:$B,$A10,'Source 2025'!$A:$A,"Quantity (units)")+SUMIFS('Source 2025'!$M:$M,'Source 2025'!$B:$B,$A10,'Source 2025'!$A:$A,"Quantity (units)")</f>
        <v>569</v>
      </c>
      <c r="D10" s="8" t="n">
        <f aca="false">SUMIFS('Source 2026'!$D:$D,'Source 2026'!$B:$B,$A10,'Source 2026'!$A:$A,"Quantity (units)")+SUMIFS('Source 2026'!$E:$E,'Source 2026'!$B:$B,$A10,'Source 2026'!$A:$A,"Quantity (units)")+SUMIFS('Source 2026'!$F:$F,'Source 2026'!$B:$B,$A10,'Source 2026'!$A:$A,"Quantity (units)")+SUMIFS('Source 2026'!$G:$G,'Source 2026'!$B:$B,$A10,'Source 2026'!$A:$A,"Quantity (units)")+SUMIFS('Source 2026'!$J:$J,'Source 2026'!$B:$B,$A10,'Source 2026'!$A:$A,"Quantity (units)")+SUMIFS('Source 2026'!$M:$M,'Source 2026'!$B:$B,$A10,'Source 2026'!$A:$A,"Quantity (units)")</f>
        <v>255</v>
      </c>
      <c r="E10" s="8" t="n">
        <f aca="false">D10*$J$5</f>
        <v>349.714285714286</v>
      </c>
      <c r="F10" s="8" t="n">
        <f aca="false">E10-C10</f>
        <v>-219.285714285714</v>
      </c>
      <c r="G10" s="9" t="n">
        <f aca="false">IF(AND(C10=0,E10=0),0,IF(C10=0,"New",(E10-C10)/C10))</f>
        <v>-0.385387898568918</v>
      </c>
      <c r="H10" s="8" t="n">
        <f aca="false">SUMIFS('Source 2025'!$D:$D,'Source 2025'!$B:$B,$A10,'Source 2025'!$A:$A,"Amount (NIS)")+SUMIFS('Source 2025'!$E:$E,'Source 2025'!$B:$B,$A10,'Source 2025'!$A:$A,"Amount (NIS)")+SUMIFS('Source 2025'!$F:$F,'Source 2025'!$B:$B,$A10,'Source 2025'!$A:$A,"Amount (NIS)")+SUMIFS('Source 2025'!$G:$G,'Source 2025'!$B:$B,$A10,'Source 2025'!$A:$A,"Amount (NIS)")+SUMIFS('Source 2025'!$J:$J,'Source 2025'!$B:$B,$A10,'Source 2025'!$A:$A,"Amount (NIS)")+SUMIFS('Source 2025'!$M:$M,'Source 2025'!$B:$B,$A10,'Source 2025'!$A:$A,"Amount (NIS)")</f>
        <v>33796.2</v>
      </c>
      <c r="I10" s="8" t="n">
        <f aca="false">SUMIFS('Source 2026'!$D:$D,'Source 2026'!$B:$B,$A10,'Source 2026'!$A:$A,"Amount (NIS)")+SUMIFS('Source 2026'!$E:$E,'Source 2026'!$B:$B,$A10,'Source 2026'!$A:$A,"Amount (NIS)")+SUMIFS('Source 2026'!$F:$F,'Source 2026'!$B:$B,$A10,'Source 2026'!$A:$A,"Amount (NIS)")+SUMIFS('Source 2026'!$G:$G,'Source 2026'!$B:$B,$A10,'Source 2026'!$A:$A,"Amount (NIS)")+SUMIFS('Source 2026'!$J:$J,'Source 2026'!$B:$B,$A10,'Source 2026'!$A:$A,"Amount (NIS)")+SUMIFS('Source 2026'!$M:$M,'Source 2026'!$B:$B,$A10,'Source 2026'!$A:$A,"Amount (NIS)")</f>
        <v>16329.2</v>
      </c>
      <c r="J10" s="8" t="n">
        <f aca="false">I10*$J$5</f>
        <v>22394.3314285714</v>
      </c>
      <c r="K10" s="8" t="n">
        <f aca="false">J10-H10</f>
        <v>-11401.8685714286</v>
      </c>
      <c r="L10" s="9" t="n">
        <f aca="false">IF(AND(H10=0,J10=0),0,IF(H10=0,"New",(J10-H10)/H10))</f>
        <v>-0.337371319007124</v>
      </c>
    </row>
    <row r="11" customFormat="false" ht="15" hidden="false" customHeight="false" outlineLevel="0" collapsed="false">
      <c r="A11" s="7" t="n">
        <v>4415158</v>
      </c>
      <c r="B11" s="7" t="str">
        <f aca="false">IFERROR(INDEX('Source 2026'!$C:$C,MATCH($A11,'Source 2026'!$B:$B,0)),IFERROR(INDEX('Source 2025'!$C:$C,MATCH($A11,'Source 2025'!$B:$B,0)),""))</f>
        <v>266 סד ליד דו צדדי</v>
      </c>
      <c r="C11" s="8" t="n">
        <f aca="false">SUMIFS('Source 2025'!$D:$D,'Source 2025'!$B:$B,$A11,'Source 2025'!$A:$A,"Quantity (units)")+SUMIFS('Source 2025'!$E:$E,'Source 2025'!$B:$B,$A11,'Source 2025'!$A:$A,"Quantity (units)")+SUMIFS('Source 2025'!$F:$F,'Source 2025'!$B:$B,$A11,'Source 2025'!$A:$A,"Quantity (units)")+SUMIFS('Source 2025'!$G:$G,'Source 2025'!$B:$B,$A11,'Source 2025'!$A:$A,"Quantity (units)")+SUMIFS('Source 2025'!$J:$J,'Source 2025'!$B:$B,$A11,'Source 2025'!$A:$A,"Quantity (units)")+SUMIFS('Source 2025'!$M:$M,'Source 2025'!$B:$B,$A11,'Source 2025'!$A:$A,"Quantity (units)")</f>
        <v>502</v>
      </c>
      <c r="D11" s="8" t="n">
        <f aca="false">SUMIFS('Source 2026'!$D:$D,'Source 2026'!$B:$B,$A11,'Source 2026'!$A:$A,"Quantity (units)")+SUMIFS('Source 2026'!$E:$E,'Source 2026'!$B:$B,$A11,'Source 2026'!$A:$A,"Quantity (units)")+SUMIFS('Source 2026'!$F:$F,'Source 2026'!$B:$B,$A11,'Source 2026'!$A:$A,"Quantity (units)")+SUMIFS('Source 2026'!$G:$G,'Source 2026'!$B:$B,$A11,'Source 2026'!$A:$A,"Quantity (units)")+SUMIFS('Source 2026'!$J:$J,'Source 2026'!$B:$B,$A11,'Source 2026'!$A:$A,"Quantity (units)")+SUMIFS('Source 2026'!$M:$M,'Source 2026'!$B:$B,$A11,'Source 2026'!$A:$A,"Quantity (units)")</f>
        <v>336</v>
      </c>
      <c r="E11" s="8" t="n">
        <f aca="false">D11*$J$5</f>
        <v>460.8</v>
      </c>
      <c r="F11" s="8" t="n">
        <f aca="false">E11-C11</f>
        <v>-41.2</v>
      </c>
      <c r="G11" s="9" t="n">
        <f aca="false">IF(AND(C11=0,E11=0),0,IF(C11=0,"New",(E11-C11)/C11))</f>
        <v>-0.0820717131474103</v>
      </c>
      <c r="H11" s="8" t="n">
        <f aca="false">SUMIFS('Source 2025'!$D:$D,'Source 2025'!$B:$B,$A11,'Source 2025'!$A:$A,"Amount (NIS)")+SUMIFS('Source 2025'!$E:$E,'Source 2025'!$B:$B,$A11,'Source 2025'!$A:$A,"Amount (NIS)")+SUMIFS('Source 2025'!$F:$F,'Source 2025'!$B:$B,$A11,'Source 2025'!$A:$A,"Amount (NIS)")+SUMIFS('Source 2025'!$G:$G,'Source 2025'!$B:$B,$A11,'Source 2025'!$A:$A,"Amount (NIS)")+SUMIFS('Source 2025'!$J:$J,'Source 2025'!$B:$B,$A11,'Source 2025'!$A:$A,"Amount (NIS)")+SUMIFS('Source 2025'!$M:$M,'Source 2025'!$B:$B,$A11,'Source 2025'!$A:$A,"Amount (NIS)")</f>
        <v>38890.7</v>
      </c>
      <c r="I11" s="8" t="n">
        <f aca="false">SUMIFS('Source 2026'!$D:$D,'Source 2026'!$B:$B,$A11,'Source 2026'!$A:$A,"Amount (NIS)")+SUMIFS('Source 2026'!$E:$E,'Source 2026'!$B:$B,$A11,'Source 2026'!$A:$A,"Amount (NIS)")+SUMIFS('Source 2026'!$F:$F,'Source 2026'!$B:$B,$A11,'Source 2026'!$A:$A,"Amount (NIS)")+SUMIFS('Source 2026'!$G:$G,'Source 2026'!$B:$B,$A11,'Source 2026'!$A:$A,"Amount (NIS)")+SUMIFS('Source 2026'!$J:$J,'Source 2026'!$B:$B,$A11,'Source 2026'!$A:$A,"Amount (NIS)")+SUMIFS('Source 2026'!$M:$M,'Source 2026'!$B:$B,$A11,'Source 2026'!$A:$A,"Amount (NIS)")</f>
        <v>26201.4</v>
      </c>
      <c r="J11" s="8" t="n">
        <f aca="false">I11*$J$5</f>
        <v>35933.3485714286</v>
      </c>
      <c r="K11" s="8" t="n">
        <f aca="false">J11-H11</f>
        <v>-2957.35142857143</v>
      </c>
      <c r="L11" s="9" t="n">
        <f aca="false">IF(AND(H11=0,J11=0),0,IF(H11=0,"New",(J11-H11)/H11))</f>
        <v>-0.0760426381775446</v>
      </c>
    </row>
    <row r="12" customFormat="false" ht="15" hidden="false" customHeight="false" outlineLevel="0" collapsed="false">
      <c r="A12" s="7" t="n">
        <v>4403030</v>
      </c>
      <c r="B12" s="7" t="str">
        <f aca="false">IFERROR(INDEX('Source 2026'!$C:$C,MATCH($A12,'Source 2026'!$B:$B,0)),IFERROR(INDEX('Source 2025'!$C:$C,MATCH($A12,'Source 2025'!$B:$B,0)),""))</f>
        <v>397 43-46 גרבי טיסה מידה</v>
      </c>
      <c r="C12" s="8" t="n">
        <f aca="false">SUMIFS('Source 2025'!$D:$D,'Source 2025'!$B:$B,$A12,'Source 2025'!$A:$A,"Quantity (units)")+SUMIFS('Source 2025'!$E:$E,'Source 2025'!$B:$B,$A12,'Source 2025'!$A:$A,"Quantity (units)")+SUMIFS('Source 2025'!$F:$F,'Source 2025'!$B:$B,$A12,'Source 2025'!$A:$A,"Quantity (units)")+SUMIFS('Source 2025'!$G:$G,'Source 2025'!$B:$B,$A12,'Source 2025'!$A:$A,"Quantity (units)")+SUMIFS('Source 2025'!$J:$J,'Source 2025'!$B:$B,$A12,'Source 2025'!$A:$A,"Quantity (units)")+SUMIFS('Source 2025'!$M:$M,'Source 2025'!$B:$B,$A12,'Source 2025'!$A:$A,"Quantity (units)")</f>
        <v>211</v>
      </c>
      <c r="D12" s="8" t="n">
        <f aca="false">SUMIFS('Source 2026'!$D:$D,'Source 2026'!$B:$B,$A12,'Source 2026'!$A:$A,"Quantity (units)")+SUMIFS('Source 2026'!$E:$E,'Source 2026'!$B:$B,$A12,'Source 2026'!$A:$A,"Quantity (units)")+SUMIFS('Source 2026'!$F:$F,'Source 2026'!$B:$B,$A12,'Source 2026'!$A:$A,"Quantity (units)")+SUMIFS('Source 2026'!$G:$G,'Source 2026'!$B:$B,$A12,'Source 2026'!$A:$A,"Quantity (units)")+SUMIFS('Source 2026'!$J:$J,'Source 2026'!$B:$B,$A12,'Source 2026'!$A:$A,"Quantity (units)")+SUMIFS('Source 2026'!$M:$M,'Source 2026'!$B:$B,$A12,'Source 2026'!$A:$A,"Quantity (units)")</f>
        <v>-3</v>
      </c>
      <c r="E12" s="8" t="n">
        <f aca="false">D12*$J$5</f>
        <v>-4.11428571428571</v>
      </c>
      <c r="F12" s="8" t="n">
        <f aca="false">E12-C12</f>
        <v>-215.114285714286</v>
      </c>
      <c r="G12" s="9" t="n">
        <f aca="false">IF(AND(C12=0,E12=0),0,IF(C12=0,"New",(E12-C12)/C12))</f>
        <v>-1.01949898442789</v>
      </c>
      <c r="H12" s="8" t="n">
        <f aca="false">SUMIFS('Source 2025'!$D:$D,'Source 2025'!$B:$B,$A12,'Source 2025'!$A:$A,"Amount (NIS)")+SUMIFS('Source 2025'!$E:$E,'Source 2025'!$B:$B,$A12,'Source 2025'!$A:$A,"Amount (NIS)")+SUMIFS('Source 2025'!$F:$F,'Source 2025'!$B:$B,$A12,'Source 2025'!$A:$A,"Amount (NIS)")+SUMIFS('Source 2025'!$G:$G,'Source 2025'!$B:$B,$A12,'Source 2025'!$A:$A,"Amount (NIS)")+SUMIFS('Source 2025'!$J:$J,'Source 2025'!$B:$B,$A12,'Source 2025'!$A:$A,"Amount (NIS)")+SUMIFS('Source 2025'!$M:$M,'Source 2025'!$B:$B,$A12,'Source 2025'!$A:$A,"Amount (NIS)")</f>
        <v>12491.9</v>
      </c>
      <c r="I12" s="8" t="n">
        <f aca="false">SUMIFS('Source 2026'!$D:$D,'Source 2026'!$B:$B,$A12,'Source 2026'!$A:$A,"Amount (NIS)")+SUMIFS('Source 2026'!$E:$E,'Source 2026'!$B:$B,$A12,'Source 2026'!$A:$A,"Amount (NIS)")+SUMIFS('Source 2026'!$F:$F,'Source 2026'!$B:$B,$A12,'Source 2026'!$A:$A,"Amount (NIS)")+SUMIFS('Source 2026'!$G:$G,'Source 2026'!$B:$B,$A12,'Source 2026'!$A:$A,"Amount (NIS)")+SUMIFS('Source 2026'!$J:$J,'Source 2026'!$B:$B,$A12,'Source 2026'!$A:$A,"Amount (NIS)")+SUMIFS('Source 2026'!$M:$M,'Source 2026'!$B:$B,$A12,'Source 2026'!$A:$A,"Amount (NIS)")</f>
        <v>-164.4</v>
      </c>
      <c r="J12" s="8" t="n">
        <f aca="false">I12*$J$5</f>
        <v>-225.462857142857</v>
      </c>
      <c r="K12" s="8" t="n">
        <f aca="false">J12-H12</f>
        <v>-12717.3628571429</v>
      </c>
      <c r="L12" s="9" t="n">
        <f aca="false">IF(AND(H12=0,J12=0),0,IF(H12=0,"New",(J12-H12)/H12))</f>
        <v>-1.01804872414467</v>
      </c>
    </row>
    <row r="13" customFormat="false" ht="15" hidden="false" customHeight="false" outlineLevel="0" collapsed="false">
      <c r="A13" s="7" t="n">
        <v>4408052</v>
      </c>
      <c r="B13" s="7" t="str">
        <f aca="false">IFERROR(INDEX('Source 2026'!$C:$C,MATCH($A13,'Source 2026'!$B:$B,0)),IFERROR(INDEX('Source 2025'!$C:$C,MATCH($A13,'Source 2025'!$B:$B,0)),""))</f>
        <v>21 L  חבק יד ארוך</v>
      </c>
      <c r="C13" s="8" t="n">
        <f aca="false">SUMIFS('Source 2025'!$D:$D,'Source 2025'!$B:$B,$A13,'Source 2025'!$A:$A,"Quantity (units)")+SUMIFS('Source 2025'!$E:$E,'Source 2025'!$B:$B,$A13,'Source 2025'!$A:$A,"Quantity (units)")+SUMIFS('Source 2025'!$F:$F,'Source 2025'!$B:$B,$A13,'Source 2025'!$A:$A,"Quantity (units)")+SUMIFS('Source 2025'!$G:$G,'Source 2025'!$B:$B,$A13,'Source 2025'!$A:$A,"Quantity (units)")+SUMIFS('Source 2025'!$J:$J,'Source 2025'!$B:$B,$A13,'Source 2025'!$A:$A,"Quantity (units)")+SUMIFS('Source 2025'!$M:$M,'Source 2025'!$B:$B,$A13,'Source 2025'!$A:$A,"Quantity (units)")</f>
        <v>613</v>
      </c>
      <c r="D13" s="8" t="n">
        <f aca="false">SUMIFS('Source 2026'!$D:$D,'Source 2026'!$B:$B,$A13,'Source 2026'!$A:$A,"Quantity (units)")+SUMIFS('Source 2026'!$E:$E,'Source 2026'!$B:$B,$A13,'Source 2026'!$A:$A,"Quantity (units)")+SUMIFS('Source 2026'!$F:$F,'Source 2026'!$B:$B,$A13,'Source 2026'!$A:$A,"Quantity (units)")+SUMIFS('Source 2026'!$G:$G,'Source 2026'!$B:$B,$A13,'Source 2026'!$A:$A,"Quantity (units)")+SUMIFS('Source 2026'!$J:$J,'Source 2026'!$B:$B,$A13,'Source 2026'!$A:$A,"Quantity (units)")+SUMIFS('Source 2026'!$M:$M,'Source 2026'!$B:$B,$A13,'Source 2026'!$A:$A,"Quantity (units)")</f>
        <v>290</v>
      </c>
      <c r="E13" s="8" t="n">
        <f aca="false">D13*$J$5</f>
        <v>397.714285714286</v>
      </c>
      <c r="F13" s="8" t="n">
        <f aca="false">E13-C13</f>
        <v>-215.285714285714</v>
      </c>
      <c r="G13" s="9" t="n">
        <f aca="false">IF(AND(C13=0,E13=0),0,IF(C13=0,"New",(E13-C13)/C13))</f>
        <v>-0.351200186436728</v>
      </c>
      <c r="H13" s="8" t="n">
        <f aca="false">SUMIFS('Source 2025'!$D:$D,'Source 2025'!$B:$B,$A13,'Source 2025'!$A:$A,"Amount (NIS)")+SUMIFS('Source 2025'!$E:$E,'Source 2025'!$B:$B,$A13,'Source 2025'!$A:$A,"Amount (NIS)")+SUMIFS('Source 2025'!$F:$F,'Source 2025'!$B:$B,$A13,'Source 2025'!$A:$A,"Amount (NIS)")+SUMIFS('Source 2025'!$G:$G,'Source 2025'!$B:$B,$A13,'Source 2025'!$A:$A,"Amount (NIS)")+SUMIFS('Source 2025'!$J:$J,'Source 2025'!$B:$B,$A13,'Source 2025'!$A:$A,"Amount (NIS)")+SUMIFS('Source 2025'!$M:$M,'Source 2025'!$B:$B,$A13,'Source 2025'!$A:$A,"Amount (NIS)")</f>
        <v>23671.9</v>
      </c>
      <c r="I13" s="8" t="n">
        <f aca="false">SUMIFS('Source 2026'!$D:$D,'Source 2026'!$B:$B,$A13,'Source 2026'!$A:$A,"Amount (NIS)")+SUMIFS('Source 2026'!$E:$E,'Source 2026'!$B:$B,$A13,'Source 2026'!$A:$A,"Amount (NIS)")+SUMIFS('Source 2026'!$F:$F,'Source 2026'!$B:$B,$A13,'Source 2026'!$A:$A,"Amount (NIS)")+SUMIFS('Source 2026'!$G:$G,'Source 2026'!$B:$B,$A13,'Source 2026'!$A:$A,"Amount (NIS)")+SUMIFS('Source 2026'!$J:$J,'Source 2026'!$B:$B,$A13,'Source 2026'!$A:$A,"Amount (NIS)")+SUMIFS('Source 2026'!$M:$M,'Source 2026'!$B:$B,$A13,'Source 2026'!$A:$A,"Amount (NIS)")</f>
        <v>11311.7</v>
      </c>
      <c r="J13" s="8" t="n">
        <f aca="false">I13*$J$5</f>
        <v>15513.1885714286</v>
      </c>
      <c r="K13" s="8" t="n">
        <f aca="false">J13-H13</f>
        <v>-8158.71142857143</v>
      </c>
      <c r="L13" s="9" t="n">
        <f aca="false">IF(AND(H13=0,J13=0),0,IF(H13=0,"New",(J13-H13)/H13))</f>
        <v>-0.344658072591192</v>
      </c>
    </row>
    <row r="14" customFormat="false" ht="15" hidden="false" customHeight="false" outlineLevel="0" collapsed="false">
      <c r="A14" s="7" t="n">
        <v>4403029</v>
      </c>
      <c r="B14" s="7" t="str">
        <f aca="false">IFERROR(INDEX('Source 2026'!$C:$C,MATCH($A14,'Source 2026'!$B:$B,0)),IFERROR(INDEX('Source 2025'!$C:$C,MATCH($A14,'Source 2025'!$B:$B,0)),""))</f>
        <v>397 39-42 גרבי טיסה מידה</v>
      </c>
      <c r="C14" s="8" t="n">
        <f aca="false">SUMIFS('Source 2025'!$D:$D,'Source 2025'!$B:$B,$A14,'Source 2025'!$A:$A,"Quantity (units)")+SUMIFS('Source 2025'!$E:$E,'Source 2025'!$B:$B,$A14,'Source 2025'!$A:$A,"Quantity (units)")+SUMIFS('Source 2025'!$F:$F,'Source 2025'!$B:$B,$A14,'Source 2025'!$A:$A,"Quantity (units)")+SUMIFS('Source 2025'!$G:$G,'Source 2025'!$B:$B,$A14,'Source 2025'!$A:$A,"Quantity (units)")+SUMIFS('Source 2025'!$J:$J,'Source 2025'!$B:$B,$A14,'Source 2025'!$A:$A,"Quantity (units)")+SUMIFS('Source 2025'!$M:$M,'Source 2025'!$B:$B,$A14,'Source 2025'!$A:$A,"Quantity (units)")</f>
        <v>201</v>
      </c>
      <c r="D14" s="8" t="n">
        <f aca="false">SUMIFS('Source 2026'!$D:$D,'Source 2026'!$B:$B,$A14,'Source 2026'!$A:$A,"Quantity (units)")+SUMIFS('Source 2026'!$E:$E,'Source 2026'!$B:$B,$A14,'Source 2026'!$A:$A,"Quantity (units)")+SUMIFS('Source 2026'!$F:$F,'Source 2026'!$B:$B,$A14,'Source 2026'!$A:$A,"Quantity (units)")+SUMIFS('Source 2026'!$G:$G,'Source 2026'!$B:$B,$A14,'Source 2026'!$A:$A,"Quantity (units)")+SUMIFS('Source 2026'!$J:$J,'Source 2026'!$B:$B,$A14,'Source 2026'!$A:$A,"Quantity (units)")+SUMIFS('Source 2026'!$M:$M,'Source 2026'!$B:$B,$A14,'Source 2026'!$A:$A,"Quantity (units)")</f>
        <v>2</v>
      </c>
      <c r="E14" s="8" t="n">
        <f aca="false">D14*$J$5</f>
        <v>2.74285714285714</v>
      </c>
      <c r="F14" s="8" t="n">
        <f aca="false">E14-C14</f>
        <v>-198.257142857143</v>
      </c>
      <c r="G14" s="9" t="n">
        <f aca="false">IF(AND(C14=0,E14=0),0,IF(C14=0,"New",(E14-C14)/C14))</f>
        <v>-0.9863539445629</v>
      </c>
      <c r="H14" s="8" t="n">
        <f aca="false">SUMIFS('Source 2025'!$D:$D,'Source 2025'!$B:$B,$A14,'Source 2025'!$A:$A,"Amount (NIS)")+SUMIFS('Source 2025'!$E:$E,'Source 2025'!$B:$B,$A14,'Source 2025'!$A:$A,"Amount (NIS)")+SUMIFS('Source 2025'!$F:$F,'Source 2025'!$B:$B,$A14,'Source 2025'!$A:$A,"Amount (NIS)")+SUMIFS('Source 2025'!$G:$G,'Source 2025'!$B:$B,$A14,'Source 2025'!$A:$A,"Amount (NIS)")+SUMIFS('Source 2025'!$J:$J,'Source 2025'!$B:$B,$A14,'Source 2025'!$A:$A,"Amount (NIS)")+SUMIFS('Source 2025'!$M:$M,'Source 2025'!$B:$B,$A14,'Source 2025'!$A:$A,"Amount (NIS)")</f>
        <v>11825.2</v>
      </c>
      <c r="I14" s="8" t="n">
        <f aca="false">SUMIFS('Source 2026'!$D:$D,'Source 2026'!$B:$B,$A14,'Source 2026'!$A:$A,"Amount (NIS)")+SUMIFS('Source 2026'!$E:$E,'Source 2026'!$B:$B,$A14,'Source 2026'!$A:$A,"Amount (NIS)")+SUMIFS('Source 2026'!$F:$F,'Source 2026'!$B:$B,$A14,'Source 2026'!$A:$A,"Amount (NIS)")+SUMIFS('Source 2026'!$G:$G,'Source 2026'!$B:$B,$A14,'Source 2026'!$A:$A,"Amount (NIS)")+SUMIFS('Source 2026'!$J:$J,'Source 2026'!$B:$B,$A14,'Source 2026'!$A:$A,"Amount (NIS)")+SUMIFS('Source 2026'!$M:$M,'Source 2026'!$B:$B,$A14,'Source 2026'!$A:$A,"Amount (NIS)")</f>
        <v>134.9</v>
      </c>
      <c r="J14" s="8" t="n">
        <f aca="false">I14*$J$5</f>
        <v>185.005714285714</v>
      </c>
      <c r="K14" s="8" t="n">
        <f aca="false">J14-H14</f>
        <v>-11640.1942857143</v>
      </c>
      <c r="L14" s="9" t="n">
        <f aca="false">IF(AND(H14=0,J14=0),0,IF(H14=0,"New",(J14-H14)/H14))</f>
        <v>-0.984354961075862</v>
      </c>
    </row>
    <row r="15" customFormat="false" ht="15" hidden="false" customHeight="false" outlineLevel="0" collapsed="false">
      <c r="A15" s="7" t="n">
        <v>4422035</v>
      </c>
      <c r="B15" s="7" t="str">
        <f aca="false">IFERROR(INDEX('Source 2026'!$C:$C,MATCH($A15,'Source 2026'!$B:$B,0)),IFERROR(INDEX('Source 2025'!$C:$C,MATCH($A15,'Source 2025'!$B:$B,0)),""))</f>
        <v>FCתרסיס דאודורנט אנטיבק.נעל333</v>
      </c>
      <c r="C15" s="8" t="n">
        <f aca="false">SUMIFS('Source 2025'!$D:$D,'Source 2025'!$B:$B,$A15,'Source 2025'!$A:$A,"Quantity (units)")+SUMIFS('Source 2025'!$E:$E,'Source 2025'!$B:$B,$A15,'Source 2025'!$A:$A,"Quantity (units)")+SUMIFS('Source 2025'!$F:$F,'Source 2025'!$B:$B,$A15,'Source 2025'!$A:$A,"Quantity (units)")+SUMIFS('Source 2025'!$G:$G,'Source 2025'!$B:$B,$A15,'Source 2025'!$A:$A,"Quantity (units)")+SUMIFS('Source 2025'!$J:$J,'Source 2025'!$B:$B,$A15,'Source 2025'!$A:$A,"Quantity (units)")+SUMIFS('Source 2025'!$M:$M,'Source 2025'!$B:$B,$A15,'Source 2025'!$A:$A,"Quantity (units)")</f>
        <v>956</v>
      </c>
      <c r="D15" s="8" t="n">
        <f aca="false">SUMIFS('Source 2026'!$D:$D,'Source 2026'!$B:$B,$A15,'Source 2026'!$A:$A,"Quantity (units)")+SUMIFS('Source 2026'!$E:$E,'Source 2026'!$B:$B,$A15,'Source 2026'!$A:$A,"Quantity (units)")+SUMIFS('Source 2026'!$F:$F,'Source 2026'!$B:$B,$A15,'Source 2026'!$A:$A,"Quantity (units)")+SUMIFS('Source 2026'!$G:$G,'Source 2026'!$B:$B,$A15,'Source 2026'!$A:$A,"Quantity (units)")+SUMIFS('Source 2026'!$J:$J,'Source 2026'!$B:$B,$A15,'Source 2026'!$A:$A,"Quantity (units)")+SUMIFS('Source 2026'!$M:$M,'Source 2026'!$B:$B,$A15,'Source 2026'!$A:$A,"Quantity (units)")</f>
        <v>341</v>
      </c>
      <c r="E15" s="8" t="n">
        <f aca="false">D15*$J$5</f>
        <v>467.657142857143</v>
      </c>
      <c r="F15" s="8" t="n">
        <f aca="false">E15-C15</f>
        <v>-488.342857142857</v>
      </c>
      <c r="G15" s="9" t="n">
        <f aca="false">IF(AND(C15=0,E15=0),0,IF(C15=0,"New",(E15-C15)/C15))</f>
        <v>-0.510818888224746</v>
      </c>
      <c r="H15" s="8" t="n">
        <f aca="false">SUMIFS('Source 2025'!$D:$D,'Source 2025'!$B:$B,$A15,'Source 2025'!$A:$A,"Amount (NIS)")+SUMIFS('Source 2025'!$E:$E,'Source 2025'!$B:$B,$A15,'Source 2025'!$A:$A,"Amount (NIS)")+SUMIFS('Source 2025'!$F:$F,'Source 2025'!$B:$B,$A15,'Source 2025'!$A:$A,"Amount (NIS)")+SUMIFS('Source 2025'!$G:$G,'Source 2025'!$B:$B,$A15,'Source 2025'!$A:$A,"Amount (NIS)")+SUMIFS('Source 2025'!$J:$J,'Source 2025'!$B:$B,$A15,'Source 2025'!$A:$A,"Amount (NIS)")+SUMIFS('Source 2025'!$M:$M,'Source 2025'!$B:$B,$A15,'Source 2025'!$A:$A,"Amount (NIS)")</f>
        <v>17801.7</v>
      </c>
      <c r="I15" s="8" t="n">
        <f aca="false">SUMIFS('Source 2026'!$D:$D,'Source 2026'!$B:$B,$A15,'Source 2026'!$A:$A,"Amount (NIS)")+SUMIFS('Source 2026'!$E:$E,'Source 2026'!$B:$B,$A15,'Source 2026'!$A:$A,"Amount (NIS)")+SUMIFS('Source 2026'!$F:$F,'Source 2026'!$B:$B,$A15,'Source 2026'!$A:$A,"Amount (NIS)")+SUMIFS('Source 2026'!$G:$G,'Source 2026'!$B:$B,$A15,'Source 2026'!$A:$A,"Amount (NIS)")+SUMIFS('Source 2026'!$J:$J,'Source 2026'!$B:$B,$A15,'Source 2026'!$A:$A,"Amount (NIS)")+SUMIFS('Source 2026'!$M:$M,'Source 2026'!$B:$B,$A15,'Source 2026'!$A:$A,"Amount (NIS)")</f>
        <v>6493.3</v>
      </c>
      <c r="J15" s="8" t="n">
        <f aca="false">I15*$J$5</f>
        <v>8905.09714285714</v>
      </c>
      <c r="K15" s="8" t="n">
        <f aca="false">J15-H15</f>
        <v>-8896.60285714285</v>
      </c>
      <c r="L15" s="9" t="n">
        <f aca="false">IF(AND(H15=0,J15=0),0,IF(H15=0,"New",(J15-H15)/H15))</f>
        <v>-0.499761419254501</v>
      </c>
    </row>
    <row r="16" customFormat="false" ht="15" hidden="false" customHeight="false" outlineLevel="0" collapsed="false">
      <c r="A16" s="7" t="n">
        <v>4403042</v>
      </c>
      <c r="B16" s="7" t="str">
        <f aca="false">IFERROR(INDEX('Source 2026'!$C:$C,MATCH($A16,'Source 2026'!$B:$B,0)),IFERROR(INDEX('Source 2025'!$C:$C,MATCH($A16,'Source 2025'!$B:$B,0)),""))</f>
        <v>397A-גרבי טיסה אנטי בקטרי39-42</v>
      </c>
      <c r="C16" s="8" t="n">
        <f aca="false">SUMIFS('Source 2025'!$D:$D,'Source 2025'!$B:$B,$A16,'Source 2025'!$A:$A,"Quantity (units)")+SUMIFS('Source 2025'!$E:$E,'Source 2025'!$B:$B,$A16,'Source 2025'!$A:$A,"Quantity (units)")+SUMIFS('Source 2025'!$F:$F,'Source 2025'!$B:$B,$A16,'Source 2025'!$A:$A,"Quantity (units)")+SUMIFS('Source 2025'!$G:$G,'Source 2025'!$B:$B,$A16,'Source 2025'!$A:$A,"Quantity (units)")+SUMIFS('Source 2025'!$J:$J,'Source 2025'!$B:$B,$A16,'Source 2025'!$A:$A,"Quantity (units)")+SUMIFS('Source 2025'!$M:$M,'Source 2025'!$B:$B,$A16,'Source 2025'!$A:$A,"Quantity (units)")</f>
        <v>0</v>
      </c>
      <c r="D16" s="8" t="n">
        <f aca="false">SUMIFS('Source 2026'!$D:$D,'Source 2026'!$B:$B,$A16,'Source 2026'!$A:$A,"Quantity (units)")+SUMIFS('Source 2026'!$E:$E,'Source 2026'!$B:$B,$A16,'Source 2026'!$A:$A,"Quantity (units)")+SUMIFS('Source 2026'!$F:$F,'Source 2026'!$B:$B,$A16,'Source 2026'!$A:$A,"Quantity (units)")+SUMIFS('Source 2026'!$G:$G,'Source 2026'!$B:$B,$A16,'Source 2026'!$A:$A,"Quantity (units)")+SUMIFS('Source 2026'!$J:$J,'Source 2026'!$B:$B,$A16,'Source 2026'!$A:$A,"Quantity (units)")+SUMIFS('Source 2026'!$M:$M,'Source 2026'!$B:$B,$A16,'Source 2026'!$A:$A,"Quantity (units)")</f>
        <v>190</v>
      </c>
      <c r="E16" s="8" t="n">
        <f aca="false">D16*$J$5</f>
        <v>260.571428571429</v>
      </c>
      <c r="F16" s="8" t="n">
        <f aca="false">E16-C16</f>
        <v>260.571428571429</v>
      </c>
      <c r="G16" s="9" t="str">
        <f aca="false">IF(AND(C16=0,E16=0),0,IF(C16=0,"New",(E16-C16)/C16))</f>
        <v>New</v>
      </c>
      <c r="H16" s="8" t="n">
        <f aca="false">SUMIFS('Source 2025'!$D:$D,'Source 2025'!$B:$B,$A16,'Source 2025'!$A:$A,"Amount (NIS)")+SUMIFS('Source 2025'!$E:$E,'Source 2025'!$B:$B,$A16,'Source 2025'!$A:$A,"Amount (NIS)")+SUMIFS('Source 2025'!$F:$F,'Source 2025'!$B:$B,$A16,'Source 2025'!$A:$A,"Amount (NIS)")+SUMIFS('Source 2025'!$G:$G,'Source 2025'!$B:$B,$A16,'Source 2025'!$A:$A,"Amount (NIS)")+SUMIFS('Source 2025'!$J:$J,'Source 2025'!$B:$B,$A16,'Source 2025'!$A:$A,"Amount (NIS)")+SUMIFS('Source 2025'!$M:$M,'Source 2025'!$B:$B,$A16,'Source 2025'!$A:$A,"Amount (NIS)")</f>
        <v>0</v>
      </c>
      <c r="I16" s="8" t="n">
        <f aca="false">SUMIFS('Source 2026'!$D:$D,'Source 2026'!$B:$B,$A16,'Source 2026'!$A:$A,"Amount (NIS)")+SUMIFS('Source 2026'!$E:$E,'Source 2026'!$B:$B,$A16,'Source 2026'!$A:$A,"Amount (NIS)")+SUMIFS('Source 2026'!$F:$F,'Source 2026'!$B:$B,$A16,'Source 2026'!$A:$A,"Amount (NIS)")+SUMIFS('Source 2026'!$G:$G,'Source 2026'!$B:$B,$A16,'Source 2026'!$A:$A,"Amount (NIS)")+SUMIFS('Source 2026'!$J:$J,'Source 2026'!$B:$B,$A16,'Source 2026'!$A:$A,"Amount (NIS)")+SUMIFS('Source 2026'!$M:$M,'Source 2026'!$B:$B,$A16,'Source 2026'!$A:$A,"Amount (NIS)")</f>
        <v>11246.6</v>
      </c>
      <c r="J16" s="8" t="n">
        <f aca="false">I16*$J$5</f>
        <v>15423.9085714286</v>
      </c>
      <c r="K16" s="8" t="n">
        <f aca="false">J16-H16</f>
        <v>15423.9085714286</v>
      </c>
      <c r="L16" s="9" t="str">
        <f aca="false">IF(AND(H16=0,J16=0),0,IF(H16=0,"New",(J16-H16)/H16))</f>
        <v>New</v>
      </c>
    </row>
    <row r="17" customFormat="false" ht="15" hidden="false" customHeight="false" outlineLevel="0" collapsed="false">
      <c r="A17" s="7" t="n">
        <v>4408098</v>
      </c>
      <c r="B17" s="7" t="str">
        <f aca="false">IFERROR(INDEX('Source 2026'!$C:$C,MATCH($A17,'Source 2026'!$B:$B,0)),IFERROR(INDEX('Source 2025'!$C:$C,MATCH($A17,'Source 2025'!$B:$B,0)),""))</f>
        <v>T25-חבק יד אגודלי</v>
      </c>
      <c r="C17" s="8" t="n">
        <f aca="false">SUMIFS('Source 2025'!$D:$D,'Source 2025'!$B:$B,$A17,'Source 2025'!$A:$A,"Quantity (units)")+SUMIFS('Source 2025'!$E:$E,'Source 2025'!$B:$B,$A17,'Source 2025'!$A:$A,"Quantity (units)")+SUMIFS('Source 2025'!$F:$F,'Source 2025'!$B:$B,$A17,'Source 2025'!$A:$A,"Quantity (units)")+SUMIFS('Source 2025'!$G:$G,'Source 2025'!$B:$B,$A17,'Source 2025'!$A:$A,"Quantity (units)")+SUMIFS('Source 2025'!$J:$J,'Source 2025'!$B:$B,$A17,'Source 2025'!$A:$A,"Quantity (units)")+SUMIFS('Source 2025'!$M:$M,'Source 2025'!$B:$B,$A17,'Source 2025'!$A:$A,"Quantity (units)")</f>
        <v>554</v>
      </c>
      <c r="D17" s="8" t="n">
        <f aca="false">SUMIFS('Source 2026'!$D:$D,'Source 2026'!$B:$B,$A17,'Source 2026'!$A:$A,"Quantity (units)")+SUMIFS('Source 2026'!$E:$E,'Source 2026'!$B:$B,$A17,'Source 2026'!$A:$A,"Quantity (units)")+SUMIFS('Source 2026'!$F:$F,'Source 2026'!$B:$B,$A17,'Source 2026'!$A:$A,"Quantity (units)")+SUMIFS('Source 2026'!$G:$G,'Source 2026'!$B:$B,$A17,'Source 2026'!$A:$A,"Quantity (units)")+SUMIFS('Source 2026'!$J:$J,'Source 2026'!$B:$B,$A17,'Source 2026'!$A:$A,"Quantity (units)")+SUMIFS('Source 2026'!$M:$M,'Source 2026'!$B:$B,$A17,'Source 2026'!$A:$A,"Quantity (units)")</f>
        <v>299</v>
      </c>
      <c r="E17" s="8" t="n">
        <f aca="false">D17*$J$5</f>
        <v>410.057142857143</v>
      </c>
      <c r="F17" s="8" t="n">
        <f aca="false">E17-C17</f>
        <v>-143.942857142857</v>
      </c>
      <c r="G17" s="9" t="n">
        <f aca="false">IF(AND(C17=0,E17=0),0,IF(C17=0,"New",(E17-C17)/C17))</f>
        <v>-0.259824651882414</v>
      </c>
      <c r="H17" s="8" t="n">
        <f aca="false">SUMIFS('Source 2025'!$D:$D,'Source 2025'!$B:$B,$A17,'Source 2025'!$A:$A,"Amount (NIS)")+SUMIFS('Source 2025'!$E:$E,'Source 2025'!$B:$B,$A17,'Source 2025'!$A:$A,"Amount (NIS)")+SUMIFS('Source 2025'!$F:$F,'Source 2025'!$B:$B,$A17,'Source 2025'!$A:$A,"Amount (NIS)")+SUMIFS('Source 2025'!$G:$G,'Source 2025'!$B:$B,$A17,'Source 2025'!$A:$A,"Amount (NIS)")+SUMIFS('Source 2025'!$J:$J,'Source 2025'!$B:$B,$A17,'Source 2025'!$A:$A,"Amount (NIS)")+SUMIFS('Source 2025'!$M:$M,'Source 2025'!$B:$B,$A17,'Source 2025'!$A:$A,"Amount (NIS)")</f>
        <v>24683.5</v>
      </c>
      <c r="I17" s="8" t="n">
        <f aca="false">SUMIFS('Source 2026'!$D:$D,'Source 2026'!$B:$B,$A17,'Source 2026'!$A:$A,"Amount (NIS)")+SUMIFS('Source 2026'!$E:$E,'Source 2026'!$B:$B,$A17,'Source 2026'!$A:$A,"Amount (NIS)")+SUMIFS('Source 2026'!$F:$F,'Source 2026'!$B:$B,$A17,'Source 2026'!$A:$A,"Amount (NIS)")+SUMIFS('Source 2026'!$G:$G,'Source 2026'!$B:$B,$A17,'Source 2026'!$A:$A,"Amount (NIS)")+SUMIFS('Source 2026'!$J:$J,'Source 2026'!$B:$B,$A17,'Source 2026'!$A:$A,"Amount (NIS)")+SUMIFS('Source 2026'!$M:$M,'Source 2026'!$B:$B,$A17,'Source 2026'!$A:$A,"Amount (NIS)")</f>
        <v>13677.8</v>
      </c>
      <c r="J17" s="8" t="n">
        <f aca="false">I17*$J$5</f>
        <v>18758.1257142857</v>
      </c>
      <c r="K17" s="8" t="n">
        <f aca="false">J17-H17</f>
        <v>-5925.37428571429</v>
      </c>
      <c r="L17" s="9" t="n">
        <f aca="false">IF(AND(H17=0,J17=0),0,IF(H17=0,"New",(J17-H17)/H17))</f>
        <v>-0.240054055774679</v>
      </c>
    </row>
    <row r="18" customFormat="false" ht="15" hidden="false" customHeight="false" outlineLevel="0" collapsed="false">
      <c r="A18" s="7" t="n">
        <v>4408053</v>
      </c>
      <c r="B18" s="7" t="str">
        <f aca="false">IFERROR(INDEX('Source 2026'!$C:$C,MATCH($A18,'Source 2026'!$B:$B,0)),IFERROR(INDEX('Source 2025'!$C:$C,MATCH($A18,'Source 2025'!$B:$B,0)),""))</f>
        <v>21 M  חבק יד ארוך</v>
      </c>
      <c r="C18" s="8" t="n">
        <f aca="false">SUMIFS('Source 2025'!$D:$D,'Source 2025'!$B:$B,$A18,'Source 2025'!$A:$A,"Quantity (units)")+SUMIFS('Source 2025'!$E:$E,'Source 2025'!$B:$B,$A18,'Source 2025'!$A:$A,"Quantity (units)")+SUMIFS('Source 2025'!$F:$F,'Source 2025'!$B:$B,$A18,'Source 2025'!$A:$A,"Quantity (units)")+SUMIFS('Source 2025'!$G:$G,'Source 2025'!$B:$B,$A18,'Source 2025'!$A:$A,"Quantity (units)")+SUMIFS('Source 2025'!$J:$J,'Source 2025'!$B:$B,$A18,'Source 2025'!$A:$A,"Quantity (units)")+SUMIFS('Source 2025'!$M:$M,'Source 2025'!$B:$B,$A18,'Source 2025'!$A:$A,"Quantity (units)")</f>
        <v>665</v>
      </c>
      <c r="D18" s="8" t="n">
        <f aca="false">SUMIFS('Source 2026'!$D:$D,'Source 2026'!$B:$B,$A18,'Source 2026'!$A:$A,"Quantity (units)")+SUMIFS('Source 2026'!$E:$E,'Source 2026'!$B:$B,$A18,'Source 2026'!$A:$A,"Quantity (units)")+SUMIFS('Source 2026'!$F:$F,'Source 2026'!$B:$B,$A18,'Source 2026'!$A:$A,"Quantity (units)")+SUMIFS('Source 2026'!$G:$G,'Source 2026'!$B:$B,$A18,'Source 2026'!$A:$A,"Quantity (units)")+SUMIFS('Source 2026'!$J:$J,'Source 2026'!$B:$B,$A18,'Source 2026'!$A:$A,"Quantity (units)")+SUMIFS('Source 2026'!$M:$M,'Source 2026'!$B:$B,$A18,'Source 2026'!$A:$A,"Quantity (units)")</f>
        <v>380</v>
      </c>
      <c r="E18" s="8" t="n">
        <f aca="false">D18*$J$5</f>
        <v>521.142857142857</v>
      </c>
      <c r="F18" s="8" t="n">
        <f aca="false">E18-C18</f>
        <v>-143.857142857143</v>
      </c>
      <c r="G18" s="9" t="n">
        <f aca="false">IF(AND(C18=0,E18=0),0,IF(C18=0,"New",(E18-C18)/C18))</f>
        <v>-0.216326530612245</v>
      </c>
      <c r="H18" s="8" t="n">
        <f aca="false">SUMIFS('Source 2025'!$D:$D,'Source 2025'!$B:$B,$A18,'Source 2025'!$A:$A,"Amount (NIS)")+SUMIFS('Source 2025'!$E:$E,'Source 2025'!$B:$B,$A18,'Source 2025'!$A:$A,"Amount (NIS)")+SUMIFS('Source 2025'!$F:$F,'Source 2025'!$B:$B,$A18,'Source 2025'!$A:$A,"Amount (NIS)")+SUMIFS('Source 2025'!$G:$G,'Source 2025'!$B:$B,$A18,'Source 2025'!$A:$A,"Amount (NIS)")+SUMIFS('Source 2025'!$J:$J,'Source 2025'!$B:$B,$A18,'Source 2025'!$A:$A,"Amount (NIS)")+SUMIFS('Source 2025'!$M:$M,'Source 2025'!$B:$B,$A18,'Source 2025'!$A:$A,"Amount (NIS)")</f>
        <v>25850.9</v>
      </c>
      <c r="I18" s="8" t="n">
        <f aca="false">SUMIFS('Source 2026'!$D:$D,'Source 2026'!$B:$B,$A18,'Source 2026'!$A:$A,"Amount (NIS)")+SUMIFS('Source 2026'!$E:$E,'Source 2026'!$B:$B,$A18,'Source 2026'!$A:$A,"Amount (NIS)")+SUMIFS('Source 2026'!$F:$F,'Source 2026'!$B:$B,$A18,'Source 2026'!$A:$A,"Amount (NIS)")+SUMIFS('Source 2026'!$G:$G,'Source 2026'!$B:$B,$A18,'Source 2026'!$A:$A,"Amount (NIS)")+SUMIFS('Source 2026'!$J:$J,'Source 2026'!$B:$B,$A18,'Source 2026'!$A:$A,"Amount (NIS)")+SUMIFS('Source 2026'!$M:$M,'Source 2026'!$B:$B,$A18,'Source 2026'!$A:$A,"Amount (NIS)")</f>
        <v>14853.3</v>
      </c>
      <c r="J18" s="8" t="n">
        <f aca="false">I18*$J$5</f>
        <v>20370.24</v>
      </c>
      <c r="K18" s="8" t="n">
        <f aca="false">J18-H18</f>
        <v>-5480.66</v>
      </c>
      <c r="L18" s="9" t="n">
        <f aca="false">IF(AND(H18=0,J18=0),0,IF(H18=0,"New",(J18-H18)/H18))</f>
        <v>-0.212010413563938</v>
      </c>
    </row>
    <row r="19" customFormat="false" ht="15" hidden="false" customHeight="false" outlineLevel="0" collapsed="false">
      <c r="A19" s="7" t="n">
        <v>4421000</v>
      </c>
      <c r="B19" s="7" t="str">
        <f aca="false">IFERROR(INDEX('Source 2026'!$C:$C,MATCH($A19,'Source 2026'!$B:$B,0)),IFERROR(INDEX('Source 2025'!$C:$C,MATCH($A19,'Source 2025'!$B:$B,0)),""))</f>
        <v>3655 שרוול מסיליקון לאצבע</v>
      </c>
      <c r="C19" s="8" t="n">
        <f aca="false">SUMIFS('Source 2025'!$D:$D,'Source 2025'!$B:$B,$A19,'Source 2025'!$A:$A,"Quantity (units)")+SUMIFS('Source 2025'!$E:$E,'Source 2025'!$B:$B,$A19,'Source 2025'!$A:$A,"Quantity (units)")+SUMIFS('Source 2025'!$F:$F,'Source 2025'!$B:$B,$A19,'Source 2025'!$A:$A,"Quantity (units)")+SUMIFS('Source 2025'!$G:$G,'Source 2025'!$B:$B,$A19,'Source 2025'!$A:$A,"Quantity (units)")+SUMIFS('Source 2025'!$J:$J,'Source 2025'!$B:$B,$A19,'Source 2025'!$A:$A,"Quantity (units)")+SUMIFS('Source 2025'!$M:$M,'Source 2025'!$B:$B,$A19,'Source 2025'!$A:$A,"Quantity (units)")</f>
        <v>1693</v>
      </c>
      <c r="D19" s="8" t="n">
        <f aca="false">SUMIFS('Source 2026'!$D:$D,'Source 2026'!$B:$B,$A19,'Source 2026'!$A:$A,"Quantity (units)")+SUMIFS('Source 2026'!$E:$E,'Source 2026'!$B:$B,$A19,'Source 2026'!$A:$A,"Quantity (units)")+SUMIFS('Source 2026'!$F:$F,'Source 2026'!$B:$B,$A19,'Source 2026'!$A:$A,"Quantity (units)")+SUMIFS('Source 2026'!$G:$G,'Source 2026'!$B:$B,$A19,'Source 2026'!$A:$A,"Quantity (units)")+SUMIFS('Source 2026'!$J:$J,'Source 2026'!$B:$B,$A19,'Source 2026'!$A:$A,"Quantity (units)")+SUMIFS('Source 2026'!$M:$M,'Source 2026'!$B:$B,$A19,'Source 2026'!$A:$A,"Quantity (units)")</f>
        <v>1072</v>
      </c>
      <c r="E19" s="8" t="n">
        <f aca="false">D19*$J$5</f>
        <v>1470.17142857143</v>
      </c>
      <c r="F19" s="8" t="n">
        <f aca="false">E19-C19</f>
        <v>-222.828571428571</v>
      </c>
      <c r="G19" s="9" t="n">
        <f aca="false">IF(AND(C19=0,E19=0),0,IF(C19=0,"New",(E19-C19)/C19))</f>
        <v>-0.131617585013923</v>
      </c>
      <c r="H19" s="8" t="n">
        <f aca="false">SUMIFS('Source 2025'!$D:$D,'Source 2025'!$B:$B,$A19,'Source 2025'!$A:$A,"Amount (NIS)")+SUMIFS('Source 2025'!$E:$E,'Source 2025'!$B:$B,$A19,'Source 2025'!$A:$A,"Amount (NIS)")+SUMIFS('Source 2025'!$F:$F,'Source 2025'!$B:$B,$A19,'Source 2025'!$A:$A,"Amount (NIS)")+SUMIFS('Source 2025'!$G:$G,'Source 2025'!$B:$B,$A19,'Source 2025'!$A:$A,"Amount (NIS)")+SUMIFS('Source 2025'!$J:$J,'Source 2025'!$B:$B,$A19,'Source 2025'!$A:$A,"Amount (NIS)")+SUMIFS('Source 2025'!$M:$M,'Source 2025'!$B:$B,$A19,'Source 2025'!$A:$A,"Amount (NIS)")</f>
        <v>29905.1</v>
      </c>
      <c r="I19" s="8" t="n">
        <f aca="false">SUMIFS('Source 2026'!$D:$D,'Source 2026'!$B:$B,$A19,'Source 2026'!$A:$A,"Amount (NIS)")+SUMIFS('Source 2026'!$E:$E,'Source 2026'!$B:$B,$A19,'Source 2026'!$A:$A,"Amount (NIS)")+SUMIFS('Source 2026'!$F:$F,'Source 2026'!$B:$B,$A19,'Source 2026'!$A:$A,"Amount (NIS)")+SUMIFS('Source 2026'!$G:$G,'Source 2026'!$B:$B,$A19,'Source 2026'!$A:$A,"Amount (NIS)")+SUMIFS('Source 2026'!$J:$J,'Source 2026'!$B:$B,$A19,'Source 2026'!$A:$A,"Amount (NIS)")+SUMIFS('Source 2026'!$M:$M,'Source 2026'!$B:$B,$A19,'Source 2026'!$A:$A,"Amount (NIS)")</f>
        <v>19015.4</v>
      </c>
      <c r="J19" s="8" t="n">
        <f aca="false">I19*$J$5</f>
        <v>26078.2628571429</v>
      </c>
      <c r="K19" s="8" t="n">
        <f aca="false">J19-H19</f>
        <v>-3826.83714285714</v>
      </c>
      <c r="L19" s="9" t="n">
        <f aca="false">IF(AND(H19=0,J19=0),0,IF(H19=0,"New",(J19-H19)/H19))</f>
        <v>-0.127966037326648</v>
      </c>
    </row>
    <row r="20" customFormat="false" ht="15" hidden="false" customHeight="false" outlineLevel="0" collapsed="false">
      <c r="A20" s="7" t="n">
        <v>4422036</v>
      </c>
      <c r="B20" s="7" t="str">
        <f aca="false">IFERROR(INDEX('Source 2026'!$C:$C,MATCH($A20,'Source 2026'!$B:$B,0)),IFERROR(INDEX('Source 2025'!$C:$C,MATCH($A20,'Source 2025'!$B:$B,0)),""))</f>
        <v>FC334  תרסיס דאודורנט לכף הרגל</v>
      </c>
      <c r="C20" s="8" t="n">
        <f aca="false">SUMIFS('Source 2025'!$D:$D,'Source 2025'!$B:$B,$A20,'Source 2025'!$A:$A,"Quantity (units)")+SUMIFS('Source 2025'!$E:$E,'Source 2025'!$B:$B,$A20,'Source 2025'!$A:$A,"Quantity (units)")+SUMIFS('Source 2025'!$F:$F,'Source 2025'!$B:$B,$A20,'Source 2025'!$A:$A,"Quantity (units)")+SUMIFS('Source 2025'!$G:$G,'Source 2025'!$B:$B,$A20,'Source 2025'!$A:$A,"Quantity (units)")+SUMIFS('Source 2025'!$J:$J,'Source 2025'!$B:$B,$A20,'Source 2025'!$A:$A,"Quantity (units)")+SUMIFS('Source 2025'!$M:$M,'Source 2025'!$B:$B,$A20,'Source 2025'!$A:$A,"Quantity (units)")</f>
        <v>1000</v>
      </c>
      <c r="D20" s="8" t="n">
        <f aca="false">SUMIFS('Source 2026'!$D:$D,'Source 2026'!$B:$B,$A20,'Source 2026'!$A:$A,"Quantity (units)")+SUMIFS('Source 2026'!$E:$E,'Source 2026'!$B:$B,$A20,'Source 2026'!$A:$A,"Quantity (units)")+SUMIFS('Source 2026'!$F:$F,'Source 2026'!$B:$B,$A20,'Source 2026'!$A:$A,"Quantity (units)")+SUMIFS('Source 2026'!$G:$G,'Source 2026'!$B:$B,$A20,'Source 2026'!$A:$A,"Quantity (units)")+SUMIFS('Source 2026'!$J:$J,'Source 2026'!$B:$B,$A20,'Source 2026'!$A:$A,"Quantity (units)")+SUMIFS('Source 2026'!$M:$M,'Source 2026'!$B:$B,$A20,'Source 2026'!$A:$A,"Quantity (units)")</f>
        <v>468</v>
      </c>
      <c r="E20" s="8" t="n">
        <f aca="false">D20*$J$5</f>
        <v>641.828571428571</v>
      </c>
      <c r="F20" s="8" t="n">
        <f aca="false">E20-C20</f>
        <v>-358.171428571429</v>
      </c>
      <c r="G20" s="9" t="n">
        <f aca="false">IF(AND(C20=0,E20=0),0,IF(C20=0,"New",(E20-C20)/C20))</f>
        <v>-0.358171428571429</v>
      </c>
      <c r="H20" s="8" t="n">
        <f aca="false">SUMIFS('Source 2025'!$D:$D,'Source 2025'!$B:$B,$A20,'Source 2025'!$A:$A,"Amount (NIS)")+SUMIFS('Source 2025'!$E:$E,'Source 2025'!$B:$B,$A20,'Source 2025'!$A:$A,"Amount (NIS)")+SUMIFS('Source 2025'!$F:$F,'Source 2025'!$B:$B,$A20,'Source 2025'!$A:$A,"Amount (NIS)")+SUMIFS('Source 2025'!$G:$G,'Source 2025'!$B:$B,$A20,'Source 2025'!$A:$A,"Amount (NIS)")+SUMIFS('Source 2025'!$J:$J,'Source 2025'!$B:$B,$A20,'Source 2025'!$A:$A,"Amount (NIS)")+SUMIFS('Source 2025'!$M:$M,'Source 2025'!$B:$B,$A20,'Source 2025'!$A:$A,"Amount (NIS)")</f>
        <v>19629.5</v>
      </c>
      <c r="I20" s="8" t="n">
        <f aca="false">SUMIFS('Source 2026'!$D:$D,'Source 2026'!$B:$B,$A20,'Source 2026'!$A:$A,"Amount (NIS)")+SUMIFS('Source 2026'!$E:$E,'Source 2026'!$B:$B,$A20,'Source 2026'!$A:$A,"Amount (NIS)")+SUMIFS('Source 2026'!$F:$F,'Source 2026'!$B:$B,$A20,'Source 2026'!$A:$A,"Amount (NIS)")+SUMIFS('Source 2026'!$G:$G,'Source 2026'!$B:$B,$A20,'Source 2026'!$A:$A,"Amount (NIS)")+SUMIFS('Source 2026'!$J:$J,'Source 2026'!$B:$B,$A20,'Source 2026'!$A:$A,"Amount (NIS)")+SUMIFS('Source 2026'!$M:$M,'Source 2026'!$B:$B,$A20,'Source 2026'!$A:$A,"Amount (NIS)")</f>
        <v>9873.9</v>
      </c>
      <c r="J20" s="8" t="n">
        <f aca="false">I20*$J$5</f>
        <v>13541.3485714286</v>
      </c>
      <c r="K20" s="8" t="n">
        <f aca="false">J20-H20</f>
        <v>-6088.15142857143</v>
      </c>
      <c r="L20" s="9" t="n">
        <f aca="false">IF(AND(H20=0,J20=0),0,IF(H20=0,"New",(J20-H20)/H20))</f>
        <v>-0.310153158693366</v>
      </c>
    </row>
    <row r="21" customFormat="false" ht="15" hidden="false" customHeight="false" outlineLevel="0" collapsed="false">
      <c r="A21" s="7" t="n">
        <v>4408207</v>
      </c>
      <c r="B21" s="7" t="str">
        <f aca="false">IFERROR(INDEX('Source 2026'!$C:$C,MATCH($A21,'Source 2026'!$B:$B,0)),IFERROR(INDEX('Source 2025'!$C:$C,MATCH($A21,'Source 2025'!$B:$B,0)),""))</f>
        <v>AC-25 חבק לשורש כף היד</v>
      </c>
      <c r="C21" s="8" t="n">
        <f aca="false">SUMIFS('Source 2025'!$D:$D,'Source 2025'!$B:$B,$A21,'Source 2025'!$A:$A,"Quantity (units)")+SUMIFS('Source 2025'!$E:$E,'Source 2025'!$B:$B,$A21,'Source 2025'!$A:$A,"Quantity (units)")+SUMIFS('Source 2025'!$F:$F,'Source 2025'!$B:$B,$A21,'Source 2025'!$A:$A,"Quantity (units)")+SUMIFS('Source 2025'!$G:$G,'Source 2025'!$B:$B,$A21,'Source 2025'!$A:$A,"Quantity (units)")+SUMIFS('Source 2025'!$J:$J,'Source 2025'!$B:$B,$A21,'Source 2025'!$A:$A,"Quantity (units)")+SUMIFS('Source 2025'!$M:$M,'Source 2025'!$B:$B,$A21,'Source 2025'!$A:$A,"Quantity (units)")</f>
        <v>1143</v>
      </c>
      <c r="D21" s="8" t="n">
        <f aca="false">SUMIFS('Source 2026'!$D:$D,'Source 2026'!$B:$B,$A21,'Source 2026'!$A:$A,"Quantity (units)")+SUMIFS('Source 2026'!$E:$E,'Source 2026'!$B:$B,$A21,'Source 2026'!$A:$A,"Quantity (units)")+SUMIFS('Source 2026'!$F:$F,'Source 2026'!$B:$B,$A21,'Source 2026'!$A:$A,"Quantity (units)")+SUMIFS('Source 2026'!$G:$G,'Source 2026'!$B:$B,$A21,'Source 2026'!$A:$A,"Quantity (units)")+SUMIFS('Source 2026'!$J:$J,'Source 2026'!$B:$B,$A21,'Source 2026'!$A:$A,"Quantity (units)")+SUMIFS('Source 2026'!$M:$M,'Source 2026'!$B:$B,$A21,'Source 2026'!$A:$A,"Quantity (units)")</f>
        <v>801</v>
      </c>
      <c r="E21" s="8" t="n">
        <f aca="false">D21*$J$5</f>
        <v>1098.51428571429</v>
      </c>
      <c r="F21" s="8" t="n">
        <f aca="false">E21-C21</f>
        <v>-44.4857142857143</v>
      </c>
      <c r="G21" s="9" t="n">
        <f aca="false">IF(AND(C21=0,E21=0),0,IF(C21=0,"New",(E21-C21)/C21))</f>
        <v>-0.0389201349831271</v>
      </c>
      <c r="H21" s="8" t="n">
        <f aca="false">SUMIFS('Source 2025'!$D:$D,'Source 2025'!$B:$B,$A21,'Source 2025'!$A:$A,"Amount (NIS)")+SUMIFS('Source 2025'!$E:$E,'Source 2025'!$B:$B,$A21,'Source 2025'!$A:$A,"Amount (NIS)")+SUMIFS('Source 2025'!$F:$F,'Source 2025'!$B:$B,$A21,'Source 2025'!$A:$A,"Amount (NIS)")+SUMIFS('Source 2025'!$G:$G,'Source 2025'!$B:$B,$A21,'Source 2025'!$A:$A,"Amount (NIS)")+SUMIFS('Source 2025'!$J:$J,'Source 2025'!$B:$B,$A21,'Source 2025'!$A:$A,"Amount (NIS)")+SUMIFS('Source 2025'!$M:$M,'Source 2025'!$B:$B,$A21,'Source 2025'!$A:$A,"Amount (NIS)")</f>
        <v>36486.6</v>
      </c>
      <c r="I21" s="8" t="n">
        <f aca="false">SUMIFS('Source 2026'!$D:$D,'Source 2026'!$B:$B,$A21,'Source 2026'!$A:$A,"Amount (NIS)")+SUMIFS('Source 2026'!$E:$E,'Source 2026'!$B:$B,$A21,'Source 2026'!$A:$A,"Amount (NIS)")+SUMIFS('Source 2026'!$F:$F,'Source 2026'!$B:$B,$A21,'Source 2026'!$A:$A,"Amount (NIS)")+SUMIFS('Source 2026'!$G:$G,'Source 2026'!$B:$B,$A21,'Source 2026'!$A:$A,"Amount (NIS)")+SUMIFS('Source 2026'!$J:$J,'Source 2026'!$B:$B,$A21,'Source 2026'!$A:$A,"Amount (NIS)")+SUMIFS('Source 2026'!$M:$M,'Source 2026'!$B:$B,$A21,'Source 2026'!$A:$A,"Amount (NIS)")</f>
        <v>26891.9</v>
      </c>
      <c r="J21" s="8" t="n">
        <f aca="false">I21*$J$5</f>
        <v>36880.32</v>
      </c>
      <c r="K21" s="8" t="n">
        <f aca="false">J21-H21</f>
        <v>393.719999999994</v>
      </c>
      <c r="L21" s="9" t="n">
        <f aca="false">IF(AND(H21=0,J21=0),0,IF(H21=0,"New",(J21-H21)/H21))</f>
        <v>0.0107908108730327</v>
      </c>
    </row>
    <row r="22" customFormat="false" ht="15" hidden="false" customHeight="false" outlineLevel="0" collapsed="false">
      <c r="A22" s="7" t="n">
        <v>4408192</v>
      </c>
      <c r="B22" s="7" t="str">
        <f aca="false">IFERROR(INDEX('Source 2026'!$C:$C,MATCH($A22,'Source 2026'!$B:$B,0)),IFERROR(INDEX('Source 2025'!$C:$C,MATCH($A22,'Source 2025'!$B:$B,0)),""))</f>
        <v>078 L חגורת גב +סגירה</v>
      </c>
      <c r="C22" s="8" t="n">
        <f aca="false">SUMIFS('Source 2025'!$D:$D,'Source 2025'!$B:$B,$A22,'Source 2025'!$A:$A,"Quantity (units)")+SUMIFS('Source 2025'!$E:$E,'Source 2025'!$B:$B,$A22,'Source 2025'!$A:$A,"Quantity (units)")+SUMIFS('Source 2025'!$F:$F,'Source 2025'!$B:$B,$A22,'Source 2025'!$A:$A,"Quantity (units)")+SUMIFS('Source 2025'!$G:$G,'Source 2025'!$B:$B,$A22,'Source 2025'!$A:$A,"Quantity (units)")+SUMIFS('Source 2025'!$J:$J,'Source 2025'!$B:$B,$A22,'Source 2025'!$A:$A,"Quantity (units)")+SUMIFS('Source 2025'!$M:$M,'Source 2025'!$B:$B,$A22,'Source 2025'!$A:$A,"Quantity (units)")</f>
        <v>139</v>
      </c>
      <c r="D22" s="8" t="n">
        <f aca="false">SUMIFS('Source 2026'!$D:$D,'Source 2026'!$B:$B,$A22,'Source 2026'!$A:$A,"Quantity (units)")+SUMIFS('Source 2026'!$E:$E,'Source 2026'!$B:$B,$A22,'Source 2026'!$A:$A,"Quantity (units)")+SUMIFS('Source 2026'!$F:$F,'Source 2026'!$B:$B,$A22,'Source 2026'!$A:$A,"Quantity (units)")+SUMIFS('Source 2026'!$G:$G,'Source 2026'!$B:$B,$A22,'Source 2026'!$A:$A,"Quantity (units)")+SUMIFS('Source 2026'!$J:$J,'Source 2026'!$B:$B,$A22,'Source 2026'!$A:$A,"Quantity (units)")+SUMIFS('Source 2026'!$M:$M,'Source 2026'!$B:$B,$A22,'Source 2026'!$A:$A,"Quantity (units)")</f>
        <v>55</v>
      </c>
      <c r="E22" s="8" t="n">
        <f aca="false">D22*$J$5</f>
        <v>75.4285714285714</v>
      </c>
      <c r="F22" s="8" t="n">
        <f aca="false">E22-C22</f>
        <v>-63.5714285714286</v>
      </c>
      <c r="G22" s="9" t="n">
        <f aca="false">IF(AND(C22=0,E22=0),0,IF(C22=0,"New",(E22-C22)/C22))</f>
        <v>-0.457348406988695</v>
      </c>
      <c r="H22" s="8" t="n">
        <f aca="false">SUMIFS('Source 2025'!$D:$D,'Source 2025'!$B:$B,$A22,'Source 2025'!$A:$A,"Amount (NIS)")+SUMIFS('Source 2025'!$E:$E,'Source 2025'!$B:$B,$A22,'Source 2025'!$A:$A,"Amount (NIS)")+SUMIFS('Source 2025'!$F:$F,'Source 2025'!$B:$B,$A22,'Source 2025'!$A:$A,"Amount (NIS)")+SUMIFS('Source 2025'!$G:$G,'Source 2025'!$B:$B,$A22,'Source 2025'!$A:$A,"Amount (NIS)")+SUMIFS('Source 2025'!$J:$J,'Source 2025'!$B:$B,$A22,'Source 2025'!$A:$A,"Amount (NIS)")+SUMIFS('Source 2025'!$M:$M,'Source 2025'!$B:$B,$A22,'Source 2025'!$A:$A,"Amount (NIS)")</f>
        <v>15439</v>
      </c>
      <c r="I22" s="8" t="n">
        <f aca="false">SUMIFS('Source 2026'!$D:$D,'Source 2026'!$B:$B,$A22,'Source 2026'!$A:$A,"Amount (NIS)")+SUMIFS('Source 2026'!$E:$E,'Source 2026'!$B:$B,$A22,'Source 2026'!$A:$A,"Amount (NIS)")+SUMIFS('Source 2026'!$F:$F,'Source 2026'!$B:$B,$A22,'Source 2026'!$A:$A,"Amount (NIS)")+SUMIFS('Source 2026'!$G:$G,'Source 2026'!$B:$B,$A22,'Source 2026'!$A:$A,"Amount (NIS)")+SUMIFS('Source 2026'!$J:$J,'Source 2026'!$B:$B,$A22,'Source 2026'!$A:$A,"Amount (NIS)")+SUMIFS('Source 2026'!$M:$M,'Source 2026'!$B:$B,$A22,'Source 2026'!$A:$A,"Amount (NIS)")</f>
        <v>6254.8</v>
      </c>
      <c r="J22" s="8" t="n">
        <f aca="false">I22*$J$5</f>
        <v>8578.01142857143</v>
      </c>
      <c r="K22" s="8" t="n">
        <f aca="false">J22-H22</f>
        <v>-6860.98857142857</v>
      </c>
      <c r="L22" s="9" t="n">
        <f aca="false">IF(AND(H22=0,J22=0),0,IF(H22=0,"New",(J22-H22)/H22))</f>
        <v>-0.444393326732857</v>
      </c>
    </row>
    <row r="23" customFormat="false" ht="15" hidden="false" customHeight="false" outlineLevel="0" collapsed="false">
      <c r="A23" s="7" t="n">
        <v>4409004</v>
      </c>
      <c r="B23" s="7" t="str">
        <f aca="false">IFERROR(INDEX('Source 2026'!$C:$C,MATCH($A23,'Source 2026'!$B:$B,0)),IFERROR(INDEX('Source 2025'!$C:$C,MATCH($A23,'Source 2025'!$B:$B,0)),""))</f>
        <v>FC335 טלק מעושר באלוורה</v>
      </c>
      <c r="C23" s="8" t="n">
        <f aca="false">SUMIFS('Source 2025'!$D:$D,'Source 2025'!$B:$B,$A23,'Source 2025'!$A:$A,"Quantity (units)")+SUMIFS('Source 2025'!$E:$E,'Source 2025'!$B:$B,$A23,'Source 2025'!$A:$A,"Quantity (units)")+SUMIFS('Source 2025'!$F:$F,'Source 2025'!$B:$B,$A23,'Source 2025'!$A:$A,"Quantity (units)")+SUMIFS('Source 2025'!$G:$G,'Source 2025'!$B:$B,$A23,'Source 2025'!$A:$A,"Quantity (units)")+SUMIFS('Source 2025'!$J:$J,'Source 2025'!$B:$B,$A23,'Source 2025'!$A:$A,"Quantity (units)")+SUMIFS('Source 2025'!$M:$M,'Source 2025'!$B:$B,$A23,'Source 2025'!$A:$A,"Quantity (units)")</f>
        <v>686</v>
      </c>
      <c r="D23" s="8" t="n">
        <f aca="false">SUMIFS('Source 2026'!$D:$D,'Source 2026'!$B:$B,$A23,'Source 2026'!$A:$A,"Quantity (units)")+SUMIFS('Source 2026'!$E:$E,'Source 2026'!$B:$B,$A23,'Source 2026'!$A:$A,"Quantity (units)")+SUMIFS('Source 2026'!$F:$F,'Source 2026'!$B:$B,$A23,'Source 2026'!$A:$A,"Quantity (units)")+SUMIFS('Source 2026'!$G:$G,'Source 2026'!$B:$B,$A23,'Source 2026'!$A:$A,"Quantity (units)")+SUMIFS('Source 2026'!$J:$J,'Source 2026'!$B:$B,$A23,'Source 2026'!$A:$A,"Quantity (units)")+SUMIFS('Source 2026'!$M:$M,'Source 2026'!$B:$B,$A23,'Source 2026'!$A:$A,"Quantity (units)")</f>
        <v>278</v>
      </c>
      <c r="E23" s="8" t="n">
        <f aca="false">D23*$J$5</f>
        <v>381.257142857143</v>
      </c>
      <c r="F23" s="8" t="n">
        <f aca="false">E23-C23</f>
        <v>-304.742857142857</v>
      </c>
      <c r="G23" s="9" t="n">
        <f aca="false">IF(AND(C23=0,E23=0),0,IF(C23=0,"New",(E23-C23)/C23))</f>
        <v>-0.444231570179092</v>
      </c>
      <c r="H23" s="8" t="n">
        <f aca="false">SUMIFS('Source 2025'!$D:$D,'Source 2025'!$B:$B,$A23,'Source 2025'!$A:$A,"Amount (NIS)")+SUMIFS('Source 2025'!$E:$E,'Source 2025'!$B:$B,$A23,'Source 2025'!$A:$A,"Amount (NIS)")+SUMIFS('Source 2025'!$F:$F,'Source 2025'!$B:$B,$A23,'Source 2025'!$A:$A,"Amount (NIS)")+SUMIFS('Source 2025'!$G:$G,'Source 2025'!$B:$B,$A23,'Source 2025'!$A:$A,"Amount (NIS)")+SUMIFS('Source 2025'!$J:$J,'Source 2025'!$B:$B,$A23,'Source 2025'!$A:$A,"Amount (NIS)")+SUMIFS('Source 2025'!$M:$M,'Source 2025'!$B:$B,$A23,'Source 2025'!$A:$A,"Amount (NIS)")</f>
        <v>15450.1</v>
      </c>
      <c r="I23" s="8" t="n">
        <f aca="false">SUMIFS('Source 2026'!$D:$D,'Source 2026'!$B:$B,$A23,'Source 2026'!$A:$A,"Amount (NIS)")+SUMIFS('Source 2026'!$E:$E,'Source 2026'!$B:$B,$A23,'Source 2026'!$A:$A,"Amount (NIS)")+SUMIFS('Source 2026'!$F:$F,'Source 2026'!$B:$B,$A23,'Source 2026'!$A:$A,"Amount (NIS)")+SUMIFS('Source 2026'!$G:$G,'Source 2026'!$B:$B,$A23,'Source 2026'!$A:$A,"Amount (NIS)")+SUMIFS('Source 2026'!$J:$J,'Source 2026'!$B:$B,$A23,'Source 2026'!$A:$A,"Amount (NIS)")+SUMIFS('Source 2026'!$M:$M,'Source 2026'!$B:$B,$A23,'Source 2026'!$A:$A,"Amount (NIS)")</f>
        <v>6368.9</v>
      </c>
      <c r="J23" s="8" t="n">
        <f aca="false">I23*$J$5</f>
        <v>8734.49142857143</v>
      </c>
      <c r="K23" s="8" t="n">
        <f aca="false">J23-H23</f>
        <v>-6715.60857142857</v>
      </c>
      <c r="L23" s="9" t="n">
        <f aca="false">IF(AND(H23=0,J23=0),0,IF(H23=0,"New",(J23-H23)/H23))</f>
        <v>-0.434664408089823</v>
      </c>
    </row>
    <row r="24" customFormat="false" ht="15" hidden="false" customHeight="false" outlineLevel="0" collapsed="false">
      <c r="A24" s="7" t="n">
        <v>4403043</v>
      </c>
      <c r="B24" s="7" t="str">
        <f aca="false">IFERROR(INDEX('Source 2026'!$C:$C,MATCH($A24,'Source 2026'!$B:$B,0)),IFERROR(INDEX('Source 2025'!$C:$C,MATCH($A24,'Source 2025'!$B:$B,0)),""))</f>
        <v>397A-גרבי טיסה אנטי בקטרי43-46</v>
      </c>
      <c r="C24" s="8" t="n">
        <f aca="false">SUMIFS('Source 2025'!$D:$D,'Source 2025'!$B:$B,$A24,'Source 2025'!$A:$A,"Quantity (units)")+SUMIFS('Source 2025'!$E:$E,'Source 2025'!$B:$B,$A24,'Source 2025'!$A:$A,"Quantity (units)")+SUMIFS('Source 2025'!$F:$F,'Source 2025'!$B:$B,$A24,'Source 2025'!$A:$A,"Quantity (units)")+SUMIFS('Source 2025'!$G:$G,'Source 2025'!$B:$B,$A24,'Source 2025'!$A:$A,"Quantity (units)")+SUMIFS('Source 2025'!$J:$J,'Source 2025'!$B:$B,$A24,'Source 2025'!$A:$A,"Quantity (units)")+SUMIFS('Source 2025'!$M:$M,'Source 2025'!$B:$B,$A24,'Source 2025'!$A:$A,"Quantity (units)")</f>
        <v>0</v>
      </c>
      <c r="D24" s="8" t="n">
        <f aca="false">SUMIFS('Source 2026'!$D:$D,'Source 2026'!$B:$B,$A24,'Source 2026'!$A:$A,"Quantity (units)")+SUMIFS('Source 2026'!$E:$E,'Source 2026'!$B:$B,$A24,'Source 2026'!$A:$A,"Quantity (units)")+SUMIFS('Source 2026'!$F:$F,'Source 2026'!$B:$B,$A24,'Source 2026'!$A:$A,"Quantity (units)")+SUMIFS('Source 2026'!$G:$G,'Source 2026'!$B:$B,$A24,'Source 2026'!$A:$A,"Quantity (units)")+SUMIFS('Source 2026'!$J:$J,'Source 2026'!$B:$B,$A24,'Source 2026'!$A:$A,"Quantity (units)")+SUMIFS('Source 2026'!$M:$M,'Source 2026'!$B:$B,$A24,'Source 2026'!$A:$A,"Quantity (units)")</f>
        <v>150</v>
      </c>
      <c r="E24" s="8" t="n">
        <f aca="false">D24*$J$5</f>
        <v>205.714285714286</v>
      </c>
      <c r="F24" s="8" t="n">
        <f aca="false">E24-C24</f>
        <v>205.714285714286</v>
      </c>
      <c r="G24" s="9" t="str">
        <f aca="false">IF(AND(C24=0,E24=0),0,IF(C24=0,"New",(E24-C24)/C24))</f>
        <v>New</v>
      </c>
      <c r="H24" s="8" t="n">
        <f aca="false">SUMIFS('Source 2025'!$D:$D,'Source 2025'!$B:$B,$A24,'Source 2025'!$A:$A,"Amount (NIS)")+SUMIFS('Source 2025'!$E:$E,'Source 2025'!$B:$B,$A24,'Source 2025'!$A:$A,"Amount (NIS)")+SUMIFS('Source 2025'!$F:$F,'Source 2025'!$B:$B,$A24,'Source 2025'!$A:$A,"Amount (NIS)")+SUMIFS('Source 2025'!$G:$G,'Source 2025'!$B:$B,$A24,'Source 2025'!$A:$A,"Amount (NIS)")+SUMIFS('Source 2025'!$J:$J,'Source 2025'!$B:$B,$A24,'Source 2025'!$A:$A,"Amount (NIS)")+SUMIFS('Source 2025'!$M:$M,'Source 2025'!$B:$B,$A24,'Source 2025'!$A:$A,"Amount (NIS)")</f>
        <v>0</v>
      </c>
      <c r="I24" s="8" t="n">
        <f aca="false">SUMIFS('Source 2026'!$D:$D,'Source 2026'!$B:$B,$A24,'Source 2026'!$A:$A,"Amount (NIS)")+SUMIFS('Source 2026'!$E:$E,'Source 2026'!$B:$B,$A24,'Source 2026'!$A:$A,"Amount (NIS)")+SUMIFS('Source 2026'!$F:$F,'Source 2026'!$B:$B,$A24,'Source 2026'!$A:$A,"Amount (NIS)")+SUMIFS('Source 2026'!$G:$G,'Source 2026'!$B:$B,$A24,'Source 2026'!$A:$A,"Amount (NIS)")+SUMIFS('Source 2026'!$J:$J,'Source 2026'!$B:$B,$A24,'Source 2026'!$A:$A,"Amount (NIS)")+SUMIFS('Source 2026'!$M:$M,'Source 2026'!$B:$B,$A24,'Source 2026'!$A:$A,"Amount (NIS)")</f>
        <v>8894.4</v>
      </c>
      <c r="J24" s="8" t="n">
        <f aca="false">I24*$J$5</f>
        <v>12198.0342857143</v>
      </c>
      <c r="K24" s="8" t="n">
        <f aca="false">J24-H24</f>
        <v>12198.0342857143</v>
      </c>
      <c r="L24" s="9" t="str">
        <f aca="false">IF(AND(H24=0,J24=0),0,IF(H24=0,"New",(J24-H24)/H24))</f>
        <v>New</v>
      </c>
    </row>
    <row r="25" customFormat="false" ht="15" hidden="false" customHeight="false" outlineLevel="0" collapsed="false">
      <c r="A25" s="7" t="n">
        <v>4409015</v>
      </c>
      <c r="B25" s="7" t="str">
        <f aca="false">IFERROR(INDEX('Source 2026'!$C:$C,MATCH($A25,'Source 2026'!$B:$B,0)),IFERROR(INDEX('Source 2025'!$C:$C,MATCH($A25,'Source 2025'!$B:$B,0)),""))</f>
        <v>808KT-BL       טייפ קינזיולוגי</v>
      </c>
      <c r="C25" s="8" t="n">
        <f aca="false">SUMIFS('Source 2025'!$D:$D,'Source 2025'!$B:$B,$A25,'Source 2025'!$A:$A,"Quantity (units)")+SUMIFS('Source 2025'!$E:$E,'Source 2025'!$B:$B,$A25,'Source 2025'!$A:$A,"Quantity (units)")+SUMIFS('Source 2025'!$F:$F,'Source 2025'!$B:$B,$A25,'Source 2025'!$A:$A,"Quantity (units)")+SUMIFS('Source 2025'!$G:$G,'Source 2025'!$B:$B,$A25,'Source 2025'!$A:$A,"Quantity (units)")+SUMIFS('Source 2025'!$J:$J,'Source 2025'!$B:$B,$A25,'Source 2025'!$A:$A,"Quantity (units)")+SUMIFS('Source 2025'!$M:$M,'Source 2025'!$B:$B,$A25,'Source 2025'!$A:$A,"Quantity (units)")</f>
        <v>411</v>
      </c>
      <c r="D25" s="8" t="n">
        <f aca="false">SUMIFS('Source 2026'!$D:$D,'Source 2026'!$B:$B,$A25,'Source 2026'!$A:$A,"Quantity (units)")+SUMIFS('Source 2026'!$E:$E,'Source 2026'!$B:$B,$A25,'Source 2026'!$A:$A,"Quantity (units)")+SUMIFS('Source 2026'!$F:$F,'Source 2026'!$B:$B,$A25,'Source 2026'!$A:$A,"Quantity (units)")+SUMIFS('Source 2026'!$G:$G,'Source 2026'!$B:$B,$A25,'Source 2026'!$A:$A,"Quantity (units)")+SUMIFS('Source 2026'!$J:$J,'Source 2026'!$B:$B,$A25,'Source 2026'!$A:$A,"Quantity (units)")+SUMIFS('Source 2026'!$M:$M,'Source 2026'!$B:$B,$A25,'Source 2026'!$A:$A,"Quantity (units)")</f>
        <v>117</v>
      </c>
      <c r="E25" s="8" t="n">
        <f aca="false">D25*$J$5</f>
        <v>160.457142857143</v>
      </c>
      <c r="F25" s="8" t="n">
        <f aca="false">E25-C25</f>
        <v>-250.542857142857</v>
      </c>
      <c r="G25" s="9" t="n">
        <f aca="false">IF(AND(C25=0,E25=0),0,IF(C25=0,"New",(E25-C25)/C25))</f>
        <v>-0.609593326381648</v>
      </c>
      <c r="H25" s="8" t="n">
        <f aca="false">SUMIFS('Source 2025'!$D:$D,'Source 2025'!$B:$B,$A25,'Source 2025'!$A:$A,"Amount (NIS)")+SUMIFS('Source 2025'!$E:$E,'Source 2025'!$B:$B,$A25,'Source 2025'!$A:$A,"Amount (NIS)")+SUMIFS('Source 2025'!$F:$F,'Source 2025'!$B:$B,$A25,'Source 2025'!$A:$A,"Amount (NIS)")+SUMIFS('Source 2025'!$G:$G,'Source 2025'!$B:$B,$A25,'Source 2025'!$A:$A,"Amount (NIS)")+SUMIFS('Source 2025'!$J:$J,'Source 2025'!$B:$B,$A25,'Source 2025'!$A:$A,"Amount (NIS)")+SUMIFS('Source 2025'!$M:$M,'Source 2025'!$B:$B,$A25,'Source 2025'!$A:$A,"Amount (NIS)")</f>
        <v>13057</v>
      </c>
      <c r="I25" s="8" t="n">
        <f aca="false">SUMIFS('Source 2026'!$D:$D,'Source 2026'!$B:$B,$A25,'Source 2026'!$A:$A,"Amount (NIS)")+SUMIFS('Source 2026'!$E:$E,'Source 2026'!$B:$B,$A25,'Source 2026'!$A:$A,"Amount (NIS)")+SUMIFS('Source 2026'!$F:$F,'Source 2026'!$B:$B,$A25,'Source 2026'!$A:$A,"Amount (NIS)")+SUMIFS('Source 2026'!$G:$G,'Source 2026'!$B:$B,$A25,'Source 2026'!$A:$A,"Amount (NIS)")+SUMIFS('Source 2026'!$J:$J,'Source 2026'!$B:$B,$A25,'Source 2026'!$A:$A,"Amount (NIS)")+SUMIFS('Source 2026'!$M:$M,'Source 2026'!$B:$B,$A25,'Source 2026'!$A:$A,"Amount (NIS)")</f>
        <v>4205</v>
      </c>
      <c r="J25" s="8" t="n">
        <f aca="false">I25*$J$5</f>
        <v>5766.85714285714</v>
      </c>
      <c r="K25" s="8" t="n">
        <f aca="false">J25-H25</f>
        <v>-7290.14285714286</v>
      </c>
      <c r="L25" s="9" t="n">
        <f aca="false">IF(AND(H25=0,J25=0),0,IF(H25=0,"New",(J25-H25)/H25))</f>
        <v>-0.558332148054136</v>
      </c>
    </row>
    <row r="26" customFormat="false" ht="15" hidden="false" customHeight="false" outlineLevel="0" collapsed="false">
      <c r="A26" s="7" t="n">
        <v>4413372</v>
      </c>
      <c r="B26" s="7" t="str">
        <f aca="false">IFERROR(INDEX('Source 2026'!$C:$C,MATCH($A26,'Source 2026'!$B:$B,0)),IFERROR(INDEX('Source 2025'!$C:$C,MATCH($A26,'Source 2025'!$B:$B,0)),""))</f>
        <v>302 W מדרס לאישה</v>
      </c>
      <c r="C26" s="8" t="n">
        <f aca="false">SUMIFS('Source 2025'!$D:$D,'Source 2025'!$B:$B,$A26,'Source 2025'!$A:$A,"Quantity (units)")+SUMIFS('Source 2025'!$E:$E,'Source 2025'!$B:$B,$A26,'Source 2025'!$A:$A,"Quantity (units)")+SUMIFS('Source 2025'!$F:$F,'Source 2025'!$B:$B,$A26,'Source 2025'!$A:$A,"Quantity (units)")+SUMIFS('Source 2025'!$G:$G,'Source 2025'!$B:$B,$A26,'Source 2025'!$A:$A,"Quantity (units)")+SUMIFS('Source 2025'!$J:$J,'Source 2025'!$B:$B,$A26,'Source 2025'!$A:$A,"Quantity (units)")+SUMIFS('Source 2025'!$M:$M,'Source 2025'!$B:$B,$A26,'Source 2025'!$A:$A,"Quantity (units)")</f>
        <v>272</v>
      </c>
      <c r="D26" s="8" t="n">
        <f aca="false">SUMIFS('Source 2026'!$D:$D,'Source 2026'!$B:$B,$A26,'Source 2026'!$A:$A,"Quantity (units)")+SUMIFS('Source 2026'!$E:$E,'Source 2026'!$B:$B,$A26,'Source 2026'!$A:$A,"Quantity (units)")+SUMIFS('Source 2026'!$F:$F,'Source 2026'!$B:$B,$A26,'Source 2026'!$A:$A,"Quantity (units)")+SUMIFS('Source 2026'!$G:$G,'Source 2026'!$B:$B,$A26,'Source 2026'!$A:$A,"Quantity (units)")+SUMIFS('Source 2026'!$J:$J,'Source 2026'!$B:$B,$A26,'Source 2026'!$A:$A,"Quantity (units)")+SUMIFS('Source 2026'!$M:$M,'Source 2026'!$B:$B,$A26,'Source 2026'!$A:$A,"Quantity (units)")</f>
        <v>123</v>
      </c>
      <c r="E26" s="8" t="n">
        <f aca="false">D26*$J$5</f>
        <v>168.685714285714</v>
      </c>
      <c r="F26" s="8" t="n">
        <f aca="false">E26-C26</f>
        <v>-103.314285714286</v>
      </c>
      <c r="G26" s="9" t="n">
        <f aca="false">IF(AND(C26=0,E26=0),0,IF(C26=0,"New",(E26-C26)/C26))</f>
        <v>-0.379831932773109</v>
      </c>
      <c r="H26" s="8" t="n">
        <f aca="false">SUMIFS('Source 2025'!$D:$D,'Source 2025'!$B:$B,$A26,'Source 2025'!$A:$A,"Amount (NIS)")+SUMIFS('Source 2025'!$E:$E,'Source 2025'!$B:$B,$A26,'Source 2025'!$A:$A,"Amount (NIS)")+SUMIFS('Source 2025'!$F:$F,'Source 2025'!$B:$B,$A26,'Source 2025'!$A:$A,"Amount (NIS)")+SUMIFS('Source 2025'!$G:$G,'Source 2025'!$B:$B,$A26,'Source 2025'!$A:$A,"Amount (NIS)")+SUMIFS('Source 2025'!$J:$J,'Source 2025'!$B:$B,$A26,'Source 2025'!$A:$A,"Amount (NIS)")+SUMIFS('Source 2025'!$M:$M,'Source 2025'!$B:$B,$A26,'Source 2025'!$A:$A,"Amount (NIS)")</f>
        <v>16261.3</v>
      </c>
      <c r="I26" s="8" t="n">
        <f aca="false">SUMIFS('Source 2026'!$D:$D,'Source 2026'!$B:$B,$A26,'Source 2026'!$A:$A,"Amount (NIS)")+SUMIFS('Source 2026'!$E:$E,'Source 2026'!$B:$B,$A26,'Source 2026'!$A:$A,"Amount (NIS)")+SUMIFS('Source 2026'!$F:$F,'Source 2026'!$B:$B,$A26,'Source 2026'!$A:$A,"Amount (NIS)")+SUMIFS('Source 2026'!$G:$G,'Source 2026'!$B:$B,$A26,'Source 2026'!$A:$A,"Amount (NIS)")+SUMIFS('Source 2026'!$J:$J,'Source 2026'!$B:$B,$A26,'Source 2026'!$A:$A,"Amount (NIS)")+SUMIFS('Source 2026'!$M:$M,'Source 2026'!$B:$B,$A26,'Source 2026'!$A:$A,"Amount (NIS)")</f>
        <v>7913.5</v>
      </c>
      <c r="J26" s="8" t="n">
        <f aca="false">I26*$J$5</f>
        <v>10852.8</v>
      </c>
      <c r="K26" s="8" t="n">
        <f aca="false">J26-H26</f>
        <v>-5408.5</v>
      </c>
      <c r="L26" s="9" t="n">
        <f aca="false">IF(AND(H26=0,J26=0),0,IF(H26=0,"New",(J26-H26)/H26))</f>
        <v>-0.332599484666048</v>
      </c>
    </row>
    <row r="27" customFormat="false" ht="15" hidden="false" customHeight="false" outlineLevel="0" collapsed="false">
      <c r="A27" s="7" t="n">
        <v>4414000</v>
      </c>
      <c r="B27" s="7" t="str">
        <f aca="false">IFERROR(INDEX('Source 2026'!$C:$C,MATCH($A27,'Source 2026'!$B:$B,0)),IFERROR(INDEX('Source 2025'!$C:$C,MATCH($A27,'Source 2025'!$B:$B,0)),""))</f>
        <v>FC342-נוזל לציפורן חודרנית</v>
      </c>
      <c r="C27" s="8" t="n">
        <f aca="false">SUMIFS('Source 2025'!$D:$D,'Source 2025'!$B:$B,$A27,'Source 2025'!$A:$A,"Quantity (units)")+SUMIFS('Source 2025'!$E:$E,'Source 2025'!$B:$B,$A27,'Source 2025'!$A:$A,"Quantity (units)")+SUMIFS('Source 2025'!$F:$F,'Source 2025'!$B:$B,$A27,'Source 2025'!$A:$A,"Quantity (units)")+SUMIFS('Source 2025'!$G:$G,'Source 2025'!$B:$B,$A27,'Source 2025'!$A:$A,"Quantity (units)")+SUMIFS('Source 2025'!$J:$J,'Source 2025'!$B:$B,$A27,'Source 2025'!$A:$A,"Quantity (units)")+SUMIFS('Source 2025'!$M:$M,'Source 2025'!$B:$B,$A27,'Source 2025'!$A:$A,"Quantity (units)")</f>
        <v>710</v>
      </c>
      <c r="D27" s="8" t="n">
        <f aca="false">SUMIFS('Source 2026'!$D:$D,'Source 2026'!$B:$B,$A27,'Source 2026'!$A:$A,"Quantity (units)")+SUMIFS('Source 2026'!$E:$E,'Source 2026'!$B:$B,$A27,'Source 2026'!$A:$A,"Quantity (units)")+SUMIFS('Source 2026'!$F:$F,'Source 2026'!$B:$B,$A27,'Source 2026'!$A:$A,"Quantity (units)")+SUMIFS('Source 2026'!$G:$G,'Source 2026'!$B:$B,$A27,'Source 2026'!$A:$A,"Quantity (units)")+SUMIFS('Source 2026'!$J:$J,'Source 2026'!$B:$B,$A27,'Source 2026'!$A:$A,"Quantity (units)")+SUMIFS('Source 2026'!$M:$M,'Source 2026'!$B:$B,$A27,'Source 2026'!$A:$A,"Quantity (units)")</f>
        <v>425</v>
      </c>
      <c r="E27" s="8" t="n">
        <f aca="false">D27*$J$5</f>
        <v>582.857142857143</v>
      </c>
      <c r="F27" s="8" t="n">
        <f aca="false">E27-C27</f>
        <v>-127.142857142857</v>
      </c>
      <c r="G27" s="9" t="n">
        <f aca="false">IF(AND(C27=0,E27=0),0,IF(C27=0,"New",(E27-C27)/C27))</f>
        <v>-0.17907444668008</v>
      </c>
      <c r="H27" s="8" t="n">
        <f aca="false">SUMIFS('Source 2025'!$D:$D,'Source 2025'!$B:$B,$A27,'Source 2025'!$A:$A,"Amount (NIS)")+SUMIFS('Source 2025'!$E:$E,'Source 2025'!$B:$B,$A27,'Source 2025'!$A:$A,"Amount (NIS)")+SUMIFS('Source 2025'!$F:$F,'Source 2025'!$B:$B,$A27,'Source 2025'!$A:$A,"Amount (NIS)")+SUMIFS('Source 2025'!$G:$G,'Source 2025'!$B:$B,$A27,'Source 2025'!$A:$A,"Amount (NIS)")+SUMIFS('Source 2025'!$J:$J,'Source 2025'!$B:$B,$A27,'Source 2025'!$A:$A,"Amount (NIS)")+SUMIFS('Source 2025'!$M:$M,'Source 2025'!$B:$B,$A27,'Source 2025'!$A:$A,"Amount (NIS)")</f>
        <v>23268.2</v>
      </c>
      <c r="I27" s="8" t="n">
        <f aca="false">SUMIFS('Source 2026'!$D:$D,'Source 2026'!$B:$B,$A27,'Source 2026'!$A:$A,"Amount (NIS)")+SUMIFS('Source 2026'!$E:$E,'Source 2026'!$B:$B,$A27,'Source 2026'!$A:$A,"Amount (NIS)")+SUMIFS('Source 2026'!$F:$F,'Source 2026'!$B:$B,$A27,'Source 2026'!$A:$A,"Amount (NIS)")+SUMIFS('Source 2026'!$G:$G,'Source 2026'!$B:$B,$A27,'Source 2026'!$A:$A,"Amount (NIS)")+SUMIFS('Source 2026'!$J:$J,'Source 2026'!$B:$B,$A27,'Source 2026'!$A:$A,"Amount (NIS)")+SUMIFS('Source 2026'!$M:$M,'Source 2026'!$B:$B,$A27,'Source 2026'!$A:$A,"Amount (NIS)")</f>
        <v>15119.6</v>
      </c>
      <c r="J27" s="8" t="n">
        <f aca="false">I27*$J$5</f>
        <v>20735.4514285714</v>
      </c>
      <c r="K27" s="8" t="n">
        <f aca="false">J27-H27</f>
        <v>-2532.74857142857</v>
      </c>
      <c r="L27" s="9" t="n">
        <f aca="false">IF(AND(H27=0,J27=0),0,IF(H27=0,"New",(J27-H27)/H27))</f>
        <v>-0.108850214946948</v>
      </c>
    </row>
    <row r="28" customFormat="false" ht="15" hidden="false" customHeight="false" outlineLevel="0" collapsed="false">
      <c r="A28" s="7" t="n">
        <v>4413453</v>
      </c>
      <c r="B28" s="7" t="str">
        <f aca="false">IFERROR(INDEX('Source 2026'!$C:$C,MATCH($A28,'Source 2026'!$B:$B,0)),IFERROR(INDEX('Source 2025'!$C:$C,MATCH($A28,'Source 2025'!$B:$B,0)),""))</f>
        <v>AC75 מישר כתפיים אקטיב</v>
      </c>
      <c r="C28" s="8" t="n">
        <f aca="false">SUMIFS('Source 2025'!$D:$D,'Source 2025'!$B:$B,$A28,'Source 2025'!$A:$A,"Quantity (units)")+SUMIFS('Source 2025'!$E:$E,'Source 2025'!$B:$B,$A28,'Source 2025'!$A:$A,"Quantity (units)")+SUMIFS('Source 2025'!$F:$F,'Source 2025'!$B:$B,$A28,'Source 2025'!$A:$A,"Quantity (units)")+SUMIFS('Source 2025'!$G:$G,'Source 2025'!$B:$B,$A28,'Source 2025'!$A:$A,"Quantity (units)")+SUMIFS('Source 2025'!$J:$J,'Source 2025'!$B:$B,$A28,'Source 2025'!$A:$A,"Quantity (units)")+SUMIFS('Source 2025'!$M:$M,'Source 2025'!$B:$B,$A28,'Source 2025'!$A:$A,"Quantity (units)")</f>
        <v>943</v>
      </c>
      <c r="D28" s="8" t="n">
        <f aca="false">SUMIFS('Source 2026'!$D:$D,'Source 2026'!$B:$B,$A28,'Source 2026'!$A:$A,"Quantity (units)")+SUMIFS('Source 2026'!$E:$E,'Source 2026'!$B:$B,$A28,'Source 2026'!$A:$A,"Quantity (units)")+SUMIFS('Source 2026'!$F:$F,'Source 2026'!$B:$B,$A28,'Source 2026'!$A:$A,"Quantity (units)")+SUMIFS('Source 2026'!$G:$G,'Source 2026'!$B:$B,$A28,'Source 2026'!$A:$A,"Quantity (units)")+SUMIFS('Source 2026'!$J:$J,'Source 2026'!$B:$B,$A28,'Source 2026'!$A:$A,"Quantity (units)")+SUMIFS('Source 2026'!$M:$M,'Source 2026'!$B:$B,$A28,'Source 2026'!$A:$A,"Quantity (units)")</f>
        <v>737</v>
      </c>
      <c r="E28" s="8" t="n">
        <f aca="false">D28*$J$5</f>
        <v>1010.74285714286</v>
      </c>
      <c r="F28" s="8" t="n">
        <f aca="false">E28-C28</f>
        <v>67.7428571428571</v>
      </c>
      <c r="G28" s="9" t="n">
        <f aca="false">IF(AND(C28=0,E28=0),0,IF(C28=0,"New",(E28-C28)/C28))</f>
        <v>0.0718376003635813</v>
      </c>
      <c r="H28" s="8" t="n">
        <f aca="false">SUMIFS('Source 2025'!$D:$D,'Source 2025'!$B:$B,$A28,'Source 2025'!$A:$A,"Amount (NIS)")+SUMIFS('Source 2025'!$E:$E,'Source 2025'!$B:$B,$A28,'Source 2025'!$A:$A,"Amount (NIS)")+SUMIFS('Source 2025'!$F:$F,'Source 2025'!$B:$B,$A28,'Source 2025'!$A:$A,"Amount (NIS)")+SUMIFS('Source 2025'!$G:$G,'Source 2025'!$B:$B,$A28,'Source 2025'!$A:$A,"Amount (NIS)")+SUMIFS('Source 2025'!$J:$J,'Source 2025'!$B:$B,$A28,'Source 2025'!$A:$A,"Amount (NIS)")+SUMIFS('Source 2025'!$M:$M,'Source 2025'!$B:$B,$A28,'Source 2025'!$A:$A,"Amount (NIS)")</f>
        <v>65610.8</v>
      </c>
      <c r="I28" s="8" t="n">
        <f aca="false">SUMIFS('Source 2026'!$D:$D,'Source 2026'!$B:$B,$A28,'Source 2026'!$A:$A,"Amount (NIS)")+SUMIFS('Source 2026'!$E:$E,'Source 2026'!$B:$B,$A28,'Source 2026'!$A:$A,"Amount (NIS)")+SUMIFS('Source 2026'!$F:$F,'Source 2026'!$B:$B,$A28,'Source 2026'!$A:$A,"Amount (NIS)")+SUMIFS('Source 2026'!$G:$G,'Source 2026'!$B:$B,$A28,'Source 2026'!$A:$A,"Amount (NIS)")+SUMIFS('Source 2026'!$J:$J,'Source 2026'!$B:$B,$A28,'Source 2026'!$A:$A,"Amount (NIS)")+SUMIFS('Source 2026'!$M:$M,'Source 2026'!$B:$B,$A28,'Source 2026'!$A:$A,"Amount (NIS)")</f>
        <v>57737.9</v>
      </c>
      <c r="J28" s="8" t="n">
        <f aca="false">I28*$J$5</f>
        <v>79183.4057142857</v>
      </c>
      <c r="K28" s="8" t="n">
        <f aca="false">J28-H28</f>
        <v>13572.6057142857</v>
      </c>
      <c r="L28" s="9" t="n">
        <f aca="false">IF(AND(H28=0,J28=0),0,IF(H28=0,"New",(J28-H28)/H28))</f>
        <v>0.206865420240048</v>
      </c>
    </row>
    <row r="29" customFormat="false" ht="15" hidden="false" customHeight="false" outlineLevel="0" collapsed="false">
      <c r="A29" s="7" t="n">
        <v>4408264</v>
      </c>
      <c r="B29" s="7" t="str">
        <f aca="false">IFERROR(INDEX('Source 2026'!$C:$C,MATCH($A29,'Source 2026'!$B:$B,0)),IFERROR(INDEX('Source 2025'!$C:$C,MATCH($A29,'Source 2025'!$B:$B,0)),""))</f>
        <v>T25B   חבק יד אגודלי</v>
      </c>
      <c r="C29" s="8" t="n">
        <f aca="false">SUMIFS('Source 2025'!$D:$D,'Source 2025'!$B:$B,$A29,'Source 2025'!$A:$A,"Quantity (units)")+SUMIFS('Source 2025'!$E:$E,'Source 2025'!$B:$B,$A29,'Source 2025'!$A:$A,"Quantity (units)")+SUMIFS('Source 2025'!$F:$F,'Source 2025'!$B:$B,$A29,'Source 2025'!$A:$A,"Quantity (units)")+SUMIFS('Source 2025'!$G:$G,'Source 2025'!$B:$B,$A29,'Source 2025'!$A:$A,"Quantity (units)")+SUMIFS('Source 2025'!$J:$J,'Source 2025'!$B:$B,$A29,'Source 2025'!$A:$A,"Quantity (units)")+SUMIFS('Source 2025'!$M:$M,'Source 2025'!$B:$B,$A29,'Source 2025'!$A:$A,"Quantity (units)")</f>
        <v>382</v>
      </c>
      <c r="D29" s="8" t="n">
        <f aca="false">SUMIFS('Source 2026'!$D:$D,'Source 2026'!$B:$B,$A29,'Source 2026'!$A:$A,"Quantity (units)")+SUMIFS('Source 2026'!$E:$E,'Source 2026'!$B:$B,$A29,'Source 2026'!$A:$A,"Quantity (units)")+SUMIFS('Source 2026'!$F:$F,'Source 2026'!$B:$B,$A29,'Source 2026'!$A:$A,"Quantity (units)")+SUMIFS('Source 2026'!$G:$G,'Source 2026'!$B:$B,$A29,'Source 2026'!$A:$A,"Quantity (units)")+SUMIFS('Source 2026'!$J:$J,'Source 2026'!$B:$B,$A29,'Source 2026'!$A:$A,"Quantity (units)")+SUMIFS('Source 2026'!$M:$M,'Source 2026'!$B:$B,$A29,'Source 2026'!$A:$A,"Quantity (units)")</f>
        <v>179</v>
      </c>
      <c r="E29" s="8" t="n">
        <f aca="false">D29*$J$5</f>
        <v>245.485714285714</v>
      </c>
      <c r="F29" s="8" t="n">
        <f aca="false">E29-C29</f>
        <v>-136.514285714286</v>
      </c>
      <c r="G29" s="9" t="n">
        <f aca="false">IF(AND(C29=0,E29=0),0,IF(C29=0,"New",(E29-C29)/C29))</f>
        <v>-0.357367240089753</v>
      </c>
      <c r="H29" s="8" t="n">
        <f aca="false">SUMIFS('Source 2025'!$D:$D,'Source 2025'!$B:$B,$A29,'Source 2025'!$A:$A,"Amount (NIS)")+SUMIFS('Source 2025'!$E:$E,'Source 2025'!$B:$B,$A29,'Source 2025'!$A:$A,"Amount (NIS)")+SUMIFS('Source 2025'!$F:$F,'Source 2025'!$B:$B,$A29,'Source 2025'!$A:$A,"Amount (NIS)")+SUMIFS('Source 2025'!$G:$G,'Source 2025'!$B:$B,$A29,'Source 2025'!$A:$A,"Amount (NIS)")+SUMIFS('Source 2025'!$J:$J,'Source 2025'!$B:$B,$A29,'Source 2025'!$A:$A,"Amount (NIS)")+SUMIFS('Source 2025'!$M:$M,'Source 2025'!$B:$B,$A29,'Source 2025'!$A:$A,"Amount (NIS)")</f>
        <v>15998.7</v>
      </c>
      <c r="I29" s="8" t="n">
        <f aca="false">SUMIFS('Source 2026'!$D:$D,'Source 2026'!$B:$B,$A29,'Source 2026'!$A:$A,"Amount (NIS)")+SUMIFS('Source 2026'!$E:$E,'Source 2026'!$B:$B,$A29,'Source 2026'!$A:$A,"Amount (NIS)")+SUMIFS('Source 2026'!$F:$F,'Source 2026'!$B:$B,$A29,'Source 2026'!$A:$A,"Amount (NIS)")+SUMIFS('Source 2026'!$G:$G,'Source 2026'!$B:$B,$A29,'Source 2026'!$A:$A,"Amount (NIS)")+SUMIFS('Source 2026'!$J:$J,'Source 2026'!$B:$B,$A29,'Source 2026'!$A:$A,"Amount (NIS)")+SUMIFS('Source 2026'!$M:$M,'Source 2026'!$B:$B,$A29,'Source 2026'!$A:$A,"Amount (NIS)")</f>
        <v>8153</v>
      </c>
      <c r="J29" s="8" t="n">
        <f aca="false">I29*$J$5</f>
        <v>11181.2571428571</v>
      </c>
      <c r="K29" s="8" t="n">
        <f aca="false">J29-H29</f>
        <v>-4817.44285714286</v>
      </c>
      <c r="L29" s="9" t="n">
        <f aca="false">IF(AND(H29=0,J29=0),0,IF(H29=0,"New",(J29-H29)/H29))</f>
        <v>-0.301114644136265</v>
      </c>
    </row>
    <row r="30" customFormat="false" ht="15" hidden="false" customHeight="false" outlineLevel="0" collapsed="false">
      <c r="A30" s="7" t="n">
        <v>4408218</v>
      </c>
      <c r="B30" s="7" t="str">
        <f aca="false">IFERROR(INDEX('Source 2026'!$C:$C,MATCH($A30,'Source 2026'!$B:$B,0)),IFERROR(INDEX('Source 2025'!$C:$C,MATCH($A30,'Source 2025'!$B:$B,0)),""))</f>
        <v>078XL חגורת גב +סגירה כפולה</v>
      </c>
      <c r="C30" s="8" t="n">
        <f aca="false">SUMIFS('Source 2025'!$D:$D,'Source 2025'!$B:$B,$A30,'Source 2025'!$A:$A,"Quantity (units)")+SUMIFS('Source 2025'!$E:$E,'Source 2025'!$B:$B,$A30,'Source 2025'!$A:$A,"Quantity (units)")+SUMIFS('Source 2025'!$F:$F,'Source 2025'!$B:$B,$A30,'Source 2025'!$A:$A,"Quantity (units)")+SUMIFS('Source 2025'!$G:$G,'Source 2025'!$B:$B,$A30,'Source 2025'!$A:$A,"Quantity (units)")+SUMIFS('Source 2025'!$J:$J,'Source 2025'!$B:$B,$A30,'Source 2025'!$A:$A,"Quantity (units)")+SUMIFS('Source 2025'!$M:$M,'Source 2025'!$B:$B,$A30,'Source 2025'!$A:$A,"Quantity (units)")</f>
        <v>121</v>
      </c>
      <c r="D30" s="8" t="n">
        <f aca="false">SUMIFS('Source 2026'!$D:$D,'Source 2026'!$B:$B,$A30,'Source 2026'!$A:$A,"Quantity (units)")+SUMIFS('Source 2026'!$E:$E,'Source 2026'!$B:$B,$A30,'Source 2026'!$A:$A,"Quantity (units)")+SUMIFS('Source 2026'!$F:$F,'Source 2026'!$B:$B,$A30,'Source 2026'!$A:$A,"Quantity (units)")+SUMIFS('Source 2026'!$G:$G,'Source 2026'!$B:$B,$A30,'Source 2026'!$A:$A,"Quantity (units)")+SUMIFS('Source 2026'!$J:$J,'Source 2026'!$B:$B,$A30,'Source 2026'!$A:$A,"Quantity (units)")+SUMIFS('Source 2026'!$M:$M,'Source 2026'!$B:$B,$A30,'Source 2026'!$A:$A,"Quantity (units)")</f>
        <v>52</v>
      </c>
      <c r="E30" s="8" t="n">
        <f aca="false">D30*$J$5</f>
        <v>71.3142857142857</v>
      </c>
      <c r="F30" s="8" t="n">
        <f aca="false">E30-C30</f>
        <v>-49.6857142857143</v>
      </c>
      <c r="G30" s="9" t="n">
        <f aca="false">IF(AND(C30=0,E30=0),0,IF(C30=0,"New",(E30-C30)/C30))</f>
        <v>-0.410625737898465</v>
      </c>
      <c r="H30" s="8" t="n">
        <f aca="false">SUMIFS('Source 2025'!$D:$D,'Source 2025'!$B:$B,$A30,'Source 2025'!$A:$A,"Amount (NIS)")+SUMIFS('Source 2025'!$E:$E,'Source 2025'!$B:$B,$A30,'Source 2025'!$A:$A,"Amount (NIS)")+SUMIFS('Source 2025'!$F:$F,'Source 2025'!$B:$B,$A30,'Source 2025'!$A:$A,"Amount (NIS)")+SUMIFS('Source 2025'!$G:$G,'Source 2025'!$B:$B,$A30,'Source 2025'!$A:$A,"Amount (NIS)")+SUMIFS('Source 2025'!$J:$J,'Source 2025'!$B:$B,$A30,'Source 2025'!$A:$A,"Amount (NIS)")+SUMIFS('Source 2025'!$M:$M,'Source 2025'!$B:$B,$A30,'Source 2025'!$A:$A,"Amount (NIS)")</f>
        <v>13380.2</v>
      </c>
      <c r="I30" s="8" t="n">
        <f aca="false">SUMIFS('Source 2026'!$D:$D,'Source 2026'!$B:$B,$A30,'Source 2026'!$A:$A,"Amount (NIS)")+SUMIFS('Source 2026'!$E:$E,'Source 2026'!$B:$B,$A30,'Source 2026'!$A:$A,"Amount (NIS)")+SUMIFS('Source 2026'!$F:$F,'Source 2026'!$B:$B,$A30,'Source 2026'!$A:$A,"Amount (NIS)")+SUMIFS('Source 2026'!$G:$G,'Source 2026'!$B:$B,$A30,'Source 2026'!$A:$A,"Amount (NIS)")+SUMIFS('Source 2026'!$J:$J,'Source 2026'!$B:$B,$A30,'Source 2026'!$A:$A,"Amount (NIS)")+SUMIFS('Source 2026'!$M:$M,'Source 2026'!$B:$B,$A30,'Source 2026'!$A:$A,"Amount (NIS)")</f>
        <v>5965.9</v>
      </c>
      <c r="J30" s="8" t="n">
        <f aca="false">I30*$J$5</f>
        <v>8181.80571428571</v>
      </c>
      <c r="K30" s="8" t="n">
        <f aca="false">J30-H30</f>
        <v>-5198.39428571429</v>
      </c>
      <c r="L30" s="9" t="n">
        <f aca="false">IF(AND(H30=0,J30=0),0,IF(H30=0,"New",(J30-H30)/H30))</f>
        <v>-0.388513944912205</v>
      </c>
    </row>
    <row r="31" customFormat="false" ht="15" hidden="false" customHeight="false" outlineLevel="0" collapsed="false">
      <c r="A31" s="7" t="n">
        <v>4403028</v>
      </c>
      <c r="B31" s="7" t="str">
        <f aca="false">IFERROR(INDEX('Source 2026'!$C:$C,MATCH($A31,'Source 2026'!$B:$B,0)),IFERROR(INDEX('Source 2025'!$C:$C,MATCH($A31,'Source 2025'!$B:$B,0)),""))</f>
        <v>397 35-38 גרבי טיסה מידה</v>
      </c>
      <c r="C31" s="8" t="n">
        <f aca="false">SUMIFS('Source 2025'!$D:$D,'Source 2025'!$B:$B,$A31,'Source 2025'!$A:$A,"Quantity (units)")+SUMIFS('Source 2025'!$E:$E,'Source 2025'!$B:$B,$A31,'Source 2025'!$A:$A,"Quantity (units)")+SUMIFS('Source 2025'!$F:$F,'Source 2025'!$B:$B,$A31,'Source 2025'!$A:$A,"Quantity (units)")+SUMIFS('Source 2025'!$G:$G,'Source 2025'!$B:$B,$A31,'Source 2025'!$A:$A,"Quantity (units)")+SUMIFS('Source 2025'!$J:$J,'Source 2025'!$B:$B,$A31,'Source 2025'!$A:$A,"Quantity (units)")+SUMIFS('Source 2025'!$M:$M,'Source 2025'!$B:$B,$A31,'Source 2025'!$A:$A,"Quantity (units)")</f>
        <v>125</v>
      </c>
      <c r="D31" s="8" t="n">
        <f aca="false">SUMIFS('Source 2026'!$D:$D,'Source 2026'!$B:$B,$A31,'Source 2026'!$A:$A,"Quantity (units)")+SUMIFS('Source 2026'!$E:$E,'Source 2026'!$B:$B,$A31,'Source 2026'!$A:$A,"Quantity (units)")+SUMIFS('Source 2026'!$F:$F,'Source 2026'!$B:$B,$A31,'Source 2026'!$A:$A,"Quantity (units)")+SUMIFS('Source 2026'!$G:$G,'Source 2026'!$B:$B,$A31,'Source 2026'!$A:$A,"Quantity (units)")+SUMIFS('Source 2026'!$J:$J,'Source 2026'!$B:$B,$A31,'Source 2026'!$A:$A,"Quantity (units)")+SUMIFS('Source 2026'!$M:$M,'Source 2026'!$B:$B,$A31,'Source 2026'!$A:$A,"Quantity (units)")</f>
        <v>-1</v>
      </c>
      <c r="E31" s="8" t="n">
        <f aca="false">D31*$J$5</f>
        <v>-1.37142857142857</v>
      </c>
      <c r="F31" s="8" t="n">
        <f aca="false">E31-C31</f>
        <v>-126.371428571429</v>
      </c>
      <c r="G31" s="9" t="n">
        <f aca="false">IF(AND(C31=0,E31=0),0,IF(C31=0,"New",(E31-C31)/C31))</f>
        <v>-1.01097142857143</v>
      </c>
      <c r="H31" s="8" t="n">
        <f aca="false">SUMIFS('Source 2025'!$D:$D,'Source 2025'!$B:$B,$A31,'Source 2025'!$A:$A,"Amount (NIS)")+SUMIFS('Source 2025'!$E:$E,'Source 2025'!$B:$B,$A31,'Source 2025'!$A:$A,"Amount (NIS)")+SUMIFS('Source 2025'!$F:$F,'Source 2025'!$B:$B,$A31,'Source 2025'!$A:$A,"Amount (NIS)")+SUMIFS('Source 2025'!$G:$G,'Source 2025'!$B:$B,$A31,'Source 2025'!$A:$A,"Amount (NIS)")+SUMIFS('Source 2025'!$J:$J,'Source 2025'!$B:$B,$A31,'Source 2025'!$A:$A,"Amount (NIS)")+SUMIFS('Source 2025'!$M:$M,'Source 2025'!$B:$B,$A31,'Source 2025'!$A:$A,"Amount (NIS)")</f>
        <v>7355.3</v>
      </c>
      <c r="I31" s="8" t="n">
        <f aca="false">SUMIFS('Source 2026'!$D:$D,'Source 2026'!$B:$B,$A31,'Source 2026'!$A:$A,"Amount (NIS)")+SUMIFS('Source 2026'!$E:$E,'Source 2026'!$B:$B,$A31,'Source 2026'!$A:$A,"Amount (NIS)")+SUMIFS('Source 2026'!$F:$F,'Source 2026'!$B:$B,$A31,'Source 2026'!$A:$A,"Amount (NIS)")+SUMIFS('Source 2026'!$G:$G,'Source 2026'!$B:$B,$A31,'Source 2026'!$A:$A,"Amount (NIS)")+SUMIFS('Source 2026'!$J:$J,'Source 2026'!$B:$B,$A31,'Source 2026'!$A:$A,"Amount (NIS)")+SUMIFS('Source 2026'!$M:$M,'Source 2026'!$B:$B,$A31,'Source 2026'!$A:$A,"Amount (NIS)")</f>
        <v>-52.8</v>
      </c>
      <c r="J31" s="8" t="n">
        <f aca="false">I31*$J$5</f>
        <v>-72.4114285714286</v>
      </c>
      <c r="K31" s="8" t="n">
        <f aca="false">J31-H31</f>
        <v>-7427.71142857143</v>
      </c>
      <c r="L31" s="9" t="n">
        <f aca="false">IF(AND(H31=0,J31=0),0,IF(H31=0,"New",(J31-H31)/H31))</f>
        <v>-1.00984479607513</v>
      </c>
    </row>
    <row r="32" customFormat="false" ht="15" hidden="false" customHeight="false" outlineLevel="0" collapsed="false">
      <c r="A32" s="7" t="n">
        <v>4408051</v>
      </c>
      <c r="B32" s="7" t="str">
        <f aca="false">IFERROR(INDEX('Source 2026'!$C:$C,MATCH($A32,'Source 2026'!$B:$B,0)),IFERROR(INDEX('Source 2025'!$C:$C,MATCH($A32,'Source 2025'!$B:$B,0)),""))</f>
        <v>21 S  חבק יד ארוך</v>
      </c>
      <c r="C32" s="8" t="n">
        <f aca="false">SUMIFS('Source 2025'!$D:$D,'Source 2025'!$B:$B,$A32,'Source 2025'!$A:$A,"Quantity (units)")+SUMIFS('Source 2025'!$E:$E,'Source 2025'!$B:$B,$A32,'Source 2025'!$A:$A,"Quantity (units)")+SUMIFS('Source 2025'!$F:$F,'Source 2025'!$B:$B,$A32,'Source 2025'!$A:$A,"Quantity (units)")+SUMIFS('Source 2025'!$G:$G,'Source 2025'!$B:$B,$A32,'Source 2025'!$A:$A,"Quantity (units)")+SUMIFS('Source 2025'!$J:$J,'Source 2025'!$B:$B,$A32,'Source 2025'!$A:$A,"Quantity (units)")+SUMIFS('Source 2025'!$M:$M,'Source 2025'!$B:$B,$A32,'Source 2025'!$A:$A,"Quantity (units)")</f>
        <v>346</v>
      </c>
      <c r="D32" s="8" t="n">
        <f aca="false">SUMIFS('Source 2026'!$D:$D,'Source 2026'!$B:$B,$A32,'Source 2026'!$A:$A,"Quantity (units)")+SUMIFS('Source 2026'!$E:$E,'Source 2026'!$B:$B,$A32,'Source 2026'!$A:$A,"Quantity (units)")+SUMIFS('Source 2026'!$F:$F,'Source 2026'!$B:$B,$A32,'Source 2026'!$A:$A,"Quantity (units)")+SUMIFS('Source 2026'!$G:$G,'Source 2026'!$B:$B,$A32,'Source 2026'!$A:$A,"Quantity (units)")+SUMIFS('Source 2026'!$J:$J,'Source 2026'!$B:$B,$A32,'Source 2026'!$A:$A,"Quantity (units)")+SUMIFS('Source 2026'!$M:$M,'Source 2026'!$B:$B,$A32,'Source 2026'!$A:$A,"Quantity (units)")</f>
        <v>162</v>
      </c>
      <c r="E32" s="8" t="n">
        <f aca="false">D32*$J$5</f>
        <v>222.171428571429</v>
      </c>
      <c r="F32" s="8" t="n">
        <f aca="false">E32-C32</f>
        <v>-123.828571428571</v>
      </c>
      <c r="G32" s="9" t="n">
        <f aca="false">IF(AND(C32=0,E32=0),0,IF(C32=0,"New",(E32-C32)/C32))</f>
        <v>-0.357886044591247</v>
      </c>
      <c r="H32" s="8" t="n">
        <f aca="false">SUMIFS('Source 2025'!$D:$D,'Source 2025'!$B:$B,$A32,'Source 2025'!$A:$A,"Amount (NIS)")+SUMIFS('Source 2025'!$E:$E,'Source 2025'!$B:$B,$A32,'Source 2025'!$A:$A,"Amount (NIS)")+SUMIFS('Source 2025'!$F:$F,'Source 2025'!$B:$B,$A32,'Source 2025'!$A:$A,"Amount (NIS)")+SUMIFS('Source 2025'!$G:$G,'Source 2025'!$B:$B,$A32,'Source 2025'!$A:$A,"Amount (NIS)")+SUMIFS('Source 2025'!$J:$J,'Source 2025'!$B:$B,$A32,'Source 2025'!$A:$A,"Amount (NIS)")+SUMIFS('Source 2025'!$M:$M,'Source 2025'!$B:$B,$A32,'Source 2025'!$A:$A,"Amount (NIS)")</f>
        <v>13452.1</v>
      </c>
      <c r="I32" s="8" t="n">
        <f aca="false">SUMIFS('Source 2026'!$D:$D,'Source 2026'!$B:$B,$A32,'Source 2026'!$A:$A,"Amount (NIS)")+SUMIFS('Source 2026'!$E:$E,'Source 2026'!$B:$B,$A32,'Source 2026'!$A:$A,"Amount (NIS)")+SUMIFS('Source 2026'!$F:$F,'Source 2026'!$B:$B,$A32,'Source 2026'!$A:$A,"Amount (NIS)")+SUMIFS('Source 2026'!$G:$G,'Source 2026'!$B:$B,$A32,'Source 2026'!$A:$A,"Amount (NIS)")+SUMIFS('Source 2026'!$J:$J,'Source 2026'!$B:$B,$A32,'Source 2026'!$A:$A,"Amount (NIS)")+SUMIFS('Source 2026'!$M:$M,'Source 2026'!$B:$B,$A32,'Source 2026'!$A:$A,"Amount (NIS)")</f>
        <v>6356.1</v>
      </c>
      <c r="J32" s="8" t="n">
        <f aca="false">I32*$J$5</f>
        <v>8716.93714285714</v>
      </c>
      <c r="K32" s="8" t="n">
        <f aca="false">J32-H32</f>
        <v>-4735.16285714286</v>
      </c>
      <c r="L32" s="9" t="n">
        <f aca="false">IF(AND(H32=0,J32=0),0,IF(H32=0,"New",(J32-H32)/H32))</f>
        <v>-0.3520017586208</v>
      </c>
    </row>
    <row r="33" customFormat="false" ht="15" hidden="false" customHeight="false" outlineLevel="0" collapsed="false">
      <c r="A33" s="7" t="n">
        <v>4419006</v>
      </c>
      <c r="B33" s="7" t="str">
        <f aca="false">IFERROR(INDEX('Source 2026'!$C:$C,MATCH($A33,'Source 2026'!$B:$B,0)),IFERROR(INDEX('Source 2025'!$C:$C,MATCH($A33,'Source 2025'!$B:$B,0)),""))</f>
        <v>PD340-קוצץ ציפורניים</v>
      </c>
      <c r="C33" s="8" t="n">
        <f aca="false">SUMIFS('Source 2025'!$D:$D,'Source 2025'!$B:$B,$A33,'Source 2025'!$A:$A,"Quantity (units)")+SUMIFS('Source 2025'!$E:$E,'Source 2025'!$B:$B,$A33,'Source 2025'!$A:$A,"Quantity (units)")+SUMIFS('Source 2025'!$F:$F,'Source 2025'!$B:$B,$A33,'Source 2025'!$A:$A,"Quantity (units)")+SUMIFS('Source 2025'!$G:$G,'Source 2025'!$B:$B,$A33,'Source 2025'!$A:$A,"Quantity (units)")+SUMIFS('Source 2025'!$J:$J,'Source 2025'!$B:$B,$A33,'Source 2025'!$A:$A,"Quantity (units)")+SUMIFS('Source 2025'!$M:$M,'Source 2025'!$B:$B,$A33,'Source 2025'!$A:$A,"Quantity (units)")</f>
        <v>1063</v>
      </c>
      <c r="D33" s="8" t="n">
        <f aca="false">SUMIFS('Source 2026'!$D:$D,'Source 2026'!$B:$B,$A33,'Source 2026'!$A:$A,"Quantity (units)")+SUMIFS('Source 2026'!$E:$E,'Source 2026'!$B:$B,$A33,'Source 2026'!$A:$A,"Quantity (units)")+SUMIFS('Source 2026'!$F:$F,'Source 2026'!$B:$B,$A33,'Source 2026'!$A:$A,"Quantity (units)")+SUMIFS('Source 2026'!$G:$G,'Source 2026'!$B:$B,$A33,'Source 2026'!$A:$A,"Quantity (units)")+SUMIFS('Source 2026'!$J:$J,'Source 2026'!$B:$B,$A33,'Source 2026'!$A:$A,"Quantity (units)")+SUMIFS('Source 2026'!$M:$M,'Source 2026'!$B:$B,$A33,'Source 2026'!$A:$A,"Quantity (units)")</f>
        <v>534</v>
      </c>
      <c r="E33" s="8" t="n">
        <f aca="false">D33*$J$5</f>
        <v>732.342857142857</v>
      </c>
      <c r="F33" s="8" t="n">
        <f aca="false">E33-C33</f>
        <v>-330.657142857143</v>
      </c>
      <c r="G33" s="9" t="n">
        <f aca="false">IF(AND(C33=0,E33=0),0,IF(C33=0,"New",(E33-C33)/C33))</f>
        <v>-0.311060341351969</v>
      </c>
      <c r="H33" s="8" t="n">
        <f aca="false">SUMIFS('Source 2025'!$D:$D,'Source 2025'!$B:$B,$A33,'Source 2025'!$A:$A,"Amount (NIS)")+SUMIFS('Source 2025'!$E:$E,'Source 2025'!$B:$B,$A33,'Source 2025'!$A:$A,"Amount (NIS)")+SUMIFS('Source 2025'!$F:$F,'Source 2025'!$B:$B,$A33,'Source 2025'!$A:$A,"Amount (NIS)")+SUMIFS('Source 2025'!$G:$G,'Source 2025'!$B:$B,$A33,'Source 2025'!$A:$A,"Amount (NIS)")+SUMIFS('Source 2025'!$J:$J,'Source 2025'!$B:$B,$A33,'Source 2025'!$A:$A,"Amount (NIS)")+SUMIFS('Source 2025'!$M:$M,'Source 2025'!$B:$B,$A33,'Source 2025'!$A:$A,"Amount (NIS)")</f>
        <v>14552.5</v>
      </c>
      <c r="I33" s="8" t="n">
        <f aca="false">SUMIFS('Source 2026'!$D:$D,'Source 2026'!$B:$B,$A33,'Source 2026'!$A:$A,"Amount (NIS)")+SUMIFS('Source 2026'!$E:$E,'Source 2026'!$B:$B,$A33,'Source 2026'!$A:$A,"Amount (NIS)")+SUMIFS('Source 2026'!$F:$F,'Source 2026'!$B:$B,$A33,'Source 2026'!$A:$A,"Amount (NIS)")+SUMIFS('Source 2026'!$G:$G,'Source 2026'!$B:$B,$A33,'Source 2026'!$A:$A,"Amount (NIS)")+SUMIFS('Source 2026'!$J:$J,'Source 2026'!$B:$B,$A33,'Source 2026'!$A:$A,"Amount (NIS)")+SUMIFS('Source 2026'!$M:$M,'Source 2026'!$B:$B,$A33,'Source 2026'!$A:$A,"Amount (NIS)")</f>
        <v>7485</v>
      </c>
      <c r="J33" s="8" t="n">
        <f aca="false">I33*$J$5</f>
        <v>10265.1428571429</v>
      </c>
      <c r="K33" s="8" t="n">
        <f aca="false">J33-H33</f>
        <v>-4287.35714285714</v>
      </c>
      <c r="L33" s="9" t="n">
        <f aca="false">IF(AND(H33=0,J33=0),0,IF(H33=0,"New",(J33-H33)/H33))</f>
        <v>-0.294613100350946</v>
      </c>
    </row>
    <row r="34" customFormat="false" ht="15" hidden="false" customHeight="false" outlineLevel="0" collapsed="false">
      <c r="A34" s="7" t="n">
        <v>4415026</v>
      </c>
      <c r="B34" s="7" t="str">
        <f aca="false">IFERROR(INDEX('Source 2026'!$C:$C,MATCH($A34,'Source 2026'!$B:$B,0)),IFERROR(INDEX('Source 2025'!$C:$C,MATCH($A34,'Source 2025'!$B:$B,0)),""))</f>
        <v>AC-27L סד לש.כף יד שמאל</v>
      </c>
      <c r="C34" s="8" t="n">
        <f aca="false">SUMIFS('Source 2025'!$D:$D,'Source 2025'!$B:$B,$A34,'Source 2025'!$A:$A,"Quantity (units)")+SUMIFS('Source 2025'!$E:$E,'Source 2025'!$B:$B,$A34,'Source 2025'!$A:$A,"Quantity (units)")+SUMIFS('Source 2025'!$F:$F,'Source 2025'!$B:$B,$A34,'Source 2025'!$A:$A,"Quantity (units)")+SUMIFS('Source 2025'!$G:$G,'Source 2025'!$B:$B,$A34,'Source 2025'!$A:$A,"Quantity (units)")+SUMIFS('Source 2025'!$J:$J,'Source 2025'!$B:$B,$A34,'Source 2025'!$A:$A,"Quantity (units)")+SUMIFS('Source 2025'!$M:$M,'Source 2025'!$B:$B,$A34,'Source 2025'!$A:$A,"Quantity (units)")</f>
        <v>364</v>
      </c>
      <c r="D34" s="8" t="n">
        <f aca="false">SUMIFS('Source 2026'!$D:$D,'Source 2026'!$B:$B,$A34,'Source 2026'!$A:$A,"Quantity (units)")+SUMIFS('Source 2026'!$E:$E,'Source 2026'!$B:$B,$A34,'Source 2026'!$A:$A,"Quantity (units)")+SUMIFS('Source 2026'!$F:$F,'Source 2026'!$B:$B,$A34,'Source 2026'!$A:$A,"Quantity (units)")+SUMIFS('Source 2026'!$G:$G,'Source 2026'!$B:$B,$A34,'Source 2026'!$A:$A,"Quantity (units)")+SUMIFS('Source 2026'!$J:$J,'Source 2026'!$B:$B,$A34,'Source 2026'!$A:$A,"Quantity (units)")+SUMIFS('Source 2026'!$M:$M,'Source 2026'!$B:$B,$A34,'Source 2026'!$A:$A,"Quantity (units)")</f>
        <v>199</v>
      </c>
      <c r="E34" s="8" t="n">
        <f aca="false">D34*$J$5</f>
        <v>272.914285714286</v>
      </c>
      <c r="F34" s="8" t="n">
        <f aca="false">E34-C34</f>
        <v>-91.0857142857143</v>
      </c>
      <c r="G34" s="9" t="n">
        <f aca="false">IF(AND(C34=0,E34=0),0,IF(C34=0,"New",(E34-C34)/C34))</f>
        <v>-0.250235478806907</v>
      </c>
      <c r="H34" s="8" t="n">
        <f aca="false">SUMIFS('Source 2025'!$D:$D,'Source 2025'!$B:$B,$A34,'Source 2025'!$A:$A,"Amount (NIS)")+SUMIFS('Source 2025'!$E:$E,'Source 2025'!$B:$B,$A34,'Source 2025'!$A:$A,"Amount (NIS)")+SUMIFS('Source 2025'!$F:$F,'Source 2025'!$B:$B,$A34,'Source 2025'!$A:$A,"Amount (NIS)")+SUMIFS('Source 2025'!$G:$G,'Source 2025'!$B:$B,$A34,'Source 2025'!$A:$A,"Amount (NIS)")+SUMIFS('Source 2025'!$J:$J,'Source 2025'!$B:$B,$A34,'Source 2025'!$A:$A,"Amount (NIS)")+SUMIFS('Source 2025'!$M:$M,'Source 2025'!$B:$B,$A34,'Source 2025'!$A:$A,"Amount (NIS)")</f>
        <v>15021.6</v>
      </c>
      <c r="I34" s="8" t="n">
        <f aca="false">SUMIFS('Source 2026'!$D:$D,'Source 2026'!$B:$B,$A34,'Source 2026'!$A:$A,"Amount (NIS)")+SUMIFS('Source 2026'!$E:$E,'Source 2026'!$B:$B,$A34,'Source 2026'!$A:$A,"Amount (NIS)")+SUMIFS('Source 2026'!$F:$F,'Source 2026'!$B:$B,$A34,'Source 2026'!$A:$A,"Amount (NIS)")+SUMIFS('Source 2026'!$G:$G,'Source 2026'!$B:$B,$A34,'Source 2026'!$A:$A,"Amount (NIS)")+SUMIFS('Source 2026'!$J:$J,'Source 2026'!$B:$B,$A34,'Source 2026'!$A:$A,"Amount (NIS)")+SUMIFS('Source 2026'!$M:$M,'Source 2026'!$B:$B,$A34,'Source 2026'!$A:$A,"Amount (NIS)")</f>
        <v>8065</v>
      </c>
      <c r="J34" s="8" t="n">
        <f aca="false">I34*$J$5</f>
        <v>11060.5714285714</v>
      </c>
      <c r="K34" s="8" t="n">
        <f aca="false">J34-H34</f>
        <v>-3961.02857142857</v>
      </c>
      <c r="L34" s="9" t="n">
        <f aca="false">IF(AND(H34=0,J34=0),0,IF(H34=0,"New",(J34-H34)/H34))</f>
        <v>-0.263688859470933</v>
      </c>
    </row>
    <row r="35" customFormat="false" ht="15" hidden="false" customHeight="false" outlineLevel="0" collapsed="false">
      <c r="A35" s="7" t="n">
        <v>4416000</v>
      </c>
      <c r="B35" s="7" t="str">
        <f aca="false">IFERROR(INDEX('Source 2026'!$C:$C,MATCH($A35,'Source 2026'!$B:$B,0)),IFERROR(INDEX('Source 2025'!$C:$C,MATCH($A35,'Source 2025'!$B:$B,0)),""))</f>
        <v>307 L עקבים לדורבן-זוג כריות</v>
      </c>
      <c r="C35" s="8" t="n">
        <f aca="false">SUMIFS('Source 2025'!$D:$D,'Source 2025'!$B:$B,$A35,'Source 2025'!$A:$A,"Quantity (units)")+SUMIFS('Source 2025'!$E:$E,'Source 2025'!$B:$B,$A35,'Source 2025'!$A:$A,"Quantity (units)")+SUMIFS('Source 2025'!$F:$F,'Source 2025'!$B:$B,$A35,'Source 2025'!$A:$A,"Quantity (units)")+SUMIFS('Source 2025'!$G:$G,'Source 2025'!$B:$B,$A35,'Source 2025'!$A:$A,"Quantity (units)")+SUMIFS('Source 2025'!$J:$J,'Source 2025'!$B:$B,$A35,'Source 2025'!$A:$A,"Quantity (units)")+SUMIFS('Source 2025'!$M:$M,'Source 2025'!$B:$B,$A35,'Source 2025'!$A:$A,"Quantity (units)")</f>
        <v>158</v>
      </c>
      <c r="D35" s="8" t="n">
        <f aca="false">SUMIFS('Source 2026'!$D:$D,'Source 2026'!$B:$B,$A35,'Source 2026'!$A:$A,"Quantity (units)")+SUMIFS('Source 2026'!$E:$E,'Source 2026'!$B:$B,$A35,'Source 2026'!$A:$A,"Quantity (units)")+SUMIFS('Source 2026'!$F:$F,'Source 2026'!$B:$B,$A35,'Source 2026'!$A:$A,"Quantity (units)")+SUMIFS('Source 2026'!$G:$G,'Source 2026'!$B:$B,$A35,'Source 2026'!$A:$A,"Quantity (units)")+SUMIFS('Source 2026'!$J:$J,'Source 2026'!$B:$B,$A35,'Source 2026'!$A:$A,"Quantity (units)")+SUMIFS('Source 2026'!$M:$M,'Source 2026'!$B:$B,$A35,'Source 2026'!$A:$A,"Quantity (units)")</f>
        <v>74</v>
      </c>
      <c r="E35" s="8" t="n">
        <f aca="false">D35*$J$5</f>
        <v>101.485714285714</v>
      </c>
      <c r="F35" s="8" t="n">
        <f aca="false">E35-C35</f>
        <v>-56.5142857142857</v>
      </c>
      <c r="G35" s="9" t="n">
        <f aca="false">IF(AND(C35=0,E35=0),0,IF(C35=0,"New",(E35-C35)/C35))</f>
        <v>-0.357685352622062</v>
      </c>
      <c r="H35" s="8" t="n">
        <f aca="false">SUMIFS('Source 2025'!$D:$D,'Source 2025'!$B:$B,$A35,'Source 2025'!$A:$A,"Amount (NIS)")+SUMIFS('Source 2025'!$E:$E,'Source 2025'!$B:$B,$A35,'Source 2025'!$A:$A,"Amount (NIS)")+SUMIFS('Source 2025'!$F:$F,'Source 2025'!$B:$B,$A35,'Source 2025'!$A:$A,"Amount (NIS)")+SUMIFS('Source 2025'!$G:$G,'Source 2025'!$B:$B,$A35,'Source 2025'!$A:$A,"Amount (NIS)")+SUMIFS('Source 2025'!$J:$J,'Source 2025'!$B:$B,$A35,'Source 2025'!$A:$A,"Amount (NIS)")+SUMIFS('Source 2025'!$M:$M,'Source 2025'!$B:$B,$A35,'Source 2025'!$A:$A,"Amount (NIS)")</f>
        <v>13067.4</v>
      </c>
      <c r="I35" s="8" t="n">
        <f aca="false">SUMIFS('Source 2026'!$D:$D,'Source 2026'!$B:$B,$A35,'Source 2026'!$A:$A,"Amount (NIS)")+SUMIFS('Source 2026'!$E:$E,'Source 2026'!$B:$B,$A35,'Source 2026'!$A:$A,"Amount (NIS)")+SUMIFS('Source 2026'!$F:$F,'Source 2026'!$B:$B,$A35,'Source 2026'!$A:$A,"Amount (NIS)")+SUMIFS('Source 2026'!$G:$G,'Source 2026'!$B:$B,$A35,'Source 2026'!$A:$A,"Amount (NIS)")+SUMIFS('Source 2026'!$J:$J,'Source 2026'!$B:$B,$A35,'Source 2026'!$A:$A,"Amount (NIS)")+SUMIFS('Source 2026'!$M:$M,'Source 2026'!$B:$B,$A35,'Source 2026'!$A:$A,"Amount (NIS)")</f>
        <v>6186</v>
      </c>
      <c r="J35" s="8" t="n">
        <f aca="false">I35*$J$5</f>
        <v>8483.65714285714</v>
      </c>
      <c r="K35" s="8" t="n">
        <f aca="false">J35-H35</f>
        <v>-4583.74285714286</v>
      </c>
      <c r="L35" s="9" t="n">
        <f aca="false">IF(AND(H35=0,J35=0),0,IF(H35=0,"New",(J35-H35)/H35))</f>
        <v>-0.350776960768237</v>
      </c>
    </row>
    <row r="36" customFormat="false" ht="15" hidden="false" customHeight="false" outlineLevel="0" collapsed="false">
      <c r="A36" s="7" t="n">
        <v>4403041</v>
      </c>
      <c r="B36" s="7" t="str">
        <f aca="false">IFERROR(INDEX('Source 2026'!$C:$C,MATCH($A36,'Source 2026'!$B:$B,0)),IFERROR(INDEX('Source 2025'!$C:$C,MATCH($A36,'Source 2025'!$B:$B,0)),""))</f>
        <v>397A-גרבי טיסה אנטי בקטרי35-38</v>
      </c>
      <c r="C36" s="8" t="n">
        <f aca="false">SUMIFS('Source 2025'!$D:$D,'Source 2025'!$B:$B,$A36,'Source 2025'!$A:$A,"Quantity (units)")+SUMIFS('Source 2025'!$E:$E,'Source 2025'!$B:$B,$A36,'Source 2025'!$A:$A,"Quantity (units)")+SUMIFS('Source 2025'!$F:$F,'Source 2025'!$B:$B,$A36,'Source 2025'!$A:$A,"Quantity (units)")+SUMIFS('Source 2025'!$G:$G,'Source 2025'!$B:$B,$A36,'Source 2025'!$A:$A,"Quantity (units)")+SUMIFS('Source 2025'!$J:$J,'Source 2025'!$B:$B,$A36,'Source 2025'!$A:$A,"Quantity (units)")+SUMIFS('Source 2025'!$M:$M,'Source 2025'!$B:$B,$A36,'Source 2025'!$A:$A,"Quantity (units)")</f>
        <v>0</v>
      </c>
      <c r="D36" s="8" t="n">
        <f aca="false">SUMIFS('Source 2026'!$D:$D,'Source 2026'!$B:$B,$A36,'Source 2026'!$A:$A,"Quantity (units)")+SUMIFS('Source 2026'!$E:$E,'Source 2026'!$B:$B,$A36,'Source 2026'!$A:$A,"Quantity (units)")+SUMIFS('Source 2026'!$F:$F,'Source 2026'!$B:$B,$A36,'Source 2026'!$A:$A,"Quantity (units)")+SUMIFS('Source 2026'!$G:$G,'Source 2026'!$B:$B,$A36,'Source 2026'!$A:$A,"Quantity (units)")+SUMIFS('Source 2026'!$J:$J,'Source 2026'!$B:$B,$A36,'Source 2026'!$A:$A,"Quantity (units)")+SUMIFS('Source 2026'!$M:$M,'Source 2026'!$B:$B,$A36,'Source 2026'!$A:$A,"Quantity (units)")</f>
        <v>116</v>
      </c>
      <c r="E36" s="8" t="n">
        <f aca="false">D36*$J$5</f>
        <v>159.085714285714</v>
      </c>
      <c r="F36" s="8" t="n">
        <f aca="false">E36-C36</f>
        <v>159.085714285714</v>
      </c>
      <c r="G36" s="9" t="str">
        <f aca="false">IF(AND(C36=0,E36=0),0,IF(C36=0,"New",(E36-C36)/C36))</f>
        <v>New</v>
      </c>
      <c r="H36" s="8" t="n">
        <f aca="false">SUMIFS('Source 2025'!$D:$D,'Source 2025'!$B:$B,$A36,'Source 2025'!$A:$A,"Amount (NIS)")+SUMIFS('Source 2025'!$E:$E,'Source 2025'!$B:$B,$A36,'Source 2025'!$A:$A,"Amount (NIS)")+SUMIFS('Source 2025'!$F:$F,'Source 2025'!$B:$B,$A36,'Source 2025'!$A:$A,"Amount (NIS)")+SUMIFS('Source 2025'!$G:$G,'Source 2025'!$B:$B,$A36,'Source 2025'!$A:$A,"Amount (NIS)")+SUMIFS('Source 2025'!$J:$J,'Source 2025'!$B:$B,$A36,'Source 2025'!$A:$A,"Amount (NIS)")+SUMIFS('Source 2025'!$M:$M,'Source 2025'!$B:$B,$A36,'Source 2025'!$A:$A,"Amount (NIS)")</f>
        <v>0</v>
      </c>
      <c r="I36" s="8" t="n">
        <f aca="false">SUMIFS('Source 2026'!$D:$D,'Source 2026'!$B:$B,$A36,'Source 2026'!$A:$A,"Amount (NIS)")+SUMIFS('Source 2026'!$E:$E,'Source 2026'!$B:$B,$A36,'Source 2026'!$A:$A,"Amount (NIS)")+SUMIFS('Source 2026'!$F:$F,'Source 2026'!$B:$B,$A36,'Source 2026'!$A:$A,"Amount (NIS)")+SUMIFS('Source 2026'!$G:$G,'Source 2026'!$B:$B,$A36,'Source 2026'!$A:$A,"Amount (NIS)")+SUMIFS('Source 2026'!$J:$J,'Source 2026'!$B:$B,$A36,'Source 2026'!$A:$A,"Amount (NIS)")+SUMIFS('Source 2026'!$M:$M,'Source 2026'!$B:$B,$A36,'Source 2026'!$A:$A,"Amount (NIS)")</f>
        <v>6879.5</v>
      </c>
      <c r="J36" s="8" t="n">
        <f aca="false">I36*$J$5</f>
        <v>9434.74285714286</v>
      </c>
      <c r="K36" s="8" t="n">
        <f aca="false">J36-H36</f>
        <v>9434.74285714286</v>
      </c>
      <c r="L36" s="9" t="str">
        <f aca="false">IF(AND(H36=0,J36=0),0,IF(H36=0,"New",(J36-H36)/H36))</f>
        <v>New</v>
      </c>
    </row>
    <row r="37" customFormat="false" ht="15" hidden="false" customHeight="false" outlineLevel="0" collapsed="false">
      <c r="A37" s="7" t="n">
        <v>4409014</v>
      </c>
      <c r="B37" s="7" t="str">
        <f aca="false">IFERROR(INDEX('Source 2026'!$C:$C,MATCH($A37,'Source 2026'!$B:$B,0)),IFERROR(INDEX('Source 2025'!$C:$C,MATCH($A37,'Source 2025'!$B:$B,0)),""))</f>
        <v>808KT-P        טייפ קינזיולוגי</v>
      </c>
      <c r="C37" s="8" t="n">
        <f aca="false">SUMIFS('Source 2025'!$D:$D,'Source 2025'!$B:$B,$A37,'Source 2025'!$A:$A,"Quantity (units)")+SUMIFS('Source 2025'!$E:$E,'Source 2025'!$B:$B,$A37,'Source 2025'!$A:$A,"Quantity (units)")+SUMIFS('Source 2025'!$F:$F,'Source 2025'!$B:$B,$A37,'Source 2025'!$A:$A,"Quantity (units)")+SUMIFS('Source 2025'!$G:$G,'Source 2025'!$B:$B,$A37,'Source 2025'!$A:$A,"Quantity (units)")+SUMIFS('Source 2025'!$J:$J,'Source 2025'!$B:$B,$A37,'Source 2025'!$A:$A,"Quantity (units)")+SUMIFS('Source 2025'!$M:$M,'Source 2025'!$B:$B,$A37,'Source 2025'!$A:$A,"Quantity (units)")</f>
        <v>295</v>
      </c>
      <c r="D37" s="8" t="n">
        <f aca="false">SUMIFS('Source 2026'!$D:$D,'Source 2026'!$B:$B,$A37,'Source 2026'!$A:$A,"Quantity (units)")+SUMIFS('Source 2026'!$E:$E,'Source 2026'!$B:$B,$A37,'Source 2026'!$A:$A,"Quantity (units)")+SUMIFS('Source 2026'!$F:$F,'Source 2026'!$B:$B,$A37,'Source 2026'!$A:$A,"Quantity (units)")+SUMIFS('Source 2026'!$G:$G,'Source 2026'!$B:$B,$A37,'Source 2026'!$A:$A,"Quantity (units)")+SUMIFS('Source 2026'!$J:$J,'Source 2026'!$B:$B,$A37,'Source 2026'!$A:$A,"Quantity (units)")+SUMIFS('Source 2026'!$M:$M,'Source 2026'!$B:$B,$A37,'Source 2026'!$A:$A,"Quantity (units)")</f>
        <v>63</v>
      </c>
      <c r="E37" s="8" t="n">
        <f aca="false">D37*$J$5</f>
        <v>86.4</v>
      </c>
      <c r="F37" s="8" t="n">
        <f aca="false">E37-C37</f>
        <v>-208.6</v>
      </c>
      <c r="G37" s="9" t="n">
        <f aca="false">IF(AND(C37=0,E37=0),0,IF(C37=0,"New",(E37-C37)/C37))</f>
        <v>-0.707118644067797</v>
      </c>
      <c r="H37" s="8" t="n">
        <f aca="false">SUMIFS('Source 2025'!$D:$D,'Source 2025'!$B:$B,$A37,'Source 2025'!$A:$A,"Amount (NIS)")+SUMIFS('Source 2025'!$E:$E,'Source 2025'!$B:$B,$A37,'Source 2025'!$A:$A,"Amount (NIS)")+SUMIFS('Source 2025'!$F:$F,'Source 2025'!$B:$B,$A37,'Source 2025'!$A:$A,"Amount (NIS)")+SUMIFS('Source 2025'!$G:$G,'Source 2025'!$B:$B,$A37,'Source 2025'!$A:$A,"Amount (NIS)")+SUMIFS('Source 2025'!$J:$J,'Source 2025'!$B:$B,$A37,'Source 2025'!$A:$A,"Amount (NIS)")+SUMIFS('Source 2025'!$M:$M,'Source 2025'!$B:$B,$A37,'Source 2025'!$A:$A,"Amount (NIS)")</f>
        <v>8838</v>
      </c>
      <c r="I37" s="8" t="n">
        <f aca="false">SUMIFS('Source 2026'!$D:$D,'Source 2026'!$B:$B,$A37,'Source 2026'!$A:$A,"Amount (NIS)")+SUMIFS('Source 2026'!$E:$E,'Source 2026'!$B:$B,$A37,'Source 2026'!$A:$A,"Amount (NIS)")+SUMIFS('Source 2026'!$F:$F,'Source 2026'!$B:$B,$A37,'Source 2026'!$A:$A,"Amount (NIS)")+SUMIFS('Source 2026'!$G:$G,'Source 2026'!$B:$B,$A37,'Source 2026'!$A:$A,"Amount (NIS)")+SUMIFS('Source 2026'!$J:$J,'Source 2026'!$B:$B,$A37,'Source 2026'!$A:$A,"Amount (NIS)")+SUMIFS('Source 2026'!$M:$M,'Source 2026'!$B:$B,$A37,'Source 2026'!$A:$A,"Amount (NIS)")</f>
        <v>2401</v>
      </c>
      <c r="J37" s="8" t="n">
        <f aca="false">I37*$J$5</f>
        <v>3292.8</v>
      </c>
      <c r="K37" s="8" t="n">
        <f aca="false">J37-H37</f>
        <v>-5545.2</v>
      </c>
      <c r="L37" s="9" t="n">
        <f aca="false">IF(AND(H37=0,J37=0),0,IF(H37=0,"New",(J37-H37)/H37))</f>
        <v>-0.627427019687712</v>
      </c>
    </row>
    <row r="38" customFormat="false" ht="15" hidden="false" customHeight="false" outlineLevel="0" collapsed="false">
      <c r="A38" s="7" t="n">
        <v>4409016</v>
      </c>
      <c r="B38" s="7" t="str">
        <f aca="false">IFERROR(INDEX('Source 2026'!$C:$C,MATCH($A38,'Source 2026'!$B:$B,0)),IFERROR(INDEX('Source 2025'!$C:$C,MATCH($A38,'Source 2025'!$B:$B,0)),""))</f>
        <v>808KT-C        טייפ קינזיולוגי</v>
      </c>
      <c r="C38" s="8" t="n">
        <f aca="false">SUMIFS('Source 2025'!$D:$D,'Source 2025'!$B:$B,$A38,'Source 2025'!$A:$A,"Quantity (units)")+SUMIFS('Source 2025'!$E:$E,'Source 2025'!$B:$B,$A38,'Source 2025'!$A:$A,"Quantity (units)")+SUMIFS('Source 2025'!$F:$F,'Source 2025'!$B:$B,$A38,'Source 2025'!$A:$A,"Quantity (units)")+SUMIFS('Source 2025'!$G:$G,'Source 2025'!$B:$B,$A38,'Source 2025'!$A:$A,"Quantity (units)")+SUMIFS('Source 2025'!$J:$J,'Source 2025'!$B:$B,$A38,'Source 2025'!$A:$A,"Quantity (units)")+SUMIFS('Source 2025'!$M:$M,'Source 2025'!$B:$B,$A38,'Source 2025'!$A:$A,"Quantity (units)")</f>
        <v>517</v>
      </c>
      <c r="D38" s="8" t="n">
        <f aca="false">SUMIFS('Source 2026'!$D:$D,'Source 2026'!$B:$B,$A38,'Source 2026'!$A:$A,"Quantity (units)")+SUMIFS('Source 2026'!$E:$E,'Source 2026'!$B:$B,$A38,'Source 2026'!$A:$A,"Quantity (units)")+SUMIFS('Source 2026'!$F:$F,'Source 2026'!$B:$B,$A38,'Source 2026'!$A:$A,"Quantity (units)")+SUMIFS('Source 2026'!$G:$G,'Source 2026'!$B:$B,$A38,'Source 2026'!$A:$A,"Quantity (units)")+SUMIFS('Source 2026'!$J:$J,'Source 2026'!$B:$B,$A38,'Source 2026'!$A:$A,"Quantity (units)")+SUMIFS('Source 2026'!$M:$M,'Source 2026'!$B:$B,$A38,'Source 2026'!$A:$A,"Quantity (units)")</f>
        <v>278</v>
      </c>
      <c r="E38" s="8" t="n">
        <f aca="false">D38*$J$5</f>
        <v>381.257142857143</v>
      </c>
      <c r="F38" s="8" t="n">
        <f aca="false">E38-C38</f>
        <v>-135.742857142857</v>
      </c>
      <c r="G38" s="9" t="n">
        <f aca="false">IF(AND(C38=0,E38=0),0,IF(C38=0,"New",(E38-C38)/C38))</f>
        <v>-0.262558717877867</v>
      </c>
      <c r="H38" s="8" t="n">
        <f aca="false">SUMIFS('Source 2025'!$D:$D,'Source 2025'!$B:$B,$A38,'Source 2025'!$A:$A,"Amount (NIS)")+SUMIFS('Source 2025'!$E:$E,'Source 2025'!$B:$B,$A38,'Source 2025'!$A:$A,"Amount (NIS)")+SUMIFS('Source 2025'!$F:$F,'Source 2025'!$B:$B,$A38,'Source 2025'!$A:$A,"Amount (NIS)")+SUMIFS('Source 2025'!$G:$G,'Source 2025'!$B:$B,$A38,'Source 2025'!$A:$A,"Amount (NIS)")+SUMIFS('Source 2025'!$J:$J,'Source 2025'!$B:$B,$A38,'Source 2025'!$A:$A,"Amount (NIS)")+SUMIFS('Source 2025'!$M:$M,'Source 2025'!$B:$B,$A38,'Source 2025'!$A:$A,"Amount (NIS)")</f>
        <v>15602.6</v>
      </c>
      <c r="I38" s="8" t="n">
        <f aca="false">SUMIFS('Source 2026'!$D:$D,'Source 2026'!$B:$B,$A38,'Source 2026'!$A:$A,"Amount (NIS)")+SUMIFS('Source 2026'!$E:$E,'Source 2026'!$B:$B,$A38,'Source 2026'!$A:$A,"Amount (NIS)")+SUMIFS('Source 2026'!$F:$F,'Source 2026'!$B:$B,$A38,'Source 2026'!$A:$A,"Amount (NIS)")+SUMIFS('Source 2026'!$G:$G,'Source 2026'!$B:$B,$A38,'Source 2026'!$A:$A,"Amount (NIS)")+SUMIFS('Source 2026'!$J:$J,'Source 2026'!$B:$B,$A38,'Source 2026'!$A:$A,"Amount (NIS)")+SUMIFS('Source 2026'!$M:$M,'Source 2026'!$B:$B,$A38,'Source 2026'!$A:$A,"Amount (NIS)")</f>
        <v>9297.7</v>
      </c>
      <c r="J38" s="8" t="n">
        <f aca="false">I38*$J$5</f>
        <v>12751.1314285714</v>
      </c>
      <c r="K38" s="8" t="n">
        <f aca="false">J38-H38</f>
        <v>-2851.46857142857</v>
      </c>
      <c r="L38" s="9" t="n">
        <f aca="false">IF(AND(H38=0,J38=0),0,IF(H38=0,"New",(J38-H38)/H38))</f>
        <v>-0.182755987555188</v>
      </c>
    </row>
    <row r="39" customFormat="false" ht="15" hidden="false" customHeight="false" outlineLevel="0" collapsed="false">
      <c r="A39" s="7" t="n">
        <v>4415028</v>
      </c>
      <c r="B39" s="7" t="str">
        <f aca="false">IFERROR(INDEX('Source 2026'!$C:$C,MATCH($A39,'Source 2026'!$B:$B,0)),IFERROR(INDEX('Source 2025'!$C:$C,MATCH($A39,'Source 2025'!$B:$B,0)),""))</f>
        <v>AC-28 סד לאגודל</v>
      </c>
      <c r="C39" s="8" t="n">
        <f aca="false">SUMIFS('Source 2025'!$D:$D,'Source 2025'!$B:$B,$A39,'Source 2025'!$A:$A,"Quantity (units)")+SUMIFS('Source 2025'!$E:$E,'Source 2025'!$B:$B,$A39,'Source 2025'!$A:$A,"Quantity (units)")+SUMIFS('Source 2025'!$F:$F,'Source 2025'!$B:$B,$A39,'Source 2025'!$A:$A,"Quantity (units)")+SUMIFS('Source 2025'!$G:$G,'Source 2025'!$B:$B,$A39,'Source 2025'!$A:$A,"Quantity (units)")+SUMIFS('Source 2025'!$J:$J,'Source 2025'!$B:$B,$A39,'Source 2025'!$A:$A,"Quantity (units)")+SUMIFS('Source 2025'!$M:$M,'Source 2025'!$B:$B,$A39,'Source 2025'!$A:$A,"Quantity (units)")</f>
        <v>652</v>
      </c>
      <c r="D39" s="8" t="n">
        <f aca="false">SUMIFS('Source 2026'!$D:$D,'Source 2026'!$B:$B,$A39,'Source 2026'!$A:$A,"Quantity (units)")+SUMIFS('Source 2026'!$E:$E,'Source 2026'!$B:$B,$A39,'Source 2026'!$A:$A,"Quantity (units)")+SUMIFS('Source 2026'!$F:$F,'Source 2026'!$B:$B,$A39,'Source 2026'!$A:$A,"Quantity (units)")+SUMIFS('Source 2026'!$G:$G,'Source 2026'!$B:$B,$A39,'Source 2026'!$A:$A,"Quantity (units)")+SUMIFS('Source 2026'!$J:$J,'Source 2026'!$B:$B,$A39,'Source 2026'!$A:$A,"Quantity (units)")+SUMIFS('Source 2026'!$M:$M,'Source 2026'!$B:$B,$A39,'Source 2026'!$A:$A,"Quantity (units)")</f>
        <v>451</v>
      </c>
      <c r="E39" s="8" t="n">
        <f aca="false">D39*$J$5</f>
        <v>618.514285714286</v>
      </c>
      <c r="F39" s="8" t="n">
        <f aca="false">E39-C39</f>
        <v>-33.4857142857143</v>
      </c>
      <c r="G39" s="9" t="n">
        <f aca="false">IF(AND(C39=0,E39=0),0,IF(C39=0,"New",(E39-C39)/C39))</f>
        <v>-0.0513584574934268</v>
      </c>
      <c r="H39" s="8" t="n">
        <f aca="false">SUMIFS('Source 2025'!$D:$D,'Source 2025'!$B:$B,$A39,'Source 2025'!$A:$A,"Amount (NIS)")+SUMIFS('Source 2025'!$E:$E,'Source 2025'!$B:$B,$A39,'Source 2025'!$A:$A,"Amount (NIS)")+SUMIFS('Source 2025'!$F:$F,'Source 2025'!$B:$B,$A39,'Source 2025'!$A:$A,"Amount (NIS)")+SUMIFS('Source 2025'!$G:$G,'Source 2025'!$B:$B,$A39,'Source 2025'!$A:$A,"Amount (NIS)")+SUMIFS('Source 2025'!$J:$J,'Source 2025'!$B:$B,$A39,'Source 2025'!$A:$A,"Amount (NIS)")+SUMIFS('Source 2025'!$M:$M,'Source 2025'!$B:$B,$A39,'Source 2025'!$A:$A,"Amount (NIS)")</f>
        <v>23480.4</v>
      </c>
      <c r="I39" s="8" t="n">
        <f aca="false">SUMIFS('Source 2026'!$D:$D,'Source 2026'!$B:$B,$A39,'Source 2026'!$A:$A,"Amount (NIS)")+SUMIFS('Source 2026'!$E:$E,'Source 2026'!$B:$B,$A39,'Source 2026'!$A:$A,"Amount (NIS)")+SUMIFS('Source 2026'!$F:$F,'Source 2026'!$B:$B,$A39,'Source 2026'!$A:$A,"Amount (NIS)")+SUMIFS('Source 2026'!$G:$G,'Source 2026'!$B:$B,$A39,'Source 2026'!$A:$A,"Amount (NIS)")+SUMIFS('Source 2026'!$J:$J,'Source 2026'!$B:$B,$A39,'Source 2026'!$A:$A,"Amount (NIS)")+SUMIFS('Source 2026'!$M:$M,'Source 2026'!$B:$B,$A39,'Source 2026'!$A:$A,"Amount (NIS)")</f>
        <v>17531.8</v>
      </c>
      <c r="J39" s="8" t="n">
        <f aca="false">I39*$J$5</f>
        <v>24043.6114285714</v>
      </c>
      <c r="K39" s="8" t="n">
        <f aca="false">J39-H39</f>
        <v>563.211428571427</v>
      </c>
      <c r="L39" s="9" t="n">
        <f aca="false">IF(AND(H39=0,J39=0),0,IF(H39=0,"New",(J39-H39)/H39))</f>
        <v>0.0239864494885703</v>
      </c>
    </row>
    <row r="40" customFormat="false" ht="15" hidden="false" customHeight="false" outlineLevel="0" collapsed="false">
      <c r="A40" s="7" t="n">
        <v>4408190</v>
      </c>
      <c r="B40" s="7" t="str">
        <f aca="false">IFERROR(INDEX('Source 2026'!$C:$C,MATCH($A40,'Source 2026'!$B:$B,0)),IFERROR(INDEX('Source 2025'!$C:$C,MATCH($A40,'Source 2025'!$B:$B,0)),""))</f>
        <v>M078 חגורת גב +סגירה כפולה</v>
      </c>
      <c r="C40" s="8" t="n">
        <f aca="false">SUMIFS('Source 2025'!$D:$D,'Source 2025'!$B:$B,$A40,'Source 2025'!$A:$A,"Quantity (units)")+SUMIFS('Source 2025'!$E:$E,'Source 2025'!$B:$B,$A40,'Source 2025'!$A:$A,"Quantity (units)")+SUMIFS('Source 2025'!$F:$F,'Source 2025'!$B:$B,$A40,'Source 2025'!$A:$A,"Quantity (units)")+SUMIFS('Source 2025'!$G:$G,'Source 2025'!$B:$B,$A40,'Source 2025'!$A:$A,"Quantity (units)")+SUMIFS('Source 2025'!$J:$J,'Source 2025'!$B:$B,$A40,'Source 2025'!$A:$A,"Quantity (units)")+SUMIFS('Source 2025'!$M:$M,'Source 2025'!$B:$B,$A40,'Source 2025'!$A:$A,"Quantity (units)")</f>
        <v>86</v>
      </c>
      <c r="D40" s="8" t="n">
        <f aca="false">SUMIFS('Source 2026'!$D:$D,'Source 2026'!$B:$B,$A40,'Source 2026'!$A:$A,"Quantity (units)")+SUMIFS('Source 2026'!$E:$E,'Source 2026'!$B:$B,$A40,'Source 2026'!$A:$A,"Quantity (units)")+SUMIFS('Source 2026'!$F:$F,'Source 2026'!$B:$B,$A40,'Source 2026'!$A:$A,"Quantity (units)")+SUMIFS('Source 2026'!$G:$G,'Source 2026'!$B:$B,$A40,'Source 2026'!$A:$A,"Quantity (units)")+SUMIFS('Source 2026'!$J:$J,'Source 2026'!$B:$B,$A40,'Source 2026'!$A:$A,"Quantity (units)")+SUMIFS('Source 2026'!$M:$M,'Source 2026'!$B:$B,$A40,'Source 2026'!$A:$A,"Quantity (units)")</f>
        <v>33</v>
      </c>
      <c r="E40" s="8" t="n">
        <f aca="false">D40*$J$5</f>
        <v>45.2571428571429</v>
      </c>
      <c r="F40" s="8" t="n">
        <f aca="false">E40-C40</f>
        <v>-40.7428571428571</v>
      </c>
      <c r="G40" s="9" t="n">
        <f aca="false">IF(AND(C40=0,E40=0),0,IF(C40=0,"New",(E40-C40)/C40))</f>
        <v>-0.47375415282392</v>
      </c>
      <c r="H40" s="8" t="n">
        <f aca="false">SUMIFS('Source 2025'!$D:$D,'Source 2025'!$B:$B,$A40,'Source 2025'!$A:$A,"Amount (NIS)")+SUMIFS('Source 2025'!$E:$E,'Source 2025'!$B:$B,$A40,'Source 2025'!$A:$A,"Amount (NIS)")+SUMIFS('Source 2025'!$F:$F,'Source 2025'!$B:$B,$A40,'Source 2025'!$A:$A,"Amount (NIS)")+SUMIFS('Source 2025'!$G:$G,'Source 2025'!$B:$B,$A40,'Source 2025'!$A:$A,"Amount (NIS)")+SUMIFS('Source 2025'!$J:$J,'Source 2025'!$B:$B,$A40,'Source 2025'!$A:$A,"Amount (NIS)")+SUMIFS('Source 2025'!$M:$M,'Source 2025'!$B:$B,$A40,'Source 2025'!$A:$A,"Amount (NIS)")</f>
        <v>9536.7</v>
      </c>
      <c r="I40" s="8" t="n">
        <f aca="false">SUMIFS('Source 2026'!$D:$D,'Source 2026'!$B:$B,$A40,'Source 2026'!$A:$A,"Amount (NIS)")+SUMIFS('Source 2026'!$E:$E,'Source 2026'!$B:$B,$A40,'Source 2026'!$A:$A,"Amount (NIS)")+SUMIFS('Source 2026'!$F:$F,'Source 2026'!$B:$B,$A40,'Source 2026'!$A:$A,"Amount (NIS)")+SUMIFS('Source 2026'!$G:$G,'Source 2026'!$B:$B,$A40,'Source 2026'!$A:$A,"Amount (NIS)")+SUMIFS('Source 2026'!$J:$J,'Source 2026'!$B:$B,$A40,'Source 2026'!$A:$A,"Amount (NIS)")+SUMIFS('Source 2026'!$M:$M,'Source 2026'!$B:$B,$A40,'Source 2026'!$A:$A,"Amount (NIS)")</f>
        <v>3735.7</v>
      </c>
      <c r="J40" s="8" t="n">
        <f aca="false">I40*$J$5</f>
        <v>5123.24571428571</v>
      </c>
      <c r="K40" s="8" t="n">
        <f aca="false">J40-H40</f>
        <v>-4413.45428571429</v>
      </c>
      <c r="L40" s="9" t="n">
        <f aca="false">IF(AND(H40=0,J40=0),0,IF(H40=0,"New",(J40-H40)/H40))</f>
        <v>-0.462786318717616</v>
      </c>
    </row>
    <row r="41" customFormat="false" ht="15" hidden="false" customHeight="false" outlineLevel="0" collapsed="false">
      <c r="A41" s="7" t="n">
        <v>4408099</v>
      </c>
      <c r="B41" s="7" t="str">
        <f aca="false">IFERROR(INDEX('Source 2026'!$C:$C,MATCH($A41,'Source 2026'!$B:$B,0)),IFERROR(INDEX('Source 2025'!$C:$C,MATCH($A41,'Source 2025'!$B:$B,0)),""))</f>
        <v>T25C-חבק יד אגודלי</v>
      </c>
      <c r="C41" s="8" t="n">
        <f aca="false">SUMIFS('Source 2025'!$D:$D,'Source 2025'!$B:$B,$A41,'Source 2025'!$A:$A,"Quantity (units)")+SUMIFS('Source 2025'!$E:$E,'Source 2025'!$B:$B,$A41,'Source 2025'!$A:$A,"Quantity (units)")+SUMIFS('Source 2025'!$F:$F,'Source 2025'!$B:$B,$A41,'Source 2025'!$A:$A,"Quantity (units)")+SUMIFS('Source 2025'!$G:$G,'Source 2025'!$B:$B,$A41,'Source 2025'!$A:$A,"Quantity (units)")+SUMIFS('Source 2025'!$J:$J,'Source 2025'!$B:$B,$A41,'Source 2025'!$A:$A,"Quantity (units)")+SUMIFS('Source 2025'!$M:$M,'Source 2025'!$B:$B,$A41,'Source 2025'!$A:$A,"Quantity (units)")</f>
        <v>478</v>
      </c>
      <c r="D41" s="8" t="n">
        <f aca="false">SUMIFS('Source 2026'!$D:$D,'Source 2026'!$B:$B,$A41,'Source 2026'!$A:$A,"Quantity (units)")+SUMIFS('Source 2026'!$E:$E,'Source 2026'!$B:$B,$A41,'Source 2026'!$A:$A,"Quantity (units)")+SUMIFS('Source 2026'!$F:$F,'Source 2026'!$B:$B,$A41,'Source 2026'!$A:$A,"Quantity (units)")+SUMIFS('Source 2026'!$G:$G,'Source 2026'!$B:$B,$A41,'Source 2026'!$A:$A,"Quantity (units)")+SUMIFS('Source 2026'!$J:$J,'Source 2026'!$B:$B,$A41,'Source 2026'!$A:$A,"Quantity (units)")+SUMIFS('Source 2026'!$M:$M,'Source 2026'!$B:$B,$A41,'Source 2026'!$A:$A,"Quantity (units)")</f>
        <v>347</v>
      </c>
      <c r="E41" s="8" t="n">
        <f aca="false">D41*$J$5</f>
        <v>475.885714285714</v>
      </c>
      <c r="F41" s="8" t="n">
        <f aca="false">E41-C41</f>
        <v>-2.1142857142857</v>
      </c>
      <c r="G41" s="9" t="n">
        <f aca="false">IF(AND(C41=0,E41=0),0,IF(C41=0,"New",(E41-C41)/C41))</f>
        <v>-0.00442319187089059</v>
      </c>
      <c r="H41" s="8" t="n">
        <f aca="false">SUMIFS('Source 2025'!$D:$D,'Source 2025'!$B:$B,$A41,'Source 2025'!$A:$A,"Amount (NIS)")+SUMIFS('Source 2025'!$E:$E,'Source 2025'!$B:$B,$A41,'Source 2025'!$A:$A,"Amount (NIS)")+SUMIFS('Source 2025'!$F:$F,'Source 2025'!$B:$B,$A41,'Source 2025'!$A:$A,"Amount (NIS)")+SUMIFS('Source 2025'!$G:$G,'Source 2025'!$B:$B,$A41,'Source 2025'!$A:$A,"Amount (NIS)")+SUMIFS('Source 2025'!$J:$J,'Source 2025'!$B:$B,$A41,'Source 2025'!$A:$A,"Amount (NIS)")+SUMIFS('Source 2025'!$M:$M,'Source 2025'!$B:$B,$A41,'Source 2025'!$A:$A,"Amount (NIS)")</f>
        <v>21311.1</v>
      </c>
      <c r="I41" s="8" t="n">
        <f aca="false">SUMIFS('Source 2026'!$D:$D,'Source 2026'!$B:$B,$A41,'Source 2026'!$A:$A,"Amount (NIS)")+SUMIFS('Source 2026'!$E:$E,'Source 2026'!$B:$B,$A41,'Source 2026'!$A:$A,"Amount (NIS)")+SUMIFS('Source 2026'!$F:$F,'Source 2026'!$B:$B,$A41,'Source 2026'!$A:$A,"Amount (NIS)")+SUMIFS('Source 2026'!$G:$G,'Source 2026'!$B:$B,$A41,'Source 2026'!$A:$A,"Amount (NIS)")+SUMIFS('Source 2026'!$J:$J,'Source 2026'!$B:$B,$A41,'Source 2026'!$A:$A,"Amount (NIS)")+SUMIFS('Source 2026'!$M:$M,'Source 2026'!$B:$B,$A41,'Source 2026'!$A:$A,"Amount (NIS)")</f>
        <v>15612.2</v>
      </c>
      <c r="J41" s="8" t="n">
        <f aca="false">I41*$J$5</f>
        <v>21411.0171428571</v>
      </c>
      <c r="K41" s="8" t="n">
        <f aca="false">J41-H41</f>
        <v>99.9171428571463</v>
      </c>
      <c r="L41" s="9" t="n">
        <f aca="false">IF(AND(H41=0,J41=0),0,IF(H41=0,"New",(J41-H41)/H41))</f>
        <v>0.00468850236999246</v>
      </c>
    </row>
    <row r="42" customFormat="false" ht="15" hidden="false" customHeight="false" outlineLevel="0" collapsed="false">
      <c r="A42" s="7" t="n">
        <v>4409017</v>
      </c>
      <c r="B42" s="7" t="str">
        <f aca="false">IFERROR(INDEX('Source 2026'!$C:$C,MATCH($A42,'Source 2026'!$B:$B,0)),IFERROR(INDEX('Source 2025'!$C:$C,MATCH($A42,'Source 2025'!$B:$B,0)),""))</f>
        <v>808KT-B        טייפ קינזיולוגי</v>
      </c>
      <c r="C42" s="8" t="n">
        <f aca="false">SUMIFS('Source 2025'!$D:$D,'Source 2025'!$B:$B,$A42,'Source 2025'!$A:$A,"Quantity (units)")+SUMIFS('Source 2025'!$E:$E,'Source 2025'!$B:$B,$A42,'Source 2025'!$A:$A,"Quantity (units)")+SUMIFS('Source 2025'!$F:$F,'Source 2025'!$B:$B,$A42,'Source 2025'!$A:$A,"Quantity (units)")+SUMIFS('Source 2025'!$G:$G,'Source 2025'!$B:$B,$A42,'Source 2025'!$A:$A,"Quantity (units)")+SUMIFS('Source 2025'!$J:$J,'Source 2025'!$B:$B,$A42,'Source 2025'!$A:$A,"Quantity (units)")+SUMIFS('Source 2025'!$M:$M,'Source 2025'!$B:$B,$A42,'Source 2025'!$A:$A,"Quantity (units)")</f>
        <v>391</v>
      </c>
      <c r="D42" s="8" t="n">
        <f aca="false">SUMIFS('Source 2026'!$D:$D,'Source 2026'!$B:$B,$A42,'Source 2026'!$A:$A,"Quantity (units)")+SUMIFS('Source 2026'!$E:$E,'Source 2026'!$B:$B,$A42,'Source 2026'!$A:$A,"Quantity (units)")+SUMIFS('Source 2026'!$F:$F,'Source 2026'!$B:$B,$A42,'Source 2026'!$A:$A,"Quantity (units)")+SUMIFS('Source 2026'!$G:$G,'Source 2026'!$B:$B,$A42,'Source 2026'!$A:$A,"Quantity (units)")+SUMIFS('Source 2026'!$J:$J,'Source 2026'!$B:$B,$A42,'Source 2026'!$A:$A,"Quantity (units)")+SUMIFS('Source 2026'!$M:$M,'Source 2026'!$B:$B,$A42,'Source 2026'!$A:$A,"Quantity (units)")</f>
        <v>180</v>
      </c>
      <c r="E42" s="8" t="n">
        <f aca="false">D42*$J$5</f>
        <v>246.857142857143</v>
      </c>
      <c r="F42" s="8" t="n">
        <f aca="false">E42-C42</f>
        <v>-144.142857142857</v>
      </c>
      <c r="G42" s="9" t="n">
        <f aca="false">IF(AND(C42=0,E42=0),0,IF(C42=0,"New",(E42-C42)/C42))</f>
        <v>-0.368651808549507</v>
      </c>
      <c r="H42" s="8" t="n">
        <f aca="false">SUMIFS('Source 2025'!$D:$D,'Source 2025'!$B:$B,$A42,'Source 2025'!$A:$A,"Amount (NIS)")+SUMIFS('Source 2025'!$E:$E,'Source 2025'!$B:$B,$A42,'Source 2025'!$A:$A,"Amount (NIS)")+SUMIFS('Source 2025'!$F:$F,'Source 2025'!$B:$B,$A42,'Source 2025'!$A:$A,"Amount (NIS)")+SUMIFS('Source 2025'!$G:$G,'Source 2025'!$B:$B,$A42,'Source 2025'!$A:$A,"Amount (NIS)")+SUMIFS('Source 2025'!$J:$J,'Source 2025'!$B:$B,$A42,'Source 2025'!$A:$A,"Amount (NIS)")+SUMIFS('Source 2025'!$M:$M,'Source 2025'!$B:$B,$A42,'Source 2025'!$A:$A,"Amount (NIS)")</f>
        <v>12113.8</v>
      </c>
      <c r="I42" s="8" t="n">
        <f aca="false">SUMIFS('Source 2026'!$D:$D,'Source 2026'!$B:$B,$A42,'Source 2026'!$A:$A,"Amount (NIS)")+SUMIFS('Source 2026'!$E:$E,'Source 2026'!$B:$B,$A42,'Source 2026'!$A:$A,"Amount (NIS)")+SUMIFS('Source 2026'!$F:$F,'Source 2026'!$B:$B,$A42,'Source 2026'!$A:$A,"Amount (NIS)")+SUMIFS('Source 2026'!$G:$G,'Source 2026'!$B:$B,$A42,'Source 2026'!$A:$A,"Amount (NIS)")+SUMIFS('Source 2026'!$J:$J,'Source 2026'!$B:$B,$A42,'Source 2026'!$A:$A,"Amount (NIS)")+SUMIFS('Source 2026'!$M:$M,'Source 2026'!$B:$B,$A42,'Source 2026'!$A:$A,"Amount (NIS)")</f>
        <v>6434.5</v>
      </c>
      <c r="J42" s="8" t="n">
        <f aca="false">I42*$J$5</f>
        <v>8824.45714285714</v>
      </c>
      <c r="K42" s="8" t="n">
        <f aca="false">J42-H42</f>
        <v>-3289.34285714286</v>
      </c>
      <c r="L42" s="9" t="n">
        <f aca="false">IF(AND(H42=0,J42=0),0,IF(H42=0,"New",(J42-H42)/H42))</f>
        <v>-0.271536830486128</v>
      </c>
    </row>
    <row r="43" customFormat="false" ht="15" hidden="false" customHeight="false" outlineLevel="0" collapsed="false">
      <c r="A43" s="7" t="n">
        <v>4413370</v>
      </c>
      <c r="B43" s="7" t="str">
        <f aca="false">IFERROR(INDEX('Source 2026'!$C:$C,MATCH($A43,'Source 2026'!$B:$B,0)),IFERROR(INDEX('Source 2025'!$C:$C,MATCH($A43,'Source 2025'!$B:$B,0)),""))</f>
        <v>3674 0 מ.בוניון+מפריד אצבע</v>
      </c>
      <c r="C43" s="8" t="n">
        <f aca="false">SUMIFS('Source 2025'!$D:$D,'Source 2025'!$B:$B,$A43,'Source 2025'!$A:$A,"Quantity (units)")+SUMIFS('Source 2025'!$E:$E,'Source 2025'!$B:$B,$A43,'Source 2025'!$A:$A,"Quantity (units)")+SUMIFS('Source 2025'!$F:$F,'Source 2025'!$B:$B,$A43,'Source 2025'!$A:$A,"Quantity (units)")+SUMIFS('Source 2025'!$G:$G,'Source 2025'!$B:$B,$A43,'Source 2025'!$A:$A,"Quantity (units)")+SUMIFS('Source 2025'!$J:$J,'Source 2025'!$B:$B,$A43,'Source 2025'!$A:$A,"Quantity (units)")+SUMIFS('Source 2025'!$M:$M,'Source 2025'!$B:$B,$A43,'Source 2025'!$A:$A,"Quantity (units)")</f>
        <v>330</v>
      </c>
      <c r="D43" s="8" t="n">
        <f aca="false">SUMIFS('Source 2026'!$D:$D,'Source 2026'!$B:$B,$A43,'Source 2026'!$A:$A,"Quantity (units)")+SUMIFS('Source 2026'!$E:$E,'Source 2026'!$B:$B,$A43,'Source 2026'!$A:$A,"Quantity (units)")+SUMIFS('Source 2026'!$F:$F,'Source 2026'!$B:$B,$A43,'Source 2026'!$A:$A,"Quantity (units)")+SUMIFS('Source 2026'!$G:$G,'Source 2026'!$B:$B,$A43,'Source 2026'!$A:$A,"Quantity (units)")+SUMIFS('Source 2026'!$J:$J,'Source 2026'!$B:$B,$A43,'Source 2026'!$A:$A,"Quantity (units)")+SUMIFS('Source 2026'!$M:$M,'Source 2026'!$B:$B,$A43,'Source 2026'!$A:$A,"Quantity (units)")</f>
        <v>179</v>
      </c>
      <c r="E43" s="8" t="n">
        <f aca="false">D43*$J$5</f>
        <v>245.485714285714</v>
      </c>
      <c r="F43" s="8" t="n">
        <f aca="false">E43-C43</f>
        <v>-84.5142857142857</v>
      </c>
      <c r="G43" s="9" t="n">
        <f aca="false">IF(AND(C43=0,E43=0),0,IF(C43=0,"New",(E43-C43)/C43))</f>
        <v>-0.256103896103896</v>
      </c>
      <c r="H43" s="8" t="n">
        <f aca="false">SUMIFS('Source 2025'!$D:$D,'Source 2025'!$B:$B,$A43,'Source 2025'!$A:$A,"Amount (NIS)")+SUMIFS('Source 2025'!$E:$E,'Source 2025'!$B:$B,$A43,'Source 2025'!$A:$A,"Amount (NIS)")+SUMIFS('Source 2025'!$F:$F,'Source 2025'!$B:$B,$A43,'Source 2025'!$A:$A,"Amount (NIS)")+SUMIFS('Source 2025'!$G:$G,'Source 2025'!$B:$B,$A43,'Source 2025'!$A:$A,"Amount (NIS)")+SUMIFS('Source 2025'!$J:$J,'Source 2025'!$B:$B,$A43,'Source 2025'!$A:$A,"Amount (NIS)")+SUMIFS('Source 2025'!$M:$M,'Source 2025'!$B:$B,$A43,'Source 2025'!$A:$A,"Amount (NIS)")</f>
        <v>12540</v>
      </c>
      <c r="I43" s="8" t="n">
        <f aca="false">SUMIFS('Source 2026'!$D:$D,'Source 2026'!$B:$B,$A43,'Source 2026'!$A:$A,"Amount (NIS)")+SUMIFS('Source 2026'!$E:$E,'Source 2026'!$B:$B,$A43,'Source 2026'!$A:$A,"Amount (NIS)")+SUMIFS('Source 2026'!$F:$F,'Source 2026'!$B:$B,$A43,'Source 2026'!$A:$A,"Amount (NIS)")+SUMIFS('Source 2026'!$G:$G,'Source 2026'!$B:$B,$A43,'Source 2026'!$A:$A,"Amount (NIS)")+SUMIFS('Source 2026'!$J:$J,'Source 2026'!$B:$B,$A43,'Source 2026'!$A:$A,"Amount (NIS)")+SUMIFS('Source 2026'!$M:$M,'Source 2026'!$B:$B,$A43,'Source 2026'!$A:$A,"Amount (NIS)")</f>
        <v>6891.8</v>
      </c>
      <c r="J43" s="8" t="n">
        <f aca="false">I43*$J$5</f>
        <v>9451.61142857143</v>
      </c>
      <c r="K43" s="8" t="n">
        <f aca="false">J43-H43</f>
        <v>-3088.38857142857</v>
      </c>
      <c r="L43" s="9" t="n">
        <f aca="false">IF(AND(H43=0,J43=0),0,IF(H43=0,"New",(J43-H43)/H43))</f>
        <v>-0.246282980177717</v>
      </c>
    </row>
    <row r="44" customFormat="false" ht="15" hidden="false" customHeight="false" outlineLevel="0" collapsed="false">
      <c r="A44" s="7" t="n">
        <v>4413098</v>
      </c>
      <c r="B44" s="7" t="str">
        <f aca="false">IFERROR(INDEX('Source 2026'!$C:$C,MATCH($A44,'Source 2026'!$B:$B,0)),IFERROR(INDEX('Source 2025'!$C:$C,MATCH($A44,'Source 2025'!$B:$B,0)),""))</f>
        <v>45C L מגן ברך חום</v>
      </c>
      <c r="C44" s="8" t="n">
        <f aca="false">SUMIFS('Source 2025'!$D:$D,'Source 2025'!$B:$B,$A44,'Source 2025'!$A:$A,"Quantity (units)")+SUMIFS('Source 2025'!$E:$E,'Source 2025'!$B:$B,$A44,'Source 2025'!$A:$A,"Quantity (units)")+SUMIFS('Source 2025'!$F:$F,'Source 2025'!$B:$B,$A44,'Source 2025'!$A:$A,"Quantity (units)")+SUMIFS('Source 2025'!$G:$G,'Source 2025'!$B:$B,$A44,'Source 2025'!$A:$A,"Quantity (units)")+SUMIFS('Source 2025'!$J:$J,'Source 2025'!$B:$B,$A44,'Source 2025'!$A:$A,"Quantity (units)")+SUMIFS('Source 2025'!$M:$M,'Source 2025'!$B:$B,$A44,'Source 2025'!$A:$A,"Quantity (units)")</f>
        <v>465</v>
      </c>
      <c r="D44" s="8" t="n">
        <f aca="false">SUMIFS('Source 2026'!$D:$D,'Source 2026'!$B:$B,$A44,'Source 2026'!$A:$A,"Quantity (units)")+SUMIFS('Source 2026'!$E:$E,'Source 2026'!$B:$B,$A44,'Source 2026'!$A:$A,"Quantity (units)")+SUMIFS('Source 2026'!$F:$F,'Source 2026'!$B:$B,$A44,'Source 2026'!$A:$A,"Quantity (units)")+SUMIFS('Source 2026'!$G:$G,'Source 2026'!$B:$B,$A44,'Source 2026'!$A:$A,"Quantity (units)")+SUMIFS('Source 2026'!$J:$J,'Source 2026'!$B:$B,$A44,'Source 2026'!$A:$A,"Quantity (units)")+SUMIFS('Source 2026'!$M:$M,'Source 2026'!$B:$B,$A44,'Source 2026'!$A:$A,"Quantity (units)")</f>
        <v>284</v>
      </c>
      <c r="E44" s="8" t="n">
        <f aca="false">D44*$J$5</f>
        <v>389.485714285714</v>
      </c>
      <c r="F44" s="8" t="n">
        <f aca="false">E44-C44</f>
        <v>-75.5142857142857</v>
      </c>
      <c r="G44" s="9" t="n">
        <f aca="false">IF(AND(C44=0,E44=0),0,IF(C44=0,"New",(E44-C44)/C44))</f>
        <v>-0.162396313364055</v>
      </c>
      <c r="H44" s="8" t="n">
        <f aca="false">SUMIFS('Source 2025'!$D:$D,'Source 2025'!$B:$B,$A44,'Source 2025'!$A:$A,"Amount (NIS)")+SUMIFS('Source 2025'!$E:$E,'Source 2025'!$B:$B,$A44,'Source 2025'!$A:$A,"Amount (NIS)")+SUMIFS('Source 2025'!$F:$F,'Source 2025'!$B:$B,$A44,'Source 2025'!$A:$A,"Amount (NIS)")+SUMIFS('Source 2025'!$G:$G,'Source 2025'!$B:$B,$A44,'Source 2025'!$A:$A,"Amount (NIS)")+SUMIFS('Source 2025'!$J:$J,'Source 2025'!$B:$B,$A44,'Source 2025'!$A:$A,"Amount (NIS)")+SUMIFS('Source 2025'!$M:$M,'Source 2025'!$B:$B,$A44,'Source 2025'!$A:$A,"Amount (NIS)")</f>
        <v>13964.7</v>
      </c>
      <c r="I44" s="8" t="n">
        <f aca="false">SUMIFS('Source 2026'!$D:$D,'Source 2026'!$B:$B,$A44,'Source 2026'!$A:$A,"Amount (NIS)")+SUMIFS('Source 2026'!$E:$E,'Source 2026'!$B:$B,$A44,'Source 2026'!$A:$A,"Amount (NIS)")+SUMIFS('Source 2026'!$F:$F,'Source 2026'!$B:$B,$A44,'Source 2026'!$A:$A,"Amount (NIS)")+SUMIFS('Source 2026'!$G:$G,'Source 2026'!$B:$B,$A44,'Source 2026'!$A:$A,"Amount (NIS)")+SUMIFS('Source 2026'!$J:$J,'Source 2026'!$B:$B,$A44,'Source 2026'!$A:$A,"Amount (NIS)")+SUMIFS('Source 2026'!$M:$M,'Source 2026'!$B:$B,$A44,'Source 2026'!$A:$A,"Amount (NIS)")</f>
        <v>8558.2</v>
      </c>
      <c r="J44" s="8" t="n">
        <f aca="false">I44*$J$5</f>
        <v>11736.96</v>
      </c>
      <c r="K44" s="8" t="n">
        <f aca="false">J44-H44</f>
        <v>-2227.74</v>
      </c>
      <c r="L44" s="9" t="n">
        <f aca="false">IF(AND(H44=0,J44=0),0,IF(H44=0,"New",(J44-H44)/H44))</f>
        <v>-0.159526520440826</v>
      </c>
    </row>
    <row r="45" customFormat="false" ht="15" hidden="false" customHeight="false" outlineLevel="0" collapsed="false">
      <c r="A45" s="7" t="n">
        <v>4422023</v>
      </c>
      <c r="B45" s="7" t="str">
        <f aca="false">IFERROR(INDEX('Source 2026'!$C:$C,MATCH($A45,'Source 2026'!$B:$B,0)),IFERROR(INDEX('Source 2025'!$C:$C,MATCH($A45,'Source 2025'!$B:$B,0)),""))</f>
        <v>806CB-BEIGE      תחבושת א.נצמ</v>
      </c>
      <c r="C45" s="8" t="n">
        <f aca="false">SUMIFS('Source 2025'!$D:$D,'Source 2025'!$B:$B,$A45,'Source 2025'!$A:$A,"Quantity (units)")+SUMIFS('Source 2025'!$E:$E,'Source 2025'!$B:$B,$A45,'Source 2025'!$A:$A,"Quantity (units)")+SUMIFS('Source 2025'!$F:$F,'Source 2025'!$B:$B,$A45,'Source 2025'!$A:$A,"Quantity (units)")+SUMIFS('Source 2025'!$G:$G,'Source 2025'!$B:$B,$A45,'Source 2025'!$A:$A,"Quantity (units)")+SUMIFS('Source 2025'!$J:$J,'Source 2025'!$B:$B,$A45,'Source 2025'!$A:$A,"Quantity (units)")+SUMIFS('Source 2025'!$M:$M,'Source 2025'!$B:$B,$A45,'Source 2025'!$A:$A,"Quantity (units)")</f>
        <v>1500</v>
      </c>
      <c r="D45" s="8" t="n">
        <f aca="false">SUMIFS('Source 2026'!$D:$D,'Source 2026'!$B:$B,$A45,'Source 2026'!$A:$A,"Quantity (units)")+SUMIFS('Source 2026'!$E:$E,'Source 2026'!$B:$B,$A45,'Source 2026'!$A:$A,"Quantity (units)")+SUMIFS('Source 2026'!$F:$F,'Source 2026'!$B:$B,$A45,'Source 2026'!$A:$A,"Quantity (units)")+SUMIFS('Source 2026'!$G:$G,'Source 2026'!$B:$B,$A45,'Source 2026'!$A:$A,"Quantity (units)")+SUMIFS('Source 2026'!$J:$J,'Source 2026'!$B:$B,$A45,'Source 2026'!$A:$A,"Quantity (units)")+SUMIFS('Source 2026'!$M:$M,'Source 2026'!$B:$B,$A45,'Source 2026'!$A:$A,"Quantity (units)")</f>
        <v>851</v>
      </c>
      <c r="E45" s="8" t="n">
        <f aca="false">D45*$J$5</f>
        <v>1167.08571428571</v>
      </c>
      <c r="F45" s="8" t="n">
        <f aca="false">E45-C45</f>
        <v>-332.914285714286</v>
      </c>
      <c r="G45" s="9" t="n">
        <f aca="false">IF(AND(C45=0,E45=0),0,IF(C45=0,"New",(E45-C45)/C45))</f>
        <v>-0.221942857142857</v>
      </c>
      <c r="H45" s="8" t="n">
        <f aca="false">SUMIFS('Source 2025'!$D:$D,'Source 2025'!$B:$B,$A45,'Source 2025'!$A:$A,"Amount (NIS)")+SUMIFS('Source 2025'!$E:$E,'Source 2025'!$B:$B,$A45,'Source 2025'!$A:$A,"Amount (NIS)")+SUMIFS('Source 2025'!$F:$F,'Source 2025'!$B:$B,$A45,'Source 2025'!$A:$A,"Amount (NIS)")+SUMIFS('Source 2025'!$G:$G,'Source 2025'!$B:$B,$A45,'Source 2025'!$A:$A,"Amount (NIS)")+SUMIFS('Source 2025'!$J:$J,'Source 2025'!$B:$B,$A45,'Source 2025'!$A:$A,"Amount (NIS)")+SUMIFS('Source 2025'!$M:$M,'Source 2025'!$B:$B,$A45,'Source 2025'!$A:$A,"Amount (NIS)")</f>
        <v>14703.8</v>
      </c>
      <c r="I45" s="8" t="n">
        <f aca="false">SUMIFS('Source 2026'!$D:$D,'Source 2026'!$B:$B,$A45,'Source 2026'!$A:$A,"Amount (NIS)")+SUMIFS('Source 2026'!$E:$E,'Source 2026'!$B:$B,$A45,'Source 2026'!$A:$A,"Amount (NIS)")+SUMIFS('Source 2026'!$F:$F,'Source 2026'!$B:$B,$A45,'Source 2026'!$A:$A,"Amount (NIS)")+SUMIFS('Source 2026'!$G:$G,'Source 2026'!$B:$B,$A45,'Source 2026'!$A:$A,"Amount (NIS)")+SUMIFS('Source 2026'!$J:$J,'Source 2026'!$B:$B,$A45,'Source 2026'!$A:$A,"Amount (NIS)")+SUMIFS('Source 2026'!$M:$M,'Source 2026'!$B:$B,$A45,'Source 2026'!$A:$A,"Amount (NIS)")</f>
        <v>9467.1</v>
      </c>
      <c r="J45" s="8" t="n">
        <f aca="false">I45*$J$5</f>
        <v>12983.4514285714</v>
      </c>
      <c r="K45" s="8" t="n">
        <f aca="false">J45-H45</f>
        <v>-1720.34857142857</v>
      </c>
      <c r="L45" s="9" t="n">
        <f aca="false">IF(AND(H45=0,J45=0),0,IF(H45=0,"New",(J45-H45)/H45))</f>
        <v>-0.117000270095388</v>
      </c>
    </row>
    <row r="46" customFormat="false" ht="15" hidden="false" customHeight="false" outlineLevel="0" collapsed="false">
      <c r="A46" s="7" t="n">
        <v>4415001</v>
      </c>
      <c r="B46" s="7" t="str">
        <f aca="false">IFERROR(INDEX('Source 2026'!$C:$C,MATCH($A46,'Source 2026'!$B:$B,0)),IFERROR(INDEX('Source 2025'!$C:$C,MATCH($A46,'Source 2025'!$B:$B,0)),""))</f>
        <v>26 M סד ליד דו צדדי לאחר שבר</v>
      </c>
      <c r="C46" s="8" t="n">
        <f aca="false">SUMIFS('Source 2025'!$D:$D,'Source 2025'!$B:$B,$A46,'Source 2025'!$A:$A,"Quantity (units)")+SUMIFS('Source 2025'!$E:$E,'Source 2025'!$B:$B,$A46,'Source 2025'!$A:$A,"Quantity (units)")+SUMIFS('Source 2025'!$F:$F,'Source 2025'!$B:$B,$A46,'Source 2025'!$A:$A,"Quantity (units)")+SUMIFS('Source 2025'!$G:$G,'Source 2025'!$B:$B,$A46,'Source 2025'!$A:$A,"Quantity (units)")+SUMIFS('Source 2025'!$J:$J,'Source 2025'!$B:$B,$A46,'Source 2025'!$A:$A,"Quantity (units)")+SUMIFS('Source 2025'!$M:$M,'Source 2025'!$B:$B,$A46,'Source 2025'!$A:$A,"Quantity (units)")</f>
        <v>91</v>
      </c>
      <c r="D46" s="8" t="n">
        <f aca="false">SUMIFS('Source 2026'!$D:$D,'Source 2026'!$B:$B,$A46,'Source 2026'!$A:$A,"Quantity (units)")+SUMIFS('Source 2026'!$E:$E,'Source 2026'!$B:$B,$A46,'Source 2026'!$A:$A,"Quantity (units)")+SUMIFS('Source 2026'!$F:$F,'Source 2026'!$B:$B,$A46,'Source 2026'!$A:$A,"Quantity (units)")+SUMIFS('Source 2026'!$G:$G,'Source 2026'!$B:$B,$A46,'Source 2026'!$A:$A,"Quantity (units)")+SUMIFS('Source 2026'!$J:$J,'Source 2026'!$B:$B,$A46,'Source 2026'!$A:$A,"Quantity (units)")+SUMIFS('Source 2026'!$M:$M,'Source 2026'!$B:$B,$A46,'Source 2026'!$A:$A,"Quantity (units)")</f>
        <v>39</v>
      </c>
      <c r="E46" s="8" t="n">
        <f aca="false">D46*$J$5</f>
        <v>53.4857142857143</v>
      </c>
      <c r="F46" s="8" t="n">
        <f aca="false">E46-C46</f>
        <v>-37.5142857142857</v>
      </c>
      <c r="G46" s="9" t="n">
        <f aca="false">IF(AND(C46=0,E46=0),0,IF(C46=0,"New",(E46-C46)/C46))</f>
        <v>-0.412244897959184</v>
      </c>
      <c r="H46" s="8" t="n">
        <f aca="false">SUMIFS('Source 2025'!$D:$D,'Source 2025'!$B:$B,$A46,'Source 2025'!$A:$A,"Amount (NIS)")+SUMIFS('Source 2025'!$E:$E,'Source 2025'!$B:$B,$A46,'Source 2025'!$A:$A,"Amount (NIS)")+SUMIFS('Source 2025'!$F:$F,'Source 2025'!$B:$B,$A46,'Source 2025'!$A:$A,"Amount (NIS)")+SUMIFS('Source 2025'!$G:$G,'Source 2025'!$B:$B,$A46,'Source 2025'!$A:$A,"Amount (NIS)")+SUMIFS('Source 2025'!$J:$J,'Source 2025'!$B:$B,$A46,'Source 2025'!$A:$A,"Amount (NIS)")+SUMIFS('Source 2025'!$M:$M,'Source 2025'!$B:$B,$A46,'Source 2025'!$A:$A,"Amount (NIS)")</f>
        <v>8969</v>
      </c>
      <c r="I46" s="8" t="n">
        <f aca="false">SUMIFS('Source 2026'!$D:$D,'Source 2026'!$B:$B,$A46,'Source 2026'!$A:$A,"Amount (NIS)")+SUMIFS('Source 2026'!$E:$E,'Source 2026'!$B:$B,$A46,'Source 2026'!$A:$A,"Amount (NIS)")+SUMIFS('Source 2026'!$F:$F,'Source 2026'!$B:$B,$A46,'Source 2026'!$A:$A,"Amount (NIS)")+SUMIFS('Source 2026'!$G:$G,'Source 2026'!$B:$B,$A46,'Source 2026'!$A:$A,"Amount (NIS)")+SUMIFS('Source 2026'!$J:$J,'Source 2026'!$B:$B,$A46,'Source 2026'!$A:$A,"Amount (NIS)")+SUMIFS('Source 2026'!$M:$M,'Source 2026'!$B:$B,$A46,'Source 2026'!$A:$A,"Amount (NIS)")</f>
        <v>3768.8</v>
      </c>
      <c r="J46" s="8" t="n">
        <f aca="false">I46*$J$5</f>
        <v>5168.64</v>
      </c>
      <c r="K46" s="8" t="n">
        <f aca="false">J46-H46</f>
        <v>-3800.36</v>
      </c>
      <c r="L46" s="9" t="n">
        <f aca="false">IF(AND(H46=0,J46=0),0,IF(H46=0,"New",(J46-H46)/H46))</f>
        <v>-0.423721708105698</v>
      </c>
    </row>
    <row r="47" customFormat="false" ht="15" hidden="false" customHeight="false" outlineLevel="0" collapsed="false">
      <c r="A47" s="7" t="n">
        <v>4408054</v>
      </c>
      <c r="B47" s="7" t="str">
        <f aca="false">IFERROR(INDEX('Source 2026'!$C:$C,MATCH($A47,'Source 2026'!$B:$B,0)),IFERROR(INDEX('Source 2025'!$C:$C,MATCH($A47,'Source 2025'!$B:$B,0)),""))</f>
        <v>21 XL חבק יד ארוך</v>
      </c>
      <c r="C47" s="8" t="n">
        <f aca="false">SUMIFS('Source 2025'!$D:$D,'Source 2025'!$B:$B,$A47,'Source 2025'!$A:$A,"Quantity (units)")+SUMIFS('Source 2025'!$E:$E,'Source 2025'!$B:$B,$A47,'Source 2025'!$A:$A,"Quantity (units)")+SUMIFS('Source 2025'!$F:$F,'Source 2025'!$B:$B,$A47,'Source 2025'!$A:$A,"Quantity (units)")+SUMIFS('Source 2025'!$G:$G,'Source 2025'!$B:$B,$A47,'Source 2025'!$A:$A,"Quantity (units)")+SUMIFS('Source 2025'!$J:$J,'Source 2025'!$B:$B,$A47,'Source 2025'!$A:$A,"Quantity (units)")+SUMIFS('Source 2025'!$M:$M,'Source 2025'!$B:$B,$A47,'Source 2025'!$A:$A,"Quantity (units)")</f>
        <v>245</v>
      </c>
      <c r="D47" s="8" t="n">
        <f aca="false">SUMIFS('Source 2026'!$D:$D,'Source 2026'!$B:$B,$A47,'Source 2026'!$A:$A,"Quantity (units)")+SUMIFS('Source 2026'!$E:$E,'Source 2026'!$B:$B,$A47,'Source 2026'!$A:$A,"Quantity (units)")+SUMIFS('Source 2026'!$F:$F,'Source 2026'!$B:$B,$A47,'Source 2026'!$A:$A,"Quantity (units)")+SUMIFS('Source 2026'!$G:$G,'Source 2026'!$B:$B,$A47,'Source 2026'!$A:$A,"Quantity (units)")+SUMIFS('Source 2026'!$J:$J,'Source 2026'!$B:$B,$A47,'Source 2026'!$A:$A,"Quantity (units)")+SUMIFS('Source 2026'!$M:$M,'Source 2026'!$B:$B,$A47,'Source 2026'!$A:$A,"Quantity (units)")</f>
        <v>113</v>
      </c>
      <c r="E47" s="8" t="n">
        <f aca="false">D47*$J$5</f>
        <v>154.971428571429</v>
      </c>
      <c r="F47" s="8" t="n">
        <f aca="false">E47-C47</f>
        <v>-90.0285714285714</v>
      </c>
      <c r="G47" s="9" t="n">
        <f aca="false">IF(AND(C47=0,E47=0),0,IF(C47=0,"New",(E47-C47)/C47))</f>
        <v>-0.367463556851312</v>
      </c>
      <c r="H47" s="8" t="n">
        <f aca="false">SUMIFS('Source 2025'!$D:$D,'Source 2025'!$B:$B,$A47,'Source 2025'!$A:$A,"Amount (NIS)")+SUMIFS('Source 2025'!$E:$E,'Source 2025'!$B:$B,$A47,'Source 2025'!$A:$A,"Amount (NIS)")+SUMIFS('Source 2025'!$F:$F,'Source 2025'!$B:$B,$A47,'Source 2025'!$A:$A,"Amount (NIS)")+SUMIFS('Source 2025'!$G:$G,'Source 2025'!$B:$B,$A47,'Source 2025'!$A:$A,"Amount (NIS)")+SUMIFS('Source 2025'!$J:$J,'Source 2025'!$B:$B,$A47,'Source 2025'!$A:$A,"Amount (NIS)")+SUMIFS('Source 2025'!$M:$M,'Source 2025'!$B:$B,$A47,'Source 2025'!$A:$A,"Amount (NIS)")</f>
        <v>9483.1</v>
      </c>
      <c r="I47" s="8" t="n">
        <f aca="false">SUMIFS('Source 2026'!$D:$D,'Source 2026'!$B:$B,$A47,'Source 2026'!$A:$A,"Amount (NIS)")+SUMIFS('Source 2026'!$E:$E,'Source 2026'!$B:$B,$A47,'Source 2026'!$A:$A,"Amount (NIS)")+SUMIFS('Source 2026'!$F:$F,'Source 2026'!$B:$B,$A47,'Source 2026'!$A:$A,"Amount (NIS)")+SUMIFS('Source 2026'!$G:$G,'Source 2026'!$B:$B,$A47,'Source 2026'!$A:$A,"Amount (NIS)")+SUMIFS('Source 2026'!$J:$J,'Source 2026'!$B:$B,$A47,'Source 2026'!$A:$A,"Amount (NIS)")+SUMIFS('Source 2026'!$M:$M,'Source 2026'!$B:$B,$A47,'Source 2026'!$A:$A,"Amount (NIS)")</f>
        <v>4321.4</v>
      </c>
      <c r="J47" s="8" t="n">
        <f aca="false">I47*$J$5</f>
        <v>5926.49142857143</v>
      </c>
      <c r="K47" s="8" t="n">
        <f aca="false">J47-H47</f>
        <v>-3556.60857142857</v>
      </c>
      <c r="L47" s="9" t="n">
        <f aca="false">IF(AND(H47=0,J47=0),0,IF(H47=0,"New",(J47-H47)/H47))</f>
        <v>-0.375047038566352</v>
      </c>
    </row>
    <row r="48" customFormat="false" ht="15" hidden="false" customHeight="false" outlineLevel="0" collapsed="false">
      <c r="A48" s="7" t="n">
        <v>4418000</v>
      </c>
      <c r="B48" s="7" t="str">
        <f aca="false">IFERROR(INDEX('Source 2026'!$C:$C,MATCH($A48,'Source 2026'!$B:$B,0)),IFERROR(INDEX('Source 2025'!$C:$C,MATCH($A48,'Source 2025'!$B:$B,0)),""))</f>
        <v>60 L צוארון ספוגי</v>
      </c>
      <c r="C48" s="8" t="n">
        <f aca="false">SUMIFS('Source 2025'!$D:$D,'Source 2025'!$B:$B,$A48,'Source 2025'!$A:$A,"Quantity (units)")+SUMIFS('Source 2025'!$E:$E,'Source 2025'!$B:$B,$A48,'Source 2025'!$A:$A,"Quantity (units)")+SUMIFS('Source 2025'!$F:$F,'Source 2025'!$B:$B,$A48,'Source 2025'!$A:$A,"Quantity (units)")+SUMIFS('Source 2025'!$G:$G,'Source 2025'!$B:$B,$A48,'Source 2025'!$A:$A,"Quantity (units)")+SUMIFS('Source 2025'!$J:$J,'Source 2025'!$B:$B,$A48,'Source 2025'!$A:$A,"Quantity (units)")+SUMIFS('Source 2025'!$M:$M,'Source 2025'!$B:$B,$A48,'Source 2025'!$A:$A,"Quantity (units)")</f>
        <v>192</v>
      </c>
      <c r="D48" s="8" t="n">
        <f aca="false">SUMIFS('Source 2026'!$D:$D,'Source 2026'!$B:$B,$A48,'Source 2026'!$A:$A,"Quantity (units)")+SUMIFS('Source 2026'!$E:$E,'Source 2026'!$B:$B,$A48,'Source 2026'!$A:$A,"Quantity (units)")+SUMIFS('Source 2026'!$F:$F,'Source 2026'!$B:$B,$A48,'Source 2026'!$A:$A,"Quantity (units)")+SUMIFS('Source 2026'!$G:$G,'Source 2026'!$B:$B,$A48,'Source 2026'!$A:$A,"Quantity (units)")+SUMIFS('Source 2026'!$J:$J,'Source 2026'!$B:$B,$A48,'Source 2026'!$A:$A,"Quantity (units)")+SUMIFS('Source 2026'!$M:$M,'Source 2026'!$B:$B,$A48,'Source 2026'!$A:$A,"Quantity (units)")</f>
        <v>87</v>
      </c>
      <c r="E48" s="8" t="n">
        <f aca="false">D48*$J$5</f>
        <v>119.314285714286</v>
      </c>
      <c r="F48" s="8" t="n">
        <f aca="false">E48-C48</f>
        <v>-72.6857142857143</v>
      </c>
      <c r="G48" s="9" t="n">
        <f aca="false">IF(AND(C48=0,E48=0),0,IF(C48=0,"New",(E48-C48)/C48))</f>
        <v>-0.378571428571429</v>
      </c>
      <c r="H48" s="8" t="n">
        <f aca="false">SUMIFS('Source 2025'!$D:$D,'Source 2025'!$B:$B,$A48,'Source 2025'!$A:$A,"Amount (NIS)")+SUMIFS('Source 2025'!$E:$E,'Source 2025'!$B:$B,$A48,'Source 2025'!$A:$A,"Amount (NIS)")+SUMIFS('Source 2025'!$F:$F,'Source 2025'!$B:$B,$A48,'Source 2025'!$A:$A,"Amount (NIS)")+SUMIFS('Source 2025'!$G:$G,'Source 2025'!$B:$B,$A48,'Source 2025'!$A:$A,"Amount (NIS)")+SUMIFS('Source 2025'!$J:$J,'Source 2025'!$B:$B,$A48,'Source 2025'!$A:$A,"Amount (NIS)")+SUMIFS('Source 2025'!$M:$M,'Source 2025'!$B:$B,$A48,'Source 2025'!$A:$A,"Amount (NIS)")</f>
        <v>9282.6</v>
      </c>
      <c r="I48" s="8" t="n">
        <f aca="false">SUMIFS('Source 2026'!$D:$D,'Source 2026'!$B:$B,$A48,'Source 2026'!$A:$A,"Amount (NIS)")+SUMIFS('Source 2026'!$E:$E,'Source 2026'!$B:$B,$A48,'Source 2026'!$A:$A,"Amount (NIS)")+SUMIFS('Source 2026'!$F:$F,'Source 2026'!$B:$B,$A48,'Source 2026'!$A:$A,"Amount (NIS)")+SUMIFS('Source 2026'!$G:$G,'Source 2026'!$B:$B,$A48,'Source 2026'!$A:$A,"Amount (NIS)")+SUMIFS('Source 2026'!$J:$J,'Source 2026'!$B:$B,$A48,'Source 2026'!$A:$A,"Amount (NIS)")+SUMIFS('Source 2026'!$M:$M,'Source 2026'!$B:$B,$A48,'Source 2026'!$A:$A,"Amount (NIS)")</f>
        <v>4203.4</v>
      </c>
      <c r="J48" s="8" t="n">
        <f aca="false">I48*$J$5</f>
        <v>5764.66285714286</v>
      </c>
      <c r="K48" s="8" t="n">
        <f aca="false">J48-H48</f>
        <v>-3517.93714285714</v>
      </c>
      <c r="L48" s="9" t="n">
        <f aca="false">IF(AND(H48=0,J48=0),0,IF(H48=0,"New",(J48-H48)/H48))</f>
        <v>-0.378981873920792</v>
      </c>
    </row>
    <row r="49" customFormat="false" ht="15" hidden="false" customHeight="false" outlineLevel="0" collapsed="false">
      <c r="A49" s="7" t="n">
        <v>4416001</v>
      </c>
      <c r="B49" s="7" t="str">
        <f aca="false">IFERROR(INDEX('Source 2026'!$C:$C,MATCH($A49,'Source 2026'!$B:$B,0)),IFERROR(INDEX('Source 2025'!$C:$C,MATCH($A49,'Source 2025'!$B:$B,0)),""))</f>
        <v>307 M עקבים לדורבן-זוג כריות</v>
      </c>
      <c r="C49" s="8" t="n">
        <f aca="false">SUMIFS('Source 2025'!$D:$D,'Source 2025'!$B:$B,$A49,'Source 2025'!$A:$A,"Quantity (units)")+SUMIFS('Source 2025'!$E:$E,'Source 2025'!$B:$B,$A49,'Source 2025'!$A:$A,"Quantity (units)")+SUMIFS('Source 2025'!$F:$F,'Source 2025'!$B:$B,$A49,'Source 2025'!$A:$A,"Quantity (units)")+SUMIFS('Source 2025'!$G:$G,'Source 2025'!$B:$B,$A49,'Source 2025'!$A:$A,"Quantity (units)")+SUMIFS('Source 2025'!$J:$J,'Source 2025'!$B:$B,$A49,'Source 2025'!$A:$A,"Quantity (units)")+SUMIFS('Source 2025'!$M:$M,'Source 2025'!$B:$B,$A49,'Source 2025'!$A:$A,"Quantity (units)")</f>
        <v>157</v>
      </c>
      <c r="D49" s="8" t="n">
        <f aca="false">SUMIFS('Source 2026'!$D:$D,'Source 2026'!$B:$B,$A49,'Source 2026'!$A:$A,"Quantity (units)")+SUMIFS('Source 2026'!$E:$E,'Source 2026'!$B:$B,$A49,'Source 2026'!$A:$A,"Quantity (units)")+SUMIFS('Source 2026'!$F:$F,'Source 2026'!$B:$B,$A49,'Source 2026'!$A:$A,"Quantity (units)")+SUMIFS('Source 2026'!$G:$G,'Source 2026'!$B:$B,$A49,'Source 2026'!$A:$A,"Quantity (units)")+SUMIFS('Source 2026'!$J:$J,'Source 2026'!$B:$B,$A49,'Source 2026'!$A:$A,"Quantity (units)")+SUMIFS('Source 2026'!$M:$M,'Source 2026'!$B:$B,$A49,'Source 2026'!$A:$A,"Quantity (units)")</f>
        <v>90</v>
      </c>
      <c r="E49" s="8" t="n">
        <f aca="false">D49*$J$5</f>
        <v>123.428571428571</v>
      </c>
      <c r="F49" s="8" t="n">
        <f aca="false">E49-C49</f>
        <v>-33.5714285714286</v>
      </c>
      <c r="G49" s="9" t="n">
        <f aca="false">IF(AND(C49=0,E49=0),0,IF(C49=0,"New",(E49-C49)/C49))</f>
        <v>-0.213830755232029</v>
      </c>
      <c r="H49" s="8" t="n">
        <f aca="false">SUMIFS('Source 2025'!$D:$D,'Source 2025'!$B:$B,$A49,'Source 2025'!$A:$A,"Amount (NIS)")+SUMIFS('Source 2025'!$E:$E,'Source 2025'!$B:$B,$A49,'Source 2025'!$A:$A,"Amount (NIS)")+SUMIFS('Source 2025'!$F:$F,'Source 2025'!$B:$B,$A49,'Source 2025'!$A:$A,"Amount (NIS)")+SUMIFS('Source 2025'!$G:$G,'Source 2025'!$B:$B,$A49,'Source 2025'!$A:$A,"Amount (NIS)")+SUMIFS('Source 2025'!$J:$J,'Source 2025'!$B:$B,$A49,'Source 2025'!$A:$A,"Amount (NIS)")+SUMIFS('Source 2025'!$M:$M,'Source 2025'!$B:$B,$A49,'Source 2025'!$A:$A,"Amount (NIS)")</f>
        <v>12875.5</v>
      </c>
      <c r="I49" s="8" t="n">
        <f aca="false">SUMIFS('Source 2026'!$D:$D,'Source 2026'!$B:$B,$A49,'Source 2026'!$A:$A,"Amount (NIS)")+SUMIFS('Source 2026'!$E:$E,'Source 2026'!$B:$B,$A49,'Source 2026'!$A:$A,"Amount (NIS)")+SUMIFS('Source 2026'!$F:$F,'Source 2026'!$B:$B,$A49,'Source 2026'!$A:$A,"Amount (NIS)")+SUMIFS('Source 2026'!$G:$G,'Source 2026'!$B:$B,$A49,'Source 2026'!$A:$A,"Amount (NIS)")+SUMIFS('Source 2026'!$J:$J,'Source 2026'!$B:$B,$A49,'Source 2026'!$A:$A,"Amount (NIS)")+SUMIFS('Source 2026'!$M:$M,'Source 2026'!$B:$B,$A49,'Source 2026'!$A:$A,"Amount (NIS)")</f>
        <v>7849.8</v>
      </c>
      <c r="J49" s="8" t="n">
        <f aca="false">I49*$J$5</f>
        <v>10765.44</v>
      </c>
      <c r="K49" s="8" t="n">
        <f aca="false">J49-H49</f>
        <v>-2110.06</v>
      </c>
      <c r="L49" s="9" t="n">
        <f aca="false">IF(AND(H49=0,J49=0),0,IF(H49=0,"New",(J49-H49)/H49))</f>
        <v>-0.163881790998408</v>
      </c>
    </row>
    <row r="50" customFormat="false" ht="15" hidden="false" customHeight="false" outlineLevel="0" collapsed="false">
      <c r="A50" s="7" t="n">
        <v>4413059</v>
      </c>
      <c r="B50" s="7" t="str">
        <f aca="false">IFERROR(INDEX('Source 2026'!$C:$C,MATCH($A50,'Source 2026'!$B:$B,0)),IFERROR(INDEX('Source 2025'!$C:$C,MATCH($A50,'Source 2025'!$B:$B,0)),""))</f>
        <v>364S Lמפר.אצבע סיליק. ליבל.זוג</v>
      </c>
      <c r="C50" s="8" t="n">
        <f aca="false">SUMIFS('Source 2025'!$D:$D,'Source 2025'!$B:$B,$A50,'Source 2025'!$A:$A,"Quantity (units)")+SUMIFS('Source 2025'!$E:$E,'Source 2025'!$B:$B,$A50,'Source 2025'!$A:$A,"Quantity (units)")+SUMIFS('Source 2025'!$F:$F,'Source 2025'!$B:$B,$A50,'Source 2025'!$A:$A,"Quantity (units)")+SUMIFS('Source 2025'!$G:$G,'Source 2025'!$B:$B,$A50,'Source 2025'!$A:$A,"Quantity (units)")+SUMIFS('Source 2025'!$J:$J,'Source 2025'!$B:$B,$A50,'Source 2025'!$A:$A,"Quantity (units)")+SUMIFS('Source 2025'!$M:$M,'Source 2025'!$B:$B,$A50,'Source 2025'!$A:$A,"Quantity (units)")</f>
        <v>1030</v>
      </c>
      <c r="D50" s="8" t="n">
        <f aca="false">SUMIFS('Source 2026'!$D:$D,'Source 2026'!$B:$B,$A50,'Source 2026'!$A:$A,"Quantity (units)")+SUMIFS('Source 2026'!$E:$E,'Source 2026'!$B:$B,$A50,'Source 2026'!$A:$A,"Quantity (units)")+SUMIFS('Source 2026'!$F:$F,'Source 2026'!$B:$B,$A50,'Source 2026'!$A:$A,"Quantity (units)")+SUMIFS('Source 2026'!$G:$G,'Source 2026'!$B:$B,$A50,'Source 2026'!$A:$A,"Quantity (units)")+SUMIFS('Source 2026'!$J:$J,'Source 2026'!$B:$B,$A50,'Source 2026'!$A:$A,"Quantity (units)")+SUMIFS('Source 2026'!$M:$M,'Source 2026'!$B:$B,$A50,'Source 2026'!$A:$A,"Quantity (units)")</f>
        <v>663</v>
      </c>
      <c r="E50" s="8" t="n">
        <f aca="false">D50*$J$5</f>
        <v>909.257142857143</v>
      </c>
      <c r="F50" s="8" t="n">
        <f aca="false">E50-C50</f>
        <v>-120.742857142857</v>
      </c>
      <c r="G50" s="9" t="n">
        <f aca="false">IF(AND(C50=0,E50=0),0,IF(C50=0,"New",(E50-C50)/C50))</f>
        <v>-0.117226074895978</v>
      </c>
      <c r="H50" s="8" t="n">
        <f aca="false">SUMIFS('Source 2025'!$D:$D,'Source 2025'!$B:$B,$A50,'Source 2025'!$A:$A,"Amount (NIS)")+SUMIFS('Source 2025'!$E:$E,'Source 2025'!$B:$B,$A50,'Source 2025'!$A:$A,"Amount (NIS)")+SUMIFS('Source 2025'!$F:$F,'Source 2025'!$B:$B,$A50,'Source 2025'!$A:$A,"Amount (NIS)")+SUMIFS('Source 2025'!$G:$G,'Source 2025'!$B:$B,$A50,'Source 2025'!$A:$A,"Amount (NIS)")+SUMIFS('Source 2025'!$J:$J,'Source 2025'!$B:$B,$A50,'Source 2025'!$A:$A,"Amount (NIS)")+SUMIFS('Source 2025'!$M:$M,'Source 2025'!$B:$B,$A50,'Source 2025'!$A:$A,"Amount (NIS)")</f>
        <v>14055.4</v>
      </c>
      <c r="I50" s="8" t="n">
        <f aca="false">SUMIFS('Source 2026'!$D:$D,'Source 2026'!$B:$B,$A50,'Source 2026'!$A:$A,"Amount (NIS)")+SUMIFS('Source 2026'!$E:$E,'Source 2026'!$B:$B,$A50,'Source 2026'!$A:$A,"Amount (NIS)")+SUMIFS('Source 2026'!$F:$F,'Source 2026'!$B:$B,$A50,'Source 2026'!$A:$A,"Amount (NIS)")+SUMIFS('Source 2026'!$G:$G,'Source 2026'!$B:$B,$A50,'Source 2026'!$A:$A,"Amount (NIS)")+SUMIFS('Source 2026'!$J:$J,'Source 2026'!$B:$B,$A50,'Source 2026'!$A:$A,"Amount (NIS)")+SUMIFS('Source 2026'!$M:$M,'Source 2026'!$B:$B,$A50,'Source 2026'!$A:$A,"Amount (NIS)")</f>
        <v>9084.2</v>
      </c>
      <c r="J50" s="8" t="n">
        <f aca="false">I50*$J$5</f>
        <v>12458.3314285714</v>
      </c>
      <c r="K50" s="8" t="n">
        <f aca="false">J50-H50</f>
        <v>-1597.06857142857</v>
      </c>
      <c r="L50" s="9" t="n">
        <f aca="false">IF(AND(H50=0,J50=0),0,IF(H50=0,"New",(J50-H50)/H50))</f>
        <v>-0.113626689487924</v>
      </c>
    </row>
    <row r="51" customFormat="false" ht="15" hidden="false" customHeight="false" outlineLevel="0" collapsed="false">
      <c r="A51" s="7" t="n">
        <v>4413033</v>
      </c>
      <c r="B51" s="7" t="str">
        <f aca="false">IFERROR(INDEX('Source 2026'!$C:$C,MATCH($A51,'Source 2026'!$B:$B,0)),IFERROR(INDEX('Source 2025'!$C:$C,MATCH($A51,'Source 2025'!$B:$B,0)),""))</f>
        <v>311'מדב.ג'ל למניעת שפשוף 5 יח</v>
      </c>
      <c r="C51" s="8" t="n">
        <f aca="false">SUMIFS('Source 2025'!$D:$D,'Source 2025'!$B:$B,$A51,'Source 2025'!$A:$A,"Quantity (units)")+SUMIFS('Source 2025'!$E:$E,'Source 2025'!$B:$B,$A51,'Source 2025'!$A:$A,"Quantity (units)")+SUMIFS('Source 2025'!$F:$F,'Source 2025'!$B:$B,$A51,'Source 2025'!$A:$A,"Quantity (units)")+SUMIFS('Source 2025'!$G:$G,'Source 2025'!$B:$B,$A51,'Source 2025'!$A:$A,"Quantity (units)")+SUMIFS('Source 2025'!$J:$J,'Source 2025'!$B:$B,$A51,'Source 2025'!$A:$A,"Quantity (units)")+SUMIFS('Source 2025'!$M:$M,'Source 2025'!$B:$B,$A51,'Source 2025'!$A:$A,"Quantity (units)")</f>
        <v>747</v>
      </c>
      <c r="D51" s="8" t="n">
        <f aca="false">SUMIFS('Source 2026'!$D:$D,'Source 2026'!$B:$B,$A51,'Source 2026'!$A:$A,"Quantity (units)")+SUMIFS('Source 2026'!$E:$E,'Source 2026'!$B:$B,$A51,'Source 2026'!$A:$A,"Quantity (units)")+SUMIFS('Source 2026'!$F:$F,'Source 2026'!$B:$B,$A51,'Source 2026'!$A:$A,"Quantity (units)")+SUMIFS('Source 2026'!$G:$G,'Source 2026'!$B:$B,$A51,'Source 2026'!$A:$A,"Quantity (units)")+SUMIFS('Source 2026'!$J:$J,'Source 2026'!$B:$B,$A51,'Source 2026'!$A:$A,"Quantity (units)")+SUMIFS('Source 2026'!$M:$M,'Source 2026'!$B:$B,$A51,'Source 2026'!$A:$A,"Quantity (units)")</f>
        <v>443</v>
      </c>
      <c r="E51" s="8" t="n">
        <f aca="false">D51*$J$5</f>
        <v>607.542857142857</v>
      </c>
      <c r="F51" s="8" t="n">
        <f aca="false">E51-C51</f>
        <v>-139.457142857143</v>
      </c>
      <c r="G51" s="9" t="n">
        <f aca="false">IF(AND(C51=0,E51=0),0,IF(C51=0,"New",(E51-C51)/C51))</f>
        <v>-0.186689615605278</v>
      </c>
      <c r="H51" s="8" t="n">
        <f aca="false">SUMIFS('Source 2025'!$D:$D,'Source 2025'!$B:$B,$A51,'Source 2025'!$A:$A,"Amount (NIS)")+SUMIFS('Source 2025'!$E:$E,'Source 2025'!$B:$B,$A51,'Source 2025'!$A:$A,"Amount (NIS)")+SUMIFS('Source 2025'!$F:$F,'Source 2025'!$B:$B,$A51,'Source 2025'!$A:$A,"Amount (NIS)")+SUMIFS('Source 2025'!$G:$G,'Source 2025'!$B:$B,$A51,'Source 2025'!$A:$A,"Amount (NIS)")+SUMIFS('Source 2025'!$J:$J,'Source 2025'!$B:$B,$A51,'Source 2025'!$A:$A,"Amount (NIS)")+SUMIFS('Source 2025'!$M:$M,'Source 2025'!$B:$B,$A51,'Source 2025'!$A:$A,"Amount (NIS)")</f>
        <v>12637.2</v>
      </c>
      <c r="I51" s="8" t="n">
        <f aca="false">SUMIFS('Source 2026'!$D:$D,'Source 2026'!$B:$B,$A51,'Source 2026'!$A:$A,"Amount (NIS)")+SUMIFS('Source 2026'!$E:$E,'Source 2026'!$B:$B,$A51,'Source 2026'!$A:$A,"Amount (NIS)")+SUMIFS('Source 2026'!$F:$F,'Source 2026'!$B:$B,$A51,'Source 2026'!$A:$A,"Amount (NIS)")+SUMIFS('Source 2026'!$G:$G,'Source 2026'!$B:$B,$A51,'Source 2026'!$A:$A,"Amount (NIS)")+SUMIFS('Source 2026'!$J:$J,'Source 2026'!$B:$B,$A51,'Source 2026'!$A:$A,"Amount (NIS)")+SUMIFS('Source 2026'!$M:$M,'Source 2026'!$B:$B,$A51,'Source 2026'!$A:$A,"Amount (NIS)")</f>
        <v>7781.1</v>
      </c>
      <c r="J51" s="8" t="n">
        <f aca="false">I51*$J$5</f>
        <v>10671.2228571429</v>
      </c>
      <c r="K51" s="8" t="n">
        <f aca="false">J51-H51</f>
        <v>-1965.97714285714</v>
      </c>
      <c r="L51" s="9" t="n">
        <f aca="false">IF(AND(H51=0,J51=0),0,IF(H51=0,"New",(J51-H51)/H51))</f>
        <v>-0.155570628213302</v>
      </c>
    </row>
    <row r="52" customFormat="false" ht="15" hidden="false" customHeight="false" outlineLevel="0" collapsed="false">
      <c r="A52" s="7" t="n">
        <v>4415007</v>
      </c>
      <c r="B52" s="7" t="str">
        <f aca="false">IFERROR(INDEX('Source 2026'!$C:$C,MATCH($A52,'Source 2026'!$B:$B,0)),IFERROR(INDEX('Source 2025'!$C:$C,MATCH($A52,'Source 2025'!$B:$B,0)),""))</f>
        <v>28 S סד לאגודל לאחר שבר</v>
      </c>
      <c r="C52" s="8" t="n">
        <f aca="false">SUMIFS('Source 2025'!$D:$D,'Source 2025'!$B:$B,$A52,'Source 2025'!$A:$A,"Quantity (units)")+SUMIFS('Source 2025'!$E:$E,'Source 2025'!$B:$B,$A52,'Source 2025'!$A:$A,"Quantity (units)")+SUMIFS('Source 2025'!$F:$F,'Source 2025'!$B:$B,$A52,'Source 2025'!$A:$A,"Quantity (units)")+SUMIFS('Source 2025'!$G:$G,'Source 2025'!$B:$B,$A52,'Source 2025'!$A:$A,"Quantity (units)")+SUMIFS('Source 2025'!$J:$J,'Source 2025'!$B:$B,$A52,'Source 2025'!$A:$A,"Quantity (units)")+SUMIFS('Source 2025'!$M:$M,'Source 2025'!$B:$B,$A52,'Source 2025'!$A:$A,"Quantity (units)")</f>
        <v>62</v>
      </c>
      <c r="D52" s="8" t="n">
        <f aca="false">SUMIFS('Source 2026'!$D:$D,'Source 2026'!$B:$B,$A52,'Source 2026'!$A:$A,"Quantity (units)")+SUMIFS('Source 2026'!$E:$E,'Source 2026'!$B:$B,$A52,'Source 2026'!$A:$A,"Quantity (units)")+SUMIFS('Source 2026'!$F:$F,'Source 2026'!$B:$B,$A52,'Source 2026'!$A:$A,"Quantity (units)")+SUMIFS('Source 2026'!$G:$G,'Source 2026'!$B:$B,$A52,'Source 2026'!$A:$A,"Quantity (units)")+SUMIFS('Source 2026'!$J:$J,'Source 2026'!$B:$B,$A52,'Source 2026'!$A:$A,"Quantity (units)")+SUMIFS('Source 2026'!$M:$M,'Source 2026'!$B:$B,$A52,'Source 2026'!$A:$A,"Quantity (units)")</f>
        <v>13</v>
      </c>
      <c r="E52" s="8" t="n">
        <f aca="false">D52*$J$5</f>
        <v>17.8285714285714</v>
      </c>
      <c r="F52" s="8" t="n">
        <f aca="false">E52-C52</f>
        <v>-44.1714285714286</v>
      </c>
      <c r="G52" s="9" t="n">
        <f aca="false">IF(AND(C52=0,E52=0),0,IF(C52=0,"New",(E52-C52)/C52))</f>
        <v>-0.712442396313364</v>
      </c>
      <c r="H52" s="8" t="n">
        <f aca="false">SUMIFS('Source 2025'!$D:$D,'Source 2025'!$B:$B,$A52,'Source 2025'!$A:$A,"Amount (NIS)")+SUMIFS('Source 2025'!$E:$E,'Source 2025'!$B:$B,$A52,'Source 2025'!$A:$A,"Amount (NIS)")+SUMIFS('Source 2025'!$F:$F,'Source 2025'!$B:$B,$A52,'Source 2025'!$A:$A,"Amount (NIS)")+SUMIFS('Source 2025'!$G:$G,'Source 2025'!$B:$B,$A52,'Source 2025'!$A:$A,"Amount (NIS)")+SUMIFS('Source 2025'!$J:$J,'Source 2025'!$B:$B,$A52,'Source 2025'!$A:$A,"Amount (NIS)")+SUMIFS('Source 2025'!$M:$M,'Source 2025'!$B:$B,$A52,'Source 2025'!$A:$A,"Amount (NIS)")</f>
        <v>6057.7</v>
      </c>
      <c r="I52" s="8" t="n">
        <f aca="false">SUMIFS('Source 2026'!$D:$D,'Source 2026'!$B:$B,$A52,'Source 2026'!$A:$A,"Amount (NIS)")+SUMIFS('Source 2026'!$E:$E,'Source 2026'!$B:$B,$A52,'Source 2026'!$A:$A,"Amount (NIS)")+SUMIFS('Source 2026'!$F:$F,'Source 2026'!$B:$B,$A52,'Source 2026'!$A:$A,"Amount (NIS)")+SUMIFS('Source 2026'!$G:$G,'Source 2026'!$B:$B,$A52,'Source 2026'!$A:$A,"Amount (NIS)")+SUMIFS('Source 2026'!$J:$J,'Source 2026'!$B:$B,$A52,'Source 2026'!$A:$A,"Amount (NIS)")+SUMIFS('Source 2026'!$M:$M,'Source 2026'!$B:$B,$A52,'Source 2026'!$A:$A,"Amount (NIS)")</f>
        <v>1308.9</v>
      </c>
      <c r="J52" s="8" t="n">
        <f aca="false">I52*$J$5</f>
        <v>1795.06285714286</v>
      </c>
      <c r="K52" s="8" t="n">
        <f aca="false">J52-H52</f>
        <v>-4262.63714285714</v>
      </c>
      <c r="L52" s="9" t="n">
        <f aca="false">IF(AND(H52=0,J52=0),0,IF(H52=0,"New",(J52-H52)/H52))</f>
        <v>-0.703672539554145</v>
      </c>
    </row>
    <row r="53" customFormat="false" ht="15" hidden="false" customHeight="false" outlineLevel="0" collapsed="false">
      <c r="A53" s="7" t="n">
        <v>4413136</v>
      </c>
      <c r="B53" s="7" t="str">
        <f aca="false">IFERROR(INDEX('Source 2026'!$C:$C,MATCH($A53,'Source 2026'!$B:$B,0)),IFERROR(INDEX('Source 2025'!$C:$C,MATCH($A53,'Source 2025'!$B:$B,0)),""))</f>
        <v>85 M (מתלה ליד )כיס</v>
      </c>
      <c r="C53" s="8" t="n">
        <f aca="false">SUMIFS('Source 2025'!$D:$D,'Source 2025'!$B:$B,$A53,'Source 2025'!$A:$A,"Quantity (units)")+SUMIFS('Source 2025'!$E:$E,'Source 2025'!$B:$B,$A53,'Source 2025'!$A:$A,"Quantity (units)")+SUMIFS('Source 2025'!$F:$F,'Source 2025'!$B:$B,$A53,'Source 2025'!$A:$A,"Quantity (units)")+SUMIFS('Source 2025'!$G:$G,'Source 2025'!$B:$B,$A53,'Source 2025'!$A:$A,"Quantity (units)")+SUMIFS('Source 2025'!$J:$J,'Source 2025'!$B:$B,$A53,'Source 2025'!$A:$A,"Quantity (units)")+SUMIFS('Source 2025'!$M:$M,'Source 2025'!$B:$B,$A53,'Source 2025'!$A:$A,"Quantity (units)")</f>
        <v>192</v>
      </c>
      <c r="D53" s="8" t="n">
        <f aca="false">SUMIFS('Source 2026'!$D:$D,'Source 2026'!$B:$B,$A53,'Source 2026'!$A:$A,"Quantity (units)")+SUMIFS('Source 2026'!$E:$E,'Source 2026'!$B:$B,$A53,'Source 2026'!$A:$A,"Quantity (units)")+SUMIFS('Source 2026'!$F:$F,'Source 2026'!$B:$B,$A53,'Source 2026'!$A:$A,"Quantity (units)")+SUMIFS('Source 2026'!$G:$G,'Source 2026'!$B:$B,$A53,'Source 2026'!$A:$A,"Quantity (units)")+SUMIFS('Source 2026'!$J:$J,'Source 2026'!$B:$B,$A53,'Source 2026'!$A:$A,"Quantity (units)")+SUMIFS('Source 2026'!$M:$M,'Source 2026'!$B:$B,$A53,'Source 2026'!$A:$A,"Quantity (units)")</f>
        <v>104</v>
      </c>
      <c r="E53" s="8" t="n">
        <f aca="false">D53*$J$5</f>
        <v>142.628571428571</v>
      </c>
      <c r="F53" s="8" t="n">
        <f aca="false">E53-C53</f>
        <v>-49.3714285714286</v>
      </c>
      <c r="G53" s="9" t="n">
        <f aca="false">IF(AND(C53=0,E53=0),0,IF(C53=0,"New",(E53-C53)/C53))</f>
        <v>-0.257142857142857</v>
      </c>
      <c r="H53" s="8" t="n">
        <f aca="false">SUMIFS('Source 2025'!$D:$D,'Source 2025'!$B:$B,$A53,'Source 2025'!$A:$A,"Amount (NIS)")+SUMIFS('Source 2025'!$E:$E,'Source 2025'!$B:$B,$A53,'Source 2025'!$A:$A,"Amount (NIS)")+SUMIFS('Source 2025'!$F:$F,'Source 2025'!$B:$B,$A53,'Source 2025'!$A:$A,"Amount (NIS)")+SUMIFS('Source 2025'!$G:$G,'Source 2025'!$B:$B,$A53,'Source 2025'!$A:$A,"Amount (NIS)")+SUMIFS('Source 2025'!$J:$J,'Source 2025'!$B:$B,$A53,'Source 2025'!$A:$A,"Amount (NIS)")+SUMIFS('Source 2025'!$M:$M,'Source 2025'!$B:$B,$A53,'Source 2025'!$A:$A,"Amount (NIS)")</f>
        <v>10424.5</v>
      </c>
      <c r="I53" s="8" t="n">
        <f aca="false">SUMIFS('Source 2026'!$D:$D,'Source 2026'!$B:$B,$A53,'Source 2026'!$A:$A,"Amount (NIS)")+SUMIFS('Source 2026'!$E:$E,'Source 2026'!$B:$B,$A53,'Source 2026'!$A:$A,"Amount (NIS)")+SUMIFS('Source 2026'!$F:$F,'Source 2026'!$B:$B,$A53,'Source 2026'!$A:$A,"Amount (NIS)")+SUMIFS('Source 2026'!$G:$G,'Source 2026'!$B:$B,$A53,'Source 2026'!$A:$A,"Amount (NIS)")+SUMIFS('Source 2026'!$J:$J,'Source 2026'!$B:$B,$A53,'Source 2026'!$A:$A,"Amount (NIS)")+SUMIFS('Source 2026'!$M:$M,'Source 2026'!$B:$B,$A53,'Source 2026'!$A:$A,"Amount (NIS)")</f>
        <v>5678.2</v>
      </c>
      <c r="J53" s="8" t="n">
        <f aca="false">I53*$J$5</f>
        <v>7787.24571428571</v>
      </c>
      <c r="K53" s="8" t="n">
        <f aca="false">J53-H53</f>
        <v>-2637.25428571429</v>
      </c>
      <c r="L53" s="9" t="n">
        <f aca="false">IF(AND(H53=0,J53=0),0,IF(H53=0,"New",(J53-H53)/H53))</f>
        <v>-0.252986165831866</v>
      </c>
    </row>
    <row r="54" customFormat="false" ht="15" hidden="false" customHeight="false" outlineLevel="0" collapsed="false">
      <c r="A54" s="7" t="n">
        <v>4413041</v>
      </c>
      <c r="B54" s="7" t="str">
        <f aca="false">IFERROR(INDEX('Source 2026'!$C:$C,MATCH($A54,'Source 2026'!$B:$B,0)),IFERROR(INDEX('Source 2025'!$C:$C,MATCH($A54,'Source 2025'!$B:$B,0)),""))</f>
        <v>34  M מגן קרסול עקב סגור</v>
      </c>
      <c r="C54" s="8" t="n">
        <f aca="false">SUMIFS('Source 2025'!$D:$D,'Source 2025'!$B:$B,$A54,'Source 2025'!$A:$A,"Quantity (units)")+SUMIFS('Source 2025'!$E:$E,'Source 2025'!$B:$B,$A54,'Source 2025'!$A:$A,"Quantity (units)")+SUMIFS('Source 2025'!$F:$F,'Source 2025'!$B:$B,$A54,'Source 2025'!$A:$A,"Quantity (units)")+SUMIFS('Source 2025'!$G:$G,'Source 2025'!$B:$B,$A54,'Source 2025'!$A:$A,"Quantity (units)")+SUMIFS('Source 2025'!$J:$J,'Source 2025'!$B:$B,$A54,'Source 2025'!$A:$A,"Quantity (units)")+SUMIFS('Source 2025'!$M:$M,'Source 2025'!$B:$B,$A54,'Source 2025'!$A:$A,"Quantity (units)")</f>
        <v>202</v>
      </c>
      <c r="D54" s="8" t="n">
        <f aca="false">SUMIFS('Source 2026'!$D:$D,'Source 2026'!$B:$B,$A54,'Source 2026'!$A:$A,"Quantity (units)")+SUMIFS('Source 2026'!$E:$E,'Source 2026'!$B:$B,$A54,'Source 2026'!$A:$A,"Quantity (units)")+SUMIFS('Source 2026'!$F:$F,'Source 2026'!$B:$B,$A54,'Source 2026'!$A:$A,"Quantity (units)")+SUMIFS('Source 2026'!$G:$G,'Source 2026'!$B:$B,$A54,'Source 2026'!$A:$A,"Quantity (units)")+SUMIFS('Source 2026'!$J:$J,'Source 2026'!$B:$B,$A54,'Source 2026'!$A:$A,"Quantity (units)")+SUMIFS('Source 2026'!$M:$M,'Source 2026'!$B:$B,$A54,'Source 2026'!$A:$A,"Quantity (units)")</f>
        <v>94</v>
      </c>
      <c r="E54" s="8" t="n">
        <f aca="false">D54*$J$5</f>
        <v>128.914285714286</v>
      </c>
      <c r="F54" s="8" t="n">
        <f aca="false">E54-C54</f>
        <v>-73.0857142857143</v>
      </c>
      <c r="G54" s="9" t="n">
        <f aca="false">IF(AND(C54=0,E54=0),0,IF(C54=0,"New",(E54-C54)/C54))</f>
        <v>-0.361810466760962</v>
      </c>
      <c r="H54" s="8" t="n">
        <f aca="false">SUMIFS('Source 2025'!$D:$D,'Source 2025'!$B:$B,$A54,'Source 2025'!$A:$A,"Amount (NIS)")+SUMIFS('Source 2025'!$E:$E,'Source 2025'!$B:$B,$A54,'Source 2025'!$A:$A,"Amount (NIS)")+SUMIFS('Source 2025'!$F:$F,'Source 2025'!$B:$B,$A54,'Source 2025'!$A:$A,"Amount (NIS)")+SUMIFS('Source 2025'!$G:$G,'Source 2025'!$B:$B,$A54,'Source 2025'!$A:$A,"Amount (NIS)")+SUMIFS('Source 2025'!$J:$J,'Source 2025'!$B:$B,$A54,'Source 2025'!$A:$A,"Amount (NIS)")+SUMIFS('Source 2025'!$M:$M,'Source 2025'!$B:$B,$A54,'Source 2025'!$A:$A,"Amount (NIS)")</f>
        <v>8926.9</v>
      </c>
      <c r="I54" s="8" t="n">
        <f aca="false">SUMIFS('Source 2026'!$D:$D,'Source 2026'!$B:$B,$A54,'Source 2026'!$A:$A,"Amount (NIS)")+SUMIFS('Source 2026'!$E:$E,'Source 2026'!$B:$B,$A54,'Source 2026'!$A:$A,"Amount (NIS)")+SUMIFS('Source 2026'!$F:$F,'Source 2026'!$B:$B,$A54,'Source 2026'!$A:$A,"Amount (NIS)")+SUMIFS('Source 2026'!$G:$G,'Source 2026'!$B:$B,$A54,'Source 2026'!$A:$A,"Amount (NIS)")+SUMIFS('Source 2026'!$J:$J,'Source 2026'!$B:$B,$A54,'Source 2026'!$A:$A,"Amount (NIS)")+SUMIFS('Source 2026'!$M:$M,'Source 2026'!$B:$B,$A54,'Source 2026'!$A:$A,"Amount (NIS)")</f>
        <v>4206.8</v>
      </c>
      <c r="J54" s="8" t="n">
        <f aca="false">I54*$J$5</f>
        <v>5769.32571428572</v>
      </c>
      <c r="K54" s="8" t="n">
        <f aca="false">J54-H54</f>
        <v>-3157.57428571429</v>
      </c>
      <c r="L54" s="9" t="n">
        <f aca="false">IF(AND(H54=0,J54=0),0,IF(H54=0,"New",(J54-H54)/H54))</f>
        <v>-0.35371453536102</v>
      </c>
    </row>
    <row r="55" customFormat="false" ht="15" hidden="false" customHeight="false" outlineLevel="0" collapsed="false">
      <c r="A55" s="7" t="n">
        <v>4415297</v>
      </c>
      <c r="B55" s="7" t="str">
        <f aca="false">IFERROR(INDEX('Source 2026'!$C:$C,MATCH($A55,'Source 2026'!$B:$B,0)),IFERROR(INDEX('Source 2025'!$C:$C,MATCH($A55,'Source 2025'!$B:$B,0)),""))</f>
        <v>313 סט פלסטרים נגד שפשופים</v>
      </c>
      <c r="C55" s="8" t="n">
        <f aca="false">SUMIFS('Source 2025'!$D:$D,'Source 2025'!$B:$B,$A55,'Source 2025'!$A:$A,"Quantity (units)")+SUMIFS('Source 2025'!$E:$E,'Source 2025'!$B:$B,$A55,'Source 2025'!$A:$A,"Quantity (units)")+SUMIFS('Source 2025'!$F:$F,'Source 2025'!$B:$B,$A55,'Source 2025'!$A:$A,"Quantity (units)")+SUMIFS('Source 2025'!$G:$G,'Source 2025'!$B:$B,$A55,'Source 2025'!$A:$A,"Quantity (units)")+SUMIFS('Source 2025'!$J:$J,'Source 2025'!$B:$B,$A55,'Source 2025'!$A:$A,"Quantity (units)")+SUMIFS('Source 2025'!$M:$M,'Source 2025'!$B:$B,$A55,'Source 2025'!$A:$A,"Quantity (units)")</f>
        <v>316</v>
      </c>
      <c r="D55" s="8" t="n">
        <f aca="false">SUMIFS('Source 2026'!$D:$D,'Source 2026'!$B:$B,$A55,'Source 2026'!$A:$A,"Quantity (units)")+SUMIFS('Source 2026'!$E:$E,'Source 2026'!$B:$B,$A55,'Source 2026'!$A:$A,"Quantity (units)")+SUMIFS('Source 2026'!$F:$F,'Source 2026'!$B:$B,$A55,'Source 2026'!$A:$A,"Quantity (units)")+SUMIFS('Source 2026'!$G:$G,'Source 2026'!$B:$B,$A55,'Source 2026'!$A:$A,"Quantity (units)")+SUMIFS('Source 2026'!$J:$J,'Source 2026'!$B:$B,$A55,'Source 2026'!$A:$A,"Quantity (units)")+SUMIFS('Source 2026'!$M:$M,'Source 2026'!$B:$B,$A55,'Source 2026'!$A:$A,"Quantity (units)")</f>
        <v>110</v>
      </c>
      <c r="E55" s="8" t="n">
        <f aca="false">D55*$J$5</f>
        <v>150.857142857143</v>
      </c>
      <c r="F55" s="8" t="n">
        <f aca="false">E55-C55</f>
        <v>-165.142857142857</v>
      </c>
      <c r="G55" s="9" t="n">
        <f aca="false">IF(AND(C55=0,E55=0),0,IF(C55=0,"New",(E55-C55)/C55))</f>
        <v>-0.522603978300181</v>
      </c>
      <c r="H55" s="8" t="n">
        <f aca="false">SUMIFS('Source 2025'!$D:$D,'Source 2025'!$B:$B,$A55,'Source 2025'!$A:$A,"Amount (NIS)")+SUMIFS('Source 2025'!$E:$E,'Source 2025'!$B:$B,$A55,'Source 2025'!$A:$A,"Amount (NIS)")+SUMIFS('Source 2025'!$F:$F,'Source 2025'!$B:$B,$A55,'Source 2025'!$A:$A,"Amount (NIS)")+SUMIFS('Source 2025'!$G:$G,'Source 2025'!$B:$B,$A55,'Source 2025'!$A:$A,"Amount (NIS)")+SUMIFS('Source 2025'!$J:$J,'Source 2025'!$B:$B,$A55,'Source 2025'!$A:$A,"Amount (NIS)")+SUMIFS('Source 2025'!$M:$M,'Source 2025'!$B:$B,$A55,'Source 2025'!$A:$A,"Amount (NIS)")</f>
        <v>7117.5</v>
      </c>
      <c r="I55" s="8" t="n">
        <f aca="false">SUMIFS('Source 2026'!$D:$D,'Source 2026'!$B:$B,$A55,'Source 2026'!$A:$A,"Amount (NIS)")+SUMIFS('Source 2026'!$E:$E,'Source 2026'!$B:$B,$A55,'Source 2026'!$A:$A,"Amount (NIS)")+SUMIFS('Source 2026'!$F:$F,'Source 2026'!$B:$B,$A55,'Source 2026'!$A:$A,"Amount (NIS)")+SUMIFS('Source 2026'!$G:$G,'Source 2026'!$B:$B,$A55,'Source 2026'!$A:$A,"Amount (NIS)")+SUMIFS('Source 2026'!$J:$J,'Source 2026'!$B:$B,$A55,'Source 2026'!$A:$A,"Amount (NIS)")+SUMIFS('Source 2026'!$M:$M,'Source 2026'!$B:$B,$A55,'Source 2026'!$A:$A,"Amount (NIS)")</f>
        <v>2439.4</v>
      </c>
      <c r="J55" s="8" t="n">
        <f aca="false">I55*$J$5</f>
        <v>3345.46285714286</v>
      </c>
      <c r="K55" s="8" t="n">
        <f aca="false">J55-H55</f>
        <v>-3772.03714285714</v>
      </c>
      <c r="L55" s="9" t="n">
        <f aca="false">IF(AND(H55=0,J55=0),0,IF(H55=0,"New",(J55-H55)/H55))</f>
        <v>-0.529966581363842</v>
      </c>
    </row>
    <row r="56" customFormat="false" ht="15" hidden="false" customHeight="false" outlineLevel="0" collapsed="false">
      <c r="A56" s="7" t="n">
        <v>4415027</v>
      </c>
      <c r="B56" s="7" t="str">
        <f aca="false">IFERROR(INDEX('Source 2026'!$C:$C,MATCH($A56,'Source 2026'!$B:$B,0)),IFERROR(INDEX('Source 2025'!$C:$C,MATCH($A56,'Source 2025'!$B:$B,0)),""))</f>
        <v>AC-27R סד לש.כף יד ימין</v>
      </c>
      <c r="C56" s="8" t="n">
        <f aca="false">SUMIFS('Source 2025'!$D:$D,'Source 2025'!$B:$B,$A56,'Source 2025'!$A:$A,"Quantity (units)")+SUMIFS('Source 2025'!$E:$E,'Source 2025'!$B:$B,$A56,'Source 2025'!$A:$A,"Quantity (units)")+SUMIFS('Source 2025'!$F:$F,'Source 2025'!$B:$B,$A56,'Source 2025'!$A:$A,"Quantity (units)")+SUMIFS('Source 2025'!$G:$G,'Source 2025'!$B:$B,$A56,'Source 2025'!$A:$A,"Quantity (units)")+SUMIFS('Source 2025'!$J:$J,'Source 2025'!$B:$B,$A56,'Source 2025'!$A:$A,"Quantity (units)")+SUMIFS('Source 2025'!$M:$M,'Source 2025'!$B:$B,$A56,'Source 2025'!$A:$A,"Quantity (units)")</f>
        <v>413</v>
      </c>
      <c r="D56" s="8" t="n">
        <f aca="false">SUMIFS('Source 2026'!$D:$D,'Source 2026'!$B:$B,$A56,'Source 2026'!$A:$A,"Quantity (units)")+SUMIFS('Source 2026'!$E:$E,'Source 2026'!$B:$B,$A56,'Source 2026'!$A:$A,"Quantity (units)")+SUMIFS('Source 2026'!$F:$F,'Source 2026'!$B:$B,$A56,'Source 2026'!$A:$A,"Quantity (units)")+SUMIFS('Source 2026'!$G:$G,'Source 2026'!$B:$B,$A56,'Source 2026'!$A:$A,"Quantity (units)")+SUMIFS('Source 2026'!$J:$J,'Source 2026'!$B:$B,$A56,'Source 2026'!$A:$A,"Quantity (units)")+SUMIFS('Source 2026'!$M:$M,'Source 2026'!$B:$B,$A56,'Source 2026'!$A:$A,"Quantity (units)")</f>
        <v>280</v>
      </c>
      <c r="E56" s="8" t="n">
        <f aca="false">D56*$J$5</f>
        <v>384</v>
      </c>
      <c r="F56" s="8" t="n">
        <f aca="false">E56-C56</f>
        <v>-29</v>
      </c>
      <c r="G56" s="9" t="n">
        <f aca="false">IF(AND(C56=0,E56=0),0,IF(C56=0,"New",(E56-C56)/C56))</f>
        <v>-0.0702179176755448</v>
      </c>
      <c r="H56" s="8" t="n">
        <f aca="false">SUMIFS('Source 2025'!$D:$D,'Source 2025'!$B:$B,$A56,'Source 2025'!$A:$A,"Amount (NIS)")+SUMIFS('Source 2025'!$E:$E,'Source 2025'!$B:$B,$A56,'Source 2025'!$A:$A,"Amount (NIS)")+SUMIFS('Source 2025'!$F:$F,'Source 2025'!$B:$B,$A56,'Source 2025'!$A:$A,"Amount (NIS)")+SUMIFS('Source 2025'!$G:$G,'Source 2025'!$B:$B,$A56,'Source 2025'!$A:$A,"Amount (NIS)")+SUMIFS('Source 2025'!$J:$J,'Source 2025'!$B:$B,$A56,'Source 2025'!$A:$A,"Amount (NIS)")+SUMIFS('Source 2025'!$M:$M,'Source 2025'!$B:$B,$A56,'Source 2025'!$A:$A,"Amount (NIS)")</f>
        <v>16528.7</v>
      </c>
      <c r="I56" s="8" t="n">
        <f aca="false">SUMIFS('Source 2026'!$D:$D,'Source 2026'!$B:$B,$A56,'Source 2026'!$A:$A,"Amount (NIS)")+SUMIFS('Source 2026'!$E:$E,'Source 2026'!$B:$B,$A56,'Source 2026'!$A:$A,"Amount (NIS)")+SUMIFS('Source 2026'!$F:$F,'Source 2026'!$B:$B,$A56,'Source 2026'!$A:$A,"Amount (NIS)")+SUMIFS('Source 2026'!$G:$G,'Source 2026'!$B:$B,$A56,'Source 2026'!$A:$A,"Amount (NIS)")+SUMIFS('Source 2026'!$J:$J,'Source 2026'!$B:$B,$A56,'Source 2026'!$A:$A,"Amount (NIS)")+SUMIFS('Source 2026'!$M:$M,'Source 2026'!$B:$B,$A56,'Source 2026'!$A:$A,"Amount (NIS)")</f>
        <v>11920.6</v>
      </c>
      <c r="J56" s="8" t="n">
        <f aca="false">I56*$J$5</f>
        <v>16348.2514285714</v>
      </c>
      <c r="K56" s="8" t="n">
        <f aca="false">J56-H56</f>
        <v>-180.448571428571</v>
      </c>
      <c r="L56" s="9" t="n">
        <f aca="false">IF(AND(H56=0,J56=0),0,IF(H56=0,"New",(J56-H56)/H56))</f>
        <v>-0.0109172875924042</v>
      </c>
    </row>
    <row r="57" customFormat="false" ht="15" hidden="false" customHeight="false" outlineLevel="0" collapsed="false">
      <c r="A57" s="7" t="n">
        <v>4413495</v>
      </c>
      <c r="B57" s="7" t="str">
        <f aca="false">IFERROR(INDEX('Source 2026'!$C:$C,MATCH($A57,'Source 2026'!$B:$B,0)),IFERROR(INDEX('Source 2025'!$C:$C,MATCH($A57,'Source 2025'!$B:$B,0)),""))</f>
        <v>45B L מגן ברך שחור</v>
      </c>
      <c r="C57" s="8" t="n">
        <f aca="false">SUMIFS('Source 2025'!$D:$D,'Source 2025'!$B:$B,$A57,'Source 2025'!$A:$A,"Quantity (units)")+SUMIFS('Source 2025'!$E:$E,'Source 2025'!$B:$B,$A57,'Source 2025'!$A:$A,"Quantity (units)")+SUMIFS('Source 2025'!$F:$F,'Source 2025'!$B:$B,$A57,'Source 2025'!$A:$A,"Quantity (units)")+SUMIFS('Source 2025'!$G:$G,'Source 2025'!$B:$B,$A57,'Source 2025'!$A:$A,"Quantity (units)")+SUMIFS('Source 2025'!$J:$J,'Source 2025'!$B:$B,$A57,'Source 2025'!$A:$A,"Quantity (units)")+SUMIFS('Source 2025'!$M:$M,'Source 2025'!$B:$B,$A57,'Source 2025'!$A:$A,"Quantity (units)")</f>
        <v>388</v>
      </c>
      <c r="D57" s="8" t="n">
        <f aca="false">SUMIFS('Source 2026'!$D:$D,'Source 2026'!$B:$B,$A57,'Source 2026'!$A:$A,"Quantity (units)")+SUMIFS('Source 2026'!$E:$E,'Source 2026'!$B:$B,$A57,'Source 2026'!$A:$A,"Quantity (units)")+SUMIFS('Source 2026'!$F:$F,'Source 2026'!$B:$B,$A57,'Source 2026'!$A:$A,"Quantity (units)")+SUMIFS('Source 2026'!$G:$G,'Source 2026'!$B:$B,$A57,'Source 2026'!$A:$A,"Quantity (units)")+SUMIFS('Source 2026'!$J:$J,'Source 2026'!$B:$B,$A57,'Source 2026'!$A:$A,"Quantity (units)")+SUMIFS('Source 2026'!$M:$M,'Source 2026'!$B:$B,$A57,'Source 2026'!$A:$A,"Quantity (units)")</f>
        <v>224</v>
      </c>
      <c r="E57" s="8" t="n">
        <f aca="false">D57*$J$5</f>
        <v>307.2</v>
      </c>
      <c r="F57" s="8" t="n">
        <f aca="false">E57-C57</f>
        <v>-80.8</v>
      </c>
      <c r="G57" s="9" t="n">
        <f aca="false">IF(AND(C57=0,E57=0),0,IF(C57=0,"New",(E57-C57)/C57))</f>
        <v>-0.208247422680412</v>
      </c>
      <c r="H57" s="8" t="n">
        <f aca="false">SUMIFS('Source 2025'!$D:$D,'Source 2025'!$B:$B,$A57,'Source 2025'!$A:$A,"Amount (NIS)")+SUMIFS('Source 2025'!$E:$E,'Source 2025'!$B:$B,$A57,'Source 2025'!$A:$A,"Amount (NIS)")+SUMIFS('Source 2025'!$F:$F,'Source 2025'!$B:$B,$A57,'Source 2025'!$A:$A,"Amount (NIS)")+SUMIFS('Source 2025'!$G:$G,'Source 2025'!$B:$B,$A57,'Source 2025'!$A:$A,"Amount (NIS)")+SUMIFS('Source 2025'!$J:$J,'Source 2025'!$B:$B,$A57,'Source 2025'!$A:$A,"Amount (NIS)")+SUMIFS('Source 2025'!$M:$M,'Source 2025'!$B:$B,$A57,'Source 2025'!$A:$A,"Amount (NIS)")</f>
        <v>11355.1</v>
      </c>
      <c r="I57" s="8" t="n">
        <f aca="false">SUMIFS('Source 2026'!$D:$D,'Source 2026'!$B:$B,$A57,'Source 2026'!$A:$A,"Amount (NIS)")+SUMIFS('Source 2026'!$E:$E,'Source 2026'!$B:$B,$A57,'Source 2026'!$A:$A,"Amount (NIS)")+SUMIFS('Source 2026'!$F:$F,'Source 2026'!$B:$B,$A57,'Source 2026'!$A:$A,"Amount (NIS)")+SUMIFS('Source 2026'!$G:$G,'Source 2026'!$B:$B,$A57,'Source 2026'!$A:$A,"Amount (NIS)")+SUMIFS('Source 2026'!$J:$J,'Source 2026'!$B:$B,$A57,'Source 2026'!$A:$A,"Amount (NIS)")+SUMIFS('Source 2026'!$M:$M,'Source 2026'!$B:$B,$A57,'Source 2026'!$A:$A,"Amount (NIS)")</f>
        <v>6835</v>
      </c>
      <c r="J57" s="8" t="n">
        <f aca="false">I57*$J$5</f>
        <v>9373.71428571429</v>
      </c>
      <c r="K57" s="8" t="n">
        <f aca="false">J57-H57</f>
        <v>-1981.38571428571</v>
      </c>
      <c r="L57" s="9" t="n">
        <f aca="false">IF(AND(H57=0,J57=0),0,IF(H57=0,"New",(J57-H57)/H57))</f>
        <v>-0.174493022015281</v>
      </c>
    </row>
    <row r="58" customFormat="false" ht="15" hidden="false" customHeight="false" outlineLevel="0" collapsed="false">
      <c r="A58" s="7" t="n">
        <v>4415000</v>
      </c>
      <c r="B58" s="7" t="str">
        <f aca="false">IFERROR(INDEX('Source 2026'!$C:$C,MATCH($A58,'Source 2026'!$B:$B,0)),IFERROR(INDEX('Source 2025'!$C:$C,MATCH($A58,'Source 2025'!$B:$B,0)),""))</f>
        <v>26 L סד ליד דו צדדי לאחר שבר</v>
      </c>
      <c r="C58" s="8" t="n">
        <f aca="false">SUMIFS('Source 2025'!$D:$D,'Source 2025'!$B:$B,$A58,'Source 2025'!$A:$A,"Quantity (units)")+SUMIFS('Source 2025'!$E:$E,'Source 2025'!$B:$B,$A58,'Source 2025'!$A:$A,"Quantity (units)")+SUMIFS('Source 2025'!$F:$F,'Source 2025'!$B:$B,$A58,'Source 2025'!$A:$A,"Quantity (units)")+SUMIFS('Source 2025'!$G:$G,'Source 2025'!$B:$B,$A58,'Source 2025'!$A:$A,"Quantity (units)")+SUMIFS('Source 2025'!$J:$J,'Source 2025'!$B:$B,$A58,'Source 2025'!$A:$A,"Quantity (units)")+SUMIFS('Source 2025'!$M:$M,'Source 2025'!$B:$B,$A58,'Source 2025'!$A:$A,"Quantity (units)")</f>
        <v>106</v>
      </c>
      <c r="D58" s="8" t="n">
        <f aca="false">SUMIFS('Source 2026'!$D:$D,'Source 2026'!$B:$B,$A58,'Source 2026'!$A:$A,"Quantity (units)")+SUMIFS('Source 2026'!$E:$E,'Source 2026'!$B:$B,$A58,'Source 2026'!$A:$A,"Quantity (units)")+SUMIFS('Source 2026'!$F:$F,'Source 2026'!$B:$B,$A58,'Source 2026'!$A:$A,"Quantity (units)")+SUMIFS('Source 2026'!$G:$G,'Source 2026'!$B:$B,$A58,'Source 2026'!$A:$A,"Quantity (units)")+SUMIFS('Source 2026'!$J:$J,'Source 2026'!$B:$B,$A58,'Source 2026'!$A:$A,"Quantity (units)")+SUMIFS('Source 2026'!$M:$M,'Source 2026'!$B:$B,$A58,'Source 2026'!$A:$A,"Quantity (units)")</f>
        <v>60</v>
      </c>
      <c r="E58" s="8" t="n">
        <f aca="false">D58*$J$5</f>
        <v>82.2857142857143</v>
      </c>
      <c r="F58" s="8" t="n">
        <f aca="false">E58-C58</f>
        <v>-23.7142857142857</v>
      </c>
      <c r="G58" s="9" t="n">
        <f aca="false">IF(AND(C58=0,E58=0),0,IF(C58=0,"New",(E58-C58)/C58))</f>
        <v>-0.223719676549865</v>
      </c>
      <c r="H58" s="8" t="n">
        <f aca="false">SUMIFS('Source 2025'!$D:$D,'Source 2025'!$B:$B,$A58,'Source 2025'!$A:$A,"Amount (NIS)")+SUMIFS('Source 2025'!$E:$E,'Source 2025'!$B:$B,$A58,'Source 2025'!$A:$A,"Amount (NIS)")+SUMIFS('Source 2025'!$F:$F,'Source 2025'!$B:$B,$A58,'Source 2025'!$A:$A,"Amount (NIS)")+SUMIFS('Source 2025'!$G:$G,'Source 2025'!$B:$B,$A58,'Source 2025'!$A:$A,"Amount (NIS)")+SUMIFS('Source 2025'!$J:$J,'Source 2025'!$B:$B,$A58,'Source 2025'!$A:$A,"Amount (NIS)")+SUMIFS('Source 2025'!$M:$M,'Source 2025'!$B:$B,$A58,'Source 2025'!$A:$A,"Amount (NIS)")</f>
        <v>10415.4</v>
      </c>
      <c r="I58" s="8" t="n">
        <f aca="false">SUMIFS('Source 2026'!$D:$D,'Source 2026'!$B:$B,$A58,'Source 2026'!$A:$A,"Amount (NIS)")+SUMIFS('Source 2026'!$E:$E,'Source 2026'!$B:$B,$A58,'Source 2026'!$A:$A,"Amount (NIS)")+SUMIFS('Source 2026'!$F:$F,'Source 2026'!$B:$B,$A58,'Source 2026'!$A:$A,"Amount (NIS)")+SUMIFS('Source 2026'!$G:$G,'Source 2026'!$B:$B,$A58,'Source 2026'!$A:$A,"Amount (NIS)")+SUMIFS('Source 2026'!$J:$J,'Source 2026'!$B:$B,$A58,'Source 2026'!$A:$A,"Amount (NIS)")+SUMIFS('Source 2026'!$M:$M,'Source 2026'!$B:$B,$A58,'Source 2026'!$A:$A,"Amount (NIS)")</f>
        <v>5920.6</v>
      </c>
      <c r="J58" s="8" t="n">
        <f aca="false">I58*$J$5</f>
        <v>8119.68</v>
      </c>
      <c r="K58" s="8" t="n">
        <f aca="false">J58-H58</f>
        <v>-2295.72</v>
      </c>
      <c r="L58" s="9" t="n">
        <f aca="false">IF(AND(H58=0,J58=0),0,IF(H58=0,"New",(J58-H58)/H58))</f>
        <v>-0.220415922576185</v>
      </c>
    </row>
    <row r="59" customFormat="false" ht="15" hidden="false" customHeight="false" outlineLevel="0" collapsed="false">
      <c r="A59" s="7" t="n">
        <v>4418001</v>
      </c>
      <c r="B59" s="7" t="str">
        <f aca="false">IFERROR(INDEX('Source 2026'!$C:$C,MATCH($A59,'Source 2026'!$B:$B,0)),IFERROR(INDEX('Source 2025'!$C:$C,MATCH($A59,'Source 2025'!$B:$B,0)),""))</f>
        <v>60 M צוארון ספוגי</v>
      </c>
      <c r="C59" s="8" t="n">
        <f aca="false">SUMIFS('Source 2025'!$D:$D,'Source 2025'!$B:$B,$A59,'Source 2025'!$A:$A,"Quantity (units)")+SUMIFS('Source 2025'!$E:$E,'Source 2025'!$B:$B,$A59,'Source 2025'!$A:$A,"Quantity (units)")+SUMIFS('Source 2025'!$F:$F,'Source 2025'!$B:$B,$A59,'Source 2025'!$A:$A,"Quantity (units)")+SUMIFS('Source 2025'!$G:$G,'Source 2025'!$B:$B,$A59,'Source 2025'!$A:$A,"Quantity (units)")+SUMIFS('Source 2025'!$J:$J,'Source 2025'!$B:$B,$A59,'Source 2025'!$A:$A,"Quantity (units)")+SUMIFS('Source 2025'!$M:$M,'Source 2025'!$B:$B,$A59,'Source 2025'!$A:$A,"Quantity (units)")</f>
        <v>146</v>
      </c>
      <c r="D59" s="8" t="n">
        <f aca="false">SUMIFS('Source 2026'!$D:$D,'Source 2026'!$B:$B,$A59,'Source 2026'!$A:$A,"Quantity (units)")+SUMIFS('Source 2026'!$E:$E,'Source 2026'!$B:$B,$A59,'Source 2026'!$A:$A,"Quantity (units)")+SUMIFS('Source 2026'!$F:$F,'Source 2026'!$B:$B,$A59,'Source 2026'!$A:$A,"Quantity (units)")+SUMIFS('Source 2026'!$G:$G,'Source 2026'!$B:$B,$A59,'Source 2026'!$A:$A,"Quantity (units)")+SUMIFS('Source 2026'!$J:$J,'Source 2026'!$B:$B,$A59,'Source 2026'!$A:$A,"Quantity (units)")+SUMIFS('Source 2026'!$M:$M,'Source 2026'!$B:$B,$A59,'Source 2026'!$A:$A,"Quantity (units)")</f>
        <v>55</v>
      </c>
      <c r="E59" s="8" t="n">
        <f aca="false">D59*$J$5</f>
        <v>75.4285714285714</v>
      </c>
      <c r="F59" s="8" t="n">
        <f aca="false">E59-C59</f>
        <v>-70.5714285714286</v>
      </c>
      <c r="G59" s="9" t="n">
        <f aca="false">IF(AND(C59=0,E59=0),0,IF(C59=0,"New",(E59-C59)/C59))</f>
        <v>-0.483365949119374</v>
      </c>
      <c r="H59" s="8" t="n">
        <f aca="false">SUMIFS('Source 2025'!$D:$D,'Source 2025'!$B:$B,$A59,'Source 2025'!$A:$A,"Amount (NIS)")+SUMIFS('Source 2025'!$E:$E,'Source 2025'!$B:$B,$A59,'Source 2025'!$A:$A,"Amount (NIS)")+SUMIFS('Source 2025'!$F:$F,'Source 2025'!$B:$B,$A59,'Source 2025'!$A:$A,"Amount (NIS)")+SUMIFS('Source 2025'!$G:$G,'Source 2025'!$B:$B,$A59,'Source 2025'!$A:$A,"Amount (NIS)")+SUMIFS('Source 2025'!$J:$J,'Source 2025'!$B:$B,$A59,'Source 2025'!$A:$A,"Amount (NIS)")+SUMIFS('Source 2025'!$M:$M,'Source 2025'!$B:$B,$A59,'Source 2025'!$A:$A,"Amount (NIS)")</f>
        <v>7093.8</v>
      </c>
      <c r="I59" s="8" t="n">
        <f aca="false">SUMIFS('Source 2026'!$D:$D,'Source 2026'!$B:$B,$A59,'Source 2026'!$A:$A,"Amount (NIS)")+SUMIFS('Source 2026'!$E:$E,'Source 2026'!$B:$B,$A59,'Source 2026'!$A:$A,"Amount (NIS)")+SUMIFS('Source 2026'!$F:$F,'Source 2026'!$B:$B,$A59,'Source 2026'!$A:$A,"Amount (NIS)")+SUMIFS('Source 2026'!$G:$G,'Source 2026'!$B:$B,$A59,'Source 2026'!$A:$A,"Amount (NIS)")+SUMIFS('Source 2026'!$J:$J,'Source 2026'!$B:$B,$A59,'Source 2026'!$A:$A,"Amount (NIS)")+SUMIFS('Source 2026'!$M:$M,'Source 2026'!$B:$B,$A59,'Source 2026'!$A:$A,"Amount (NIS)")</f>
        <v>2656.9</v>
      </c>
      <c r="J59" s="8" t="n">
        <f aca="false">I59*$J$5</f>
        <v>3643.74857142857</v>
      </c>
      <c r="K59" s="8" t="n">
        <f aca="false">J59-H59</f>
        <v>-3450.05142857143</v>
      </c>
      <c r="L59" s="9" t="n">
        <f aca="false">IF(AND(H59=0,J59=0),0,IF(H59=0,"New",(J59-H59)/H59))</f>
        <v>-0.486347434177934</v>
      </c>
    </row>
    <row r="60" customFormat="false" ht="15" hidden="false" customHeight="false" outlineLevel="0" collapsed="false">
      <c r="A60" s="7" t="n">
        <v>4408206</v>
      </c>
      <c r="B60" s="7" t="str">
        <f aca="false">IFERROR(INDEX('Source 2026'!$C:$C,MATCH($A60,'Source 2026'!$B:$B,0)),IFERROR(INDEX('Source 2025'!$C:$C,MATCH($A60,'Source 2025'!$B:$B,0)),""))</f>
        <v>AC-11 חגורת בטן קלה</v>
      </c>
      <c r="C60" s="8" t="n">
        <f aca="false">SUMIFS('Source 2025'!$D:$D,'Source 2025'!$B:$B,$A60,'Source 2025'!$A:$A,"Quantity (units)")+SUMIFS('Source 2025'!$E:$E,'Source 2025'!$B:$B,$A60,'Source 2025'!$A:$A,"Quantity (units)")+SUMIFS('Source 2025'!$F:$F,'Source 2025'!$B:$B,$A60,'Source 2025'!$A:$A,"Quantity (units)")+SUMIFS('Source 2025'!$G:$G,'Source 2025'!$B:$B,$A60,'Source 2025'!$A:$A,"Quantity (units)")+SUMIFS('Source 2025'!$J:$J,'Source 2025'!$B:$B,$A60,'Source 2025'!$A:$A,"Quantity (units)")+SUMIFS('Source 2025'!$M:$M,'Source 2025'!$B:$B,$A60,'Source 2025'!$A:$A,"Quantity (units)")</f>
        <v>224</v>
      </c>
      <c r="D60" s="8" t="n">
        <f aca="false">SUMIFS('Source 2026'!$D:$D,'Source 2026'!$B:$B,$A60,'Source 2026'!$A:$A,"Quantity (units)")+SUMIFS('Source 2026'!$E:$E,'Source 2026'!$B:$B,$A60,'Source 2026'!$A:$A,"Quantity (units)")+SUMIFS('Source 2026'!$F:$F,'Source 2026'!$B:$B,$A60,'Source 2026'!$A:$A,"Quantity (units)")+SUMIFS('Source 2026'!$G:$G,'Source 2026'!$B:$B,$A60,'Source 2026'!$A:$A,"Quantity (units)")+SUMIFS('Source 2026'!$J:$J,'Source 2026'!$B:$B,$A60,'Source 2026'!$A:$A,"Quantity (units)")+SUMIFS('Source 2026'!$M:$M,'Source 2026'!$B:$B,$A60,'Source 2026'!$A:$A,"Quantity (units)")</f>
        <v>161</v>
      </c>
      <c r="E60" s="8" t="n">
        <f aca="false">D60*$J$5</f>
        <v>220.8</v>
      </c>
      <c r="F60" s="8" t="n">
        <f aca="false">E60-C60</f>
        <v>-3.19999999999999</v>
      </c>
      <c r="G60" s="9" t="n">
        <f aca="false">IF(AND(C60=0,E60=0),0,IF(C60=0,"New",(E60-C60)/C60))</f>
        <v>-0.0142857142857142</v>
      </c>
      <c r="H60" s="8" t="n">
        <f aca="false">SUMIFS('Source 2025'!$D:$D,'Source 2025'!$B:$B,$A60,'Source 2025'!$A:$A,"Amount (NIS)")+SUMIFS('Source 2025'!$E:$E,'Source 2025'!$B:$B,$A60,'Source 2025'!$A:$A,"Amount (NIS)")+SUMIFS('Source 2025'!$F:$F,'Source 2025'!$B:$B,$A60,'Source 2025'!$A:$A,"Amount (NIS)")+SUMIFS('Source 2025'!$G:$G,'Source 2025'!$B:$B,$A60,'Source 2025'!$A:$A,"Amount (NIS)")+SUMIFS('Source 2025'!$J:$J,'Source 2025'!$B:$B,$A60,'Source 2025'!$A:$A,"Amount (NIS)")+SUMIFS('Source 2025'!$M:$M,'Source 2025'!$B:$B,$A60,'Source 2025'!$A:$A,"Amount (NIS)")</f>
        <v>14959.2</v>
      </c>
      <c r="I60" s="8" t="n">
        <f aca="false">SUMIFS('Source 2026'!$D:$D,'Source 2026'!$B:$B,$A60,'Source 2026'!$A:$A,"Amount (NIS)")+SUMIFS('Source 2026'!$E:$E,'Source 2026'!$B:$B,$A60,'Source 2026'!$A:$A,"Amount (NIS)")+SUMIFS('Source 2026'!$F:$F,'Source 2026'!$B:$B,$A60,'Source 2026'!$A:$A,"Amount (NIS)")+SUMIFS('Source 2026'!$G:$G,'Source 2026'!$B:$B,$A60,'Source 2026'!$A:$A,"Amount (NIS)")+SUMIFS('Source 2026'!$J:$J,'Source 2026'!$B:$B,$A60,'Source 2026'!$A:$A,"Amount (NIS)")+SUMIFS('Source 2026'!$M:$M,'Source 2026'!$B:$B,$A60,'Source 2026'!$A:$A,"Amount (NIS)")</f>
        <v>10810.9</v>
      </c>
      <c r="J60" s="8" t="n">
        <f aca="false">I60*$J$5</f>
        <v>14826.3771428571</v>
      </c>
      <c r="K60" s="8" t="n">
        <f aca="false">J60-H60</f>
        <v>-132.822857142859</v>
      </c>
      <c r="L60" s="9" t="n">
        <f aca="false">IF(AND(H60=0,J60=0),0,IF(H60=0,"New",(J60-H60)/H60))</f>
        <v>-0.00887900804473896</v>
      </c>
    </row>
    <row r="61" customFormat="false" ht="15" hidden="false" customHeight="false" outlineLevel="0" collapsed="false">
      <c r="A61" s="7" t="n">
        <v>4411000</v>
      </c>
      <c r="B61" s="7" t="str">
        <f aca="false">IFERROR(INDEX('Source 2026'!$C:$C,MATCH($A61,'Source 2026'!$B:$B,0)),IFERROR(INDEX('Source 2025'!$C:$C,MATCH($A61,'Source 2025'!$B:$B,0)),""))</f>
        <v>כרית מטטרזלי סיליקון362</v>
      </c>
      <c r="C61" s="8" t="n">
        <f aca="false">SUMIFS('Source 2025'!$D:$D,'Source 2025'!$B:$B,$A61,'Source 2025'!$A:$A,"Quantity (units)")+SUMIFS('Source 2025'!$E:$E,'Source 2025'!$B:$B,$A61,'Source 2025'!$A:$A,"Quantity (units)")+SUMIFS('Source 2025'!$F:$F,'Source 2025'!$B:$B,$A61,'Source 2025'!$A:$A,"Quantity (units)")+SUMIFS('Source 2025'!$G:$G,'Source 2025'!$B:$B,$A61,'Source 2025'!$A:$A,"Quantity (units)")+SUMIFS('Source 2025'!$J:$J,'Source 2025'!$B:$B,$A61,'Source 2025'!$A:$A,"Quantity (units)")+SUMIFS('Source 2025'!$M:$M,'Source 2025'!$B:$B,$A61,'Source 2025'!$A:$A,"Quantity (units)")</f>
        <v>309</v>
      </c>
      <c r="D61" s="8" t="n">
        <f aca="false">SUMIFS('Source 2026'!$D:$D,'Source 2026'!$B:$B,$A61,'Source 2026'!$A:$A,"Quantity (units)")+SUMIFS('Source 2026'!$E:$E,'Source 2026'!$B:$B,$A61,'Source 2026'!$A:$A,"Quantity (units)")+SUMIFS('Source 2026'!$F:$F,'Source 2026'!$B:$B,$A61,'Source 2026'!$A:$A,"Quantity (units)")+SUMIFS('Source 2026'!$G:$G,'Source 2026'!$B:$B,$A61,'Source 2026'!$A:$A,"Quantity (units)")+SUMIFS('Source 2026'!$J:$J,'Source 2026'!$B:$B,$A61,'Source 2026'!$A:$A,"Quantity (units)")+SUMIFS('Source 2026'!$M:$M,'Source 2026'!$B:$B,$A61,'Source 2026'!$A:$A,"Quantity (units)")</f>
        <v>164</v>
      </c>
      <c r="E61" s="8" t="n">
        <f aca="false">D61*$J$5</f>
        <v>224.914285714286</v>
      </c>
      <c r="F61" s="8" t="n">
        <f aca="false">E61-C61</f>
        <v>-84.0857142857143</v>
      </c>
      <c r="G61" s="9" t="n">
        <f aca="false">IF(AND(C61=0,E61=0),0,IF(C61=0,"New",(E61-C61)/C61))</f>
        <v>-0.272122052704577</v>
      </c>
      <c r="H61" s="8" t="n">
        <f aca="false">SUMIFS('Source 2025'!$D:$D,'Source 2025'!$B:$B,$A61,'Source 2025'!$A:$A,"Amount (NIS)")+SUMIFS('Source 2025'!$E:$E,'Source 2025'!$B:$B,$A61,'Source 2025'!$A:$A,"Amount (NIS)")+SUMIFS('Source 2025'!$F:$F,'Source 2025'!$B:$B,$A61,'Source 2025'!$A:$A,"Amount (NIS)")+SUMIFS('Source 2025'!$G:$G,'Source 2025'!$B:$B,$A61,'Source 2025'!$A:$A,"Amount (NIS)")+SUMIFS('Source 2025'!$J:$J,'Source 2025'!$B:$B,$A61,'Source 2025'!$A:$A,"Amount (NIS)")+SUMIFS('Source 2025'!$M:$M,'Source 2025'!$B:$B,$A61,'Source 2025'!$A:$A,"Amount (NIS)")</f>
        <v>8696.6</v>
      </c>
      <c r="I61" s="8" t="n">
        <f aca="false">SUMIFS('Source 2026'!$D:$D,'Source 2026'!$B:$B,$A61,'Source 2026'!$A:$A,"Amount (NIS)")+SUMIFS('Source 2026'!$E:$E,'Source 2026'!$B:$B,$A61,'Source 2026'!$A:$A,"Amount (NIS)")+SUMIFS('Source 2026'!$F:$F,'Source 2026'!$B:$B,$A61,'Source 2026'!$A:$A,"Amount (NIS)")+SUMIFS('Source 2026'!$G:$G,'Source 2026'!$B:$B,$A61,'Source 2026'!$A:$A,"Amount (NIS)")+SUMIFS('Source 2026'!$J:$J,'Source 2026'!$B:$B,$A61,'Source 2026'!$A:$A,"Amount (NIS)")+SUMIFS('Source 2026'!$M:$M,'Source 2026'!$B:$B,$A61,'Source 2026'!$A:$A,"Amount (NIS)")</f>
        <v>4670.1</v>
      </c>
      <c r="J61" s="8" t="n">
        <f aca="false">I61*$J$5</f>
        <v>6404.70857142857</v>
      </c>
      <c r="K61" s="8" t="n">
        <f aca="false">J61-H61</f>
        <v>-2291.89142857143</v>
      </c>
      <c r="L61" s="9" t="n">
        <f aca="false">IF(AND(H61=0,J61=0),0,IF(H61=0,"New",(J61-H61)/H61))</f>
        <v>-0.263538788557761</v>
      </c>
    </row>
    <row r="62" customFormat="false" ht="15" hidden="false" customHeight="false" outlineLevel="0" collapsed="false">
      <c r="A62" s="7" t="n">
        <v>4415003</v>
      </c>
      <c r="B62" s="7" t="str">
        <f aca="false">IFERROR(INDEX('Source 2026'!$C:$C,MATCH($A62,'Source 2026'!$B:$B,0)),IFERROR(INDEX('Source 2025'!$C:$C,MATCH($A62,'Source 2025'!$B:$B,0)),""))</f>
        <v>26 XL סד ליד דו צדדי לאחר שבר</v>
      </c>
      <c r="C62" s="8" t="n">
        <f aca="false">SUMIFS('Source 2025'!$D:$D,'Source 2025'!$B:$B,$A62,'Source 2025'!$A:$A,"Quantity (units)")+SUMIFS('Source 2025'!$E:$E,'Source 2025'!$B:$B,$A62,'Source 2025'!$A:$A,"Quantity (units)")+SUMIFS('Source 2025'!$F:$F,'Source 2025'!$B:$B,$A62,'Source 2025'!$A:$A,"Quantity (units)")+SUMIFS('Source 2025'!$G:$G,'Source 2025'!$B:$B,$A62,'Source 2025'!$A:$A,"Quantity (units)")+SUMIFS('Source 2025'!$J:$J,'Source 2025'!$B:$B,$A62,'Source 2025'!$A:$A,"Quantity (units)")+SUMIFS('Source 2025'!$M:$M,'Source 2025'!$B:$B,$A62,'Source 2025'!$A:$A,"Quantity (units)")</f>
        <v>70</v>
      </c>
      <c r="D62" s="8" t="n">
        <f aca="false">SUMIFS('Source 2026'!$D:$D,'Source 2026'!$B:$B,$A62,'Source 2026'!$A:$A,"Quantity (units)")+SUMIFS('Source 2026'!$E:$E,'Source 2026'!$B:$B,$A62,'Source 2026'!$A:$A,"Quantity (units)")+SUMIFS('Source 2026'!$F:$F,'Source 2026'!$B:$B,$A62,'Source 2026'!$A:$A,"Quantity (units)")+SUMIFS('Source 2026'!$G:$G,'Source 2026'!$B:$B,$A62,'Source 2026'!$A:$A,"Quantity (units)")+SUMIFS('Source 2026'!$J:$J,'Source 2026'!$B:$B,$A62,'Source 2026'!$A:$A,"Quantity (units)")+SUMIFS('Source 2026'!$M:$M,'Source 2026'!$B:$B,$A62,'Source 2026'!$A:$A,"Quantity (units)")</f>
        <v>28</v>
      </c>
      <c r="E62" s="8" t="n">
        <f aca="false">D62*$J$5</f>
        <v>38.4</v>
      </c>
      <c r="F62" s="8" t="n">
        <f aca="false">E62-C62</f>
        <v>-31.6</v>
      </c>
      <c r="G62" s="9" t="n">
        <f aca="false">IF(AND(C62=0,E62=0),0,IF(C62=0,"New",(E62-C62)/C62))</f>
        <v>-0.451428571428571</v>
      </c>
      <c r="H62" s="8" t="n">
        <f aca="false">SUMIFS('Source 2025'!$D:$D,'Source 2025'!$B:$B,$A62,'Source 2025'!$A:$A,"Amount (NIS)")+SUMIFS('Source 2025'!$E:$E,'Source 2025'!$B:$B,$A62,'Source 2025'!$A:$A,"Amount (NIS)")+SUMIFS('Source 2025'!$F:$F,'Source 2025'!$B:$B,$A62,'Source 2025'!$A:$A,"Amount (NIS)")+SUMIFS('Source 2025'!$G:$G,'Source 2025'!$B:$B,$A62,'Source 2025'!$A:$A,"Amount (NIS)")+SUMIFS('Source 2025'!$J:$J,'Source 2025'!$B:$B,$A62,'Source 2025'!$A:$A,"Amount (NIS)")+SUMIFS('Source 2025'!$M:$M,'Source 2025'!$B:$B,$A62,'Source 2025'!$A:$A,"Amount (NIS)")</f>
        <v>6818.9</v>
      </c>
      <c r="I62" s="8" t="n">
        <f aca="false">SUMIFS('Source 2026'!$D:$D,'Source 2026'!$B:$B,$A62,'Source 2026'!$A:$A,"Amount (NIS)")+SUMIFS('Source 2026'!$E:$E,'Source 2026'!$B:$B,$A62,'Source 2026'!$A:$A,"Amount (NIS)")+SUMIFS('Source 2026'!$F:$F,'Source 2026'!$B:$B,$A62,'Source 2026'!$A:$A,"Amount (NIS)")+SUMIFS('Source 2026'!$G:$G,'Source 2026'!$B:$B,$A62,'Source 2026'!$A:$A,"Amount (NIS)")+SUMIFS('Source 2026'!$J:$J,'Source 2026'!$B:$B,$A62,'Source 2026'!$A:$A,"Amount (NIS)")+SUMIFS('Source 2026'!$M:$M,'Source 2026'!$B:$B,$A62,'Source 2026'!$A:$A,"Amount (NIS)")</f>
        <v>2804.5</v>
      </c>
      <c r="J62" s="8" t="n">
        <f aca="false">I62*$J$5</f>
        <v>3846.17142857143</v>
      </c>
      <c r="K62" s="8" t="n">
        <f aca="false">J62-H62</f>
        <v>-2972.72857142857</v>
      </c>
      <c r="L62" s="9" t="n">
        <f aca="false">IF(AND(H62=0,J62=0),0,IF(H62=0,"New",(J62-H62)/H62))</f>
        <v>-0.435954269959755</v>
      </c>
    </row>
    <row r="63" customFormat="false" ht="15" hidden="false" customHeight="false" outlineLevel="0" collapsed="false">
      <c r="A63" s="7" t="n">
        <v>4422040</v>
      </c>
      <c r="B63" s="7" t="str">
        <f aca="false">IFERROR(INDEX('Source 2026'!$C:$C,MATCH($A63,'Source 2026'!$B:$B,0)),IFERROR(INDEX('Source 2025'!$C:$C,MATCH($A63,'Source 2025'!$B:$B,0)),""))</f>
        <v>SH422 4 תומך ברך גנושילד</v>
      </c>
      <c r="C63" s="8" t="n">
        <f aca="false">SUMIFS('Source 2025'!$D:$D,'Source 2025'!$B:$B,$A63,'Source 2025'!$A:$A,"Quantity (units)")+SUMIFS('Source 2025'!$E:$E,'Source 2025'!$B:$B,$A63,'Source 2025'!$A:$A,"Quantity (units)")+SUMIFS('Source 2025'!$F:$F,'Source 2025'!$B:$B,$A63,'Source 2025'!$A:$A,"Quantity (units)")+SUMIFS('Source 2025'!$G:$G,'Source 2025'!$B:$B,$A63,'Source 2025'!$A:$A,"Quantity (units)")+SUMIFS('Source 2025'!$J:$J,'Source 2025'!$B:$B,$A63,'Source 2025'!$A:$A,"Quantity (units)")+SUMIFS('Source 2025'!$M:$M,'Source 2025'!$B:$B,$A63,'Source 2025'!$A:$A,"Quantity (units)")</f>
        <v>6</v>
      </c>
      <c r="D63" s="8" t="n">
        <f aca="false">SUMIFS('Source 2026'!$D:$D,'Source 2026'!$B:$B,$A63,'Source 2026'!$A:$A,"Quantity (units)")+SUMIFS('Source 2026'!$E:$E,'Source 2026'!$B:$B,$A63,'Source 2026'!$A:$A,"Quantity (units)")+SUMIFS('Source 2026'!$F:$F,'Source 2026'!$B:$B,$A63,'Source 2026'!$A:$A,"Quantity (units)")+SUMIFS('Source 2026'!$G:$G,'Source 2026'!$B:$B,$A63,'Source 2026'!$A:$A,"Quantity (units)")+SUMIFS('Source 2026'!$J:$J,'Source 2026'!$B:$B,$A63,'Source 2026'!$A:$A,"Quantity (units)")+SUMIFS('Source 2026'!$M:$M,'Source 2026'!$B:$B,$A63,'Source 2026'!$A:$A,"Quantity (units)")</f>
        <v>26</v>
      </c>
      <c r="E63" s="8" t="n">
        <f aca="false">D63*$J$5</f>
        <v>35.6571428571429</v>
      </c>
      <c r="F63" s="8" t="n">
        <f aca="false">E63-C63</f>
        <v>29.6571428571429</v>
      </c>
      <c r="G63" s="9" t="n">
        <f aca="false">IF(AND(C63=0,E63=0),0,IF(C63=0,"New",(E63-C63)/C63))</f>
        <v>4.94285714285714</v>
      </c>
      <c r="H63" s="8" t="n">
        <f aca="false">SUMIFS('Source 2025'!$D:$D,'Source 2025'!$B:$B,$A63,'Source 2025'!$A:$A,"Amount (NIS)")+SUMIFS('Source 2025'!$E:$E,'Source 2025'!$B:$B,$A63,'Source 2025'!$A:$A,"Amount (NIS)")+SUMIFS('Source 2025'!$F:$F,'Source 2025'!$B:$B,$A63,'Source 2025'!$A:$A,"Amount (NIS)")+SUMIFS('Source 2025'!$G:$G,'Source 2025'!$B:$B,$A63,'Source 2025'!$A:$A,"Amount (NIS)")+SUMIFS('Source 2025'!$J:$J,'Source 2025'!$B:$B,$A63,'Source 2025'!$A:$A,"Amount (NIS)")+SUMIFS('Source 2025'!$M:$M,'Source 2025'!$B:$B,$A63,'Source 2025'!$A:$A,"Amount (NIS)")</f>
        <v>1263.5</v>
      </c>
      <c r="I63" s="8" t="n">
        <f aca="false">SUMIFS('Source 2026'!$D:$D,'Source 2026'!$B:$B,$A63,'Source 2026'!$A:$A,"Amount (NIS)")+SUMIFS('Source 2026'!$E:$E,'Source 2026'!$B:$B,$A63,'Source 2026'!$A:$A,"Amount (NIS)")+SUMIFS('Source 2026'!$F:$F,'Source 2026'!$B:$B,$A63,'Source 2026'!$A:$A,"Amount (NIS)")+SUMIFS('Source 2026'!$G:$G,'Source 2026'!$B:$B,$A63,'Source 2026'!$A:$A,"Amount (NIS)")+SUMIFS('Source 2026'!$J:$J,'Source 2026'!$B:$B,$A63,'Source 2026'!$A:$A,"Amount (NIS)")+SUMIFS('Source 2026'!$M:$M,'Source 2026'!$B:$B,$A63,'Source 2026'!$A:$A,"Amount (NIS)")</f>
        <v>5212</v>
      </c>
      <c r="J63" s="8" t="n">
        <f aca="false">I63*$J$5</f>
        <v>7147.88571428571</v>
      </c>
      <c r="K63" s="8" t="n">
        <f aca="false">J63-H63</f>
        <v>5884.38571428571</v>
      </c>
      <c r="L63" s="9" t="n">
        <f aca="false">IF(AND(H63=0,J63=0),0,IF(H63=0,"New",(J63-H63)/H63))</f>
        <v>4.65721069591271</v>
      </c>
    </row>
    <row r="64" customFormat="false" ht="15" hidden="false" customHeight="false" outlineLevel="0" collapsed="false">
      <c r="A64" s="7" t="n">
        <v>4413099</v>
      </c>
      <c r="B64" s="7" t="str">
        <f aca="false">IFERROR(INDEX('Source 2026'!$C:$C,MATCH($A64,'Source 2026'!$B:$B,0)),IFERROR(INDEX('Source 2025'!$C:$C,MATCH($A64,'Source 2025'!$B:$B,0)),""))</f>
        <v>45C M מגן ברך חום</v>
      </c>
      <c r="C64" s="8" t="n">
        <f aca="false">SUMIFS('Source 2025'!$D:$D,'Source 2025'!$B:$B,$A64,'Source 2025'!$A:$A,"Quantity (units)")+SUMIFS('Source 2025'!$E:$E,'Source 2025'!$B:$B,$A64,'Source 2025'!$A:$A,"Quantity (units)")+SUMIFS('Source 2025'!$F:$F,'Source 2025'!$B:$B,$A64,'Source 2025'!$A:$A,"Quantity (units)")+SUMIFS('Source 2025'!$G:$G,'Source 2025'!$B:$B,$A64,'Source 2025'!$A:$A,"Quantity (units)")+SUMIFS('Source 2025'!$J:$J,'Source 2025'!$B:$B,$A64,'Source 2025'!$A:$A,"Quantity (units)")+SUMIFS('Source 2025'!$M:$M,'Source 2025'!$B:$B,$A64,'Source 2025'!$A:$A,"Quantity (units)")</f>
        <v>371</v>
      </c>
      <c r="D64" s="8" t="n">
        <f aca="false">SUMIFS('Source 2026'!$D:$D,'Source 2026'!$B:$B,$A64,'Source 2026'!$A:$A,"Quantity (units)")+SUMIFS('Source 2026'!$E:$E,'Source 2026'!$B:$B,$A64,'Source 2026'!$A:$A,"Quantity (units)")+SUMIFS('Source 2026'!$F:$F,'Source 2026'!$B:$B,$A64,'Source 2026'!$A:$A,"Quantity (units)")+SUMIFS('Source 2026'!$G:$G,'Source 2026'!$B:$B,$A64,'Source 2026'!$A:$A,"Quantity (units)")+SUMIFS('Source 2026'!$J:$J,'Source 2026'!$B:$B,$A64,'Source 2026'!$A:$A,"Quantity (units)")+SUMIFS('Source 2026'!$M:$M,'Source 2026'!$B:$B,$A64,'Source 2026'!$A:$A,"Quantity (units)")</f>
        <v>241</v>
      </c>
      <c r="E64" s="8" t="n">
        <f aca="false">D64*$J$5</f>
        <v>330.514285714286</v>
      </c>
      <c r="F64" s="8" t="n">
        <f aca="false">E64-C64</f>
        <v>-40.4857142857143</v>
      </c>
      <c r="G64" s="9" t="n">
        <f aca="false">IF(AND(C64=0,E64=0),0,IF(C64=0,"New",(E64-C64)/C64))</f>
        <v>-0.10912591451675</v>
      </c>
      <c r="H64" s="8" t="n">
        <f aca="false">SUMIFS('Source 2025'!$D:$D,'Source 2025'!$B:$B,$A64,'Source 2025'!$A:$A,"Amount (NIS)")+SUMIFS('Source 2025'!$E:$E,'Source 2025'!$B:$B,$A64,'Source 2025'!$A:$A,"Amount (NIS)")+SUMIFS('Source 2025'!$F:$F,'Source 2025'!$B:$B,$A64,'Source 2025'!$A:$A,"Amount (NIS)")+SUMIFS('Source 2025'!$G:$G,'Source 2025'!$B:$B,$A64,'Source 2025'!$A:$A,"Amount (NIS)")+SUMIFS('Source 2025'!$J:$J,'Source 2025'!$B:$B,$A64,'Source 2025'!$A:$A,"Amount (NIS)")+SUMIFS('Source 2025'!$M:$M,'Source 2025'!$B:$B,$A64,'Source 2025'!$A:$A,"Amount (NIS)")</f>
        <v>11145.9</v>
      </c>
      <c r="I64" s="8" t="n">
        <f aca="false">SUMIFS('Source 2026'!$D:$D,'Source 2026'!$B:$B,$A64,'Source 2026'!$A:$A,"Amount (NIS)")+SUMIFS('Source 2026'!$E:$E,'Source 2026'!$B:$B,$A64,'Source 2026'!$A:$A,"Amount (NIS)")+SUMIFS('Source 2026'!$F:$F,'Source 2026'!$B:$B,$A64,'Source 2026'!$A:$A,"Amount (NIS)")+SUMIFS('Source 2026'!$G:$G,'Source 2026'!$B:$B,$A64,'Source 2026'!$A:$A,"Amount (NIS)")+SUMIFS('Source 2026'!$J:$J,'Source 2026'!$B:$B,$A64,'Source 2026'!$A:$A,"Amount (NIS)")+SUMIFS('Source 2026'!$M:$M,'Source 2026'!$B:$B,$A64,'Source 2026'!$A:$A,"Amount (NIS)")</f>
        <v>7267.8</v>
      </c>
      <c r="J64" s="8" t="n">
        <f aca="false">I64*$J$5</f>
        <v>9967.26857142857</v>
      </c>
      <c r="K64" s="8" t="n">
        <f aca="false">J64-H64</f>
        <v>-1178.63142857143</v>
      </c>
      <c r="L64" s="9" t="n">
        <f aca="false">IF(AND(H64=0,J64=0),0,IF(H64=0,"New",(J64-H64)/H64))</f>
        <v>-0.105745738663673</v>
      </c>
    </row>
    <row r="65" customFormat="false" ht="15" hidden="false" customHeight="false" outlineLevel="0" collapsed="false">
      <c r="A65" s="7" t="n">
        <v>4418003</v>
      </c>
      <c r="B65" s="7" t="str">
        <f aca="false">IFERROR(INDEX('Source 2026'!$C:$C,MATCH($A65,'Source 2026'!$B:$B,0)),IFERROR(INDEX('Source 2025'!$C:$C,MATCH($A65,'Source 2025'!$B:$B,0)),""))</f>
        <v>60 XL צוארון ספוגי</v>
      </c>
      <c r="C65" s="8" t="n">
        <f aca="false">SUMIFS('Source 2025'!$D:$D,'Source 2025'!$B:$B,$A65,'Source 2025'!$A:$A,"Quantity (units)")+SUMIFS('Source 2025'!$E:$E,'Source 2025'!$B:$B,$A65,'Source 2025'!$A:$A,"Quantity (units)")+SUMIFS('Source 2025'!$F:$F,'Source 2025'!$B:$B,$A65,'Source 2025'!$A:$A,"Quantity (units)")+SUMIFS('Source 2025'!$G:$G,'Source 2025'!$B:$B,$A65,'Source 2025'!$A:$A,"Quantity (units)")+SUMIFS('Source 2025'!$J:$J,'Source 2025'!$B:$B,$A65,'Source 2025'!$A:$A,"Quantity (units)")+SUMIFS('Source 2025'!$M:$M,'Source 2025'!$B:$B,$A65,'Source 2025'!$A:$A,"Quantity (units)")</f>
        <v>128</v>
      </c>
      <c r="D65" s="8" t="n">
        <f aca="false">SUMIFS('Source 2026'!$D:$D,'Source 2026'!$B:$B,$A65,'Source 2026'!$A:$A,"Quantity (units)")+SUMIFS('Source 2026'!$E:$E,'Source 2026'!$B:$B,$A65,'Source 2026'!$A:$A,"Quantity (units)")+SUMIFS('Source 2026'!$F:$F,'Source 2026'!$B:$B,$A65,'Source 2026'!$A:$A,"Quantity (units)")+SUMIFS('Source 2026'!$G:$G,'Source 2026'!$B:$B,$A65,'Source 2026'!$A:$A,"Quantity (units)")+SUMIFS('Source 2026'!$J:$J,'Source 2026'!$B:$B,$A65,'Source 2026'!$A:$A,"Quantity (units)")+SUMIFS('Source 2026'!$M:$M,'Source 2026'!$B:$B,$A65,'Source 2026'!$A:$A,"Quantity (units)")</f>
        <v>48</v>
      </c>
      <c r="E65" s="8" t="n">
        <f aca="false">D65*$J$5</f>
        <v>65.8285714285714</v>
      </c>
      <c r="F65" s="8" t="n">
        <f aca="false">E65-C65</f>
        <v>-62.1714285714286</v>
      </c>
      <c r="G65" s="9" t="n">
        <f aca="false">IF(AND(C65=0,E65=0),0,IF(C65=0,"New",(E65-C65)/C65))</f>
        <v>-0.485714285714286</v>
      </c>
      <c r="H65" s="8" t="n">
        <f aca="false">SUMIFS('Source 2025'!$D:$D,'Source 2025'!$B:$B,$A65,'Source 2025'!$A:$A,"Amount (NIS)")+SUMIFS('Source 2025'!$E:$E,'Source 2025'!$B:$B,$A65,'Source 2025'!$A:$A,"Amount (NIS)")+SUMIFS('Source 2025'!$F:$F,'Source 2025'!$B:$B,$A65,'Source 2025'!$A:$A,"Amount (NIS)")+SUMIFS('Source 2025'!$G:$G,'Source 2025'!$B:$B,$A65,'Source 2025'!$A:$A,"Amount (NIS)")+SUMIFS('Source 2025'!$J:$J,'Source 2025'!$B:$B,$A65,'Source 2025'!$A:$A,"Amount (NIS)")+SUMIFS('Source 2025'!$M:$M,'Source 2025'!$B:$B,$A65,'Source 2025'!$A:$A,"Amount (NIS)")</f>
        <v>6188.8</v>
      </c>
      <c r="I65" s="8" t="n">
        <f aca="false">SUMIFS('Source 2026'!$D:$D,'Source 2026'!$B:$B,$A65,'Source 2026'!$A:$A,"Amount (NIS)")+SUMIFS('Source 2026'!$E:$E,'Source 2026'!$B:$B,$A65,'Source 2026'!$A:$A,"Amount (NIS)")+SUMIFS('Source 2026'!$F:$F,'Source 2026'!$B:$B,$A65,'Source 2026'!$A:$A,"Amount (NIS)")+SUMIFS('Source 2026'!$G:$G,'Source 2026'!$B:$B,$A65,'Source 2026'!$A:$A,"Amount (NIS)")+SUMIFS('Source 2026'!$J:$J,'Source 2026'!$B:$B,$A65,'Source 2026'!$A:$A,"Amount (NIS)")+SUMIFS('Source 2026'!$M:$M,'Source 2026'!$B:$B,$A65,'Source 2026'!$A:$A,"Amount (NIS)")</f>
        <v>2337.3</v>
      </c>
      <c r="J65" s="8" t="n">
        <f aca="false">I65*$J$5</f>
        <v>3205.44</v>
      </c>
      <c r="K65" s="8" t="n">
        <f aca="false">J65-H65</f>
        <v>-2983.36</v>
      </c>
      <c r="L65" s="9" t="n">
        <f aca="false">IF(AND(H65=0,J65=0),0,IF(H65=0,"New",(J65-H65)/H65))</f>
        <v>-0.48205791106515</v>
      </c>
    </row>
    <row r="66" customFormat="false" ht="15" hidden="false" customHeight="false" outlineLevel="0" collapsed="false">
      <c r="A66" s="7" t="n">
        <v>4413149</v>
      </c>
      <c r="B66" s="7" t="str">
        <f aca="false">IFERROR(INDEX('Source 2026'!$C:$C,MATCH($A66,'Source 2026'!$B:$B,0)),IFERROR(INDEX('Source 2025'!$C:$C,MATCH($A66,'Source 2025'!$B:$B,0)),""))</f>
        <v>FC321-מלח אמבט לכף הרגל</v>
      </c>
      <c r="C66" s="8" t="n">
        <f aca="false">SUMIFS('Source 2025'!$D:$D,'Source 2025'!$B:$B,$A66,'Source 2025'!$A:$A,"Quantity (units)")+SUMIFS('Source 2025'!$E:$E,'Source 2025'!$B:$B,$A66,'Source 2025'!$A:$A,"Quantity (units)")+SUMIFS('Source 2025'!$F:$F,'Source 2025'!$B:$B,$A66,'Source 2025'!$A:$A,"Quantity (units)")+SUMIFS('Source 2025'!$G:$G,'Source 2025'!$B:$B,$A66,'Source 2025'!$A:$A,"Quantity (units)")+SUMIFS('Source 2025'!$J:$J,'Source 2025'!$B:$B,$A66,'Source 2025'!$A:$A,"Quantity (units)")+SUMIFS('Source 2025'!$M:$M,'Source 2025'!$B:$B,$A66,'Source 2025'!$A:$A,"Quantity (units)")</f>
        <v>390</v>
      </c>
      <c r="D66" s="8" t="n">
        <f aca="false">SUMIFS('Source 2026'!$D:$D,'Source 2026'!$B:$B,$A66,'Source 2026'!$A:$A,"Quantity (units)")+SUMIFS('Source 2026'!$E:$E,'Source 2026'!$B:$B,$A66,'Source 2026'!$A:$A,"Quantity (units)")+SUMIFS('Source 2026'!$F:$F,'Source 2026'!$B:$B,$A66,'Source 2026'!$A:$A,"Quantity (units)")+SUMIFS('Source 2026'!$G:$G,'Source 2026'!$B:$B,$A66,'Source 2026'!$A:$A,"Quantity (units)")+SUMIFS('Source 2026'!$J:$J,'Source 2026'!$B:$B,$A66,'Source 2026'!$A:$A,"Quantity (units)")+SUMIFS('Source 2026'!$M:$M,'Source 2026'!$B:$B,$A66,'Source 2026'!$A:$A,"Quantity (units)")</f>
        <v>95</v>
      </c>
      <c r="E66" s="8" t="n">
        <f aca="false">D66*$J$5</f>
        <v>130.285714285714</v>
      </c>
      <c r="F66" s="8" t="n">
        <f aca="false">E66-C66</f>
        <v>-259.714285714286</v>
      </c>
      <c r="G66" s="9" t="n">
        <f aca="false">IF(AND(C66=0,E66=0),0,IF(C66=0,"New",(E66-C66)/C66))</f>
        <v>-0.665934065934066</v>
      </c>
      <c r="H66" s="8" t="n">
        <f aca="false">SUMIFS('Source 2025'!$D:$D,'Source 2025'!$B:$B,$A66,'Source 2025'!$A:$A,"Amount (NIS)")+SUMIFS('Source 2025'!$E:$E,'Source 2025'!$B:$B,$A66,'Source 2025'!$A:$A,"Amount (NIS)")+SUMIFS('Source 2025'!$F:$F,'Source 2025'!$B:$B,$A66,'Source 2025'!$A:$A,"Amount (NIS)")+SUMIFS('Source 2025'!$G:$G,'Source 2025'!$B:$B,$A66,'Source 2025'!$A:$A,"Amount (NIS)")+SUMIFS('Source 2025'!$J:$J,'Source 2025'!$B:$B,$A66,'Source 2025'!$A:$A,"Amount (NIS)")+SUMIFS('Source 2025'!$M:$M,'Source 2025'!$B:$B,$A66,'Source 2025'!$A:$A,"Amount (NIS)")</f>
        <v>5137.1</v>
      </c>
      <c r="I66" s="8" t="n">
        <f aca="false">SUMIFS('Source 2026'!$D:$D,'Source 2026'!$B:$B,$A66,'Source 2026'!$A:$A,"Amount (NIS)")+SUMIFS('Source 2026'!$E:$E,'Source 2026'!$B:$B,$A66,'Source 2026'!$A:$A,"Amount (NIS)")+SUMIFS('Source 2026'!$F:$F,'Source 2026'!$B:$B,$A66,'Source 2026'!$A:$A,"Amount (NIS)")+SUMIFS('Source 2026'!$G:$G,'Source 2026'!$B:$B,$A66,'Source 2026'!$A:$A,"Amount (NIS)")+SUMIFS('Source 2026'!$J:$J,'Source 2026'!$B:$B,$A66,'Source 2026'!$A:$A,"Amount (NIS)")+SUMIFS('Source 2026'!$M:$M,'Source 2026'!$B:$B,$A66,'Source 2026'!$A:$A,"Amount (NIS)")</f>
        <v>1292.3</v>
      </c>
      <c r="J66" s="8" t="n">
        <f aca="false">I66*$J$5</f>
        <v>1772.29714285714</v>
      </c>
      <c r="K66" s="8" t="n">
        <f aca="false">J66-H66</f>
        <v>-3364.80285714286</v>
      </c>
      <c r="L66" s="9" t="n">
        <f aca="false">IF(AND(H66=0,J66=0),0,IF(H66=0,"New",(J66-H66)/H66))</f>
        <v>-0.655000458846987</v>
      </c>
    </row>
    <row r="67" customFormat="false" ht="15" hidden="false" customHeight="false" outlineLevel="0" collapsed="false">
      <c r="A67" s="7" t="n">
        <v>4421001</v>
      </c>
      <c r="B67" s="7" t="str">
        <f aca="false">IFERROR(INDEX('Source 2026'!$C:$C,MATCH($A67,'Source 2026'!$B:$B,0)),IFERROR(INDEX('Source 2025'!$C:$C,MATCH($A67,'Source 2025'!$B:$B,0)),""))</f>
        <v>3611 שרוול מטטרזלי מסיליקון</v>
      </c>
      <c r="C67" s="8" t="n">
        <f aca="false">SUMIFS('Source 2025'!$D:$D,'Source 2025'!$B:$B,$A67,'Source 2025'!$A:$A,"Quantity (units)")+SUMIFS('Source 2025'!$E:$E,'Source 2025'!$B:$B,$A67,'Source 2025'!$A:$A,"Quantity (units)")+SUMIFS('Source 2025'!$F:$F,'Source 2025'!$B:$B,$A67,'Source 2025'!$A:$A,"Quantity (units)")+SUMIFS('Source 2025'!$G:$G,'Source 2025'!$B:$B,$A67,'Source 2025'!$A:$A,"Quantity (units)")+SUMIFS('Source 2025'!$J:$J,'Source 2025'!$B:$B,$A67,'Source 2025'!$A:$A,"Quantity (units)")+SUMIFS('Source 2025'!$M:$M,'Source 2025'!$B:$B,$A67,'Source 2025'!$A:$A,"Quantity (units)")</f>
        <v>161</v>
      </c>
      <c r="D67" s="8" t="n">
        <f aca="false">SUMIFS('Source 2026'!$D:$D,'Source 2026'!$B:$B,$A67,'Source 2026'!$A:$A,"Quantity (units)")+SUMIFS('Source 2026'!$E:$E,'Source 2026'!$B:$B,$A67,'Source 2026'!$A:$A,"Quantity (units)")+SUMIFS('Source 2026'!$F:$F,'Source 2026'!$B:$B,$A67,'Source 2026'!$A:$A,"Quantity (units)")+SUMIFS('Source 2026'!$G:$G,'Source 2026'!$B:$B,$A67,'Source 2026'!$A:$A,"Quantity (units)")+SUMIFS('Source 2026'!$J:$J,'Source 2026'!$B:$B,$A67,'Source 2026'!$A:$A,"Quantity (units)")+SUMIFS('Source 2026'!$M:$M,'Source 2026'!$B:$B,$A67,'Source 2026'!$A:$A,"Quantity (units)")</f>
        <v>92</v>
      </c>
      <c r="E67" s="8" t="n">
        <f aca="false">D67*$J$5</f>
        <v>126.171428571429</v>
      </c>
      <c r="F67" s="8" t="n">
        <f aca="false">E67-C67</f>
        <v>-34.8285714285714</v>
      </c>
      <c r="G67" s="9" t="n">
        <f aca="false">IF(AND(C67=0,E67=0),0,IF(C67=0,"New",(E67-C67)/C67))</f>
        <v>-0.216326530612245</v>
      </c>
      <c r="H67" s="8" t="n">
        <f aca="false">SUMIFS('Source 2025'!$D:$D,'Source 2025'!$B:$B,$A67,'Source 2025'!$A:$A,"Amount (NIS)")+SUMIFS('Source 2025'!$E:$E,'Source 2025'!$B:$B,$A67,'Source 2025'!$A:$A,"Amount (NIS)")+SUMIFS('Source 2025'!$F:$F,'Source 2025'!$B:$B,$A67,'Source 2025'!$A:$A,"Amount (NIS)")+SUMIFS('Source 2025'!$G:$G,'Source 2025'!$B:$B,$A67,'Source 2025'!$A:$A,"Amount (NIS)")+SUMIFS('Source 2025'!$J:$J,'Source 2025'!$B:$B,$A67,'Source 2025'!$A:$A,"Amount (NIS)")+SUMIFS('Source 2025'!$M:$M,'Source 2025'!$B:$B,$A67,'Source 2025'!$A:$A,"Amount (NIS)")</f>
        <v>9236.9</v>
      </c>
      <c r="I67" s="8" t="n">
        <f aca="false">SUMIFS('Source 2026'!$D:$D,'Source 2026'!$B:$B,$A67,'Source 2026'!$A:$A,"Amount (NIS)")+SUMIFS('Source 2026'!$E:$E,'Source 2026'!$B:$B,$A67,'Source 2026'!$A:$A,"Amount (NIS)")+SUMIFS('Source 2026'!$F:$F,'Source 2026'!$B:$B,$A67,'Source 2026'!$A:$A,"Amount (NIS)")+SUMIFS('Source 2026'!$G:$G,'Source 2026'!$B:$B,$A67,'Source 2026'!$A:$A,"Amount (NIS)")+SUMIFS('Source 2026'!$J:$J,'Source 2026'!$B:$B,$A67,'Source 2026'!$A:$A,"Amount (NIS)")+SUMIFS('Source 2026'!$M:$M,'Source 2026'!$B:$B,$A67,'Source 2026'!$A:$A,"Amount (NIS)")</f>
        <v>5406.7</v>
      </c>
      <c r="J67" s="8" t="n">
        <f aca="false">I67*$J$5</f>
        <v>7414.90285714286</v>
      </c>
      <c r="K67" s="8" t="n">
        <f aca="false">J67-H67</f>
        <v>-1821.99714285714</v>
      </c>
      <c r="L67" s="9" t="n">
        <f aca="false">IF(AND(H67=0,J67=0),0,IF(H67=0,"New",(J67-H67)/H67))</f>
        <v>-0.197252015595832</v>
      </c>
    </row>
    <row r="68" customFormat="false" ht="15" hidden="false" customHeight="false" outlineLevel="0" collapsed="false">
      <c r="A68" s="7" t="n">
        <v>4413516</v>
      </c>
      <c r="B68" s="7" t="str">
        <f aca="false">IFERROR(INDEX('Source 2026'!$C:$C,MATCH($A68,'Source 2026'!$B:$B,0)),IFERROR(INDEX('Source 2025'!$C:$C,MATCH($A68,'Source 2025'!$B:$B,0)),""))</f>
        <v>85B L מתלה רשת לזרוע שחור</v>
      </c>
      <c r="C68" s="8" t="n">
        <f aca="false">SUMIFS('Source 2025'!$D:$D,'Source 2025'!$B:$B,$A68,'Source 2025'!$A:$A,"Quantity (units)")+SUMIFS('Source 2025'!$E:$E,'Source 2025'!$B:$B,$A68,'Source 2025'!$A:$A,"Quantity (units)")+SUMIFS('Source 2025'!$F:$F,'Source 2025'!$B:$B,$A68,'Source 2025'!$A:$A,"Quantity (units)")+SUMIFS('Source 2025'!$G:$G,'Source 2025'!$B:$B,$A68,'Source 2025'!$A:$A,"Quantity (units)")+SUMIFS('Source 2025'!$J:$J,'Source 2025'!$B:$B,$A68,'Source 2025'!$A:$A,"Quantity (units)")+SUMIFS('Source 2025'!$M:$M,'Source 2025'!$B:$B,$A68,'Source 2025'!$A:$A,"Quantity (units)")</f>
        <v>241</v>
      </c>
      <c r="D68" s="8" t="n">
        <f aca="false">SUMIFS('Source 2026'!$D:$D,'Source 2026'!$B:$B,$A68,'Source 2026'!$A:$A,"Quantity (units)")+SUMIFS('Source 2026'!$E:$E,'Source 2026'!$B:$B,$A68,'Source 2026'!$A:$A,"Quantity (units)")+SUMIFS('Source 2026'!$F:$F,'Source 2026'!$B:$B,$A68,'Source 2026'!$A:$A,"Quantity (units)")+SUMIFS('Source 2026'!$G:$G,'Source 2026'!$B:$B,$A68,'Source 2026'!$A:$A,"Quantity (units)")+SUMIFS('Source 2026'!$J:$J,'Source 2026'!$B:$B,$A68,'Source 2026'!$A:$A,"Quantity (units)")+SUMIFS('Source 2026'!$M:$M,'Source 2026'!$B:$B,$A68,'Source 2026'!$A:$A,"Quantity (units)")</f>
        <v>161</v>
      </c>
      <c r="E68" s="8" t="n">
        <f aca="false">D68*$J$5</f>
        <v>220.8</v>
      </c>
      <c r="F68" s="8" t="n">
        <f aca="false">E68-C68</f>
        <v>-20.2</v>
      </c>
      <c r="G68" s="9" t="n">
        <f aca="false">IF(AND(C68=0,E68=0),0,IF(C68=0,"New",(E68-C68)/C68))</f>
        <v>-0.0838174273858921</v>
      </c>
      <c r="H68" s="8" t="n">
        <f aca="false">SUMIFS('Source 2025'!$D:$D,'Source 2025'!$B:$B,$A68,'Source 2025'!$A:$A,"Amount (NIS)")+SUMIFS('Source 2025'!$E:$E,'Source 2025'!$B:$B,$A68,'Source 2025'!$A:$A,"Amount (NIS)")+SUMIFS('Source 2025'!$F:$F,'Source 2025'!$B:$B,$A68,'Source 2025'!$A:$A,"Amount (NIS)")+SUMIFS('Source 2025'!$G:$G,'Source 2025'!$B:$B,$A68,'Source 2025'!$A:$A,"Amount (NIS)")+SUMIFS('Source 2025'!$J:$J,'Source 2025'!$B:$B,$A68,'Source 2025'!$A:$A,"Amount (NIS)")+SUMIFS('Source 2025'!$M:$M,'Source 2025'!$B:$B,$A68,'Source 2025'!$A:$A,"Amount (NIS)")</f>
        <v>12736.4</v>
      </c>
      <c r="I68" s="8" t="n">
        <f aca="false">SUMIFS('Source 2026'!$D:$D,'Source 2026'!$B:$B,$A68,'Source 2026'!$A:$A,"Amount (NIS)")+SUMIFS('Source 2026'!$E:$E,'Source 2026'!$B:$B,$A68,'Source 2026'!$A:$A,"Amount (NIS)")+SUMIFS('Source 2026'!$F:$F,'Source 2026'!$B:$B,$A68,'Source 2026'!$A:$A,"Amount (NIS)")+SUMIFS('Source 2026'!$G:$G,'Source 2026'!$B:$B,$A68,'Source 2026'!$A:$A,"Amount (NIS)")+SUMIFS('Source 2026'!$J:$J,'Source 2026'!$B:$B,$A68,'Source 2026'!$A:$A,"Amount (NIS)")+SUMIFS('Source 2026'!$M:$M,'Source 2026'!$B:$B,$A68,'Source 2026'!$A:$A,"Amount (NIS)")</f>
        <v>8987</v>
      </c>
      <c r="J68" s="8" t="n">
        <f aca="false">I68*$J$5</f>
        <v>12325.0285714286</v>
      </c>
      <c r="K68" s="8" t="n">
        <f aca="false">J68-H68</f>
        <v>-411.371428571429</v>
      </c>
      <c r="L68" s="9" t="n">
        <f aca="false">IF(AND(H68=0,J68=0),0,IF(H68=0,"New",(J68-H68)/H68))</f>
        <v>-0.032298877906742</v>
      </c>
    </row>
    <row r="69" customFormat="false" ht="15" hidden="false" customHeight="false" outlineLevel="0" collapsed="false">
      <c r="A69" s="7" t="n">
        <v>4422039</v>
      </c>
      <c r="B69" s="7" t="str">
        <f aca="false">IFERROR(INDEX('Source 2026'!$C:$C,MATCH($A69,'Source 2026'!$B:$B,0)),IFERROR(INDEX('Source 2025'!$C:$C,MATCH($A69,'Source 2025'!$B:$B,0)),""))</f>
        <v>SH422 3 תומך ברך גנושילד</v>
      </c>
      <c r="C69" s="8" t="n">
        <f aca="false">SUMIFS('Source 2025'!$D:$D,'Source 2025'!$B:$B,$A69,'Source 2025'!$A:$A,"Quantity (units)")+SUMIFS('Source 2025'!$E:$E,'Source 2025'!$B:$B,$A69,'Source 2025'!$A:$A,"Quantity (units)")+SUMIFS('Source 2025'!$F:$F,'Source 2025'!$B:$B,$A69,'Source 2025'!$A:$A,"Quantity (units)")+SUMIFS('Source 2025'!$G:$G,'Source 2025'!$B:$B,$A69,'Source 2025'!$A:$A,"Quantity (units)")+SUMIFS('Source 2025'!$J:$J,'Source 2025'!$B:$B,$A69,'Source 2025'!$A:$A,"Quantity (units)")+SUMIFS('Source 2025'!$M:$M,'Source 2025'!$B:$B,$A69,'Source 2025'!$A:$A,"Quantity (units)")</f>
        <v>3</v>
      </c>
      <c r="D69" s="8" t="n">
        <f aca="false">SUMIFS('Source 2026'!$D:$D,'Source 2026'!$B:$B,$A69,'Source 2026'!$A:$A,"Quantity (units)")+SUMIFS('Source 2026'!$E:$E,'Source 2026'!$B:$B,$A69,'Source 2026'!$A:$A,"Quantity (units)")+SUMIFS('Source 2026'!$F:$F,'Source 2026'!$B:$B,$A69,'Source 2026'!$A:$A,"Quantity (units)")+SUMIFS('Source 2026'!$G:$G,'Source 2026'!$B:$B,$A69,'Source 2026'!$A:$A,"Quantity (units)")+SUMIFS('Source 2026'!$J:$J,'Source 2026'!$B:$B,$A69,'Source 2026'!$A:$A,"Quantity (units)")+SUMIFS('Source 2026'!$M:$M,'Source 2026'!$B:$B,$A69,'Source 2026'!$A:$A,"Quantity (units)")</f>
        <v>22</v>
      </c>
      <c r="E69" s="8" t="n">
        <f aca="false">D69*$J$5</f>
        <v>30.1714285714286</v>
      </c>
      <c r="F69" s="8" t="n">
        <f aca="false">E69-C69</f>
        <v>27.1714285714286</v>
      </c>
      <c r="G69" s="9" t="n">
        <f aca="false">IF(AND(C69=0,E69=0),0,IF(C69=0,"New",(E69-C69)/C69))</f>
        <v>9.05714285714286</v>
      </c>
      <c r="H69" s="8" t="n">
        <f aca="false">SUMIFS('Source 2025'!$D:$D,'Source 2025'!$B:$B,$A69,'Source 2025'!$A:$A,"Amount (NIS)")+SUMIFS('Source 2025'!$E:$E,'Source 2025'!$B:$B,$A69,'Source 2025'!$A:$A,"Amount (NIS)")+SUMIFS('Source 2025'!$F:$F,'Source 2025'!$B:$B,$A69,'Source 2025'!$A:$A,"Amount (NIS)")+SUMIFS('Source 2025'!$G:$G,'Source 2025'!$B:$B,$A69,'Source 2025'!$A:$A,"Amount (NIS)")+SUMIFS('Source 2025'!$J:$J,'Source 2025'!$B:$B,$A69,'Source 2025'!$A:$A,"Amount (NIS)")+SUMIFS('Source 2025'!$M:$M,'Source 2025'!$B:$B,$A69,'Source 2025'!$A:$A,"Amount (NIS)")</f>
        <v>646.1</v>
      </c>
      <c r="I69" s="8" t="n">
        <f aca="false">SUMIFS('Source 2026'!$D:$D,'Source 2026'!$B:$B,$A69,'Source 2026'!$A:$A,"Amount (NIS)")+SUMIFS('Source 2026'!$E:$E,'Source 2026'!$B:$B,$A69,'Source 2026'!$A:$A,"Amount (NIS)")+SUMIFS('Source 2026'!$F:$F,'Source 2026'!$B:$B,$A69,'Source 2026'!$A:$A,"Amount (NIS)")+SUMIFS('Source 2026'!$G:$G,'Source 2026'!$B:$B,$A69,'Source 2026'!$A:$A,"Amount (NIS)")+SUMIFS('Source 2026'!$J:$J,'Source 2026'!$B:$B,$A69,'Source 2026'!$A:$A,"Amount (NIS)")+SUMIFS('Source 2026'!$M:$M,'Source 2026'!$B:$B,$A69,'Source 2026'!$A:$A,"Amount (NIS)")</f>
        <v>4393.6</v>
      </c>
      <c r="J69" s="8" t="n">
        <f aca="false">I69*$J$5</f>
        <v>6025.50857142857</v>
      </c>
      <c r="K69" s="8" t="n">
        <f aca="false">J69-H69</f>
        <v>5379.40857142857</v>
      </c>
      <c r="L69" s="9" t="n">
        <f aca="false">IF(AND(H69=0,J69=0),0,IF(H69=0,"New",(J69-H69)/H69))</f>
        <v>8.3259690008181</v>
      </c>
    </row>
    <row r="70" customFormat="false" ht="15" hidden="false" customHeight="false" outlineLevel="0" collapsed="false">
      <c r="A70" s="7" t="n">
        <v>4422024</v>
      </c>
      <c r="B70" s="7" t="str">
        <f aca="false">IFERROR(INDEX('Source 2026'!$C:$C,MATCH($A70,'Source 2026'!$B:$B,0)),IFERROR(INDEX('Source 2025'!$C:$C,MATCH($A70,'Source 2025'!$B:$B,0)),""))</f>
        <v>806CB-BLACK      תחבושת א.נצמ</v>
      </c>
      <c r="C70" s="8" t="n">
        <f aca="false">SUMIFS('Source 2025'!$D:$D,'Source 2025'!$B:$B,$A70,'Source 2025'!$A:$A,"Quantity (units)")+SUMIFS('Source 2025'!$E:$E,'Source 2025'!$B:$B,$A70,'Source 2025'!$A:$A,"Quantity (units)")+SUMIFS('Source 2025'!$F:$F,'Source 2025'!$B:$B,$A70,'Source 2025'!$A:$A,"Quantity (units)")+SUMIFS('Source 2025'!$G:$G,'Source 2025'!$B:$B,$A70,'Source 2025'!$A:$A,"Quantity (units)")+SUMIFS('Source 2025'!$J:$J,'Source 2025'!$B:$B,$A70,'Source 2025'!$A:$A,"Quantity (units)")+SUMIFS('Source 2025'!$M:$M,'Source 2025'!$B:$B,$A70,'Source 2025'!$A:$A,"Quantity (units)")</f>
        <v>928</v>
      </c>
      <c r="D70" s="8" t="n">
        <f aca="false">SUMIFS('Source 2026'!$D:$D,'Source 2026'!$B:$B,$A70,'Source 2026'!$A:$A,"Quantity (units)")+SUMIFS('Source 2026'!$E:$E,'Source 2026'!$B:$B,$A70,'Source 2026'!$A:$A,"Quantity (units)")+SUMIFS('Source 2026'!$F:$F,'Source 2026'!$B:$B,$A70,'Source 2026'!$A:$A,"Quantity (units)")+SUMIFS('Source 2026'!$G:$G,'Source 2026'!$B:$B,$A70,'Source 2026'!$A:$A,"Quantity (units)")+SUMIFS('Source 2026'!$J:$J,'Source 2026'!$B:$B,$A70,'Source 2026'!$A:$A,"Quantity (units)")+SUMIFS('Source 2026'!$M:$M,'Source 2026'!$B:$B,$A70,'Source 2026'!$A:$A,"Quantity (units)")</f>
        <v>513</v>
      </c>
      <c r="E70" s="8" t="n">
        <f aca="false">D70*$J$5</f>
        <v>703.542857142857</v>
      </c>
      <c r="F70" s="8" t="n">
        <f aca="false">E70-C70</f>
        <v>-224.457142857143</v>
      </c>
      <c r="G70" s="9" t="n">
        <f aca="false">IF(AND(C70=0,E70=0),0,IF(C70=0,"New",(E70-C70)/C70))</f>
        <v>-0.241871921182266</v>
      </c>
      <c r="H70" s="8" t="n">
        <f aca="false">SUMIFS('Source 2025'!$D:$D,'Source 2025'!$B:$B,$A70,'Source 2025'!$A:$A,"Amount (NIS)")+SUMIFS('Source 2025'!$E:$E,'Source 2025'!$B:$B,$A70,'Source 2025'!$A:$A,"Amount (NIS)")+SUMIFS('Source 2025'!$F:$F,'Source 2025'!$B:$B,$A70,'Source 2025'!$A:$A,"Amount (NIS)")+SUMIFS('Source 2025'!$G:$G,'Source 2025'!$B:$B,$A70,'Source 2025'!$A:$A,"Amount (NIS)")+SUMIFS('Source 2025'!$J:$J,'Source 2025'!$B:$B,$A70,'Source 2025'!$A:$A,"Amount (NIS)")+SUMIFS('Source 2025'!$M:$M,'Source 2025'!$B:$B,$A70,'Source 2025'!$A:$A,"Amount (NIS)")</f>
        <v>9313.1</v>
      </c>
      <c r="I70" s="8" t="n">
        <f aca="false">SUMIFS('Source 2026'!$D:$D,'Source 2026'!$B:$B,$A70,'Source 2026'!$A:$A,"Amount (NIS)")+SUMIFS('Source 2026'!$E:$E,'Source 2026'!$B:$B,$A70,'Source 2026'!$A:$A,"Amount (NIS)")+SUMIFS('Source 2026'!$F:$F,'Source 2026'!$B:$B,$A70,'Source 2026'!$A:$A,"Amount (NIS)")+SUMIFS('Source 2026'!$G:$G,'Source 2026'!$B:$B,$A70,'Source 2026'!$A:$A,"Amount (NIS)")+SUMIFS('Source 2026'!$J:$J,'Source 2026'!$B:$B,$A70,'Source 2026'!$A:$A,"Amount (NIS)")+SUMIFS('Source 2026'!$M:$M,'Source 2026'!$B:$B,$A70,'Source 2026'!$A:$A,"Amount (NIS)")</f>
        <v>5672.9</v>
      </c>
      <c r="J70" s="8" t="n">
        <f aca="false">I70*$J$5</f>
        <v>7779.97714285714</v>
      </c>
      <c r="K70" s="8" t="n">
        <f aca="false">J70-H70</f>
        <v>-1533.12285714286</v>
      </c>
      <c r="L70" s="9" t="n">
        <f aca="false">IF(AND(H70=0,J70=0),0,IF(H70=0,"New",(J70-H70)/H70))</f>
        <v>-0.164620035986176</v>
      </c>
    </row>
    <row r="71" customFormat="false" ht="15" hidden="false" customHeight="false" outlineLevel="0" collapsed="false">
      <c r="A71" s="7" t="n">
        <v>4411016</v>
      </c>
      <c r="B71" s="7" t="str">
        <f aca="false">IFERROR(INDEX('Source 2026'!$C:$C,MATCH($A71,'Source 2026'!$B:$B,0)),IFERROR(INDEX('Source 2025'!$C:$C,MATCH($A71,'Source 2025'!$B:$B,0)),""))</f>
        <v>307 XL כרית סיליקון לעקב</v>
      </c>
      <c r="C71" s="8" t="n">
        <f aca="false">SUMIFS('Source 2025'!$D:$D,'Source 2025'!$B:$B,$A71,'Source 2025'!$A:$A,"Quantity (units)")+SUMIFS('Source 2025'!$E:$E,'Source 2025'!$B:$B,$A71,'Source 2025'!$A:$A,"Quantity (units)")+SUMIFS('Source 2025'!$F:$F,'Source 2025'!$B:$B,$A71,'Source 2025'!$A:$A,"Quantity (units)")+SUMIFS('Source 2025'!$G:$G,'Source 2025'!$B:$B,$A71,'Source 2025'!$A:$A,"Quantity (units)")+SUMIFS('Source 2025'!$J:$J,'Source 2025'!$B:$B,$A71,'Source 2025'!$A:$A,"Quantity (units)")+SUMIFS('Source 2025'!$M:$M,'Source 2025'!$B:$B,$A71,'Source 2025'!$A:$A,"Quantity (units)")</f>
        <v>104</v>
      </c>
      <c r="D71" s="8" t="n">
        <f aca="false">SUMIFS('Source 2026'!$D:$D,'Source 2026'!$B:$B,$A71,'Source 2026'!$A:$A,"Quantity (units)")+SUMIFS('Source 2026'!$E:$E,'Source 2026'!$B:$B,$A71,'Source 2026'!$A:$A,"Quantity (units)")+SUMIFS('Source 2026'!$F:$F,'Source 2026'!$B:$B,$A71,'Source 2026'!$A:$A,"Quantity (units)")+SUMIFS('Source 2026'!$G:$G,'Source 2026'!$B:$B,$A71,'Source 2026'!$A:$A,"Quantity (units)")+SUMIFS('Source 2026'!$J:$J,'Source 2026'!$B:$B,$A71,'Source 2026'!$A:$A,"Quantity (units)")+SUMIFS('Source 2026'!$M:$M,'Source 2026'!$B:$B,$A71,'Source 2026'!$A:$A,"Quantity (units)")</f>
        <v>56</v>
      </c>
      <c r="E71" s="8" t="n">
        <f aca="false">D71*$J$5</f>
        <v>76.8</v>
      </c>
      <c r="F71" s="8" t="n">
        <f aca="false">E71-C71</f>
        <v>-27.2</v>
      </c>
      <c r="G71" s="9" t="n">
        <f aca="false">IF(AND(C71=0,E71=0),0,IF(C71=0,"New",(E71-C71)/C71))</f>
        <v>-0.261538461538462</v>
      </c>
      <c r="H71" s="8" t="n">
        <f aca="false">SUMIFS('Source 2025'!$D:$D,'Source 2025'!$B:$B,$A71,'Source 2025'!$A:$A,"Amount (NIS)")+SUMIFS('Source 2025'!$E:$E,'Source 2025'!$B:$B,$A71,'Source 2025'!$A:$A,"Amount (NIS)")+SUMIFS('Source 2025'!$F:$F,'Source 2025'!$B:$B,$A71,'Source 2025'!$A:$A,"Amount (NIS)")+SUMIFS('Source 2025'!$G:$G,'Source 2025'!$B:$B,$A71,'Source 2025'!$A:$A,"Amount (NIS)")+SUMIFS('Source 2025'!$J:$J,'Source 2025'!$B:$B,$A71,'Source 2025'!$A:$A,"Amount (NIS)")+SUMIFS('Source 2025'!$M:$M,'Source 2025'!$B:$B,$A71,'Source 2025'!$A:$A,"Amount (NIS)")</f>
        <v>8199.3</v>
      </c>
      <c r="I71" s="8" t="n">
        <f aca="false">SUMIFS('Source 2026'!$D:$D,'Source 2026'!$B:$B,$A71,'Source 2026'!$A:$A,"Amount (NIS)")+SUMIFS('Source 2026'!$E:$E,'Source 2026'!$B:$B,$A71,'Source 2026'!$A:$A,"Amount (NIS)")+SUMIFS('Source 2026'!$F:$F,'Source 2026'!$B:$B,$A71,'Source 2026'!$A:$A,"Amount (NIS)")+SUMIFS('Source 2026'!$G:$G,'Source 2026'!$B:$B,$A71,'Source 2026'!$A:$A,"Amount (NIS)")+SUMIFS('Source 2026'!$J:$J,'Source 2026'!$B:$B,$A71,'Source 2026'!$A:$A,"Amount (NIS)")+SUMIFS('Source 2026'!$M:$M,'Source 2026'!$B:$B,$A71,'Source 2026'!$A:$A,"Amount (NIS)")</f>
        <v>4681</v>
      </c>
      <c r="J71" s="8" t="n">
        <f aca="false">I71*$J$5</f>
        <v>6419.65714285714</v>
      </c>
      <c r="K71" s="8" t="n">
        <f aca="false">J71-H71</f>
        <v>-1779.64285714286</v>
      </c>
      <c r="L71" s="9" t="n">
        <f aca="false">IF(AND(H71=0,J71=0),0,IF(H71=0,"New",(J71-H71)/H71))</f>
        <v>-0.217048145224941</v>
      </c>
    </row>
    <row r="72" customFormat="false" ht="15" hidden="false" customHeight="false" outlineLevel="0" collapsed="false">
      <c r="A72" s="7" t="n">
        <v>4422038</v>
      </c>
      <c r="B72" s="7" t="str">
        <f aca="false">IFERROR(INDEX('Source 2026'!$C:$C,MATCH($A72,'Source 2026'!$B:$B,0)),IFERROR(INDEX('Source 2025'!$C:$C,MATCH($A72,'Source 2025'!$B:$B,0)),""))</f>
        <v>SH422 2 תומך ברך גנושילד</v>
      </c>
      <c r="C72" s="8" t="n">
        <f aca="false">SUMIFS('Source 2025'!$D:$D,'Source 2025'!$B:$B,$A72,'Source 2025'!$A:$A,"Quantity (units)")+SUMIFS('Source 2025'!$E:$E,'Source 2025'!$B:$B,$A72,'Source 2025'!$A:$A,"Quantity (units)")+SUMIFS('Source 2025'!$F:$F,'Source 2025'!$B:$B,$A72,'Source 2025'!$A:$A,"Quantity (units)")+SUMIFS('Source 2025'!$G:$G,'Source 2025'!$B:$B,$A72,'Source 2025'!$A:$A,"Quantity (units)")+SUMIFS('Source 2025'!$J:$J,'Source 2025'!$B:$B,$A72,'Source 2025'!$A:$A,"Quantity (units)")+SUMIFS('Source 2025'!$M:$M,'Source 2025'!$B:$B,$A72,'Source 2025'!$A:$A,"Quantity (units)")</f>
        <v>3</v>
      </c>
      <c r="D72" s="8" t="n">
        <f aca="false">SUMIFS('Source 2026'!$D:$D,'Source 2026'!$B:$B,$A72,'Source 2026'!$A:$A,"Quantity (units)")+SUMIFS('Source 2026'!$E:$E,'Source 2026'!$B:$B,$A72,'Source 2026'!$A:$A,"Quantity (units)")+SUMIFS('Source 2026'!$F:$F,'Source 2026'!$B:$B,$A72,'Source 2026'!$A:$A,"Quantity (units)")+SUMIFS('Source 2026'!$G:$G,'Source 2026'!$B:$B,$A72,'Source 2026'!$A:$A,"Quantity (units)")+SUMIFS('Source 2026'!$J:$J,'Source 2026'!$B:$B,$A72,'Source 2026'!$A:$A,"Quantity (units)")+SUMIFS('Source 2026'!$M:$M,'Source 2026'!$B:$B,$A72,'Source 2026'!$A:$A,"Quantity (units)")</f>
        <v>20</v>
      </c>
      <c r="E72" s="8" t="n">
        <f aca="false">D72*$J$5</f>
        <v>27.4285714285714</v>
      </c>
      <c r="F72" s="8" t="n">
        <f aca="false">E72-C72</f>
        <v>24.4285714285714</v>
      </c>
      <c r="G72" s="9" t="n">
        <f aca="false">IF(AND(C72=0,E72=0),0,IF(C72=0,"New",(E72-C72)/C72))</f>
        <v>8.14285714285714</v>
      </c>
      <c r="H72" s="8" t="n">
        <f aca="false">SUMIFS('Source 2025'!$D:$D,'Source 2025'!$B:$B,$A72,'Source 2025'!$A:$A,"Amount (NIS)")+SUMIFS('Source 2025'!$E:$E,'Source 2025'!$B:$B,$A72,'Source 2025'!$A:$A,"Amount (NIS)")+SUMIFS('Source 2025'!$F:$F,'Source 2025'!$B:$B,$A72,'Source 2025'!$A:$A,"Amount (NIS)")+SUMIFS('Source 2025'!$G:$G,'Source 2025'!$B:$B,$A72,'Source 2025'!$A:$A,"Amount (NIS)")+SUMIFS('Source 2025'!$J:$J,'Source 2025'!$B:$B,$A72,'Source 2025'!$A:$A,"Amount (NIS)")+SUMIFS('Source 2025'!$M:$M,'Source 2025'!$B:$B,$A72,'Source 2025'!$A:$A,"Amount (NIS)")</f>
        <v>646.1</v>
      </c>
      <c r="I72" s="8" t="n">
        <f aca="false">SUMIFS('Source 2026'!$D:$D,'Source 2026'!$B:$B,$A72,'Source 2026'!$A:$A,"Amount (NIS)")+SUMIFS('Source 2026'!$E:$E,'Source 2026'!$B:$B,$A72,'Source 2026'!$A:$A,"Amount (NIS)")+SUMIFS('Source 2026'!$F:$F,'Source 2026'!$B:$B,$A72,'Source 2026'!$A:$A,"Amount (NIS)")+SUMIFS('Source 2026'!$G:$G,'Source 2026'!$B:$B,$A72,'Source 2026'!$A:$A,"Amount (NIS)")+SUMIFS('Source 2026'!$J:$J,'Source 2026'!$B:$B,$A72,'Source 2026'!$A:$A,"Amount (NIS)")+SUMIFS('Source 2026'!$M:$M,'Source 2026'!$B:$B,$A72,'Source 2026'!$A:$A,"Amount (NIS)")</f>
        <v>4149.5</v>
      </c>
      <c r="J72" s="8" t="n">
        <f aca="false">I72*$J$5</f>
        <v>5690.74285714286</v>
      </c>
      <c r="K72" s="8" t="n">
        <f aca="false">J72-H72</f>
        <v>5044.64285714286</v>
      </c>
      <c r="L72" s="9" t="n">
        <f aca="false">IF(AND(H72=0,J72=0),0,IF(H72=0,"New",(J72-H72)/H72))</f>
        <v>7.80783602715192</v>
      </c>
    </row>
    <row r="73" customFormat="false" ht="15" hidden="false" customHeight="false" outlineLevel="0" collapsed="false">
      <c r="A73" s="7" t="n">
        <v>4413329</v>
      </c>
      <c r="B73" s="7" t="str">
        <f aca="false">IFERROR(INDEX('Source 2026'!$C:$C,MATCH($A73,'Source 2026'!$B:$B,0)),IFERROR(INDEX('Source 2025'!$C:$C,MATCH($A73,'Source 2025'!$B:$B,0)),""))</f>
        <v>AC45X מגן ברך עם תמיכות</v>
      </c>
      <c r="C73" s="8" t="n">
        <f aca="false">SUMIFS('Source 2025'!$D:$D,'Source 2025'!$B:$B,$A73,'Source 2025'!$A:$A,"Quantity (units)")+SUMIFS('Source 2025'!$E:$E,'Source 2025'!$B:$B,$A73,'Source 2025'!$A:$A,"Quantity (units)")+SUMIFS('Source 2025'!$F:$F,'Source 2025'!$B:$B,$A73,'Source 2025'!$A:$A,"Quantity (units)")+SUMIFS('Source 2025'!$G:$G,'Source 2025'!$B:$B,$A73,'Source 2025'!$A:$A,"Quantity (units)")+SUMIFS('Source 2025'!$J:$J,'Source 2025'!$B:$B,$A73,'Source 2025'!$A:$A,"Quantity (units)")+SUMIFS('Source 2025'!$M:$M,'Source 2025'!$B:$B,$A73,'Source 2025'!$A:$A,"Quantity (units)")</f>
        <v>555</v>
      </c>
      <c r="D73" s="8" t="n">
        <f aca="false">SUMIFS('Source 2026'!$D:$D,'Source 2026'!$B:$B,$A73,'Source 2026'!$A:$A,"Quantity (units)")+SUMIFS('Source 2026'!$E:$E,'Source 2026'!$B:$B,$A73,'Source 2026'!$A:$A,"Quantity (units)")+SUMIFS('Source 2026'!$F:$F,'Source 2026'!$B:$B,$A73,'Source 2026'!$A:$A,"Quantity (units)")+SUMIFS('Source 2026'!$G:$G,'Source 2026'!$B:$B,$A73,'Source 2026'!$A:$A,"Quantity (units)")+SUMIFS('Source 2026'!$J:$J,'Source 2026'!$B:$B,$A73,'Source 2026'!$A:$A,"Quantity (units)")+SUMIFS('Source 2026'!$M:$M,'Source 2026'!$B:$B,$A73,'Source 2026'!$A:$A,"Quantity (units)")</f>
        <v>496</v>
      </c>
      <c r="E73" s="8" t="n">
        <f aca="false">D73*$J$5</f>
        <v>680.228571428571</v>
      </c>
      <c r="F73" s="8" t="n">
        <f aca="false">E73-C73</f>
        <v>125.228571428571</v>
      </c>
      <c r="G73" s="9" t="n">
        <f aca="false">IF(AND(C73=0,E73=0),0,IF(C73=0,"New",(E73-C73)/C73))</f>
        <v>0.225637065637066</v>
      </c>
      <c r="H73" s="8" t="n">
        <f aca="false">SUMIFS('Source 2025'!$D:$D,'Source 2025'!$B:$B,$A73,'Source 2025'!$A:$A,"Amount (NIS)")+SUMIFS('Source 2025'!$E:$E,'Source 2025'!$B:$B,$A73,'Source 2025'!$A:$A,"Amount (NIS)")+SUMIFS('Source 2025'!$F:$F,'Source 2025'!$B:$B,$A73,'Source 2025'!$A:$A,"Amount (NIS)")+SUMIFS('Source 2025'!$G:$G,'Source 2025'!$B:$B,$A73,'Source 2025'!$A:$A,"Amount (NIS)")+SUMIFS('Source 2025'!$J:$J,'Source 2025'!$B:$B,$A73,'Source 2025'!$A:$A,"Amount (NIS)")+SUMIFS('Source 2025'!$M:$M,'Source 2025'!$B:$B,$A73,'Source 2025'!$A:$A,"Amount (NIS)")</f>
        <v>36987</v>
      </c>
      <c r="I73" s="8" t="n">
        <f aca="false">SUMIFS('Source 2026'!$D:$D,'Source 2026'!$B:$B,$A73,'Source 2026'!$A:$A,"Amount (NIS)")+SUMIFS('Source 2026'!$E:$E,'Source 2026'!$B:$B,$A73,'Source 2026'!$A:$A,"Amount (NIS)")+SUMIFS('Source 2026'!$F:$F,'Source 2026'!$B:$B,$A73,'Source 2026'!$A:$A,"Amount (NIS)")+SUMIFS('Source 2026'!$G:$G,'Source 2026'!$B:$B,$A73,'Source 2026'!$A:$A,"Amount (NIS)")+SUMIFS('Source 2026'!$J:$J,'Source 2026'!$B:$B,$A73,'Source 2026'!$A:$A,"Amount (NIS)")+SUMIFS('Source 2026'!$M:$M,'Source 2026'!$B:$B,$A73,'Source 2026'!$A:$A,"Amount (NIS)")</f>
        <v>33520.5</v>
      </c>
      <c r="J73" s="8" t="n">
        <f aca="false">I73*$J$5</f>
        <v>45970.9714285714</v>
      </c>
      <c r="K73" s="8" t="n">
        <f aca="false">J73-H73</f>
        <v>8983.97142857143</v>
      </c>
      <c r="L73" s="9" t="n">
        <f aca="false">IF(AND(H73=0,J73=0),0,IF(H73=0,"New",(J73-H73)/H73))</f>
        <v>0.242895380230119</v>
      </c>
    </row>
    <row r="74" customFormat="false" ht="15" hidden="false" customHeight="false" outlineLevel="0" collapsed="false">
      <c r="A74" s="7" t="n">
        <v>4413496</v>
      </c>
      <c r="B74" s="7" t="str">
        <f aca="false">IFERROR(INDEX('Source 2026'!$C:$C,MATCH($A74,'Source 2026'!$B:$B,0)),IFERROR(INDEX('Source 2025'!$C:$C,MATCH($A74,'Source 2025'!$B:$B,0)),""))</f>
        <v>45B XL מגן ברך שחור</v>
      </c>
      <c r="C74" s="8" t="n">
        <f aca="false">SUMIFS('Source 2025'!$D:$D,'Source 2025'!$B:$B,$A74,'Source 2025'!$A:$A,"Quantity (units)")+SUMIFS('Source 2025'!$E:$E,'Source 2025'!$B:$B,$A74,'Source 2025'!$A:$A,"Quantity (units)")+SUMIFS('Source 2025'!$F:$F,'Source 2025'!$B:$B,$A74,'Source 2025'!$A:$A,"Quantity (units)")+SUMIFS('Source 2025'!$G:$G,'Source 2025'!$B:$B,$A74,'Source 2025'!$A:$A,"Quantity (units)")+SUMIFS('Source 2025'!$J:$J,'Source 2025'!$B:$B,$A74,'Source 2025'!$A:$A,"Quantity (units)")+SUMIFS('Source 2025'!$M:$M,'Source 2025'!$B:$B,$A74,'Source 2025'!$A:$A,"Quantity (units)")</f>
        <v>281</v>
      </c>
      <c r="D74" s="8" t="n">
        <f aca="false">SUMIFS('Source 2026'!$D:$D,'Source 2026'!$B:$B,$A74,'Source 2026'!$A:$A,"Quantity (units)")+SUMIFS('Source 2026'!$E:$E,'Source 2026'!$B:$B,$A74,'Source 2026'!$A:$A,"Quantity (units)")+SUMIFS('Source 2026'!$F:$F,'Source 2026'!$B:$B,$A74,'Source 2026'!$A:$A,"Quantity (units)")+SUMIFS('Source 2026'!$G:$G,'Source 2026'!$B:$B,$A74,'Source 2026'!$A:$A,"Quantity (units)")+SUMIFS('Source 2026'!$J:$J,'Source 2026'!$B:$B,$A74,'Source 2026'!$A:$A,"Quantity (units)")+SUMIFS('Source 2026'!$M:$M,'Source 2026'!$B:$B,$A74,'Source 2026'!$A:$A,"Quantity (units)")</f>
        <v>156</v>
      </c>
      <c r="E74" s="8" t="n">
        <f aca="false">D74*$J$5</f>
        <v>213.942857142857</v>
      </c>
      <c r="F74" s="8" t="n">
        <f aca="false">E74-C74</f>
        <v>-67.0571428571429</v>
      </c>
      <c r="G74" s="9" t="n">
        <f aca="false">IF(AND(C74=0,E74=0),0,IF(C74=0,"New",(E74-C74)/C74))</f>
        <v>-0.238637519064565</v>
      </c>
      <c r="H74" s="8" t="n">
        <f aca="false">SUMIFS('Source 2025'!$D:$D,'Source 2025'!$B:$B,$A74,'Source 2025'!$A:$A,"Amount (NIS)")+SUMIFS('Source 2025'!$E:$E,'Source 2025'!$B:$B,$A74,'Source 2025'!$A:$A,"Amount (NIS)")+SUMIFS('Source 2025'!$F:$F,'Source 2025'!$B:$B,$A74,'Source 2025'!$A:$A,"Amount (NIS)")+SUMIFS('Source 2025'!$G:$G,'Source 2025'!$B:$B,$A74,'Source 2025'!$A:$A,"Amount (NIS)")+SUMIFS('Source 2025'!$J:$J,'Source 2025'!$B:$B,$A74,'Source 2025'!$A:$A,"Amount (NIS)")+SUMIFS('Source 2025'!$M:$M,'Source 2025'!$B:$B,$A74,'Source 2025'!$A:$A,"Amount (NIS)")</f>
        <v>8133.8</v>
      </c>
      <c r="I74" s="8" t="n">
        <f aca="false">SUMIFS('Source 2026'!$D:$D,'Source 2026'!$B:$B,$A74,'Source 2026'!$A:$A,"Amount (NIS)")+SUMIFS('Source 2026'!$E:$E,'Source 2026'!$B:$B,$A74,'Source 2026'!$A:$A,"Amount (NIS)")+SUMIFS('Source 2026'!$F:$F,'Source 2026'!$B:$B,$A74,'Source 2026'!$A:$A,"Amount (NIS)")+SUMIFS('Source 2026'!$G:$G,'Source 2026'!$B:$B,$A74,'Source 2026'!$A:$A,"Amount (NIS)")+SUMIFS('Source 2026'!$J:$J,'Source 2026'!$B:$B,$A74,'Source 2026'!$A:$A,"Amount (NIS)")+SUMIFS('Source 2026'!$M:$M,'Source 2026'!$B:$B,$A74,'Source 2026'!$A:$A,"Amount (NIS)")</f>
        <v>4687.1</v>
      </c>
      <c r="J74" s="8" t="n">
        <f aca="false">I74*$J$5</f>
        <v>6428.02285714286</v>
      </c>
      <c r="K74" s="8" t="n">
        <f aca="false">J74-H74</f>
        <v>-1705.77714285714</v>
      </c>
      <c r="L74" s="9" t="n">
        <f aca="false">IF(AND(H74=0,J74=0),0,IF(H74=0,"New",(J74-H74)/H74))</f>
        <v>-0.209714665083619</v>
      </c>
    </row>
    <row r="75" customFormat="false" ht="15" hidden="false" customHeight="false" outlineLevel="0" collapsed="false">
      <c r="A75" s="7" t="n">
        <v>4415006</v>
      </c>
      <c r="B75" s="7" t="str">
        <f aca="false">IFERROR(INDEX('Source 2026'!$C:$C,MATCH($A75,'Source 2026'!$B:$B,0)),IFERROR(INDEX('Source 2025'!$C:$C,MATCH($A75,'Source 2025'!$B:$B,0)),""))</f>
        <v>28 M סד לאגודל לאחר שבר</v>
      </c>
      <c r="C75" s="8" t="n">
        <f aca="false">SUMIFS('Source 2025'!$D:$D,'Source 2025'!$B:$B,$A75,'Source 2025'!$A:$A,"Quantity (units)")+SUMIFS('Source 2025'!$E:$E,'Source 2025'!$B:$B,$A75,'Source 2025'!$A:$A,"Quantity (units)")+SUMIFS('Source 2025'!$F:$F,'Source 2025'!$B:$B,$A75,'Source 2025'!$A:$A,"Quantity (units)")+SUMIFS('Source 2025'!$G:$G,'Source 2025'!$B:$B,$A75,'Source 2025'!$A:$A,"Quantity (units)")+SUMIFS('Source 2025'!$J:$J,'Source 2025'!$B:$B,$A75,'Source 2025'!$A:$A,"Quantity (units)")+SUMIFS('Source 2025'!$M:$M,'Source 2025'!$B:$B,$A75,'Source 2025'!$A:$A,"Quantity (units)")</f>
        <v>80</v>
      </c>
      <c r="D75" s="8" t="n">
        <f aca="false">SUMIFS('Source 2026'!$D:$D,'Source 2026'!$B:$B,$A75,'Source 2026'!$A:$A,"Quantity (units)")+SUMIFS('Source 2026'!$E:$E,'Source 2026'!$B:$B,$A75,'Source 2026'!$A:$A,"Quantity (units)")+SUMIFS('Source 2026'!$F:$F,'Source 2026'!$B:$B,$A75,'Source 2026'!$A:$A,"Quantity (units)")+SUMIFS('Source 2026'!$G:$G,'Source 2026'!$B:$B,$A75,'Source 2026'!$A:$A,"Quantity (units)")+SUMIFS('Source 2026'!$J:$J,'Source 2026'!$B:$B,$A75,'Source 2026'!$A:$A,"Quantity (units)")+SUMIFS('Source 2026'!$M:$M,'Source 2026'!$B:$B,$A75,'Source 2026'!$A:$A,"Quantity (units)")</f>
        <v>45</v>
      </c>
      <c r="E75" s="8" t="n">
        <f aca="false">D75*$J$5</f>
        <v>61.7142857142857</v>
      </c>
      <c r="F75" s="8" t="n">
        <f aca="false">E75-C75</f>
        <v>-18.2857142857143</v>
      </c>
      <c r="G75" s="9" t="n">
        <f aca="false">IF(AND(C75=0,E75=0),0,IF(C75=0,"New",(E75-C75)/C75))</f>
        <v>-0.228571428571429</v>
      </c>
      <c r="H75" s="8" t="n">
        <f aca="false">SUMIFS('Source 2025'!$D:$D,'Source 2025'!$B:$B,$A75,'Source 2025'!$A:$A,"Amount (NIS)")+SUMIFS('Source 2025'!$E:$E,'Source 2025'!$B:$B,$A75,'Source 2025'!$A:$A,"Amount (NIS)")+SUMIFS('Source 2025'!$F:$F,'Source 2025'!$B:$B,$A75,'Source 2025'!$A:$A,"Amount (NIS)")+SUMIFS('Source 2025'!$G:$G,'Source 2025'!$B:$B,$A75,'Source 2025'!$A:$A,"Amount (NIS)")+SUMIFS('Source 2025'!$J:$J,'Source 2025'!$B:$B,$A75,'Source 2025'!$A:$A,"Amount (NIS)")+SUMIFS('Source 2025'!$M:$M,'Source 2025'!$B:$B,$A75,'Source 2025'!$A:$A,"Amount (NIS)")</f>
        <v>7782.5</v>
      </c>
      <c r="I75" s="8" t="n">
        <f aca="false">SUMIFS('Source 2026'!$D:$D,'Source 2026'!$B:$B,$A75,'Source 2026'!$A:$A,"Amount (NIS)")+SUMIFS('Source 2026'!$E:$E,'Source 2026'!$B:$B,$A75,'Source 2026'!$A:$A,"Amount (NIS)")+SUMIFS('Source 2026'!$F:$F,'Source 2026'!$B:$B,$A75,'Source 2026'!$A:$A,"Amount (NIS)")+SUMIFS('Source 2026'!$G:$G,'Source 2026'!$B:$B,$A75,'Source 2026'!$A:$A,"Amount (NIS)")+SUMIFS('Source 2026'!$J:$J,'Source 2026'!$B:$B,$A75,'Source 2026'!$A:$A,"Amount (NIS)")+SUMIFS('Source 2026'!$M:$M,'Source 2026'!$B:$B,$A75,'Source 2026'!$A:$A,"Amount (NIS)")</f>
        <v>4351.2</v>
      </c>
      <c r="J75" s="8" t="n">
        <f aca="false">I75*$J$5</f>
        <v>5967.36</v>
      </c>
      <c r="K75" s="8" t="n">
        <f aca="false">J75-H75</f>
        <v>-1815.14</v>
      </c>
      <c r="L75" s="9" t="n">
        <f aca="false">IF(AND(H75=0,J75=0),0,IF(H75=0,"New",(J75-H75)/H75))</f>
        <v>-0.23323353678124</v>
      </c>
    </row>
    <row r="76" customFormat="false" ht="15" hidden="false" customHeight="false" outlineLevel="0" collapsed="false">
      <c r="A76" s="7" t="n">
        <v>4413135</v>
      </c>
      <c r="B76" s="7" t="str">
        <f aca="false">IFERROR(INDEX('Source 2026'!$C:$C,MATCH($A76,'Source 2026'!$B:$B,0)),IFERROR(INDEX('Source 2025'!$C:$C,MATCH($A76,'Source 2025'!$B:$B,0)),""))</f>
        <v>85 L (מתלה ליד )כיס</v>
      </c>
      <c r="C76" s="8" t="n">
        <f aca="false">SUMIFS('Source 2025'!$D:$D,'Source 2025'!$B:$B,$A76,'Source 2025'!$A:$A,"Quantity (units)")+SUMIFS('Source 2025'!$E:$E,'Source 2025'!$B:$B,$A76,'Source 2025'!$A:$A,"Quantity (units)")+SUMIFS('Source 2025'!$F:$F,'Source 2025'!$B:$B,$A76,'Source 2025'!$A:$A,"Quantity (units)")+SUMIFS('Source 2025'!$G:$G,'Source 2025'!$B:$B,$A76,'Source 2025'!$A:$A,"Quantity (units)")+SUMIFS('Source 2025'!$J:$J,'Source 2025'!$B:$B,$A76,'Source 2025'!$A:$A,"Quantity (units)")+SUMIFS('Source 2025'!$M:$M,'Source 2025'!$B:$B,$A76,'Source 2025'!$A:$A,"Quantity (units)")</f>
        <v>200</v>
      </c>
      <c r="D76" s="8" t="n">
        <f aca="false">SUMIFS('Source 2026'!$D:$D,'Source 2026'!$B:$B,$A76,'Source 2026'!$A:$A,"Quantity (units)")+SUMIFS('Source 2026'!$E:$E,'Source 2026'!$B:$B,$A76,'Source 2026'!$A:$A,"Quantity (units)")+SUMIFS('Source 2026'!$F:$F,'Source 2026'!$B:$B,$A76,'Source 2026'!$A:$A,"Quantity (units)")+SUMIFS('Source 2026'!$G:$G,'Source 2026'!$B:$B,$A76,'Source 2026'!$A:$A,"Quantity (units)")+SUMIFS('Source 2026'!$J:$J,'Source 2026'!$B:$B,$A76,'Source 2026'!$A:$A,"Quantity (units)")+SUMIFS('Source 2026'!$M:$M,'Source 2026'!$B:$B,$A76,'Source 2026'!$A:$A,"Quantity (units)")</f>
        <v>136</v>
      </c>
      <c r="E76" s="8" t="n">
        <f aca="false">D76*$J$5</f>
        <v>186.514285714286</v>
      </c>
      <c r="F76" s="8" t="n">
        <f aca="false">E76-C76</f>
        <v>-13.4857142857143</v>
      </c>
      <c r="G76" s="9" t="n">
        <f aca="false">IF(AND(C76=0,E76=0),0,IF(C76=0,"New",(E76-C76)/C76))</f>
        <v>-0.0674285714285715</v>
      </c>
      <c r="H76" s="8" t="n">
        <f aca="false">SUMIFS('Source 2025'!$D:$D,'Source 2025'!$B:$B,$A76,'Source 2025'!$A:$A,"Amount (NIS)")+SUMIFS('Source 2025'!$E:$E,'Source 2025'!$B:$B,$A76,'Source 2025'!$A:$A,"Amount (NIS)")+SUMIFS('Source 2025'!$F:$F,'Source 2025'!$B:$B,$A76,'Source 2025'!$A:$A,"Amount (NIS)")+SUMIFS('Source 2025'!$G:$G,'Source 2025'!$B:$B,$A76,'Source 2025'!$A:$A,"Amount (NIS)")+SUMIFS('Source 2025'!$J:$J,'Source 2025'!$B:$B,$A76,'Source 2025'!$A:$A,"Amount (NIS)")+SUMIFS('Source 2025'!$M:$M,'Source 2025'!$B:$B,$A76,'Source 2025'!$A:$A,"Amount (NIS)")</f>
        <v>10830.8</v>
      </c>
      <c r="I76" s="8" t="n">
        <f aca="false">SUMIFS('Source 2026'!$D:$D,'Source 2026'!$B:$B,$A76,'Source 2026'!$A:$A,"Amount (NIS)")+SUMIFS('Source 2026'!$E:$E,'Source 2026'!$B:$B,$A76,'Source 2026'!$A:$A,"Amount (NIS)")+SUMIFS('Source 2026'!$F:$F,'Source 2026'!$B:$B,$A76,'Source 2026'!$A:$A,"Amount (NIS)")+SUMIFS('Source 2026'!$G:$G,'Source 2026'!$B:$B,$A76,'Source 2026'!$A:$A,"Amount (NIS)")+SUMIFS('Source 2026'!$J:$J,'Source 2026'!$B:$B,$A76,'Source 2026'!$A:$A,"Amount (NIS)")+SUMIFS('Source 2026'!$M:$M,'Source 2026'!$B:$B,$A76,'Source 2026'!$A:$A,"Amount (NIS)")</f>
        <v>7468.9</v>
      </c>
      <c r="J76" s="8" t="n">
        <f aca="false">I76*$J$5</f>
        <v>10243.0628571429</v>
      </c>
      <c r="K76" s="8" t="n">
        <f aca="false">J76-H76</f>
        <v>-587.737142857142</v>
      </c>
      <c r="L76" s="9" t="n">
        <f aca="false">IF(AND(H76=0,J76=0),0,IF(H76=0,"New",(J76-H76)/H76))</f>
        <v>-0.0542653490838297</v>
      </c>
    </row>
    <row r="77" customFormat="false" ht="15" hidden="false" customHeight="false" outlineLevel="0" collapsed="false">
      <c r="A77" s="7" t="n">
        <v>4408265</v>
      </c>
      <c r="B77" s="7" t="str">
        <f aca="false">IFERROR(INDEX('Source 2026'!$C:$C,MATCH($A77,'Source 2026'!$B:$B,0)),IFERROR(INDEX('Source 2025'!$C:$C,MATCH($A77,'Source 2025'!$B:$B,0)),""))</f>
        <v>078XXL חגורת גב +סגירה כפולה</v>
      </c>
      <c r="C77" s="8" t="n">
        <f aca="false">SUMIFS('Source 2025'!$D:$D,'Source 2025'!$B:$B,$A77,'Source 2025'!$A:$A,"Quantity (units)")+SUMIFS('Source 2025'!$E:$E,'Source 2025'!$B:$B,$A77,'Source 2025'!$A:$A,"Quantity (units)")+SUMIFS('Source 2025'!$F:$F,'Source 2025'!$B:$B,$A77,'Source 2025'!$A:$A,"Quantity (units)")+SUMIFS('Source 2025'!$G:$G,'Source 2025'!$B:$B,$A77,'Source 2025'!$A:$A,"Quantity (units)")+SUMIFS('Source 2025'!$J:$J,'Source 2025'!$B:$B,$A77,'Source 2025'!$A:$A,"Quantity (units)")+SUMIFS('Source 2025'!$M:$M,'Source 2025'!$B:$B,$A77,'Source 2025'!$A:$A,"Quantity (units)")</f>
        <v>64</v>
      </c>
      <c r="D77" s="8" t="n">
        <f aca="false">SUMIFS('Source 2026'!$D:$D,'Source 2026'!$B:$B,$A77,'Source 2026'!$A:$A,"Quantity (units)")+SUMIFS('Source 2026'!$E:$E,'Source 2026'!$B:$B,$A77,'Source 2026'!$A:$A,"Quantity (units)")+SUMIFS('Source 2026'!$F:$F,'Source 2026'!$B:$B,$A77,'Source 2026'!$A:$A,"Quantity (units)")+SUMIFS('Source 2026'!$G:$G,'Source 2026'!$B:$B,$A77,'Source 2026'!$A:$A,"Quantity (units)")+SUMIFS('Source 2026'!$J:$J,'Source 2026'!$B:$B,$A77,'Source 2026'!$A:$A,"Quantity (units)")+SUMIFS('Source 2026'!$M:$M,'Source 2026'!$B:$B,$A77,'Source 2026'!$A:$A,"Quantity (units)")</f>
        <v>32</v>
      </c>
      <c r="E77" s="8" t="n">
        <f aca="false">D77*$J$5</f>
        <v>43.8857142857143</v>
      </c>
      <c r="F77" s="8" t="n">
        <f aca="false">E77-C77</f>
        <v>-20.1142857142857</v>
      </c>
      <c r="G77" s="9" t="n">
        <f aca="false">IF(AND(C77=0,E77=0),0,IF(C77=0,"New",(E77-C77)/C77))</f>
        <v>-0.314285714285714</v>
      </c>
      <c r="H77" s="8" t="n">
        <f aca="false">SUMIFS('Source 2025'!$D:$D,'Source 2025'!$B:$B,$A77,'Source 2025'!$A:$A,"Amount (NIS)")+SUMIFS('Source 2025'!$E:$E,'Source 2025'!$B:$B,$A77,'Source 2025'!$A:$A,"Amount (NIS)")+SUMIFS('Source 2025'!$F:$F,'Source 2025'!$B:$B,$A77,'Source 2025'!$A:$A,"Amount (NIS)")+SUMIFS('Source 2025'!$G:$G,'Source 2025'!$B:$B,$A77,'Source 2025'!$A:$A,"Amount (NIS)")+SUMIFS('Source 2025'!$J:$J,'Source 2025'!$B:$B,$A77,'Source 2025'!$A:$A,"Amount (NIS)")+SUMIFS('Source 2025'!$M:$M,'Source 2025'!$B:$B,$A77,'Source 2025'!$A:$A,"Amount (NIS)")</f>
        <v>6752.6</v>
      </c>
      <c r="I77" s="8" t="n">
        <f aca="false">SUMIFS('Source 2026'!$D:$D,'Source 2026'!$B:$B,$A77,'Source 2026'!$A:$A,"Amount (NIS)")+SUMIFS('Source 2026'!$E:$E,'Source 2026'!$B:$B,$A77,'Source 2026'!$A:$A,"Amount (NIS)")+SUMIFS('Source 2026'!$F:$F,'Source 2026'!$B:$B,$A77,'Source 2026'!$A:$A,"Amount (NIS)")+SUMIFS('Source 2026'!$G:$G,'Source 2026'!$B:$B,$A77,'Source 2026'!$A:$A,"Amount (NIS)")+SUMIFS('Source 2026'!$J:$J,'Source 2026'!$B:$B,$A77,'Source 2026'!$A:$A,"Amount (NIS)")+SUMIFS('Source 2026'!$M:$M,'Source 2026'!$B:$B,$A77,'Source 2026'!$A:$A,"Amount (NIS)")</f>
        <v>3393.7</v>
      </c>
      <c r="J77" s="8" t="n">
        <f aca="false">I77*$J$5</f>
        <v>4654.21714285714</v>
      </c>
      <c r="K77" s="8" t="n">
        <f aca="false">J77-H77</f>
        <v>-2098.38285714286</v>
      </c>
      <c r="L77" s="9" t="n">
        <f aca="false">IF(AND(H77=0,J77=0),0,IF(H77=0,"New",(J77-H77)/H77))</f>
        <v>-0.310751837387504</v>
      </c>
    </row>
    <row r="78" customFormat="false" ht="15" hidden="false" customHeight="false" outlineLevel="0" collapsed="false">
      <c r="A78" s="7" t="n">
        <v>4413456</v>
      </c>
      <c r="B78" s="7" t="str">
        <f aca="false">IFERROR(INDEX('Source 2026'!$C:$C,MATCH($A78,'Source 2026'!$B:$B,0)),IFERROR(INDEX('Source 2025'!$C:$C,MATCH($A78,'Source 2025'!$B:$B,0)),""))</f>
        <v>AC75 XXL  מיישר כתפיים אקטיב</v>
      </c>
      <c r="C78" s="8" t="n">
        <f aca="false">SUMIFS('Source 2025'!$D:$D,'Source 2025'!$B:$B,$A78,'Source 2025'!$A:$A,"Quantity (units)")+SUMIFS('Source 2025'!$E:$E,'Source 2025'!$B:$B,$A78,'Source 2025'!$A:$A,"Quantity (units)")+SUMIFS('Source 2025'!$F:$F,'Source 2025'!$B:$B,$A78,'Source 2025'!$A:$A,"Quantity (units)")+SUMIFS('Source 2025'!$G:$G,'Source 2025'!$B:$B,$A78,'Source 2025'!$A:$A,"Quantity (units)")+SUMIFS('Source 2025'!$J:$J,'Source 2025'!$B:$B,$A78,'Source 2025'!$A:$A,"Quantity (units)")+SUMIFS('Source 2025'!$M:$M,'Source 2025'!$B:$B,$A78,'Source 2025'!$A:$A,"Quantity (units)")</f>
        <v>106</v>
      </c>
      <c r="D78" s="8" t="n">
        <f aca="false">SUMIFS('Source 2026'!$D:$D,'Source 2026'!$B:$B,$A78,'Source 2026'!$A:$A,"Quantity (units)")+SUMIFS('Source 2026'!$E:$E,'Source 2026'!$B:$B,$A78,'Source 2026'!$A:$A,"Quantity (units)")+SUMIFS('Source 2026'!$F:$F,'Source 2026'!$B:$B,$A78,'Source 2026'!$A:$A,"Quantity (units)")+SUMIFS('Source 2026'!$G:$G,'Source 2026'!$B:$B,$A78,'Source 2026'!$A:$A,"Quantity (units)")+SUMIFS('Source 2026'!$J:$J,'Source 2026'!$B:$B,$A78,'Source 2026'!$A:$A,"Quantity (units)")+SUMIFS('Source 2026'!$M:$M,'Source 2026'!$B:$B,$A78,'Source 2026'!$A:$A,"Quantity (units)")</f>
        <v>49</v>
      </c>
      <c r="E78" s="8" t="n">
        <f aca="false">D78*$J$5</f>
        <v>67.2</v>
      </c>
      <c r="F78" s="8" t="n">
        <f aca="false">E78-C78</f>
        <v>-38.8</v>
      </c>
      <c r="G78" s="9" t="n">
        <f aca="false">IF(AND(C78=0,E78=0),0,IF(C78=0,"New",(E78-C78)/C78))</f>
        <v>-0.366037735849057</v>
      </c>
      <c r="H78" s="8" t="n">
        <f aca="false">SUMIFS('Source 2025'!$D:$D,'Source 2025'!$B:$B,$A78,'Source 2025'!$A:$A,"Amount (NIS)")+SUMIFS('Source 2025'!$E:$E,'Source 2025'!$B:$B,$A78,'Source 2025'!$A:$A,"Amount (NIS)")+SUMIFS('Source 2025'!$F:$F,'Source 2025'!$B:$B,$A78,'Source 2025'!$A:$A,"Amount (NIS)")+SUMIFS('Source 2025'!$G:$G,'Source 2025'!$B:$B,$A78,'Source 2025'!$A:$A,"Amount (NIS)")+SUMIFS('Source 2025'!$J:$J,'Source 2025'!$B:$B,$A78,'Source 2025'!$A:$A,"Amount (NIS)")+SUMIFS('Source 2025'!$M:$M,'Source 2025'!$B:$B,$A78,'Source 2025'!$A:$A,"Amount (NIS)")</f>
        <v>7191.5</v>
      </c>
      <c r="I78" s="8" t="n">
        <f aca="false">SUMIFS('Source 2026'!$D:$D,'Source 2026'!$B:$B,$A78,'Source 2026'!$A:$A,"Amount (NIS)")+SUMIFS('Source 2026'!$E:$E,'Source 2026'!$B:$B,$A78,'Source 2026'!$A:$A,"Amount (NIS)")+SUMIFS('Source 2026'!$F:$F,'Source 2026'!$B:$B,$A78,'Source 2026'!$A:$A,"Amount (NIS)")+SUMIFS('Source 2026'!$G:$G,'Source 2026'!$B:$B,$A78,'Source 2026'!$A:$A,"Amount (NIS)")+SUMIFS('Source 2026'!$J:$J,'Source 2026'!$B:$B,$A78,'Source 2026'!$A:$A,"Amount (NIS)")+SUMIFS('Source 2026'!$M:$M,'Source 2026'!$B:$B,$A78,'Source 2026'!$A:$A,"Amount (NIS)")</f>
        <v>3860</v>
      </c>
      <c r="J78" s="8" t="n">
        <f aca="false">I78*$J$5</f>
        <v>5293.71428571429</v>
      </c>
      <c r="K78" s="8" t="n">
        <f aca="false">J78-H78</f>
        <v>-1897.78571428571</v>
      </c>
      <c r="L78" s="9" t="n">
        <f aca="false">IF(AND(H78=0,J78=0),0,IF(H78=0,"New",(J78-H78)/H78))</f>
        <v>-0.263892889423029</v>
      </c>
    </row>
    <row r="79" customFormat="false" ht="15" hidden="false" customHeight="false" outlineLevel="0" collapsed="false">
      <c r="A79" s="7" t="n">
        <v>4420002</v>
      </c>
      <c r="B79" s="7" t="str">
        <f aca="false">IFERROR(INDEX('Source 2026'!$C:$C,MATCH($A79,'Source 2026'!$B:$B,0)),IFERROR(INDEX('Source 2025'!$C:$C,MATCH($A79,'Source 2025'!$B:$B,0)),""))</f>
        <v>372 רפידת אנטי ריח -זוג</v>
      </c>
      <c r="C79" s="8" t="n">
        <f aca="false">SUMIFS('Source 2025'!$D:$D,'Source 2025'!$B:$B,$A79,'Source 2025'!$A:$A,"Quantity (units)")+SUMIFS('Source 2025'!$E:$E,'Source 2025'!$B:$B,$A79,'Source 2025'!$A:$A,"Quantity (units)")+SUMIFS('Source 2025'!$F:$F,'Source 2025'!$B:$B,$A79,'Source 2025'!$A:$A,"Quantity (units)")+SUMIFS('Source 2025'!$G:$G,'Source 2025'!$B:$B,$A79,'Source 2025'!$A:$A,"Quantity (units)")+SUMIFS('Source 2025'!$J:$J,'Source 2025'!$B:$B,$A79,'Source 2025'!$A:$A,"Quantity (units)")+SUMIFS('Source 2025'!$M:$M,'Source 2025'!$B:$B,$A79,'Source 2025'!$A:$A,"Quantity (units)")</f>
        <v>629</v>
      </c>
      <c r="D79" s="8" t="n">
        <f aca="false">SUMIFS('Source 2026'!$D:$D,'Source 2026'!$B:$B,$A79,'Source 2026'!$A:$A,"Quantity (units)")+SUMIFS('Source 2026'!$E:$E,'Source 2026'!$B:$B,$A79,'Source 2026'!$A:$A,"Quantity (units)")+SUMIFS('Source 2026'!$F:$F,'Source 2026'!$B:$B,$A79,'Source 2026'!$A:$A,"Quantity (units)")+SUMIFS('Source 2026'!$G:$G,'Source 2026'!$B:$B,$A79,'Source 2026'!$A:$A,"Quantity (units)")+SUMIFS('Source 2026'!$J:$J,'Source 2026'!$B:$B,$A79,'Source 2026'!$A:$A,"Quantity (units)")+SUMIFS('Source 2026'!$M:$M,'Source 2026'!$B:$B,$A79,'Source 2026'!$A:$A,"Quantity (units)")</f>
        <v>386</v>
      </c>
      <c r="E79" s="8" t="n">
        <f aca="false">D79*$J$5</f>
        <v>529.371428571429</v>
      </c>
      <c r="F79" s="8" t="n">
        <f aca="false">E79-C79</f>
        <v>-99.6285714285714</v>
      </c>
      <c r="G79" s="9" t="n">
        <f aca="false">IF(AND(C79=0,E79=0),0,IF(C79=0,"New",(E79-C79)/C79))</f>
        <v>-0.158392005450829</v>
      </c>
      <c r="H79" s="8" t="n">
        <f aca="false">SUMIFS('Source 2025'!$D:$D,'Source 2025'!$B:$B,$A79,'Source 2025'!$A:$A,"Amount (NIS)")+SUMIFS('Source 2025'!$E:$E,'Source 2025'!$B:$B,$A79,'Source 2025'!$A:$A,"Amount (NIS)")+SUMIFS('Source 2025'!$F:$F,'Source 2025'!$B:$B,$A79,'Source 2025'!$A:$A,"Amount (NIS)")+SUMIFS('Source 2025'!$G:$G,'Source 2025'!$B:$B,$A79,'Source 2025'!$A:$A,"Amount (NIS)")+SUMIFS('Source 2025'!$J:$J,'Source 2025'!$B:$B,$A79,'Source 2025'!$A:$A,"Amount (NIS)")+SUMIFS('Source 2025'!$M:$M,'Source 2025'!$B:$B,$A79,'Source 2025'!$A:$A,"Amount (NIS)")</f>
        <v>8964.7</v>
      </c>
      <c r="I79" s="8" t="n">
        <f aca="false">SUMIFS('Source 2026'!$D:$D,'Source 2026'!$B:$B,$A79,'Source 2026'!$A:$A,"Amount (NIS)")+SUMIFS('Source 2026'!$E:$E,'Source 2026'!$B:$B,$A79,'Source 2026'!$A:$A,"Amount (NIS)")+SUMIFS('Source 2026'!$F:$F,'Source 2026'!$B:$B,$A79,'Source 2026'!$A:$A,"Amount (NIS)")+SUMIFS('Source 2026'!$G:$G,'Source 2026'!$B:$B,$A79,'Source 2026'!$A:$A,"Amount (NIS)")+SUMIFS('Source 2026'!$J:$J,'Source 2026'!$B:$B,$A79,'Source 2026'!$A:$A,"Amount (NIS)")+SUMIFS('Source 2026'!$M:$M,'Source 2026'!$B:$B,$A79,'Source 2026'!$A:$A,"Amount (NIS)")</f>
        <v>5636.2</v>
      </c>
      <c r="J79" s="8" t="n">
        <f aca="false">I79*$J$5</f>
        <v>7729.64571428571</v>
      </c>
      <c r="K79" s="8" t="n">
        <f aca="false">J79-H79</f>
        <v>-1235.05428571429</v>
      </c>
      <c r="L79" s="9" t="n">
        <f aca="false">IF(AND(H79=0,J79=0),0,IF(H79=0,"New",(J79-H79)/H79))</f>
        <v>-0.137768613084017</v>
      </c>
    </row>
    <row r="80" customFormat="false" ht="15" hidden="false" customHeight="false" outlineLevel="0" collapsed="false">
      <c r="A80" s="7" t="n">
        <v>4413492</v>
      </c>
      <c r="B80" s="7" t="str">
        <f aca="false">IFERROR(INDEX('Source 2026'!$C:$C,MATCH($A80,'Source 2026'!$B:$B,0)),IFERROR(INDEX('Source 2025'!$C:$C,MATCH($A80,'Source 2025'!$B:$B,0)),""))</f>
        <v>35B M מגן קרסול שחור</v>
      </c>
      <c r="C80" s="8" t="n">
        <f aca="false">SUMIFS('Source 2025'!$D:$D,'Source 2025'!$B:$B,$A80,'Source 2025'!$A:$A,"Quantity (units)")+SUMIFS('Source 2025'!$E:$E,'Source 2025'!$B:$B,$A80,'Source 2025'!$A:$A,"Quantity (units)")+SUMIFS('Source 2025'!$F:$F,'Source 2025'!$B:$B,$A80,'Source 2025'!$A:$A,"Quantity (units)")+SUMIFS('Source 2025'!$G:$G,'Source 2025'!$B:$B,$A80,'Source 2025'!$A:$A,"Quantity (units)")+SUMIFS('Source 2025'!$J:$J,'Source 2025'!$B:$B,$A80,'Source 2025'!$A:$A,"Quantity (units)")+SUMIFS('Source 2025'!$M:$M,'Source 2025'!$B:$B,$A80,'Source 2025'!$A:$A,"Quantity (units)")</f>
        <v>265</v>
      </c>
      <c r="D80" s="8" t="n">
        <f aca="false">SUMIFS('Source 2026'!$D:$D,'Source 2026'!$B:$B,$A80,'Source 2026'!$A:$A,"Quantity (units)")+SUMIFS('Source 2026'!$E:$E,'Source 2026'!$B:$B,$A80,'Source 2026'!$A:$A,"Quantity (units)")+SUMIFS('Source 2026'!$F:$F,'Source 2026'!$B:$B,$A80,'Source 2026'!$A:$A,"Quantity (units)")+SUMIFS('Source 2026'!$G:$G,'Source 2026'!$B:$B,$A80,'Source 2026'!$A:$A,"Quantity (units)")+SUMIFS('Source 2026'!$J:$J,'Source 2026'!$B:$B,$A80,'Source 2026'!$A:$A,"Quantity (units)")+SUMIFS('Source 2026'!$M:$M,'Source 2026'!$B:$B,$A80,'Source 2026'!$A:$A,"Quantity (units)")</f>
        <v>146</v>
      </c>
      <c r="E80" s="8" t="n">
        <f aca="false">D80*$J$5</f>
        <v>200.228571428571</v>
      </c>
      <c r="F80" s="8" t="n">
        <f aca="false">E80-C80</f>
        <v>-64.7714285714286</v>
      </c>
      <c r="G80" s="9" t="n">
        <f aca="false">IF(AND(C80=0,E80=0),0,IF(C80=0,"New",(E80-C80)/C80))</f>
        <v>-0.244420485175202</v>
      </c>
      <c r="H80" s="8" t="n">
        <f aca="false">SUMIFS('Source 2025'!$D:$D,'Source 2025'!$B:$B,$A80,'Source 2025'!$A:$A,"Amount (NIS)")+SUMIFS('Source 2025'!$E:$E,'Source 2025'!$B:$B,$A80,'Source 2025'!$A:$A,"Amount (NIS)")+SUMIFS('Source 2025'!$F:$F,'Source 2025'!$B:$B,$A80,'Source 2025'!$A:$A,"Amount (NIS)")+SUMIFS('Source 2025'!$G:$G,'Source 2025'!$B:$B,$A80,'Source 2025'!$A:$A,"Amount (NIS)")+SUMIFS('Source 2025'!$J:$J,'Source 2025'!$B:$B,$A80,'Source 2025'!$A:$A,"Amount (NIS)")+SUMIFS('Source 2025'!$M:$M,'Source 2025'!$B:$B,$A80,'Source 2025'!$A:$A,"Amount (NIS)")</f>
        <v>7812.9</v>
      </c>
      <c r="I80" s="8" t="n">
        <f aca="false">SUMIFS('Source 2026'!$D:$D,'Source 2026'!$B:$B,$A80,'Source 2026'!$A:$A,"Amount (NIS)")+SUMIFS('Source 2026'!$E:$E,'Source 2026'!$B:$B,$A80,'Source 2026'!$A:$A,"Amount (NIS)")+SUMIFS('Source 2026'!$F:$F,'Source 2026'!$B:$B,$A80,'Source 2026'!$A:$A,"Amount (NIS)")+SUMIFS('Source 2026'!$G:$G,'Source 2026'!$B:$B,$A80,'Source 2026'!$A:$A,"Amount (NIS)")+SUMIFS('Source 2026'!$J:$J,'Source 2026'!$B:$B,$A80,'Source 2026'!$A:$A,"Amount (NIS)")+SUMIFS('Source 2026'!$M:$M,'Source 2026'!$B:$B,$A80,'Source 2026'!$A:$A,"Amount (NIS)")</f>
        <v>4485.3</v>
      </c>
      <c r="J80" s="8" t="n">
        <f aca="false">I80*$J$5</f>
        <v>6151.26857142857</v>
      </c>
      <c r="K80" s="8" t="n">
        <f aca="false">J80-H80</f>
        <v>-1661.63142857143</v>
      </c>
      <c r="L80" s="9" t="n">
        <f aca="false">IF(AND(H80=0,J80=0),0,IF(H80=0,"New",(J80-H80)/H80))</f>
        <v>-0.212677933746935</v>
      </c>
    </row>
    <row r="81" customFormat="false" ht="15" hidden="false" customHeight="false" outlineLevel="0" collapsed="false">
      <c r="A81" s="7" t="n">
        <v>4403040</v>
      </c>
      <c r="B81" s="7" t="str">
        <f aca="false">IFERROR(INDEX('Source 2026'!$C:$C,MATCH($A81,'Source 2026'!$B:$B,0)),IFERROR(INDEX('Source 2025'!$C:$C,MATCH($A81,'Source 2025'!$B:$B,0)),""))</f>
        <v>3444B גרבי ג'ל לריכוך עור העקב</v>
      </c>
      <c r="C81" s="8" t="n">
        <f aca="false">SUMIFS('Source 2025'!$D:$D,'Source 2025'!$B:$B,$A81,'Source 2025'!$A:$A,"Quantity (units)")+SUMIFS('Source 2025'!$E:$E,'Source 2025'!$B:$B,$A81,'Source 2025'!$A:$A,"Quantity (units)")+SUMIFS('Source 2025'!$F:$F,'Source 2025'!$B:$B,$A81,'Source 2025'!$A:$A,"Quantity (units)")+SUMIFS('Source 2025'!$G:$G,'Source 2025'!$B:$B,$A81,'Source 2025'!$A:$A,"Quantity (units)")+SUMIFS('Source 2025'!$J:$J,'Source 2025'!$B:$B,$A81,'Source 2025'!$A:$A,"Quantity (units)")+SUMIFS('Source 2025'!$M:$M,'Source 2025'!$B:$B,$A81,'Source 2025'!$A:$A,"Quantity (units)")</f>
        <v>110</v>
      </c>
      <c r="D81" s="8" t="n">
        <f aca="false">SUMIFS('Source 2026'!$D:$D,'Source 2026'!$B:$B,$A81,'Source 2026'!$A:$A,"Quantity (units)")+SUMIFS('Source 2026'!$E:$E,'Source 2026'!$B:$B,$A81,'Source 2026'!$A:$A,"Quantity (units)")+SUMIFS('Source 2026'!$F:$F,'Source 2026'!$B:$B,$A81,'Source 2026'!$A:$A,"Quantity (units)")+SUMIFS('Source 2026'!$G:$G,'Source 2026'!$B:$B,$A81,'Source 2026'!$A:$A,"Quantity (units)")+SUMIFS('Source 2026'!$J:$J,'Source 2026'!$B:$B,$A81,'Source 2026'!$A:$A,"Quantity (units)")+SUMIFS('Source 2026'!$M:$M,'Source 2026'!$B:$B,$A81,'Source 2026'!$A:$A,"Quantity (units)")</f>
        <v>20</v>
      </c>
      <c r="E81" s="8" t="n">
        <f aca="false">D81*$J$5</f>
        <v>27.4285714285714</v>
      </c>
      <c r="F81" s="8" t="n">
        <f aca="false">E81-C81</f>
        <v>-82.5714285714286</v>
      </c>
      <c r="G81" s="9" t="n">
        <f aca="false">IF(AND(C81=0,E81=0),0,IF(C81=0,"New",(E81-C81)/C81))</f>
        <v>-0.750649350649351</v>
      </c>
      <c r="H81" s="8" t="n">
        <f aca="false">SUMIFS('Source 2025'!$D:$D,'Source 2025'!$B:$B,$A81,'Source 2025'!$A:$A,"Amount (NIS)")+SUMIFS('Source 2025'!$E:$E,'Source 2025'!$B:$B,$A81,'Source 2025'!$A:$A,"Amount (NIS)")+SUMIFS('Source 2025'!$F:$F,'Source 2025'!$B:$B,$A81,'Source 2025'!$A:$A,"Amount (NIS)")+SUMIFS('Source 2025'!$G:$G,'Source 2025'!$B:$B,$A81,'Source 2025'!$A:$A,"Amount (NIS)")+SUMIFS('Source 2025'!$J:$J,'Source 2025'!$B:$B,$A81,'Source 2025'!$A:$A,"Amount (NIS)")+SUMIFS('Source 2025'!$M:$M,'Source 2025'!$B:$B,$A81,'Source 2025'!$A:$A,"Amount (NIS)")</f>
        <v>4004.4</v>
      </c>
      <c r="I81" s="8" t="n">
        <f aca="false">SUMIFS('Source 2026'!$D:$D,'Source 2026'!$B:$B,$A81,'Source 2026'!$A:$A,"Amount (NIS)")+SUMIFS('Source 2026'!$E:$E,'Source 2026'!$B:$B,$A81,'Source 2026'!$A:$A,"Amount (NIS)")+SUMIFS('Source 2026'!$F:$F,'Source 2026'!$B:$B,$A81,'Source 2026'!$A:$A,"Amount (NIS)")+SUMIFS('Source 2026'!$G:$G,'Source 2026'!$B:$B,$A81,'Source 2026'!$A:$A,"Amount (NIS)")+SUMIFS('Source 2026'!$J:$J,'Source 2026'!$B:$B,$A81,'Source 2026'!$A:$A,"Amount (NIS)")+SUMIFS('Source 2026'!$M:$M,'Source 2026'!$B:$B,$A81,'Source 2026'!$A:$A,"Amount (NIS)")</f>
        <v>693.6</v>
      </c>
      <c r="J81" s="8" t="n">
        <f aca="false">I81*$J$5</f>
        <v>951.222857142857</v>
      </c>
      <c r="K81" s="8" t="n">
        <f aca="false">J81-H81</f>
        <v>-3053.17714285714</v>
      </c>
      <c r="L81" s="9" t="n">
        <f aca="false">IF(AND(H81=0,J81=0),0,IF(H81=0,"New",(J81-H81)/H81))</f>
        <v>-0.762455584571257</v>
      </c>
    </row>
    <row r="82" customFormat="false" ht="15" hidden="false" customHeight="false" outlineLevel="0" collapsed="false">
      <c r="A82" s="7" t="n">
        <v>4413053</v>
      </c>
      <c r="B82" s="7" t="str">
        <f aca="false">IFERROR(INDEX('Source 2026'!$C:$C,MATCH($A82,'Source 2026'!$B:$B,0)),IFERROR(INDEX('Source 2025'!$C:$C,MATCH($A82,'Source 2025'!$B:$B,0)),""))</f>
        <v>35C L מגן קרסול חום</v>
      </c>
      <c r="C82" s="8" t="n">
        <f aca="false">SUMIFS('Source 2025'!$D:$D,'Source 2025'!$B:$B,$A82,'Source 2025'!$A:$A,"Quantity (units)")+SUMIFS('Source 2025'!$E:$E,'Source 2025'!$B:$B,$A82,'Source 2025'!$A:$A,"Quantity (units)")+SUMIFS('Source 2025'!$F:$F,'Source 2025'!$B:$B,$A82,'Source 2025'!$A:$A,"Quantity (units)")+SUMIFS('Source 2025'!$G:$G,'Source 2025'!$B:$B,$A82,'Source 2025'!$A:$A,"Quantity (units)")+SUMIFS('Source 2025'!$J:$J,'Source 2025'!$B:$B,$A82,'Source 2025'!$A:$A,"Quantity (units)")+SUMIFS('Source 2025'!$M:$M,'Source 2025'!$B:$B,$A82,'Source 2025'!$A:$A,"Quantity (units)")</f>
        <v>404</v>
      </c>
      <c r="D82" s="8" t="n">
        <f aca="false">SUMIFS('Source 2026'!$D:$D,'Source 2026'!$B:$B,$A82,'Source 2026'!$A:$A,"Quantity (units)")+SUMIFS('Source 2026'!$E:$E,'Source 2026'!$B:$B,$A82,'Source 2026'!$A:$A,"Quantity (units)")+SUMIFS('Source 2026'!$F:$F,'Source 2026'!$B:$B,$A82,'Source 2026'!$A:$A,"Quantity (units)")+SUMIFS('Source 2026'!$G:$G,'Source 2026'!$B:$B,$A82,'Source 2026'!$A:$A,"Quantity (units)")+SUMIFS('Source 2026'!$J:$J,'Source 2026'!$B:$B,$A82,'Source 2026'!$A:$A,"Quantity (units)")+SUMIFS('Source 2026'!$M:$M,'Source 2026'!$B:$B,$A82,'Source 2026'!$A:$A,"Quantity (units)")</f>
        <v>294</v>
      </c>
      <c r="E82" s="8" t="n">
        <f aca="false">D82*$J$5</f>
        <v>403.2</v>
      </c>
      <c r="F82" s="8" t="n">
        <f aca="false">E82-C82</f>
        <v>-0.800000000000011</v>
      </c>
      <c r="G82" s="9" t="n">
        <f aca="false">IF(AND(C82=0,E82=0),0,IF(C82=0,"New",(E82-C82)/C82))</f>
        <v>-0.00198019801980201</v>
      </c>
      <c r="H82" s="8" t="n">
        <f aca="false">SUMIFS('Source 2025'!$D:$D,'Source 2025'!$B:$B,$A82,'Source 2025'!$A:$A,"Amount (NIS)")+SUMIFS('Source 2025'!$E:$E,'Source 2025'!$B:$B,$A82,'Source 2025'!$A:$A,"Amount (NIS)")+SUMIFS('Source 2025'!$F:$F,'Source 2025'!$B:$B,$A82,'Source 2025'!$A:$A,"Amount (NIS)")+SUMIFS('Source 2025'!$G:$G,'Source 2025'!$B:$B,$A82,'Source 2025'!$A:$A,"Amount (NIS)")+SUMIFS('Source 2025'!$J:$J,'Source 2025'!$B:$B,$A82,'Source 2025'!$A:$A,"Amount (NIS)")+SUMIFS('Source 2025'!$M:$M,'Source 2025'!$B:$B,$A82,'Source 2025'!$A:$A,"Amount (NIS)")</f>
        <v>12092.6</v>
      </c>
      <c r="I82" s="8" t="n">
        <f aca="false">SUMIFS('Source 2026'!$D:$D,'Source 2026'!$B:$B,$A82,'Source 2026'!$A:$A,"Amount (NIS)")+SUMIFS('Source 2026'!$E:$E,'Source 2026'!$B:$B,$A82,'Source 2026'!$A:$A,"Amount (NIS)")+SUMIFS('Source 2026'!$F:$F,'Source 2026'!$B:$B,$A82,'Source 2026'!$A:$A,"Amount (NIS)")+SUMIFS('Source 2026'!$G:$G,'Source 2026'!$B:$B,$A82,'Source 2026'!$A:$A,"Amount (NIS)")+SUMIFS('Source 2026'!$J:$J,'Source 2026'!$B:$B,$A82,'Source 2026'!$A:$A,"Amount (NIS)")+SUMIFS('Source 2026'!$M:$M,'Source 2026'!$B:$B,$A82,'Source 2026'!$A:$A,"Amount (NIS)")</f>
        <v>8812.2</v>
      </c>
      <c r="J82" s="8" t="n">
        <f aca="false">I82*$J$5</f>
        <v>12085.3028571429</v>
      </c>
      <c r="K82" s="8" t="n">
        <f aca="false">J82-H82</f>
        <v>-7.29714285714545</v>
      </c>
      <c r="L82" s="9" t="n">
        <f aca="false">IF(AND(H82=0,J82=0),0,IF(H82=0,"New",(J82-H82)/H82))</f>
        <v>-0.000603438702772393</v>
      </c>
    </row>
    <row r="83" customFormat="false" ht="15" hidden="false" customHeight="false" outlineLevel="0" collapsed="false">
      <c r="A83" s="7" t="n">
        <v>4416005</v>
      </c>
      <c r="B83" s="7" t="str">
        <f aca="false">IFERROR(INDEX('Source 2026'!$C:$C,MATCH($A83,'Source 2026'!$B:$B,0)),IFERROR(INDEX('Source 2025'!$C:$C,MATCH($A83,'Source 2025'!$B:$B,0)),""))</f>
        <v>308 Mעקבים סיליק.כחול לדורבן</v>
      </c>
      <c r="C83" s="8" t="n">
        <f aca="false">SUMIFS('Source 2025'!$D:$D,'Source 2025'!$B:$B,$A83,'Source 2025'!$A:$A,"Quantity (units)")+SUMIFS('Source 2025'!$E:$E,'Source 2025'!$B:$B,$A83,'Source 2025'!$A:$A,"Quantity (units)")+SUMIFS('Source 2025'!$F:$F,'Source 2025'!$B:$B,$A83,'Source 2025'!$A:$A,"Quantity (units)")+SUMIFS('Source 2025'!$G:$G,'Source 2025'!$B:$B,$A83,'Source 2025'!$A:$A,"Quantity (units)")+SUMIFS('Source 2025'!$J:$J,'Source 2025'!$B:$B,$A83,'Source 2025'!$A:$A,"Quantity (units)")+SUMIFS('Source 2025'!$M:$M,'Source 2025'!$B:$B,$A83,'Source 2025'!$A:$A,"Quantity (units)")</f>
        <v>129</v>
      </c>
      <c r="D83" s="8" t="n">
        <f aca="false">SUMIFS('Source 2026'!$D:$D,'Source 2026'!$B:$B,$A83,'Source 2026'!$A:$A,"Quantity (units)")+SUMIFS('Source 2026'!$E:$E,'Source 2026'!$B:$B,$A83,'Source 2026'!$A:$A,"Quantity (units)")+SUMIFS('Source 2026'!$F:$F,'Source 2026'!$B:$B,$A83,'Source 2026'!$A:$A,"Quantity (units)")+SUMIFS('Source 2026'!$G:$G,'Source 2026'!$B:$B,$A83,'Source 2026'!$A:$A,"Quantity (units)")+SUMIFS('Source 2026'!$J:$J,'Source 2026'!$B:$B,$A83,'Source 2026'!$A:$A,"Quantity (units)")+SUMIFS('Source 2026'!$M:$M,'Source 2026'!$B:$B,$A83,'Source 2026'!$A:$A,"Quantity (units)")</f>
        <v>70</v>
      </c>
      <c r="E83" s="8" t="n">
        <f aca="false">D83*$J$5</f>
        <v>96</v>
      </c>
      <c r="F83" s="8" t="n">
        <f aca="false">E83-C83</f>
        <v>-33</v>
      </c>
      <c r="G83" s="9" t="n">
        <f aca="false">IF(AND(C83=0,E83=0),0,IF(C83=0,"New",(E83-C83)/C83))</f>
        <v>-0.255813953488372</v>
      </c>
      <c r="H83" s="8" t="n">
        <f aca="false">SUMIFS('Source 2025'!$D:$D,'Source 2025'!$B:$B,$A83,'Source 2025'!$A:$A,"Amount (NIS)")+SUMIFS('Source 2025'!$E:$E,'Source 2025'!$B:$B,$A83,'Source 2025'!$A:$A,"Amount (NIS)")+SUMIFS('Source 2025'!$F:$F,'Source 2025'!$B:$B,$A83,'Source 2025'!$A:$A,"Amount (NIS)")+SUMIFS('Source 2025'!$G:$G,'Source 2025'!$B:$B,$A83,'Source 2025'!$A:$A,"Amount (NIS)")+SUMIFS('Source 2025'!$J:$J,'Source 2025'!$B:$B,$A83,'Source 2025'!$A:$A,"Amount (NIS)")+SUMIFS('Source 2025'!$M:$M,'Source 2025'!$B:$B,$A83,'Source 2025'!$A:$A,"Amount (NIS)")</f>
        <v>7157.9</v>
      </c>
      <c r="I83" s="8" t="n">
        <f aca="false">SUMIFS('Source 2026'!$D:$D,'Source 2026'!$B:$B,$A83,'Source 2026'!$A:$A,"Amount (NIS)")+SUMIFS('Source 2026'!$E:$E,'Source 2026'!$B:$B,$A83,'Source 2026'!$A:$A,"Amount (NIS)")+SUMIFS('Source 2026'!$F:$F,'Source 2026'!$B:$B,$A83,'Source 2026'!$A:$A,"Amount (NIS)")+SUMIFS('Source 2026'!$G:$G,'Source 2026'!$B:$B,$A83,'Source 2026'!$A:$A,"Amount (NIS)")+SUMIFS('Source 2026'!$J:$J,'Source 2026'!$B:$B,$A83,'Source 2026'!$A:$A,"Amount (NIS)")+SUMIFS('Source 2026'!$M:$M,'Source 2026'!$B:$B,$A83,'Source 2026'!$A:$A,"Amount (NIS)")</f>
        <v>3998.7</v>
      </c>
      <c r="J83" s="8" t="n">
        <f aca="false">I83*$J$5</f>
        <v>5483.93142857143</v>
      </c>
      <c r="K83" s="8" t="n">
        <f aca="false">J83-H83</f>
        <v>-1673.96857142857</v>
      </c>
      <c r="L83" s="9" t="n">
        <f aca="false">IF(AND(H83=0,J83=0),0,IF(H83=0,"New",(J83-H83)/H83))</f>
        <v>-0.233863084344371</v>
      </c>
    </row>
    <row r="84" customFormat="false" ht="15" hidden="false" customHeight="false" outlineLevel="0" collapsed="false">
      <c r="A84" s="7" t="n">
        <v>4401001</v>
      </c>
      <c r="B84" s="7" t="str">
        <f aca="false">IFERROR(INDEX('Source 2026'!$C:$C,MATCH($A84,'Source 2026'!$B:$B,0)),IFERROR(INDEX('Source 2025'!$C:$C,MATCH($A84,'Source 2025'!$B:$B,0)),""))</f>
        <v>369   XL אצבעון מסיליקון יחידה</v>
      </c>
      <c r="C84" s="8" t="n">
        <f aca="false">SUMIFS('Source 2025'!$D:$D,'Source 2025'!$B:$B,$A84,'Source 2025'!$A:$A,"Quantity (units)")+SUMIFS('Source 2025'!$E:$E,'Source 2025'!$B:$B,$A84,'Source 2025'!$A:$A,"Quantity (units)")+SUMIFS('Source 2025'!$F:$F,'Source 2025'!$B:$B,$A84,'Source 2025'!$A:$A,"Quantity (units)")+SUMIFS('Source 2025'!$G:$G,'Source 2025'!$B:$B,$A84,'Source 2025'!$A:$A,"Quantity (units)")+SUMIFS('Source 2025'!$J:$J,'Source 2025'!$B:$B,$A84,'Source 2025'!$A:$A,"Quantity (units)")+SUMIFS('Source 2025'!$M:$M,'Source 2025'!$B:$B,$A84,'Source 2025'!$A:$A,"Quantity (units)")</f>
        <v>415</v>
      </c>
      <c r="D84" s="8" t="n">
        <f aca="false">SUMIFS('Source 2026'!$D:$D,'Source 2026'!$B:$B,$A84,'Source 2026'!$A:$A,"Quantity (units)")+SUMIFS('Source 2026'!$E:$E,'Source 2026'!$B:$B,$A84,'Source 2026'!$A:$A,"Quantity (units)")+SUMIFS('Source 2026'!$F:$F,'Source 2026'!$B:$B,$A84,'Source 2026'!$A:$A,"Quantity (units)")+SUMIFS('Source 2026'!$G:$G,'Source 2026'!$B:$B,$A84,'Source 2026'!$A:$A,"Quantity (units)")+SUMIFS('Source 2026'!$J:$J,'Source 2026'!$B:$B,$A84,'Source 2026'!$A:$A,"Quantity (units)")+SUMIFS('Source 2026'!$M:$M,'Source 2026'!$B:$B,$A84,'Source 2026'!$A:$A,"Quantity (units)")</f>
        <v>288</v>
      </c>
      <c r="E84" s="8" t="n">
        <f aca="false">D84*$J$5</f>
        <v>394.971428571429</v>
      </c>
      <c r="F84" s="8" t="n">
        <f aca="false">E84-C84</f>
        <v>-20.0285714285714</v>
      </c>
      <c r="G84" s="9" t="n">
        <f aca="false">IF(AND(C84=0,E84=0),0,IF(C84=0,"New",(E84-C84)/C84))</f>
        <v>-0.0482616179001721</v>
      </c>
      <c r="H84" s="8" t="n">
        <f aca="false">SUMIFS('Source 2025'!$D:$D,'Source 2025'!$B:$B,$A84,'Source 2025'!$A:$A,"Amount (NIS)")+SUMIFS('Source 2025'!$E:$E,'Source 2025'!$B:$B,$A84,'Source 2025'!$A:$A,"Amount (NIS)")+SUMIFS('Source 2025'!$F:$F,'Source 2025'!$B:$B,$A84,'Source 2025'!$A:$A,"Amount (NIS)")+SUMIFS('Source 2025'!$G:$G,'Source 2025'!$B:$B,$A84,'Source 2025'!$A:$A,"Amount (NIS)")+SUMIFS('Source 2025'!$J:$J,'Source 2025'!$B:$B,$A84,'Source 2025'!$A:$A,"Amount (NIS)")+SUMIFS('Source 2025'!$M:$M,'Source 2025'!$B:$B,$A84,'Source 2025'!$A:$A,"Amount (NIS)")</f>
        <v>10264.8</v>
      </c>
      <c r="I84" s="8" t="n">
        <f aca="false">SUMIFS('Source 2026'!$D:$D,'Source 2026'!$B:$B,$A84,'Source 2026'!$A:$A,"Amount (NIS)")+SUMIFS('Source 2026'!$E:$E,'Source 2026'!$B:$B,$A84,'Source 2026'!$A:$A,"Amount (NIS)")+SUMIFS('Source 2026'!$F:$F,'Source 2026'!$B:$B,$A84,'Source 2026'!$A:$A,"Amount (NIS)")+SUMIFS('Source 2026'!$G:$G,'Source 2026'!$B:$B,$A84,'Source 2026'!$A:$A,"Amount (NIS)")+SUMIFS('Source 2026'!$J:$J,'Source 2026'!$B:$B,$A84,'Source 2026'!$A:$A,"Amount (NIS)")+SUMIFS('Source 2026'!$M:$M,'Source 2026'!$B:$B,$A84,'Source 2026'!$A:$A,"Amount (NIS)")</f>
        <v>7178.1</v>
      </c>
      <c r="J84" s="8" t="n">
        <f aca="false">I84*$J$5</f>
        <v>9844.25142857143</v>
      </c>
      <c r="K84" s="8" t="n">
        <f aca="false">J84-H84</f>
        <v>-420.548571428571</v>
      </c>
      <c r="L84" s="9" t="n">
        <f aca="false">IF(AND(H84=0,J84=0),0,IF(H84=0,"New",(J84-H84)/H84))</f>
        <v>-0.0409699722769632</v>
      </c>
    </row>
    <row r="85" customFormat="false" ht="15" hidden="false" customHeight="false" outlineLevel="0" collapsed="false">
      <c r="A85" s="7" t="n">
        <v>4413052</v>
      </c>
      <c r="B85" s="7" t="str">
        <f aca="false">IFERROR(INDEX('Source 2026'!$C:$C,MATCH($A85,'Source 2026'!$B:$B,0)),IFERROR(INDEX('Source 2025'!$C:$C,MATCH($A85,'Source 2025'!$B:$B,0)),""))</f>
        <v>35C S מגן קרסול חום</v>
      </c>
      <c r="C85" s="8" t="n">
        <f aca="false">SUMIFS('Source 2025'!$D:$D,'Source 2025'!$B:$B,$A85,'Source 2025'!$A:$A,"Quantity (units)")+SUMIFS('Source 2025'!$E:$E,'Source 2025'!$B:$B,$A85,'Source 2025'!$A:$A,"Quantity (units)")+SUMIFS('Source 2025'!$F:$F,'Source 2025'!$B:$B,$A85,'Source 2025'!$A:$A,"Quantity (units)")+SUMIFS('Source 2025'!$G:$G,'Source 2025'!$B:$B,$A85,'Source 2025'!$A:$A,"Quantity (units)")+SUMIFS('Source 2025'!$J:$J,'Source 2025'!$B:$B,$A85,'Source 2025'!$A:$A,"Quantity (units)")+SUMIFS('Source 2025'!$M:$M,'Source 2025'!$B:$B,$A85,'Source 2025'!$A:$A,"Quantity (units)")</f>
        <v>229</v>
      </c>
      <c r="D85" s="8" t="n">
        <f aca="false">SUMIFS('Source 2026'!$D:$D,'Source 2026'!$B:$B,$A85,'Source 2026'!$A:$A,"Quantity (units)")+SUMIFS('Source 2026'!$E:$E,'Source 2026'!$B:$B,$A85,'Source 2026'!$A:$A,"Quantity (units)")+SUMIFS('Source 2026'!$F:$F,'Source 2026'!$B:$B,$A85,'Source 2026'!$A:$A,"Quantity (units)")+SUMIFS('Source 2026'!$G:$G,'Source 2026'!$B:$B,$A85,'Source 2026'!$A:$A,"Quantity (units)")+SUMIFS('Source 2026'!$J:$J,'Source 2026'!$B:$B,$A85,'Source 2026'!$A:$A,"Quantity (units)")+SUMIFS('Source 2026'!$M:$M,'Source 2026'!$B:$B,$A85,'Source 2026'!$A:$A,"Quantity (units)")</f>
        <v>125</v>
      </c>
      <c r="E85" s="8" t="n">
        <f aca="false">D85*$J$5</f>
        <v>171.428571428571</v>
      </c>
      <c r="F85" s="8" t="n">
        <f aca="false">E85-C85</f>
        <v>-57.5714285714286</v>
      </c>
      <c r="G85" s="9" t="n">
        <f aca="false">IF(AND(C85=0,E85=0),0,IF(C85=0,"New",(E85-C85)/C85))</f>
        <v>-0.251403618215845</v>
      </c>
      <c r="H85" s="8" t="n">
        <f aca="false">SUMIFS('Source 2025'!$D:$D,'Source 2025'!$B:$B,$A85,'Source 2025'!$A:$A,"Amount (NIS)")+SUMIFS('Source 2025'!$E:$E,'Source 2025'!$B:$B,$A85,'Source 2025'!$A:$A,"Amount (NIS)")+SUMIFS('Source 2025'!$F:$F,'Source 2025'!$B:$B,$A85,'Source 2025'!$A:$A,"Amount (NIS)")+SUMIFS('Source 2025'!$G:$G,'Source 2025'!$B:$B,$A85,'Source 2025'!$A:$A,"Amount (NIS)")+SUMIFS('Source 2025'!$J:$J,'Source 2025'!$B:$B,$A85,'Source 2025'!$A:$A,"Amount (NIS)")+SUMIFS('Source 2025'!$M:$M,'Source 2025'!$B:$B,$A85,'Source 2025'!$A:$A,"Amount (NIS)")</f>
        <v>6805.6</v>
      </c>
      <c r="I85" s="8" t="n">
        <f aca="false">SUMIFS('Source 2026'!$D:$D,'Source 2026'!$B:$B,$A85,'Source 2026'!$A:$A,"Amount (NIS)")+SUMIFS('Source 2026'!$E:$E,'Source 2026'!$B:$B,$A85,'Source 2026'!$A:$A,"Amount (NIS)")+SUMIFS('Source 2026'!$F:$F,'Source 2026'!$B:$B,$A85,'Source 2026'!$A:$A,"Amount (NIS)")+SUMIFS('Source 2026'!$G:$G,'Source 2026'!$B:$B,$A85,'Source 2026'!$A:$A,"Amount (NIS)")+SUMIFS('Source 2026'!$J:$J,'Source 2026'!$B:$B,$A85,'Source 2026'!$A:$A,"Amount (NIS)")+SUMIFS('Source 2026'!$M:$M,'Source 2026'!$B:$B,$A85,'Source 2026'!$A:$A,"Amount (NIS)")</f>
        <v>3763.2</v>
      </c>
      <c r="J85" s="8" t="n">
        <f aca="false">I85*$J$5</f>
        <v>5160.96</v>
      </c>
      <c r="K85" s="8" t="n">
        <f aca="false">J85-H85</f>
        <v>-1644.64</v>
      </c>
      <c r="L85" s="9" t="n">
        <f aca="false">IF(AND(H85=0,J85=0),0,IF(H85=0,"New",(J85-H85)/H85))</f>
        <v>-0.241659809568591</v>
      </c>
    </row>
    <row r="86" customFormat="false" ht="15" hidden="false" customHeight="false" outlineLevel="0" collapsed="false">
      <c r="A86" s="7" t="n">
        <v>4415005</v>
      </c>
      <c r="B86" s="7" t="str">
        <f aca="false">IFERROR(INDEX('Source 2026'!$C:$C,MATCH($A86,'Source 2026'!$B:$B,0)),IFERROR(INDEX('Source 2025'!$C:$C,MATCH($A86,'Source 2025'!$B:$B,0)),""))</f>
        <v>28 L סד לאגודל לאחר שבר</v>
      </c>
      <c r="C86" s="8" t="n">
        <f aca="false">SUMIFS('Source 2025'!$D:$D,'Source 2025'!$B:$B,$A86,'Source 2025'!$A:$A,"Quantity (units)")+SUMIFS('Source 2025'!$E:$E,'Source 2025'!$B:$B,$A86,'Source 2025'!$A:$A,"Quantity (units)")+SUMIFS('Source 2025'!$F:$F,'Source 2025'!$B:$B,$A86,'Source 2025'!$A:$A,"Quantity (units)")+SUMIFS('Source 2025'!$G:$G,'Source 2025'!$B:$B,$A86,'Source 2025'!$A:$A,"Quantity (units)")+SUMIFS('Source 2025'!$J:$J,'Source 2025'!$B:$B,$A86,'Source 2025'!$A:$A,"Quantity (units)")+SUMIFS('Source 2025'!$M:$M,'Source 2025'!$B:$B,$A86,'Source 2025'!$A:$A,"Quantity (units)")</f>
        <v>62</v>
      </c>
      <c r="D86" s="8" t="n">
        <f aca="false">SUMIFS('Source 2026'!$D:$D,'Source 2026'!$B:$B,$A86,'Source 2026'!$A:$A,"Quantity (units)")+SUMIFS('Source 2026'!$E:$E,'Source 2026'!$B:$B,$A86,'Source 2026'!$A:$A,"Quantity (units)")+SUMIFS('Source 2026'!$F:$F,'Source 2026'!$B:$B,$A86,'Source 2026'!$A:$A,"Quantity (units)")+SUMIFS('Source 2026'!$G:$G,'Source 2026'!$B:$B,$A86,'Source 2026'!$A:$A,"Quantity (units)")+SUMIFS('Source 2026'!$J:$J,'Source 2026'!$B:$B,$A86,'Source 2026'!$A:$A,"Quantity (units)")+SUMIFS('Source 2026'!$M:$M,'Source 2026'!$B:$B,$A86,'Source 2026'!$A:$A,"Quantity (units)")</f>
        <v>32</v>
      </c>
      <c r="E86" s="8" t="n">
        <f aca="false">D86*$J$5</f>
        <v>43.8857142857143</v>
      </c>
      <c r="F86" s="8" t="n">
        <f aca="false">E86-C86</f>
        <v>-18.1142857142857</v>
      </c>
      <c r="G86" s="9" t="n">
        <f aca="false">IF(AND(C86=0,E86=0),0,IF(C86=0,"New",(E86-C86)/C86))</f>
        <v>-0.292165898617512</v>
      </c>
      <c r="H86" s="8" t="n">
        <f aca="false">SUMIFS('Source 2025'!$D:$D,'Source 2025'!$B:$B,$A86,'Source 2025'!$A:$A,"Amount (NIS)")+SUMIFS('Source 2025'!$E:$E,'Source 2025'!$B:$B,$A86,'Source 2025'!$A:$A,"Amount (NIS)")+SUMIFS('Source 2025'!$F:$F,'Source 2025'!$B:$B,$A86,'Source 2025'!$A:$A,"Amount (NIS)")+SUMIFS('Source 2025'!$G:$G,'Source 2025'!$B:$B,$A86,'Source 2025'!$A:$A,"Amount (NIS)")+SUMIFS('Source 2025'!$J:$J,'Source 2025'!$B:$B,$A86,'Source 2025'!$A:$A,"Amount (NIS)")+SUMIFS('Source 2025'!$M:$M,'Source 2025'!$B:$B,$A86,'Source 2025'!$A:$A,"Amount (NIS)")</f>
        <v>6194.4</v>
      </c>
      <c r="I86" s="8" t="n">
        <f aca="false">SUMIFS('Source 2026'!$D:$D,'Source 2026'!$B:$B,$A86,'Source 2026'!$A:$A,"Amount (NIS)")+SUMIFS('Source 2026'!$E:$E,'Source 2026'!$B:$B,$A86,'Source 2026'!$A:$A,"Amount (NIS)")+SUMIFS('Source 2026'!$F:$F,'Source 2026'!$B:$B,$A86,'Source 2026'!$A:$A,"Amount (NIS)")+SUMIFS('Source 2026'!$G:$G,'Source 2026'!$B:$B,$A86,'Source 2026'!$A:$A,"Amount (NIS)")+SUMIFS('Source 2026'!$J:$J,'Source 2026'!$B:$B,$A86,'Source 2026'!$A:$A,"Amount (NIS)")+SUMIFS('Source 2026'!$M:$M,'Source 2026'!$B:$B,$A86,'Source 2026'!$A:$A,"Amount (NIS)")</f>
        <v>3194.4</v>
      </c>
      <c r="J86" s="8" t="n">
        <f aca="false">I86*$J$5</f>
        <v>4380.89142857143</v>
      </c>
      <c r="K86" s="8" t="n">
        <f aca="false">J86-H86</f>
        <v>-1813.50857142857</v>
      </c>
      <c r="L86" s="9" t="n">
        <f aca="false">IF(AND(H86=0,J86=0),0,IF(H86=0,"New",(J86-H86)/H86))</f>
        <v>-0.292765816128854</v>
      </c>
    </row>
    <row r="87" customFormat="false" ht="15" hidden="false" customHeight="false" outlineLevel="0" collapsed="false">
      <c r="A87" s="7" t="n">
        <v>4408047</v>
      </c>
      <c r="B87" s="7" t="str">
        <f aca="false">IFERROR(INDEX('Source 2026'!$C:$C,MATCH($A87,'Source 2026'!$B:$B,0)),IFERROR(INDEX('Source 2025'!$C:$C,MATCH($A87,'Source 2025'!$B:$B,0)),""))</f>
        <v>20 M חבק יד מתכוון עם צמדן</v>
      </c>
      <c r="C87" s="8" t="n">
        <f aca="false">SUMIFS('Source 2025'!$D:$D,'Source 2025'!$B:$B,$A87,'Source 2025'!$A:$A,"Quantity (units)")+SUMIFS('Source 2025'!$E:$E,'Source 2025'!$B:$B,$A87,'Source 2025'!$A:$A,"Quantity (units)")+SUMIFS('Source 2025'!$F:$F,'Source 2025'!$B:$B,$A87,'Source 2025'!$A:$A,"Quantity (units)")+SUMIFS('Source 2025'!$G:$G,'Source 2025'!$B:$B,$A87,'Source 2025'!$A:$A,"Quantity (units)")+SUMIFS('Source 2025'!$J:$J,'Source 2025'!$B:$B,$A87,'Source 2025'!$A:$A,"Quantity (units)")+SUMIFS('Source 2025'!$M:$M,'Source 2025'!$B:$B,$A87,'Source 2025'!$A:$A,"Quantity (units)")</f>
        <v>194</v>
      </c>
      <c r="D87" s="8" t="n">
        <f aca="false">SUMIFS('Source 2026'!$D:$D,'Source 2026'!$B:$B,$A87,'Source 2026'!$A:$A,"Quantity (units)")+SUMIFS('Source 2026'!$E:$E,'Source 2026'!$B:$B,$A87,'Source 2026'!$A:$A,"Quantity (units)")+SUMIFS('Source 2026'!$F:$F,'Source 2026'!$B:$B,$A87,'Source 2026'!$A:$A,"Quantity (units)")+SUMIFS('Source 2026'!$G:$G,'Source 2026'!$B:$B,$A87,'Source 2026'!$A:$A,"Quantity (units)")+SUMIFS('Source 2026'!$J:$J,'Source 2026'!$B:$B,$A87,'Source 2026'!$A:$A,"Quantity (units)")+SUMIFS('Source 2026'!$M:$M,'Source 2026'!$B:$B,$A87,'Source 2026'!$A:$A,"Quantity (units)")</f>
        <v>103</v>
      </c>
      <c r="E87" s="8" t="n">
        <f aca="false">D87*$J$5</f>
        <v>141.257142857143</v>
      </c>
      <c r="F87" s="8" t="n">
        <f aca="false">E87-C87</f>
        <v>-52.7428571428571</v>
      </c>
      <c r="G87" s="9" t="n">
        <f aca="false">IF(AND(C87=0,E87=0),0,IF(C87=0,"New",(E87-C87)/C87))</f>
        <v>-0.271870397643593</v>
      </c>
      <c r="H87" s="8" t="n">
        <f aca="false">SUMIFS('Source 2025'!$D:$D,'Source 2025'!$B:$B,$A87,'Source 2025'!$A:$A,"Amount (NIS)")+SUMIFS('Source 2025'!$E:$E,'Source 2025'!$B:$B,$A87,'Source 2025'!$A:$A,"Amount (NIS)")+SUMIFS('Source 2025'!$F:$F,'Source 2025'!$B:$B,$A87,'Source 2025'!$A:$A,"Amount (NIS)")+SUMIFS('Source 2025'!$G:$G,'Source 2025'!$B:$B,$A87,'Source 2025'!$A:$A,"Amount (NIS)")+SUMIFS('Source 2025'!$J:$J,'Source 2025'!$B:$B,$A87,'Source 2025'!$A:$A,"Amount (NIS)")+SUMIFS('Source 2025'!$M:$M,'Source 2025'!$B:$B,$A87,'Source 2025'!$A:$A,"Amount (NIS)")</f>
        <v>6304</v>
      </c>
      <c r="I87" s="8" t="n">
        <f aca="false">SUMIFS('Source 2026'!$D:$D,'Source 2026'!$B:$B,$A87,'Source 2026'!$A:$A,"Amount (NIS)")+SUMIFS('Source 2026'!$E:$E,'Source 2026'!$B:$B,$A87,'Source 2026'!$A:$A,"Amount (NIS)")+SUMIFS('Source 2026'!$F:$F,'Source 2026'!$B:$B,$A87,'Source 2026'!$A:$A,"Amount (NIS)")+SUMIFS('Source 2026'!$G:$G,'Source 2026'!$B:$B,$A87,'Source 2026'!$A:$A,"Amount (NIS)")+SUMIFS('Source 2026'!$J:$J,'Source 2026'!$B:$B,$A87,'Source 2026'!$A:$A,"Amount (NIS)")+SUMIFS('Source 2026'!$M:$M,'Source 2026'!$B:$B,$A87,'Source 2026'!$A:$A,"Amount (NIS)")</f>
        <v>3352.3</v>
      </c>
      <c r="J87" s="8" t="n">
        <f aca="false">I87*$J$5</f>
        <v>4597.44</v>
      </c>
      <c r="K87" s="8" t="n">
        <f aca="false">J87-H87</f>
        <v>-1706.56</v>
      </c>
      <c r="L87" s="9" t="n">
        <f aca="false">IF(AND(H87=0,J87=0),0,IF(H87=0,"New",(J87-H87)/H87))</f>
        <v>-0.270710659898477</v>
      </c>
    </row>
    <row r="88" customFormat="false" ht="15" hidden="false" customHeight="false" outlineLevel="0" collapsed="false">
      <c r="A88" s="7" t="n">
        <v>4415299</v>
      </c>
      <c r="B88" s="7" t="str">
        <f aca="false">IFERROR(INDEX('Source 2026'!$C:$C,MATCH($A88,'Source 2026'!$B:$B,0)),IFERROR(INDEX('Source 2025'!$C:$C,MATCH($A88,'Source 2025'!$B:$B,0)),""))</f>
        <v>388B L סד לילה שחור לבוהן ימין</v>
      </c>
      <c r="C88" s="8" t="n">
        <f aca="false">SUMIFS('Source 2025'!$D:$D,'Source 2025'!$B:$B,$A88,'Source 2025'!$A:$A,"Quantity (units)")+SUMIFS('Source 2025'!$E:$E,'Source 2025'!$B:$B,$A88,'Source 2025'!$A:$A,"Quantity (units)")+SUMIFS('Source 2025'!$F:$F,'Source 2025'!$B:$B,$A88,'Source 2025'!$A:$A,"Quantity (units)")+SUMIFS('Source 2025'!$G:$G,'Source 2025'!$B:$B,$A88,'Source 2025'!$A:$A,"Quantity (units)")+SUMIFS('Source 2025'!$J:$J,'Source 2025'!$B:$B,$A88,'Source 2025'!$A:$A,"Quantity (units)")+SUMIFS('Source 2025'!$M:$M,'Source 2025'!$B:$B,$A88,'Source 2025'!$A:$A,"Quantity (units)")</f>
        <v>59</v>
      </c>
      <c r="D88" s="8" t="n">
        <f aca="false">SUMIFS('Source 2026'!$D:$D,'Source 2026'!$B:$B,$A88,'Source 2026'!$A:$A,"Quantity (units)")+SUMIFS('Source 2026'!$E:$E,'Source 2026'!$B:$B,$A88,'Source 2026'!$A:$A,"Quantity (units)")+SUMIFS('Source 2026'!$F:$F,'Source 2026'!$B:$B,$A88,'Source 2026'!$A:$A,"Quantity (units)")+SUMIFS('Source 2026'!$G:$G,'Source 2026'!$B:$B,$A88,'Source 2026'!$A:$A,"Quantity (units)")+SUMIFS('Source 2026'!$J:$J,'Source 2026'!$B:$B,$A88,'Source 2026'!$A:$A,"Quantity (units)")+SUMIFS('Source 2026'!$M:$M,'Source 2026'!$B:$B,$A88,'Source 2026'!$A:$A,"Quantity (units)")</f>
        <v>16</v>
      </c>
      <c r="E88" s="8" t="n">
        <f aca="false">D88*$J$5</f>
        <v>21.9428571428571</v>
      </c>
      <c r="F88" s="8" t="n">
        <f aca="false">E88-C88</f>
        <v>-37.0571428571429</v>
      </c>
      <c r="G88" s="9" t="n">
        <f aca="false">IF(AND(C88=0,E88=0),0,IF(C88=0,"New",(E88-C88)/C88))</f>
        <v>-0.628087167070218</v>
      </c>
      <c r="H88" s="8" t="n">
        <f aca="false">SUMIFS('Source 2025'!$D:$D,'Source 2025'!$B:$B,$A88,'Source 2025'!$A:$A,"Amount (NIS)")+SUMIFS('Source 2025'!$E:$E,'Source 2025'!$B:$B,$A88,'Source 2025'!$A:$A,"Amount (NIS)")+SUMIFS('Source 2025'!$F:$F,'Source 2025'!$B:$B,$A88,'Source 2025'!$A:$A,"Amount (NIS)")+SUMIFS('Source 2025'!$G:$G,'Source 2025'!$B:$B,$A88,'Source 2025'!$A:$A,"Amount (NIS)")+SUMIFS('Source 2025'!$J:$J,'Source 2025'!$B:$B,$A88,'Source 2025'!$A:$A,"Amount (NIS)")+SUMIFS('Source 2025'!$M:$M,'Source 2025'!$B:$B,$A88,'Source 2025'!$A:$A,"Amount (NIS)")</f>
        <v>4081.5</v>
      </c>
      <c r="I88" s="8" t="n">
        <f aca="false">SUMIFS('Source 2026'!$D:$D,'Source 2026'!$B:$B,$A88,'Source 2026'!$A:$A,"Amount (NIS)")+SUMIFS('Source 2026'!$E:$E,'Source 2026'!$B:$B,$A88,'Source 2026'!$A:$A,"Amount (NIS)")+SUMIFS('Source 2026'!$F:$F,'Source 2026'!$B:$B,$A88,'Source 2026'!$A:$A,"Amount (NIS)")+SUMIFS('Source 2026'!$G:$G,'Source 2026'!$B:$B,$A88,'Source 2026'!$A:$A,"Amount (NIS)")+SUMIFS('Source 2026'!$J:$J,'Source 2026'!$B:$B,$A88,'Source 2026'!$A:$A,"Amount (NIS)")+SUMIFS('Source 2026'!$M:$M,'Source 2026'!$B:$B,$A88,'Source 2026'!$A:$A,"Amount (NIS)")</f>
        <v>1147.2</v>
      </c>
      <c r="J88" s="8" t="n">
        <f aca="false">I88*$J$5</f>
        <v>1573.30285714286</v>
      </c>
      <c r="K88" s="8" t="n">
        <f aca="false">J88-H88</f>
        <v>-2508.19714285714</v>
      </c>
      <c r="L88" s="9" t="n">
        <f aca="false">IF(AND(H88=0,J88=0),0,IF(H88=0,"New",(J88-H88)/H88))</f>
        <v>-0.614528272168845</v>
      </c>
    </row>
    <row r="89" customFormat="false" ht="15" hidden="false" customHeight="false" outlineLevel="0" collapsed="false">
      <c r="A89" s="7" t="n">
        <v>4413093</v>
      </c>
      <c r="B89" s="7" t="str">
        <f aca="false">IFERROR(INDEX('Source 2026'!$C:$C,MATCH($A89,'Source 2026'!$B:$B,0)),IFERROR(INDEX('Source 2025'!$C:$C,MATCH($A89,'Source 2025'!$B:$B,0)),""))</f>
        <v>45 M מגן ברך לבן</v>
      </c>
      <c r="C89" s="8" t="n">
        <f aca="false">SUMIFS('Source 2025'!$D:$D,'Source 2025'!$B:$B,$A89,'Source 2025'!$A:$A,"Quantity (units)")+SUMIFS('Source 2025'!$E:$E,'Source 2025'!$B:$B,$A89,'Source 2025'!$A:$A,"Quantity (units)")+SUMIFS('Source 2025'!$F:$F,'Source 2025'!$B:$B,$A89,'Source 2025'!$A:$A,"Quantity (units)")+SUMIFS('Source 2025'!$G:$G,'Source 2025'!$B:$B,$A89,'Source 2025'!$A:$A,"Quantity (units)")+SUMIFS('Source 2025'!$J:$J,'Source 2025'!$B:$B,$A89,'Source 2025'!$A:$A,"Quantity (units)")+SUMIFS('Source 2025'!$M:$M,'Source 2025'!$B:$B,$A89,'Source 2025'!$A:$A,"Quantity (units)")</f>
        <v>285</v>
      </c>
      <c r="D89" s="8" t="n">
        <f aca="false">SUMIFS('Source 2026'!$D:$D,'Source 2026'!$B:$B,$A89,'Source 2026'!$A:$A,"Quantity (units)")+SUMIFS('Source 2026'!$E:$E,'Source 2026'!$B:$B,$A89,'Source 2026'!$A:$A,"Quantity (units)")+SUMIFS('Source 2026'!$F:$F,'Source 2026'!$B:$B,$A89,'Source 2026'!$A:$A,"Quantity (units)")+SUMIFS('Source 2026'!$G:$G,'Source 2026'!$B:$B,$A89,'Source 2026'!$A:$A,"Quantity (units)")+SUMIFS('Source 2026'!$J:$J,'Source 2026'!$B:$B,$A89,'Source 2026'!$A:$A,"Quantity (units)")+SUMIFS('Source 2026'!$M:$M,'Source 2026'!$B:$B,$A89,'Source 2026'!$A:$A,"Quantity (units)")</f>
        <v>185</v>
      </c>
      <c r="E89" s="8" t="n">
        <f aca="false">D89*$J$5</f>
        <v>253.714285714286</v>
      </c>
      <c r="F89" s="8" t="n">
        <f aca="false">E89-C89</f>
        <v>-31.2857142857143</v>
      </c>
      <c r="G89" s="9" t="n">
        <f aca="false">IF(AND(C89=0,E89=0),0,IF(C89=0,"New",(E89-C89)/C89))</f>
        <v>-0.109774436090226</v>
      </c>
      <c r="H89" s="8" t="n">
        <f aca="false">SUMIFS('Source 2025'!$D:$D,'Source 2025'!$B:$B,$A89,'Source 2025'!$A:$A,"Amount (NIS)")+SUMIFS('Source 2025'!$E:$E,'Source 2025'!$B:$B,$A89,'Source 2025'!$A:$A,"Amount (NIS)")+SUMIFS('Source 2025'!$F:$F,'Source 2025'!$B:$B,$A89,'Source 2025'!$A:$A,"Amount (NIS)")+SUMIFS('Source 2025'!$G:$G,'Source 2025'!$B:$B,$A89,'Source 2025'!$A:$A,"Amount (NIS)")+SUMIFS('Source 2025'!$J:$J,'Source 2025'!$B:$B,$A89,'Source 2025'!$A:$A,"Amount (NIS)")+SUMIFS('Source 2025'!$M:$M,'Source 2025'!$B:$B,$A89,'Source 2025'!$A:$A,"Amount (NIS)")</f>
        <v>8439</v>
      </c>
      <c r="I89" s="8" t="n">
        <f aca="false">SUMIFS('Source 2026'!$D:$D,'Source 2026'!$B:$B,$A89,'Source 2026'!$A:$A,"Amount (NIS)")+SUMIFS('Source 2026'!$E:$E,'Source 2026'!$B:$B,$A89,'Source 2026'!$A:$A,"Amount (NIS)")+SUMIFS('Source 2026'!$F:$F,'Source 2026'!$B:$B,$A89,'Source 2026'!$A:$A,"Amount (NIS)")+SUMIFS('Source 2026'!$G:$G,'Source 2026'!$B:$B,$A89,'Source 2026'!$A:$A,"Amount (NIS)")+SUMIFS('Source 2026'!$J:$J,'Source 2026'!$B:$B,$A89,'Source 2026'!$A:$A,"Amount (NIS)")+SUMIFS('Source 2026'!$M:$M,'Source 2026'!$B:$B,$A89,'Source 2026'!$A:$A,"Amount (NIS)")</f>
        <v>5513.1</v>
      </c>
      <c r="J89" s="8" t="n">
        <f aca="false">I89*$J$5</f>
        <v>7560.82285714286</v>
      </c>
      <c r="K89" s="8" t="n">
        <f aca="false">J89-H89</f>
        <v>-878.177142857144</v>
      </c>
      <c r="L89" s="9" t="n">
        <f aca="false">IF(AND(H89=0,J89=0),0,IF(H89=0,"New",(J89-H89)/H89))</f>
        <v>-0.104061754100858</v>
      </c>
    </row>
    <row r="90" customFormat="false" ht="15" hidden="false" customHeight="false" outlineLevel="0" collapsed="false">
      <c r="A90" s="7" t="n">
        <v>4408096</v>
      </c>
      <c r="B90" s="7" t="str">
        <f aca="false">IFERROR(INDEX('Source 2026'!$C:$C,MATCH($A90,'Source 2026'!$B:$B,0)),IFERROR(INDEX('Source 2025'!$C:$C,MATCH($A90,'Source 2025'!$B:$B,0)),""))</f>
        <v>T20C S-M חבק יד עם צמדןחום</v>
      </c>
      <c r="C90" s="8" t="n">
        <f aca="false">SUMIFS('Source 2025'!$D:$D,'Source 2025'!$B:$B,$A90,'Source 2025'!$A:$A,"Quantity (units)")+SUMIFS('Source 2025'!$E:$E,'Source 2025'!$B:$B,$A90,'Source 2025'!$A:$A,"Quantity (units)")+SUMIFS('Source 2025'!$F:$F,'Source 2025'!$B:$B,$A90,'Source 2025'!$A:$A,"Quantity (units)")+SUMIFS('Source 2025'!$G:$G,'Source 2025'!$B:$B,$A90,'Source 2025'!$A:$A,"Quantity (units)")+SUMIFS('Source 2025'!$J:$J,'Source 2025'!$B:$B,$A90,'Source 2025'!$A:$A,"Quantity (units)")+SUMIFS('Source 2025'!$M:$M,'Source 2025'!$B:$B,$A90,'Source 2025'!$A:$A,"Quantity (units)")</f>
        <v>108</v>
      </c>
      <c r="D90" s="8" t="n">
        <f aca="false">SUMIFS('Source 2026'!$D:$D,'Source 2026'!$B:$B,$A90,'Source 2026'!$A:$A,"Quantity (units)")+SUMIFS('Source 2026'!$E:$E,'Source 2026'!$B:$B,$A90,'Source 2026'!$A:$A,"Quantity (units)")+SUMIFS('Source 2026'!$F:$F,'Source 2026'!$B:$B,$A90,'Source 2026'!$A:$A,"Quantity (units)")+SUMIFS('Source 2026'!$G:$G,'Source 2026'!$B:$B,$A90,'Source 2026'!$A:$A,"Quantity (units)")+SUMIFS('Source 2026'!$J:$J,'Source 2026'!$B:$B,$A90,'Source 2026'!$A:$A,"Quantity (units)")+SUMIFS('Source 2026'!$M:$M,'Source 2026'!$B:$B,$A90,'Source 2026'!$A:$A,"Quantity (units)")</f>
        <v>32</v>
      </c>
      <c r="E90" s="8" t="n">
        <f aca="false">D90*$J$5</f>
        <v>43.8857142857143</v>
      </c>
      <c r="F90" s="8" t="n">
        <f aca="false">E90-C90</f>
        <v>-64.1142857142857</v>
      </c>
      <c r="G90" s="9" t="n">
        <f aca="false">IF(AND(C90=0,E90=0),0,IF(C90=0,"New",(E90-C90)/C90))</f>
        <v>-0.593650793650794</v>
      </c>
      <c r="H90" s="8" t="n">
        <f aca="false">SUMIFS('Source 2025'!$D:$D,'Source 2025'!$B:$B,$A90,'Source 2025'!$A:$A,"Amount (NIS)")+SUMIFS('Source 2025'!$E:$E,'Source 2025'!$B:$B,$A90,'Source 2025'!$A:$A,"Amount (NIS)")+SUMIFS('Source 2025'!$F:$F,'Source 2025'!$B:$B,$A90,'Source 2025'!$A:$A,"Amount (NIS)")+SUMIFS('Source 2025'!$G:$G,'Source 2025'!$B:$B,$A90,'Source 2025'!$A:$A,"Amount (NIS)")+SUMIFS('Source 2025'!$J:$J,'Source 2025'!$B:$B,$A90,'Source 2025'!$A:$A,"Amount (NIS)")+SUMIFS('Source 2025'!$M:$M,'Source 2025'!$B:$B,$A90,'Source 2025'!$A:$A,"Amount (NIS)")</f>
        <v>3773.9</v>
      </c>
      <c r="I90" s="8" t="n">
        <f aca="false">SUMIFS('Source 2026'!$D:$D,'Source 2026'!$B:$B,$A90,'Source 2026'!$A:$A,"Amount (NIS)")+SUMIFS('Source 2026'!$E:$E,'Source 2026'!$B:$B,$A90,'Source 2026'!$A:$A,"Amount (NIS)")+SUMIFS('Source 2026'!$F:$F,'Source 2026'!$B:$B,$A90,'Source 2026'!$A:$A,"Amount (NIS)")+SUMIFS('Source 2026'!$G:$G,'Source 2026'!$B:$B,$A90,'Source 2026'!$A:$A,"Amount (NIS)")+SUMIFS('Source 2026'!$J:$J,'Source 2026'!$B:$B,$A90,'Source 2026'!$A:$A,"Amount (NIS)")+SUMIFS('Source 2026'!$M:$M,'Source 2026'!$B:$B,$A90,'Source 2026'!$A:$A,"Amount (NIS)")</f>
        <v>854.1</v>
      </c>
      <c r="J90" s="8" t="n">
        <f aca="false">I90*$J$5</f>
        <v>1171.33714285714</v>
      </c>
      <c r="K90" s="8" t="n">
        <f aca="false">J90-H90</f>
        <v>-2602.56285714286</v>
      </c>
      <c r="L90" s="9" t="n">
        <f aca="false">IF(AND(H90=0,J90=0),0,IF(H90=0,"New",(J90-H90)/H90))</f>
        <v>-0.68962157374145</v>
      </c>
    </row>
    <row r="91" customFormat="false" ht="15" hidden="false" customHeight="false" outlineLevel="0" collapsed="false">
      <c r="A91" s="7" t="n">
        <v>4413497</v>
      </c>
      <c r="B91" s="7" t="str">
        <f aca="false">IFERROR(INDEX('Source 2026'!$C:$C,MATCH($A91,'Source 2026'!$B:$B,0)),IFERROR(INDEX('Source 2025'!$C:$C,MATCH($A91,'Source 2025'!$B:$B,0)),""))</f>
        <v>45B M מגן ברך שחור</v>
      </c>
      <c r="C91" s="8" t="n">
        <f aca="false">SUMIFS('Source 2025'!$D:$D,'Source 2025'!$B:$B,$A91,'Source 2025'!$A:$A,"Quantity (units)")+SUMIFS('Source 2025'!$E:$E,'Source 2025'!$B:$B,$A91,'Source 2025'!$A:$A,"Quantity (units)")+SUMIFS('Source 2025'!$F:$F,'Source 2025'!$B:$B,$A91,'Source 2025'!$A:$A,"Quantity (units)")+SUMIFS('Source 2025'!$G:$G,'Source 2025'!$B:$B,$A91,'Source 2025'!$A:$A,"Quantity (units)")+SUMIFS('Source 2025'!$J:$J,'Source 2025'!$B:$B,$A91,'Source 2025'!$A:$A,"Quantity (units)")+SUMIFS('Source 2025'!$M:$M,'Source 2025'!$B:$B,$A91,'Source 2025'!$A:$A,"Quantity (units)")</f>
        <v>276</v>
      </c>
      <c r="D91" s="8" t="n">
        <f aca="false">SUMIFS('Source 2026'!$D:$D,'Source 2026'!$B:$B,$A91,'Source 2026'!$A:$A,"Quantity (units)")+SUMIFS('Source 2026'!$E:$E,'Source 2026'!$B:$B,$A91,'Source 2026'!$A:$A,"Quantity (units)")+SUMIFS('Source 2026'!$F:$F,'Source 2026'!$B:$B,$A91,'Source 2026'!$A:$A,"Quantity (units)")+SUMIFS('Source 2026'!$G:$G,'Source 2026'!$B:$B,$A91,'Source 2026'!$A:$A,"Quantity (units)")+SUMIFS('Source 2026'!$J:$J,'Source 2026'!$B:$B,$A91,'Source 2026'!$A:$A,"Quantity (units)")+SUMIFS('Source 2026'!$M:$M,'Source 2026'!$B:$B,$A91,'Source 2026'!$A:$A,"Quantity (units)")</f>
        <v>172</v>
      </c>
      <c r="E91" s="8" t="n">
        <f aca="false">D91*$J$5</f>
        <v>235.885714285714</v>
      </c>
      <c r="F91" s="8" t="n">
        <f aca="false">E91-C91</f>
        <v>-40.1142857142857</v>
      </c>
      <c r="G91" s="9" t="n">
        <f aca="false">IF(AND(C91=0,E91=0),0,IF(C91=0,"New",(E91-C91)/C91))</f>
        <v>-0.145341614906832</v>
      </c>
      <c r="H91" s="8" t="n">
        <f aca="false">SUMIFS('Source 2025'!$D:$D,'Source 2025'!$B:$B,$A91,'Source 2025'!$A:$A,"Amount (NIS)")+SUMIFS('Source 2025'!$E:$E,'Source 2025'!$B:$B,$A91,'Source 2025'!$A:$A,"Amount (NIS)")+SUMIFS('Source 2025'!$F:$F,'Source 2025'!$B:$B,$A91,'Source 2025'!$A:$A,"Amount (NIS)")+SUMIFS('Source 2025'!$G:$G,'Source 2025'!$B:$B,$A91,'Source 2025'!$A:$A,"Amount (NIS)")+SUMIFS('Source 2025'!$J:$J,'Source 2025'!$B:$B,$A91,'Source 2025'!$A:$A,"Amount (NIS)")+SUMIFS('Source 2025'!$M:$M,'Source 2025'!$B:$B,$A91,'Source 2025'!$A:$A,"Amount (NIS)")</f>
        <v>8129.6</v>
      </c>
      <c r="I91" s="8" t="n">
        <f aca="false">SUMIFS('Source 2026'!$D:$D,'Source 2026'!$B:$B,$A91,'Source 2026'!$A:$A,"Amount (NIS)")+SUMIFS('Source 2026'!$E:$E,'Source 2026'!$B:$B,$A91,'Source 2026'!$A:$A,"Amount (NIS)")+SUMIFS('Source 2026'!$F:$F,'Source 2026'!$B:$B,$A91,'Source 2026'!$A:$A,"Amount (NIS)")+SUMIFS('Source 2026'!$G:$G,'Source 2026'!$B:$B,$A91,'Source 2026'!$A:$A,"Amount (NIS)")+SUMIFS('Source 2026'!$J:$J,'Source 2026'!$B:$B,$A91,'Source 2026'!$A:$A,"Amount (NIS)")+SUMIFS('Source 2026'!$M:$M,'Source 2026'!$B:$B,$A91,'Source 2026'!$A:$A,"Amount (NIS)")</f>
        <v>5241.1</v>
      </c>
      <c r="J91" s="8" t="n">
        <f aca="false">I91*$J$5</f>
        <v>7187.79428571429</v>
      </c>
      <c r="K91" s="8" t="n">
        <f aca="false">J91-H91</f>
        <v>-941.805714285714</v>
      </c>
      <c r="L91" s="9" t="n">
        <f aca="false">IF(AND(H91=0,J91=0),0,IF(H91=0,"New",(J91-H91)/H91))</f>
        <v>-0.115848961115641</v>
      </c>
    </row>
    <row r="92" customFormat="false" ht="15" hidden="false" customHeight="false" outlineLevel="0" collapsed="false">
      <c r="A92" s="7" t="n">
        <v>4413157</v>
      </c>
      <c r="B92" s="7" t="str">
        <f aca="false">IFERROR(INDEX('Source 2026'!$C:$C,MATCH($A92,'Source 2026'!$B:$B,0)),IFERROR(INDEX('Source 2025'!$C:$C,MATCH($A92,'Source 2025'!$B:$B,0)),""))</f>
        <v>305GA מדרס אורטופ.מתכוון43-44</v>
      </c>
      <c r="C92" s="8" t="n">
        <f aca="false">SUMIFS('Source 2025'!$D:$D,'Source 2025'!$B:$B,$A92,'Source 2025'!$A:$A,"Quantity (units)")+SUMIFS('Source 2025'!$E:$E,'Source 2025'!$B:$B,$A92,'Source 2025'!$A:$A,"Quantity (units)")+SUMIFS('Source 2025'!$F:$F,'Source 2025'!$B:$B,$A92,'Source 2025'!$A:$A,"Quantity (units)")+SUMIFS('Source 2025'!$G:$G,'Source 2025'!$B:$B,$A92,'Source 2025'!$A:$A,"Quantity (units)")+SUMIFS('Source 2025'!$J:$J,'Source 2025'!$B:$B,$A92,'Source 2025'!$A:$A,"Quantity (units)")+SUMIFS('Source 2025'!$M:$M,'Source 2025'!$B:$B,$A92,'Source 2025'!$A:$A,"Quantity (units)")</f>
        <v>54</v>
      </c>
      <c r="D92" s="8" t="n">
        <f aca="false">SUMIFS('Source 2026'!$D:$D,'Source 2026'!$B:$B,$A92,'Source 2026'!$A:$A,"Quantity (units)")+SUMIFS('Source 2026'!$E:$E,'Source 2026'!$B:$B,$A92,'Source 2026'!$A:$A,"Quantity (units)")+SUMIFS('Source 2026'!$F:$F,'Source 2026'!$B:$B,$A92,'Source 2026'!$A:$A,"Quantity (units)")+SUMIFS('Source 2026'!$G:$G,'Source 2026'!$B:$B,$A92,'Source 2026'!$A:$A,"Quantity (units)")+SUMIFS('Source 2026'!$J:$J,'Source 2026'!$B:$B,$A92,'Source 2026'!$A:$A,"Quantity (units)")+SUMIFS('Source 2026'!$M:$M,'Source 2026'!$B:$B,$A92,'Source 2026'!$A:$A,"Quantity (units)")</f>
        <v>18</v>
      </c>
      <c r="E92" s="8" t="n">
        <f aca="false">D92*$J$5</f>
        <v>24.6857142857143</v>
      </c>
      <c r="F92" s="8" t="n">
        <f aca="false">E92-C92</f>
        <v>-29.3142857142857</v>
      </c>
      <c r="G92" s="9" t="n">
        <f aca="false">IF(AND(C92=0,E92=0),0,IF(C92=0,"New",(E92-C92)/C92))</f>
        <v>-0.542857142857143</v>
      </c>
      <c r="H92" s="8" t="n">
        <f aca="false">SUMIFS('Source 2025'!$D:$D,'Source 2025'!$B:$B,$A92,'Source 2025'!$A:$A,"Amount (NIS)")+SUMIFS('Source 2025'!$E:$E,'Source 2025'!$B:$B,$A92,'Source 2025'!$A:$A,"Amount (NIS)")+SUMIFS('Source 2025'!$F:$F,'Source 2025'!$B:$B,$A92,'Source 2025'!$A:$A,"Amount (NIS)")+SUMIFS('Source 2025'!$G:$G,'Source 2025'!$B:$B,$A92,'Source 2025'!$A:$A,"Amount (NIS)")+SUMIFS('Source 2025'!$J:$J,'Source 2025'!$B:$B,$A92,'Source 2025'!$A:$A,"Amount (NIS)")+SUMIFS('Source 2025'!$M:$M,'Source 2025'!$B:$B,$A92,'Source 2025'!$A:$A,"Amount (NIS)")</f>
        <v>4652.8</v>
      </c>
      <c r="I92" s="8" t="n">
        <f aca="false">SUMIFS('Source 2026'!$D:$D,'Source 2026'!$B:$B,$A92,'Source 2026'!$A:$A,"Amount (NIS)")+SUMIFS('Source 2026'!$E:$E,'Source 2026'!$B:$B,$A92,'Source 2026'!$A:$A,"Amount (NIS)")+SUMIFS('Source 2026'!$F:$F,'Source 2026'!$B:$B,$A92,'Source 2026'!$A:$A,"Amount (NIS)")+SUMIFS('Source 2026'!$G:$G,'Source 2026'!$B:$B,$A92,'Source 2026'!$A:$A,"Amount (NIS)")+SUMIFS('Source 2026'!$J:$J,'Source 2026'!$B:$B,$A92,'Source 2026'!$A:$A,"Amount (NIS)")+SUMIFS('Source 2026'!$M:$M,'Source 2026'!$B:$B,$A92,'Source 2026'!$A:$A,"Amount (NIS)")</f>
        <v>1770</v>
      </c>
      <c r="J92" s="8" t="n">
        <f aca="false">I92*$J$5</f>
        <v>2427.42857142857</v>
      </c>
      <c r="K92" s="8" t="n">
        <f aca="false">J92-H92</f>
        <v>-2225.37142857143</v>
      </c>
      <c r="L92" s="9" t="n">
        <f aca="false">IF(AND(H92=0,J92=0),0,IF(H92=0,"New",(J92-H92)/H92))</f>
        <v>-0.478286500294753</v>
      </c>
    </row>
    <row r="93" customFormat="false" ht="15" hidden="false" customHeight="false" outlineLevel="0" collapsed="false">
      <c r="A93" s="7" t="n">
        <v>4403019</v>
      </c>
      <c r="B93" s="7" t="str">
        <f aca="false">IFERROR(INDEX('Source 2026'!$C:$C,MATCH($A93,'Source 2026'!$B:$B,0)),IFERROR(INDEX('Source 2025'!$C:$C,MATCH($A93,'Source 2025'!$B:$B,0)),""))</f>
        <v>394B גרב.כסף לסכרתים שחור43-46</v>
      </c>
      <c r="C93" s="8" t="n">
        <f aca="false">SUMIFS('Source 2025'!$D:$D,'Source 2025'!$B:$B,$A93,'Source 2025'!$A:$A,"Quantity (units)")+SUMIFS('Source 2025'!$E:$E,'Source 2025'!$B:$B,$A93,'Source 2025'!$A:$A,"Quantity (units)")+SUMIFS('Source 2025'!$F:$F,'Source 2025'!$B:$B,$A93,'Source 2025'!$A:$A,"Quantity (units)")+SUMIFS('Source 2025'!$G:$G,'Source 2025'!$B:$B,$A93,'Source 2025'!$A:$A,"Quantity (units)")+SUMIFS('Source 2025'!$J:$J,'Source 2025'!$B:$B,$A93,'Source 2025'!$A:$A,"Quantity (units)")+SUMIFS('Source 2025'!$M:$M,'Source 2025'!$B:$B,$A93,'Source 2025'!$A:$A,"Quantity (units)")</f>
        <v>180</v>
      </c>
      <c r="D93" s="8" t="n">
        <f aca="false">SUMIFS('Source 2026'!$D:$D,'Source 2026'!$B:$B,$A93,'Source 2026'!$A:$A,"Quantity (units)")+SUMIFS('Source 2026'!$E:$E,'Source 2026'!$B:$B,$A93,'Source 2026'!$A:$A,"Quantity (units)")+SUMIFS('Source 2026'!$F:$F,'Source 2026'!$B:$B,$A93,'Source 2026'!$A:$A,"Quantity (units)")+SUMIFS('Source 2026'!$G:$G,'Source 2026'!$B:$B,$A93,'Source 2026'!$A:$A,"Quantity (units)")+SUMIFS('Source 2026'!$J:$J,'Source 2026'!$B:$B,$A93,'Source 2026'!$A:$A,"Quantity (units)")+SUMIFS('Source 2026'!$M:$M,'Source 2026'!$B:$B,$A93,'Source 2026'!$A:$A,"Quantity (units)")</f>
        <v>65</v>
      </c>
      <c r="E93" s="8" t="n">
        <f aca="false">D93*$J$5</f>
        <v>89.1428571428571</v>
      </c>
      <c r="F93" s="8" t="n">
        <f aca="false">E93-C93</f>
        <v>-90.8571428571429</v>
      </c>
      <c r="G93" s="9" t="n">
        <f aca="false">IF(AND(C93=0,E93=0),0,IF(C93=0,"New",(E93-C93)/C93))</f>
        <v>-0.504761904761905</v>
      </c>
      <c r="H93" s="8" t="n">
        <f aca="false">SUMIFS('Source 2025'!$D:$D,'Source 2025'!$B:$B,$A93,'Source 2025'!$A:$A,"Amount (NIS)")+SUMIFS('Source 2025'!$E:$E,'Source 2025'!$B:$B,$A93,'Source 2025'!$A:$A,"Amount (NIS)")+SUMIFS('Source 2025'!$F:$F,'Source 2025'!$B:$B,$A93,'Source 2025'!$A:$A,"Amount (NIS)")+SUMIFS('Source 2025'!$G:$G,'Source 2025'!$B:$B,$A93,'Source 2025'!$A:$A,"Amount (NIS)")+SUMIFS('Source 2025'!$J:$J,'Source 2025'!$B:$B,$A93,'Source 2025'!$A:$A,"Amount (NIS)")+SUMIFS('Source 2025'!$M:$M,'Source 2025'!$B:$B,$A93,'Source 2025'!$A:$A,"Amount (NIS)")</f>
        <v>4578</v>
      </c>
      <c r="I93" s="8" t="n">
        <f aca="false">SUMIFS('Source 2026'!$D:$D,'Source 2026'!$B:$B,$A93,'Source 2026'!$A:$A,"Amount (NIS)")+SUMIFS('Source 2026'!$E:$E,'Source 2026'!$B:$B,$A93,'Source 2026'!$A:$A,"Amount (NIS)")+SUMIFS('Source 2026'!$F:$F,'Source 2026'!$B:$B,$A93,'Source 2026'!$A:$A,"Amount (NIS)")+SUMIFS('Source 2026'!$G:$G,'Source 2026'!$B:$B,$A93,'Source 2026'!$A:$A,"Amount (NIS)")+SUMIFS('Source 2026'!$J:$J,'Source 2026'!$B:$B,$A93,'Source 2026'!$A:$A,"Amount (NIS)")+SUMIFS('Source 2026'!$M:$M,'Source 2026'!$B:$B,$A93,'Source 2026'!$A:$A,"Amount (NIS)")</f>
        <v>1731.5</v>
      </c>
      <c r="J93" s="8" t="n">
        <f aca="false">I93*$J$5</f>
        <v>2374.62857142857</v>
      </c>
      <c r="K93" s="8" t="n">
        <f aca="false">J93-H93</f>
        <v>-2203.37142857143</v>
      </c>
      <c r="L93" s="9" t="n">
        <f aca="false">IF(AND(H93=0,J93=0),0,IF(H93=0,"New",(J93-H93)/H93))</f>
        <v>-0.481295637521063</v>
      </c>
    </row>
    <row r="94" customFormat="false" ht="15" hidden="false" customHeight="false" outlineLevel="0" collapsed="false">
      <c r="A94" s="7" t="n">
        <v>4422041</v>
      </c>
      <c r="B94" s="7" t="str">
        <f aca="false">IFERROR(INDEX('Source 2026'!$C:$C,MATCH($A94,'Source 2026'!$B:$B,0)),IFERROR(INDEX('Source 2025'!$C:$C,MATCH($A94,'Source 2025'!$B:$B,0)),""))</f>
        <v>SH422 5 תומך ברך גנושילד</v>
      </c>
      <c r="C94" s="8" t="n">
        <f aca="false">SUMIFS('Source 2025'!$D:$D,'Source 2025'!$B:$B,$A94,'Source 2025'!$A:$A,"Quantity (units)")+SUMIFS('Source 2025'!$E:$E,'Source 2025'!$B:$B,$A94,'Source 2025'!$A:$A,"Quantity (units)")+SUMIFS('Source 2025'!$F:$F,'Source 2025'!$B:$B,$A94,'Source 2025'!$A:$A,"Quantity (units)")+SUMIFS('Source 2025'!$G:$G,'Source 2025'!$B:$B,$A94,'Source 2025'!$A:$A,"Quantity (units)")+SUMIFS('Source 2025'!$J:$J,'Source 2025'!$B:$B,$A94,'Source 2025'!$A:$A,"Quantity (units)")+SUMIFS('Source 2025'!$M:$M,'Source 2025'!$B:$B,$A94,'Source 2025'!$A:$A,"Quantity (units)")</f>
        <v>6</v>
      </c>
      <c r="D94" s="8" t="n">
        <f aca="false">SUMIFS('Source 2026'!$D:$D,'Source 2026'!$B:$B,$A94,'Source 2026'!$A:$A,"Quantity (units)")+SUMIFS('Source 2026'!$E:$E,'Source 2026'!$B:$B,$A94,'Source 2026'!$A:$A,"Quantity (units)")+SUMIFS('Source 2026'!$F:$F,'Source 2026'!$B:$B,$A94,'Source 2026'!$A:$A,"Quantity (units)")+SUMIFS('Source 2026'!$G:$G,'Source 2026'!$B:$B,$A94,'Source 2026'!$A:$A,"Quantity (units)")+SUMIFS('Source 2026'!$J:$J,'Source 2026'!$B:$B,$A94,'Source 2026'!$A:$A,"Quantity (units)")+SUMIFS('Source 2026'!$M:$M,'Source 2026'!$B:$B,$A94,'Source 2026'!$A:$A,"Quantity (units)")</f>
        <v>20</v>
      </c>
      <c r="E94" s="8" t="n">
        <f aca="false">D94*$J$5</f>
        <v>27.4285714285714</v>
      </c>
      <c r="F94" s="8" t="n">
        <f aca="false">E94-C94</f>
        <v>21.4285714285714</v>
      </c>
      <c r="G94" s="9" t="n">
        <f aca="false">IF(AND(C94=0,E94=0),0,IF(C94=0,"New",(E94-C94)/C94))</f>
        <v>3.57142857142857</v>
      </c>
      <c r="H94" s="8" t="n">
        <f aca="false">SUMIFS('Source 2025'!$D:$D,'Source 2025'!$B:$B,$A94,'Source 2025'!$A:$A,"Amount (NIS)")+SUMIFS('Source 2025'!$E:$E,'Source 2025'!$B:$B,$A94,'Source 2025'!$A:$A,"Amount (NIS)")+SUMIFS('Source 2025'!$F:$F,'Source 2025'!$B:$B,$A94,'Source 2025'!$A:$A,"Amount (NIS)")+SUMIFS('Source 2025'!$G:$G,'Source 2025'!$B:$B,$A94,'Source 2025'!$A:$A,"Amount (NIS)")+SUMIFS('Source 2025'!$J:$J,'Source 2025'!$B:$B,$A94,'Source 2025'!$A:$A,"Amount (NIS)")+SUMIFS('Source 2025'!$M:$M,'Source 2025'!$B:$B,$A94,'Source 2025'!$A:$A,"Amount (NIS)")</f>
        <v>1263.5</v>
      </c>
      <c r="I94" s="8" t="n">
        <f aca="false">SUMIFS('Source 2026'!$D:$D,'Source 2026'!$B:$B,$A94,'Source 2026'!$A:$A,"Amount (NIS)")+SUMIFS('Source 2026'!$E:$E,'Source 2026'!$B:$B,$A94,'Source 2026'!$A:$A,"Amount (NIS)")+SUMIFS('Source 2026'!$F:$F,'Source 2026'!$B:$B,$A94,'Source 2026'!$A:$A,"Amount (NIS)")+SUMIFS('Source 2026'!$G:$G,'Source 2026'!$B:$B,$A94,'Source 2026'!$A:$A,"Amount (NIS)")+SUMIFS('Source 2026'!$J:$J,'Source 2026'!$B:$B,$A94,'Source 2026'!$A:$A,"Amount (NIS)")+SUMIFS('Source 2026'!$M:$M,'Source 2026'!$B:$B,$A94,'Source 2026'!$A:$A,"Amount (NIS)")</f>
        <v>4082.8</v>
      </c>
      <c r="J94" s="8" t="n">
        <f aca="false">I94*$J$5</f>
        <v>5599.26857142857</v>
      </c>
      <c r="K94" s="8" t="n">
        <f aca="false">J94-H94</f>
        <v>4335.76857142857</v>
      </c>
      <c r="L94" s="9" t="n">
        <f aca="false">IF(AND(H94=0,J94=0),0,IF(H94=0,"New",(J94-H94)/H94))</f>
        <v>3.43155407315281</v>
      </c>
    </row>
    <row r="95" customFormat="false" ht="15" hidden="false" customHeight="false" outlineLevel="0" collapsed="false">
      <c r="A95" s="7" t="n">
        <v>4413490</v>
      </c>
      <c r="B95" s="7" t="str">
        <f aca="false">IFERROR(INDEX('Source 2026'!$C:$C,MATCH($A95,'Source 2026'!$B:$B,0)),IFERROR(INDEX('Source 2025'!$C:$C,MATCH($A95,'Source 2025'!$B:$B,0)),""))</f>
        <v>35B L מגן קרסול שחור</v>
      </c>
      <c r="C95" s="8" t="n">
        <f aca="false">SUMIFS('Source 2025'!$D:$D,'Source 2025'!$B:$B,$A95,'Source 2025'!$A:$A,"Quantity (units)")+SUMIFS('Source 2025'!$E:$E,'Source 2025'!$B:$B,$A95,'Source 2025'!$A:$A,"Quantity (units)")+SUMIFS('Source 2025'!$F:$F,'Source 2025'!$B:$B,$A95,'Source 2025'!$A:$A,"Quantity (units)")+SUMIFS('Source 2025'!$G:$G,'Source 2025'!$B:$B,$A95,'Source 2025'!$A:$A,"Quantity (units)")+SUMIFS('Source 2025'!$J:$J,'Source 2025'!$B:$B,$A95,'Source 2025'!$A:$A,"Quantity (units)")+SUMIFS('Source 2025'!$M:$M,'Source 2025'!$B:$B,$A95,'Source 2025'!$A:$A,"Quantity (units)")</f>
        <v>293</v>
      </c>
      <c r="D95" s="8" t="n">
        <f aca="false">SUMIFS('Source 2026'!$D:$D,'Source 2026'!$B:$B,$A95,'Source 2026'!$A:$A,"Quantity (units)")+SUMIFS('Source 2026'!$E:$E,'Source 2026'!$B:$B,$A95,'Source 2026'!$A:$A,"Quantity (units)")+SUMIFS('Source 2026'!$F:$F,'Source 2026'!$B:$B,$A95,'Source 2026'!$A:$A,"Quantity (units)")+SUMIFS('Source 2026'!$G:$G,'Source 2026'!$B:$B,$A95,'Source 2026'!$A:$A,"Quantity (units)")+SUMIFS('Source 2026'!$J:$J,'Source 2026'!$B:$B,$A95,'Source 2026'!$A:$A,"Quantity (units)")+SUMIFS('Source 2026'!$M:$M,'Source 2026'!$B:$B,$A95,'Source 2026'!$A:$A,"Quantity (units)")</f>
        <v>183</v>
      </c>
      <c r="E95" s="8" t="n">
        <f aca="false">D95*$J$5</f>
        <v>250.971428571429</v>
      </c>
      <c r="F95" s="8" t="n">
        <f aca="false">E95-C95</f>
        <v>-42.0285714285714</v>
      </c>
      <c r="G95" s="9" t="n">
        <f aca="false">IF(AND(C95=0,E95=0),0,IF(C95=0,"New",(E95-C95)/C95))</f>
        <v>-0.143442223305705</v>
      </c>
      <c r="H95" s="8" t="n">
        <f aca="false">SUMIFS('Source 2025'!$D:$D,'Source 2025'!$B:$B,$A95,'Source 2025'!$A:$A,"Amount (NIS)")+SUMIFS('Source 2025'!$E:$E,'Source 2025'!$B:$B,$A95,'Source 2025'!$A:$A,"Amount (NIS)")+SUMIFS('Source 2025'!$F:$F,'Source 2025'!$B:$B,$A95,'Source 2025'!$A:$A,"Amount (NIS)")+SUMIFS('Source 2025'!$G:$G,'Source 2025'!$B:$B,$A95,'Source 2025'!$A:$A,"Amount (NIS)")+SUMIFS('Source 2025'!$J:$J,'Source 2025'!$B:$B,$A95,'Source 2025'!$A:$A,"Amount (NIS)")+SUMIFS('Source 2025'!$M:$M,'Source 2025'!$B:$B,$A95,'Source 2025'!$A:$A,"Amount (NIS)")</f>
        <v>8399.7</v>
      </c>
      <c r="I95" s="8" t="n">
        <f aca="false">SUMIFS('Source 2026'!$D:$D,'Source 2026'!$B:$B,$A95,'Source 2026'!$A:$A,"Amount (NIS)")+SUMIFS('Source 2026'!$E:$E,'Source 2026'!$B:$B,$A95,'Source 2026'!$A:$A,"Amount (NIS)")+SUMIFS('Source 2026'!$F:$F,'Source 2026'!$B:$B,$A95,'Source 2026'!$A:$A,"Amount (NIS)")+SUMIFS('Source 2026'!$G:$G,'Source 2026'!$B:$B,$A95,'Source 2026'!$A:$A,"Amount (NIS)")+SUMIFS('Source 2026'!$J:$J,'Source 2026'!$B:$B,$A95,'Source 2026'!$A:$A,"Amount (NIS)")+SUMIFS('Source 2026'!$M:$M,'Source 2026'!$B:$B,$A95,'Source 2026'!$A:$A,"Amount (NIS)")</f>
        <v>5609.7</v>
      </c>
      <c r="J95" s="8" t="n">
        <f aca="false">I95*$J$5</f>
        <v>7693.30285714286</v>
      </c>
      <c r="K95" s="8" t="n">
        <f aca="false">J95-H95</f>
        <v>-706.397142857144</v>
      </c>
      <c r="L95" s="9" t="n">
        <f aca="false">IF(AND(H95=0,J95=0),0,IF(H95=0,"New",(J95-H95)/H95))</f>
        <v>-0.0840979014556644</v>
      </c>
    </row>
    <row r="96" customFormat="false" ht="15" hidden="false" customHeight="false" outlineLevel="0" collapsed="false">
      <c r="A96" s="7" t="n">
        <v>4413043</v>
      </c>
      <c r="B96" s="7" t="str">
        <f aca="false">IFERROR(INDEX('Source 2026'!$C:$C,MATCH($A96,'Source 2026'!$B:$B,0)),IFERROR(INDEX('Source 2025'!$C:$C,MATCH($A96,'Source 2025'!$B:$B,0)),""))</f>
        <v>34  L מגן קרסול עקב סגור</v>
      </c>
      <c r="C96" s="8" t="n">
        <f aca="false">SUMIFS('Source 2025'!$D:$D,'Source 2025'!$B:$B,$A96,'Source 2025'!$A:$A,"Quantity (units)")+SUMIFS('Source 2025'!$E:$E,'Source 2025'!$B:$B,$A96,'Source 2025'!$A:$A,"Quantity (units)")+SUMIFS('Source 2025'!$F:$F,'Source 2025'!$B:$B,$A96,'Source 2025'!$A:$A,"Quantity (units)")+SUMIFS('Source 2025'!$G:$G,'Source 2025'!$B:$B,$A96,'Source 2025'!$A:$A,"Quantity (units)")+SUMIFS('Source 2025'!$J:$J,'Source 2025'!$B:$B,$A96,'Source 2025'!$A:$A,"Quantity (units)")+SUMIFS('Source 2025'!$M:$M,'Source 2025'!$B:$B,$A96,'Source 2025'!$A:$A,"Quantity (units)")</f>
        <v>180</v>
      </c>
      <c r="D96" s="8" t="n">
        <f aca="false">SUMIFS('Source 2026'!$D:$D,'Source 2026'!$B:$B,$A96,'Source 2026'!$A:$A,"Quantity (units)")+SUMIFS('Source 2026'!$E:$E,'Source 2026'!$B:$B,$A96,'Source 2026'!$A:$A,"Quantity (units)")+SUMIFS('Source 2026'!$F:$F,'Source 2026'!$B:$B,$A96,'Source 2026'!$A:$A,"Quantity (units)")+SUMIFS('Source 2026'!$G:$G,'Source 2026'!$B:$B,$A96,'Source 2026'!$A:$A,"Quantity (units)")+SUMIFS('Source 2026'!$J:$J,'Source 2026'!$B:$B,$A96,'Source 2026'!$A:$A,"Quantity (units)")+SUMIFS('Source 2026'!$M:$M,'Source 2026'!$B:$B,$A96,'Source 2026'!$A:$A,"Quantity (units)")</f>
        <v>118</v>
      </c>
      <c r="E96" s="8" t="n">
        <f aca="false">D96*$J$5</f>
        <v>161.828571428571</v>
      </c>
      <c r="F96" s="8" t="n">
        <f aca="false">E96-C96</f>
        <v>-18.1714285714286</v>
      </c>
      <c r="G96" s="9" t="n">
        <f aca="false">IF(AND(C96=0,E96=0),0,IF(C96=0,"New",(E96-C96)/C96))</f>
        <v>-0.100952380952381</v>
      </c>
      <c r="H96" s="8" t="n">
        <f aca="false">SUMIFS('Source 2025'!$D:$D,'Source 2025'!$B:$B,$A96,'Source 2025'!$A:$A,"Amount (NIS)")+SUMIFS('Source 2025'!$E:$E,'Source 2025'!$B:$B,$A96,'Source 2025'!$A:$A,"Amount (NIS)")+SUMIFS('Source 2025'!$F:$F,'Source 2025'!$B:$B,$A96,'Source 2025'!$A:$A,"Amount (NIS)")+SUMIFS('Source 2025'!$G:$G,'Source 2025'!$B:$B,$A96,'Source 2025'!$A:$A,"Amount (NIS)")+SUMIFS('Source 2025'!$J:$J,'Source 2025'!$B:$B,$A96,'Source 2025'!$A:$A,"Amount (NIS)")+SUMIFS('Source 2025'!$M:$M,'Source 2025'!$B:$B,$A96,'Source 2025'!$A:$A,"Amount (NIS)")</f>
        <v>8085.9</v>
      </c>
      <c r="I96" s="8" t="n">
        <f aca="false">SUMIFS('Source 2026'!$D:$D,'Source 2026'!$B:$B,$A96,'Source 2026'!$A:$A,"Amount (NIS)")+SUMIFS('Source 2026'!$E:$E,'Source 2026'!$B:$B,$A96,'Source 2026'!$A:$A,"Amount (NIS)")+SUMIFS('Source 2026'!$F:$F,'Source 2026'!$B:$B,$A96,'Source 2026'!$A:$A,"Amount (NIS)")+SUMIFS('Source 2026'!$G:$G,'Source 2026'!$B:$B,$A96,'Source 2026'!$A:$A,"Amount (NIS)")+SUMIFS('Source 2026'!$J:$J,'Source 2026'!$B:$B,$A96,'Source 2026'!$A:$A,"Amount (NIS)")+SUMIFS('Source 2026'!$M:$M,'Source 2026'!$B:$B,$A96,'Source 2026'!$A:$A,"Amount (NIS)")</f>
        <v>5341.8</v>
      </c>
      <c r="J96" s="8" t="n">
        <f aca="false">I96*$J$5</f>
        <v>7325.89714285714</v>
      </c>
      <c r="K96" s="8" t="n">
        <f aca="false">J96-H96</f>
        <v>-760.002857142857</v>
      </c>
      <c r="L96" s="9" t="n">
        <f aca="false">IF(AND(H96=0,J96=0),0,IF(H96=0,"New",(J96-H96)/H96))</f>
        <v>-0.0939911274122679</v>
      </c>
    </row>
    <row r="97" customFormat="false" ht="15" hidden="false" customHeight="false" outlineLevel="0" collapsed="false">
      <c r="A97" s="7" t="n">
        <v>4422037</v>
      </c>
      <c r="B97" s="7" t="str">
        <f aca="false">IFERROR(INDEX('Source 2026'!$C:$C,MATCH($A97,'Source 2026'!$B:$B,0)),IFERROR(INDEX('Source 2025'!$C:$C,MATCH($A97,'Source 2025'!$B:$B,0)),""))</f>
        <v>SH422 1 תומך ברך גנושילד</v>
      </c>
      <c r="C97" s="8" t="n">
        <f aca="false">SUMIFS('Source 2025'!$D:$D,'Source 2025'!$B:$B,$A97,'Source 2025'!$A:$A,"Quantity (units)")+SUMIFS('Source 2025'!$E:$E,'Source 2025'!$B:$B,$A97,'Source 2025'!$A:$A,"Quantity (units)")+SUMIFS('Source 2025'!$F:$F,'Source 2025'!$B:$B,$A97,'Source 2025'!$A:$A,"Quantity (units)")+SUMIFS('Source 2025'!$G:$G,'Source 2025'!$B:$B,$A97,'Source 2025'!$A:$A,"Quantity (units)")+SUMIFS('Source 2025'!$J:$J,'Source 2025'!$B:$B,$A97,'Source 2025'!$A:$A,"Quantity (units)")+SUMIFS('Source 2025'!$M:$M,'Source 2025'!$B:$B,$A97,'Source 2025'!$A:$A,"Quantity (units)")</f>
        <v>1</v>
      </c>
      <c r="D97" s="8" t="n">
        <f aca="false">SUMIFS('Source 2026'!$D:$D,'Source 2026'!$B:$B,$A97,'Source 2026'!$A:$A,"Quantity (units)")+SUMIFS('Source 2026'!$E:$E,'Source 2026'!$B:$B,$A97,'Source 2026'!$A:$A,"Quantity (units)")+SUMIFS('Source 2026'!$F:$F,'Source 2026'!$B:$B,$A97,'Source 2026'!$A:$A,"Quantity (units)")+SUMIFS('Source 2026'!$G:$G,'Source 2026'!$B:$B,$A97,'Source 2026'!$A:$A,"Quantity (units)")+SUMIFS('Source 2026'!$J:$J,'Source 2026'!$B:$B,$A97,'Source 2026'!$A:$A,"Quantity (units)")+SUMIFS('Source 2026'!$M:$M,'Source 2026'!$B:$B,$A97,'Source 2026'!$A:$A,"Quantity (units)")</f>
        <v>14</v>
      </c>
      <c r="E97" s="8" t="n">
        <f aca="false">D97*$J$5</f>
        <v>19.2</v>
      </c>
      <c r="F97" s="8" t="n">
        <f aca="false">E97-C97</f>
        <v>18.2</v>
      </c>
      <c r="G97" s="9" t="n">
        <f aca="false">IF(AND(C97=0,E97=0),0,IF(C97=0,"New",(E97-C97)/C97))</f>
        <v>18.2</v>
      </c>
      <c r="H97" s="8" t="n">
        <f aca="false">SUMIFS('Source 2025'!$D:$D,'Source 2025'!$B:$B,$A97,'Source 2025'!$A:$A,"Amount (NIS)")+SUMIFS('Source 2025'!$E:$E,'Source 2025'!$B:$B,$A97,'Source 2025'!$A:$A,"Amount (NIS)")+SUMIFS('Source 2025'!$F:$F,'Source 2025'!$B:$B,$A97,'Source 2025'!$A:$A,"Amount (NIS)")+SUMIFS('Source 2025'!$G:$G,'Source 2025'!$B:$B,$A97,'Source 2025'!$A:$A,"Amount (NIS)")+SUMIFS('Source 2025'!$J:$J,'Source 2025'!$B:$B,$A97,'Source 2025'!$A:$A,"Amount (NIS)")+SUMIFS('Source 2025'!$M:$M,'Source 2025'!$B:$B,$A97,'Source 2025'!$A:$A,"Amount (NIS)")</f>
        <v>215.4</v>
      </c>
      <c r="I97" s="8" t="n">
        <f aca="false">SUMIFS('Source 2026'!$D:$D,'Source 2026'!$B:$B,$A97,'Source 2026'!$A:$A,"Amount (NIS)")+SUMIFS('Source 2026'!$E:$E,'Source 2026'!$B:$B,$A97,'Source 2026'!$A:$A,"Amount (NIS)")+SUMIFS('Source 2026'!$F:$F,'Source 2026'!$B:$B,$A97,'Source 2026'!$A:$A,"Amount (NIS)")+SUMIFS('Source 2026'!$G:$G,'Source 2026'!$B:$B,$A97,'Source 2026'!$A:$A,"Amount (NIS)")+SUMIFS('Source 2026'!$J:$J,'Source 2026'!$B:$B,$A97,'Source 2026'!$A:$A,"Amount (NIS)")+SUMIFS('Source 2026'!$M:$M,'Source 2026'!$B:$B,$A97,'Source 2026'!$A:$A,"Amount (NIS)")</f>
        <v>2943.4</v>
      </c>
      <c r="J97" s="8" t="n">
        <f aca="false">I97*$J$5</f>
        <v>4036.66285714286</v>
      </c>
      <c r="K97" s="8" t="n">
        <f aca="false">J97-H97</f>
        <v>3821.26285714286</v>
      </c>
      <c r="L97" s="9" t="n">
        <f aca="false">IF(AND(H97=0,J97=0),0,IF(H97=0,"New",(J97-H97)/H97))</f>
        <v>17.7403103859928</v>
      </c>
    </row>
    <row r="98" customFormat="false" ht="15" hidden="false" customHeight="false" outlineLevel="0" collapsed="false">
      <c r="A98" s="7" t="n">
        <v>4413328</v>
      </c>
      <c r="B98" s="7" t="str">
        <f aca="false">IFERROR(INDEX('Source 2026'!$C:$C,MATCH($A98,'Source 2026'!$B:$B,0)),IFERROR(INDEX('Source 2025'!$C:$C,MATCH($A98,'Source 2025'!$B:$B,0)),""))</f>
        <v>AC43D מגן ברך + צירים</v>
      </c>
      <c r="C98" s="8" t="n">
        <f aca="false">SUMIFS('Source 2025'!$D:$D,'Source 2025'!$B:$B,$A98,'Source 2025'!$A:$A,"Quantity (units)")+SUMIFS('Source 2025'!$E:$E,'Source 2025'!$B:$B,$A98,'Source 2025'!$A:$A,"Quantity (units)")+SUMIFS('Source 2025'!$F:$F,'Source 2025'!$B:$B,$A98,'Source 2025'!$A:$A,"Quantity (units)")+SUMIFS('Source 2025'!$G:$G,'Source 2025'!$B:$B,$A98,'Source 2025'!$A:$A,"Quantity (units)")+SUMIFS('Source 2025'!$J:$J,'Source 2025'!$B:$B,$A98,'Source 2025'!$A:$A,"Quantity (units)")+SUMIFS('Source 2025'!$M:$M,'Source 2025'!$B:$B,$A98,'Source 2025'!$A:$A,"Quantity (units)")</f>
        <v>103</v>
      </c>
      <c r="D98" s="8" t="n">
        <f aca="false">SUMIFS('Source 2026'!$D:$D,'Source 2026'!$B:$B,$A98,'Source 2026'!$A:$A,"Quantity (units)")+SUMIFS('Source 2026'!$E:$E,'Source 2026'!$B:$B,$A98,'Source 2026'!$A:$A,"Quantity (units)")+SUMIFS('Source 2026'!$F:$F,'Source 2026'!$B:$B,$A98,'Source 2026'!$A:$A,"Quantity (units)")+SUMIFS('Source 2026'!$G:$G,'Source 2026'!$B:$B,$A98,'Source 2026'!$A:$A,"Quantity (units)")+SUMIFS('Source 2026'!$J:$J,'Source 2026'!$B:$B,$A98,'Source 2026'!$A:$A,"Quantity (units)")+SUMIFS('Source 2026'!$M:$M,'Source 2026'!$B:$B,$A98,'Source 2026'!$A:$A,"Quantity (units)")</f>
        <v>73</v>
      </c>
      <c r="E98" s="8" t="n">
        <f aca="false">D98*$J$5</f>
        <v>100.114285714286</v>
      </c>
      <c r="F98" s="8" t="n">
        <f aca="false">E98-C98</f>
        <v>-2.88571428571429</v>
      </c>
      <c r="G98" s="9" t="n">
        <f aca="false">IF(AND(C98=0,E98=0),0,IF(C98=0,"New",(E98-C98)/C98))</f>
        <v>-0.0280166435506241</v>
      </c>
      <c r="H98" s="8" t="n">
        <f aca="false">SUMIFS('Source 2025'!$D:$D,'Source 2025'!$B:$B,$A98,'Source 2025'!$A:$A,"Amount (NIS)")+SUMIFS('Source 2025'!$E:$E,'Source 2025'!$B:$B,$A98,'Source 2025'!$A:$A,"Amount (NIS)")+SUMIFS('Source 2025'!$F:$F,'Source 2025'!$B:$B,$A98,'Source 2025'!$A:$A,"Amount (NIS)")+SUMIFS('Source 2025'!$G:$G,'Source 2025'!$B:$B,$A98,'Source 2025'!$A:$A,"Amount (NIS)")+SUMIFS('Source 2025'!$J:$J,'Source 2025'!$B:$B,$A98,'Source 2025'!$A:$A,"Amount (NIS)")+SUMIFS('Source 2025'!$M:$M,'Source 2025'!$B:$B,$A98,'Source 2025'!$A:$A,"Amount (NIS)")</f>
        <v>9674.1</v>
      </c>
      <c r="I98" s="8" t="n">
        <f aca="false">SUMIFS('Source 2026'!$D:$D,'Source 2026'!$B:$B,$A98,'Source 2026'!$A:$A,"Amount (NIS)")+SUMIFS('Source 2026'!$E:$E,'Source 2026'!$B:$B,$A98,'Source 2026'!$A:$A,"Amount (NIS)")+SUMIFS('Source 2026'!$F:$F,'Source 2026'!$B:$B,$A98,'Source 2026'!$A:$A,"Amount (NIS)")+SUMIFS('Source 2026'!$G:$G,'Source 2026'!$B:$B,$A98,'Source 2026'!$A:$A,"Amount (NIS)")+SUMIFS('Source 2026'!$J:$J,'Source 2026'!$B:$B,$A98,'Source 2026'!$A:$A,"Amount (NIS)")+SUMIFS('Source 2026'!$M:$M,'Source 2026'!$B:$B,$A98,'Source 2026'!$A:$A,"Amount (NIS)")</f>
        <v>7022.6</v>
      </c>
      <c r="J98" s="8" t="n">
        <f aca="false">I98*$J$5</f>
        <v>9630.99428571429</v>
      </c>
      <c r="K98" s="8" t="n">
        <f aca="false">J98-H98</f>
        <v>-43.1057142857135</v>
      </c>
      <c r="L98" s="9" t="n">
        <f aca="false">IF(AND(H98=0,J98=0),0,IF(H98=0,"New",(J98-H98)/H98))</f>
        <v>-0.00445578547727576</v>
      </c>
    </row>
    <row r="99" customFormat="false" ht="15" hidden="false" customHeight="false" outlineLevel="0" collapsed="false">
      <c r="A99" s="7" t="n">
        <v>4422006</v>
      </c>
      <c r="B99" s="7" t="str">
        <f aca="false">IFERROR(INDEX('Source 2026'!$C:$C,MATCH($A99,'Source 2026'!$B:$B,0)),IFERROR(INDEX('Source 2025'!$C:$C,MATCH($A99,'Source 2025'!$B:$B,0)),""))</f>
        <v>T78 L תומך זרוע וכתף</v>
      </c>
      <c r="C99" s="8" t="n">
        <f aca="false">SUMIFS('Source 2025'!$D:$D,'Source 2025'!$B:$B,$A99,'Source 2025'!$A:$A,"Quantity (units)")+SUMIFS('Source 2025'!$E:$E,'Source 2025'!$B:$B,$A99,'Source 2025'!$A:$A,"Quantity (units)")+SUMIFS('Source 2025'!$F:$F,'Source 2025'!$B:$B,$A99,'Source 2025'!$A:$A,"Quantity (units)")+SUMIFS('Source 2025'!$G:$G,'Source 2025'!$B:$B,$A99,'Source 2025'!$A:$A,"Quantity (units)")+SUMIFS('Source 2025'!$J:$J,'Source 2025'!$B:$B,$A99,'Source 2025'!$A:$A,"Quantity (units)")+SUMIFS('Source 2025'!$M:$M,'Source 2025'!$B:$B,$A99,'Source 2025'!$A:$A,"Quantity (units)")</f>
        <v>38</v>
      </c>
      <c r="D99" s="8" t="n">
        <f aca="false">SUMIFS('Source 2026'!$D:$D,'Source 2026'!$B:$B,$A99,'Source 2026'!$A:$A,"Quantity (units)")+SUMIFS('Source 2026'!$E:$E,'Source 2026'!$B:$B,$A99,'Source 2026'!$A:$A,"Quantity (units)")+SUMIFS('Source 2026'!$F:$F,'Source 2026'!$B:$B,$A99,'Source 2026'!$A:$A,"Quantity (units)")+SUMIFS('Source 2026'!$G:$G,'Source 2026'!$B:$B,$A99,'Source 2026'!$A:$A,"Quantity (units)")+SUMIFS('Source 2026'!$J:$J,'Source 2026'!$B:$B,$A99,'Source 2026'!$A:$A,"Quantity (units)")+SUMIFS('Source 2026'!$M:$M,'Source 2026'!$B:$B,$A99,'Source 2026'!$A:$A,"Quantity (units)")</f>
        <v>25</v>
      </c>
      <c r="E99" s="8" t="n">
        <f aca="false">D99*$J$5</f>
        <v>34.2857142857143</v>
      </c>
      <c r="F99" s="8" t="n">
        <f aca="false">E99-C99</f>
        <v>-3.71428571428572</v>
      </c>
      <c r="G99" s="9" t="n">
        <f aca="false">IF(AND(C99=0,E99=0),0,IF(C99=0,"New",(E99-C99)/C99))</f>
        <v>-0.0977443609022557</v>
      </c>
      <c r="H99" s="8" t="n">
        <f aca="false">SUMIFS('Source 2025'!$D:$D,'Source 2025'!$B:$B,$A99,'Source 2025'!$A:$A,"Amount (NIS)")+SUMIFS('Source 2025'!$E:$E,'Source 2025'!$B:$B,$A99,'Source 2025'!$A:$A,"Amount (NIS)")+SUMIFS('Source 2025'!$F:$F,'Source 2025'!$B:$B,$A99,'Source 2025'!$A:$A,"Amount (NIS)")+SUMIFS('Source 2025'!$G:$G,'Source 2025'!$B:$B,$A99,'Source 2025'!$A:$A,"Amount (NIS)")+SUMIFS('Source 2025'!$J:$J,'Source 2025'!$B:$B,$A99,'Source 2025'!$A:$A,"Amount (NIS)")+SUMIFS('Source 2025'!$M:$M,'Source 2025'!$B:$B,$A99,'Source 2025'!$A:$A,"Amount (NIS)")</f>
        <v>7103.2</v>
      </c>
      <c r="I99" s="8" t="n">
        <f aca="false">SUMIFS('Source 2026'!$D:$D,'Source 2026'!$B:$B,$A99,'Source 2026'!$A:$A,"Amount (NIS)")+SUMIFS('Source 2026'!$E:$E,'Source 2026'!$B:$B,$A99,'Source 2026'!$A:$A,"Amount (NIS)")+SUMIFS('Source 2026'!$F:$F,'Source 2026'!$B:$B,$A99,'Source 2026'!$A:$A,"Amount (NIS)")+SUMIFS('Source 2026'!$G:$G,'Source 2026'!$B:$B,$A99,'Source 2026'!$A:$A,"Amount (NIS)")+SUMIFS('Source 2026'!$J:$J,'Source 2026'!$B:$B,$A99,'Source 2026'!$A:$A,"Amount (NIS)")+SUMIFS('Source 2026'!$M:$M,'Source 2026'!$B:$B,$A99,'Source 2026'!$A:$A,"Amount (NIS)")</f>
        <v>4518.4</v>
      </c>
      <c r="J99" s="8" t="n">
        <f aca="false">I99*$J$5</f>
        <v>6196.66285714286</v>
      </c>
      <c r="K99" s="8" t="n">
        <f aca="false">J99-H99</f>
        <v>-906.537142857144</v>
      </c>
      <c r="L99" s="9" t="n">
        <f aca="false">IF(AND(H99=0,J99=0),0,IF(H99=0,"New",(J99-H99)/H99))</f>
        <v>-0.127623767155246</v>
      </c>
    </row>
    <row r="100" customFormat="false" ht="15" hidden="false" customHeight="false" outlineLevel="0" collapsed="false">
      <c r="A100" s="7" t="n">
        <v>4413103</v>
      </c>
      <c r="B100" s="7" t="str">
        <f aca="false">IFERROR(INDEX('Source 2026'!$C:$C,MATCH($A100,'Source 2026'!$B:$B,0)),IFERROR(INDEX('Source 2025'!$C:$C,MATCH($A100,'Source 2025'!$B:$B,0)),""))</f>
        <v>45E Mמגן ברך ארוך לבן</v>
      </c>
      <c r="C100" s="8" t="n">
        <f aca="false">SUMIFS('Source 2025'!$D:$D,'Source 2025'!$B:$B,$A100,'Source 2025'!$A:$A,"Quantity (units)")+SUMIFS('Source 2025'!$E:$E,'Source 2025'!$B:$B,$A100,'Source 2025'!$A:$A,"Quantity (units)")+SUMIFS('Source 2025'!$F:$F,'Source 2025'!$B:$B,$A100,'Source 2025'!$A:$A,"Quantity (units)")+SUMIFS('Source 2025'!$G:$G,'Source 2025'!$B:$B,$A100,'Source 2025'!$A:$A,"Quantity (units)")+SUMIFS('Source 2025'!$J:$J,'Source 2025'!$B:$B,$A100,'Source 2025'!$A:$A,"Quantity (units)")+SUMIFS('Source 2025'!$M:$M,'Source 2025'!$B:$B,$A100,'Source 2025'!$A:$A,"Quantity (units)")</f>
        <v>139</v>
      </c>
      <c r="D100" s="8" t="n">
        <f aca="false">SUMIFS('Source 2026'!$D:$D,'Source 2026'!$B:$B,$A100,'Source 2026'!$A:$A,"Quantity (units)")+SUMIFS('Source 2026'!$E:$E,'Source 2026'!$B:$B,$A100,'Source 2026'!$A:$A,"Quantity (units)")+SUMIFS('Source 2026'!$F:$F,'Source 2026'!$B:$B,$A100,'Source 2026'!$A:$A,"Quantity (units)")+SUMIFS('Source 2026'!$G:$G,'Source 2026'!$B:$B,$A100,'Source 2026'!$A:$A,"Quantity (units)")+SUMIFS('Source 2026'!$J:$J,'Source 2026'!$B:$B,$A100,'Source 2026'!$A:$A,"Quantity (units)")+SUMIFS('Source 2026'!$M:$M,'Source 2026'!$B:$B,$A100,'Source 2026'!$A:$A,"Quantity (units)")</f>
        <v>67</v>
      </c>
      <c r="E100" s="8" t="n">
        <f aca="false">D100*$J$5</f>
        <v>91.8857142857143</v>
      </c>
      <c r="F100" s="8" t="n">
        <f aca="false">E100-C100</f>
        <v>-47.1142857142857</v>
      </c>
      <c r="G100" s="9" t="n">
        <f aca="false">IF(AND(C100=0,E100=0),0,IF(C100=0,"New",(E100-C100)/C100))</f>
        <v>-0.338951695786228</v>
      </c>
      <c r="H100" s="8" t="n">
        <f aca="false">SUMIFS('Source 2025'!$D:$D,'Source 2025'!$B:$B,$A100,'Source 2025'!$A:$A,"Amount (NIS)")+SUMIFS('Source 2025'!$E:$E,'Source 2025'!$B:$B,$A100,'Source 2025'!$A:$A,"Amount (NIS)")+SUMIFS('Source 2025'!$F:$F,'Source 2025'!$B:$B,$A100,'Source 2025'!$A:$A,"Amount (NIS)")+SUMIFS('Source 2025'!$G:$G,'Source 2025'!$B:$B,$A100,'Source 2025'!$A:$A,"Amount (NIS)")+SUMIFS('Source 2025'!$J:$J,'Source 2025'!$B:$B,$A100,'Source 2025'!$A:$A,"Amount (NIS)")+SUMIFS('Source 2025'!$M:$M,'Source 2025'!$B:$B,$A100,'Source 2025'!$A:$A,"Amount (NIS)")</f>
        <v>4952.2</v>
      </c>
      <c r="I100" s="8" t="n">
        <f aca="false">SUMIFS('Source 2026'!$D:$D,'Source 2026'!$B:$B,$A100,'Source 2026'!$A:$A,"Amount (NIS)")+SUMIFS('Source 2026'!$E:$E,'Source 2026'!$B:$B,$A100,'Source 2026'!$A:$A,"Amount (NIS)")+SUMIFS('Source 2026'!$F:$F,'Source 2026'!$B:$B,$A100,'Source 2026'!$A:$A,"Amount (NIS)")+SUMIFS('Source 2026'!$G:$G,'Source 2026'!$B:$B,$A100,'Source 2026'!$A:$A,"Amount (NIS)")+SUMIFS('Source 2026'!$J:$J,'Source 2026'!$B:$B,$A100,'Source 2026'!$A:$A,"Amount (NIS)")+SUMIFS('Source 2026'!$M:$M,'Source 2026'!$B:$B,$A100,'Source 2026'!$A:$A,"Amount (NIS)")</f>
        <v>2369.5</v>
      </c>
      <c r="J100" s="8" t="n">
        <f aca="false">I100*$J$5</f>
        <v>3249.6</v>
      </c>
      <c r="K100" s="8" t="n">
        <f aca="false">J100-H100</f>
        <v>-1702.6</v>
      </c>
      <c r="L100" s="9" t="n">
        <f aca="false">IF(AND(H100=0,J100=0),0,IF(H100=0,"New",(J100-H100)/H100))</f>
        <v>-0.343806792940511</v>
      </c>
    </row>
    <row r="101" customFormat="false" ht="15" hidden="false" customHeight="false" outlineLevel="0" collapsed="false">
      <c r="A101" s="7" t="n">
        <v>4413364</v>
      </c>
      <c r="B101" s="7" t="str">
        <f aca="false">IFERROR(INDEX('Source 2026'!$C:$C,MATCH($A101,'Source 2026'!$B:$B,0)),IFERROR(INDEX('Source 2025'!$C:$C,MATCH($A101,'Source 2025'!$B:$B,0)),""))</f>
        <v>95C M 'מגן מרפק בז</v>
      </c>
      <c r="C101" s="8" t="n">
        <f aca="false">SUMIFS('Source 2025'!$D:$D,'Source 2025'!$B:$B,$A101,'Source 2025'!$A:$A,"Quantity (units)")+SUMIFS('Source 2025'!$E:$E,'Source 2025'!$B:$B,$A101,'Source 2025'!$A:$A,"Quantity (units)")+SUMIFS('Source 2025'!$F:$F,'Source 2025'!$B:$B,$A101,'Source 2025'!$A:$A,"Quantity (units)")+SUMIFS('Source 2025'!$G:$G,'Source 2025'!$B:$B,$A101,'Source 2025'!$A:$A,"Quantity (units)")+SUMIFS('Source 2025'!$J:$J,'Source 2025'!$B:$B,$A101,'Source 2025'!$A:$A,"Quantity (units)")+SUMIFS('Source 2025'!$M:$M,'Source 2025'!$B:$B,$A101,'Source 2025'!$A:$A,"Quantity (units)")</f>
        <v>216</v>
      </c>
      <c r="D101" s="8" t="n">
        <f aca="false">SUMIFS('Source 2026'!$D:$D,'Source 2026'!$B:$B,$A101,'Source 2026'!$A:$A,"Quantity (units)")+SUMIFS('Source 2026'!$E:$E,'Source 2026'!$B:$B,$A101,'Source 2026'!$A:$A,"Quantity (units)")+SUMIFS('Source 2026'!$F:$F,'Source 2026'!$B:$B,$A101,'Source 2026'!$A:$A,"Quantity (units)")+SUMIFS('Source 2026'!$G:$G,'Source 2026'!$B:$B,$A101,'Source 2026'!$A:$A,"Quantity (units)")+SUMIFS('Source 2026'!$J:$J,'Source 2026'!$B:$B,$A101,'Source 2026'!$A:$A,"Quantity (units)")+SUMIFS('Source 2026'!$M:$M,'Source 2026'!$B:$B,$A101,'Source 2026'!$A:$A,"Quantity (units)")</f>
        <v>129</v>
      </c>
      <c r="E101" s="8" t="n">
        <f aca="false">D101*$J$5</f>
        <v>176.914285714286</v>
      </c>
      <c r="F101" s="8" t="n">
        <f aca="false">E101-C101</f>
        <v>-39.0857142857143</v>
      </c>
      <c r="G101" s="9" t="n">
        <f aca="false">IF(AND(C101=0,E101=0),0,IF(C101=0,"New",(E101-C101)/C101))</f>
        <v>-0.180952380952381</v>
      </c>
      <c r="H101" s="8" t="n">
        <f aca="false">SUMIFS('Source 2025'!$D:$D,'Source 2025'!$B:$B,$A101,'Source 2025'!$A:$A,"Amount (NIS)")+SUMIFS('Source 2025'!$E:$E,'Source 2025'!$B:$B,$A101,'Source 2025'!$A:$A,"Amount (NIS)")+SUMIFS('Source 2025'!$F:$F,'Source 2025'!$B:$B,$A101,'Source 2025'!$A:$A,"Amount (NIS)")+SUMIFS('Source 2025'!$G:$G,'Source 2025'!$B:$B,$A101,'Source 2025'!$A:$A,"Amount (NIS)")+SUMIFS('Source 2025'!$J:$J,'Source 2025'!$B:$B,$A101,'Source 2025'!$A:$A,"Amount (NIS)")+SUMIFS('Source 2025'!$M:$M,'Source 2025'!$B:$B,$A101,'Source 2025'!$A:$A,"Amount (NIS)")</f>
        <v>6434.6</v>
      </c>
      <c r="I101" s="8" t="n">
        <f aca="false">SUMIFS('Source 2026'!$D:$D,'Source 2026'!$B:$B,$A101,'Source 2026'!$A:$A,"Amount (NIS)")+SUMIFS('Source 2026'!$E:$E,'Source 2026'!$B:$B,$A101,'Source 2026'!$A:$A,"Amount (NIS)")+SUMIFS('Source 2026'!$F:$F,'Source 2026'!$B:$B,$A101,'Source 2026'!$A:$A,"Amount (NIS)")+SUMIFS('Source 2026'!$G:$G,'Source 2026'!$B:$B,$A101,'Source 2026'!$A:$A,"Amount (NIS)")+SUMIFS('Source 2026'!$J:$J,'Source 2026'!$B:$B,$A101,'Source 2026'!$A:$A,"Amount (NIS)")+SUMIFS('Source 2026'!$M:$M,'Source 2026'!$B:$B,$A101,'Source 2026'!$A:$A,"Amount (NIS)")</f>
        <v>3857.9</v>
      </c>
      <c r="J101" s="8" t="n">
        <f aca="false">I101*$J$5</f>
        <v>5290.83428571429</v>
      </c>
      <c r="K101" s="8" t="n">
        <f aca="false">J101-H101</f>
        <v>-1143.76571428571</v>
      </c>
      <c r="L101" s="9" t="n">
        <f aca="false">IF(AND(H101=0,J101=0),0,IF(H101=0,"New",(J101-H101)/H101))</f>
        <v>-0.177752418842774</v>
      </c>
    </row>
    <row r="102" customFormat="false" ht="15" hidden="false" customHeight="false" outlineLevel="0" collapsed="false">
      <c r="A102" s="7" t="n">
        <v>4416003</v>
      </c>
      <c r="B102" s="7" t="str">
        <f aca="false">IFERROR(INDEX('Source 2026'!$C:$C,MATCH($A102,'Source 2026'!$B:$B,0)),IFERROR(INDEX('Source 2025'!$C:$C,MATCH($A102,'Source 2025'!$B:$B,0)),""))</f>
        <v>308 Lעקבים סיליקון כחול לדורבן</v>
      </c>
      <c r="C102" s="8" t="n">
        <f aca="false">SUMIFS('Source 2025'!$D:$D,'Source 2025'!$B:$B,$A102,'Source 2025'!$A:$A,"Quantity (units)")+SUMIFS('Source 2025'!$E:$E,'Source 2025'!$B:$B,$A102,'Source 2025'!$A:$A,"Quantity (units)")+SUMIFS('Source 2025'!$F:$F,'Source 2025'!$B:$B,$A102,'Source 2025'!$A:$A,"Quantity (units)")+SUMIFS('Source 2025'!$G:$G,'Source 2025'!$B:$B,$A102,'Source 2025'!$A:$A,"Quantity (units)")+SUMIFS('Source 2025'!$J:$J,'Source 2025'!$B:$B,$A102,'Source 2025'!$A:$A,"Quantity (units)")+SUMIFS('Source 2025'!$M:$M,'Source 2025'!$B:$B,$A102,'Source 2025'!$A:$A,"Quantity (units)")</f>
        <v>124</v>
      </c>
      <c r="D102" s="8" t="n">
        <f aca="false">SUMIFS('Source 2026'!$D:$D,'Source 2026'!$B:$B,$A102,'Source 2026'!$A:$A,"Quantity (units)")+SUMIFS('Source 2026'!$E:$E,'Source 2026'!$B:$B,$A102,'Source 2026'!$A:$A,"Quantity (units)")+SUMIFS('Source 2026'!$F:$F,'Source 2026'!$B:$B,$A102,'Source 2026'!$A:$A,"Quantity (units)")+SUMIFS('Source 2026'!$G:$G,'Source 2026'!$B:$B,$A102,'Source 2026'!$A:$A,"Quantity (units)")+SUMIFS('Source 2026'!$J:$J,'Source 2026'!$B:$B,$A102,'Source 2026'!$A:$A,"Quantity (units)")+SUMIFS('Source 2026'!$M:$M,'Source 2026'!$B:$B,$A102,'Source 2026'!$A:$A,"Quantity (units)")</f>
        <v>75</v>
      </c>
      <c r="E102" s="8" t="n">
        <f aca="false">D102*$J$5</f>
        <v>102.857142857143</v>
      </c>
      <c r="F102" s="8" t="n">
        <f aca="false">E102-C102</f>
        <v>-21.1428571428571</v>
      </c>
      <c r="G102" s="9" t="n">
        <f aca="false">IF(AND(C102=0,E102=0),0,IF(C102=0,"New",(E102-C102)/C102))</f>
        <v>-0.170506912442396</v>
      </c>
      <c r="H102" s="8" t="n">
        <f aca="false">SUMIFS('Source 2025'!$D:$D,'Source 2025'!$B:$B,$A102,'Source 2025'!$A:$A,"Amount (NIS)")+SUMIFS('Source 2025'!$E:$E,'Source 2025'!$B:$B,$A102,'Source 2025'!$A:$A,"Amount (NIS)")+SUMIFS('Source 2025'!$F:$F,'Source 2025'!$B:$B,$A102,'Source 2025'!$A:$A,"Amount (NIS)")+SUMIFS('Source 2025'!$G:$G,'Source 2025'!$B:$B,$A102,'Source 2025'!$A:$A,"Amount (NIS)")+SUMIFS('Source 2025'!$J:$J,'Source 2025'!$B:$B,$A102,'Source 2025'!$A:$A,"Amount (NIS)")+SUMIFS('Source 2025'!$M:$M,'Source 2025'!$B:$B,$A102,'Source 2025'!$A:$A,"Amount (NIS)")</f>
        <v>6812.1</v>
      </c>
      <c r="I102" s="8" t="n">
        <f aca="false">SUMIFS('Source 2026'!$D:$D,'Source 2026'!$B:$B,$A102,'Source 2026'!$A:$A,"Amount (NIS)")+SUMIFS('Source 2026'!$E:$E,'Source 2026'!$B:$B,$A102,'Source 2026'!$A:$A,"Amount (NIS)")+SUMIFS('Source 2026'!$F:$F,'Source 2026'!$B:$B,$A102,'Source 2026'!$A:$A,"Amount (NIS)")+SUMIFS('Source 2026'!$G:$G,'Source 2026'!$B:$B,$A102,'Source 2026'!$A:$A,"Amount (NIS)")+SUMIFS('Source 2026'!$J:$J,'Source 2026'!$B:$B,$A102,'Source 2026'!$A:$A,"Amount (NIS)")+SUMIFS('Source 2026'!$M:$M,'Source 2026'!$B:$B,$A102,'Source 2026'!$A:$A,"Amount (NIS)")</f>
        <v>4255.9</v>
      </c>
      <c r="J102" s="8" t="n">
        <f aca="false">I102*$J$5</f>
        <v>5836.66285714286</v>
      </c>
      <c r="K102" s="8" t="n">
        <f aca="false">J102-H102</f>
        <v>-975.437142857144</v>
      </c>
      <c r="L102" s="9" t="n">
        <f aca="false">IF(AND(H102=0,J102=0),0,IF(H102=0,"New",(J102-H102)/H102))</f>
        <v>-0.143191841408251</v>
      </c>
    </row>
    <row r="103" customFormat="false" ht="15" hidden="false" customHeight="false" outlineLevel="0" collapsed="false">
      <c r="A103" s="7" t="n">
        <v>4422026</v>
      </c>
      <c r="B103" s="7" t="str">
        <f aca="false">IFERROR(INDEX('Source 2026'!$C:$C,MATCH($A103,'Source 2026'!$B:$B,0)),IFERROR(INDEX('Source 2025'!$C:$C,MATCH($A103,'Source 2025'!$B:$B,0)),""))</f>
        <v>806CB-PINK       תחבושת א.נצמ</v>
      </c>
      <c r="C103" s="8" t="n">
        <f aca="false">SUMIFS('Source 2025'!$D:$D,'Source 2025'!$B:$B,$A103,'Source 2025'!$A:$A,"Quantity (units)")+SUMIFS('Source 2025'!$E:$E,'Source 2025'!$B:$B,$A103,'Source 2025'!$A:$A,"Quantity (units)")+SUMIFS('Source 2025'!$F:$F,'Source 2025'!$B:$B,$A103,'Source 2025'!$A:$A,"Quantity (units)")+SUMIFS('Source 2025'!$G:$G,'Source 2025'!$B:$B,$A103,'Source 2025'!$A:$A,"Quantity (units)")+SUMIFS('Source 2025'!$J:$J,'Source 2025'!$B:$B,$A103,'Source 2025'!$A:$A,"Quantity (units)")+SUMIFS('Source 2025'!$M:$M,'Source 2025'!$B:$B,$A103,'Source 2025'!$A:$A,"Quantity (units)")</f>
        <v>471</v>
      </c>
      <c r="D103" s="8" t="n">
        <f aca="false">SUMIFS('Source 2026'!$D:$D,'Source 2026'!$B:$B,$A103,'Source 2026'!$A:$A,"Quantity (units)")+SUMIFS('Source 2026'!$E:$E,'Source 2026'!$B:$B,$A103,'Source 2026'!$A:$A,"Quantity (units)")+SUMIFS('Source 2026'!$F:$F,'Source 2026'!$B:$B,$A103,'Source 2026'!$A:$A,"Quantity (units)")+SUMIFS('Source 2026'!$G:$G,'Source 2026'!$B:$B,$A103,'Source 2026'!$A:$A,"Quantity (units)")+SUMIFS('Source 2026'!$J:$J,'Source 2026'!$B:$B,$A103,'Source 2026'!$A:$A,"Quantity (units)")+SUMIFS('Source 2026'!$M:$M,'Source 2026'!$B:$B,$A103,'Source 2026'!$A:$A,"Quantity (units)")</f>
        <v>192</v>
      </c>
      <c r="E103" s="8" t="n">
        <f aca="false">D103*$J$5</f>
        <v>263.314285714286</v>
      </c>
      <c r="F103" s="8" t="n">
        <f aca="false">E103-C103</f>
        <v>-207.685714285714</v>
      </c>
      <c r="G103" s="9" t="n">
        <f aca="false">IF(AND(C103=0,E103=0),0,IF(C103=0,"New",(E103-C103)/C103))</f>
        <v>-0.440946314831665</v>
      </c>
      <c r="H103" s="8" t="n">
        <f aca="false">SUMIFS('Source 2025'!$D:$D,'Source 2025'!$B:$B,$A103,'Source 2025'!$A:$A,"Amount (NIS)")+SUMIFS('Source 2025'!$E:$E,'Source 2025'!$B:$B,$A103,'Source 2025'!$A:$A,"Amount (NIS)")+SUMIFS('Source 2025'!$F:$F,'Source 2025'!$B:$B,$A103,'Source 2025'!$A:$A,"Amount (NIS)")+SUMIFS('Source 2025'!$G:$G,'Source 2025'!$B:$B,$A103,'Source 2025'!$A:$A,"Amount (NIS)")+SUMIFS('Source 2025'!$J:$J,'Source 2025'!$B:$B,$A103,'Source 2025'!$A:$A,"Amount (NIS)")+SUMIFS('Source 2025'!$M:$M,'Source 2025'!$B:$B,$A103,'Source 2025'!$A:$A,"Amount (NIS)")</f>
        <v>4693.4</v>
      </c>
      <c r="I103" s="8" t="n">
        <f aca="false">SUMIFS('Source 2026'!$D:$D,'Source 2026'!$B:$B,$A103,'Source 2026'!$A:$A,"Amount (NIS)")+SUMIFS('Source 2026'!$E:$E,'Source 2026'!$B:$B,$A103,'Source 2026'!$A:$A,"Amount (NIS)")+SUMIFS('Source 2026'!$F:$F,'Source 2026'!$B:$B,$A103,'Source 2026'!$A:$A,"Amount (NIS)")+SUMIFS('Source 2026'!$G:$G,'Source 2026'!$B:$B,$A103,'Source 2026'!$A:$A,"Amount (NIS)")+SUMIFS('Source 2026'!$J:$J,'Source 2026'!$B:$B,$A103,'Source 2026'!$A:$A,"Amount (NIS)")+SUMIFS('Source 2026'!$M:$M,'Source 2026'!$B:$B,$A103,'Source 2026'!$A:$A,"Amount (NIS)")</f>
        <v>2138.5</v>
      </c>
      <c r="J103" s="8" t="n">
        <f aca="false">I103*$J$5</f>
        <v>2932.8</v>
      </c>
      <c r="K103" s="8" t="n">
        <f aca="false">J103-H103</f>
        <v>-1760.6</v>
      </c>
      <c r="L103" s="9" t="n">
        <f aca="false">IF(AND(H103=0,J103=0),0,IF(H103=0,"New",(J103-H103)/H103))</f>
        <v>-0.375122512464312</v>
      </c>
    </row>
    <row r="104" customFormat="false" ht="15" hidden="false" customHeight="false" outlineLevel="0" collapsed="false">
      <c r="A104" s="7" t="n">
        <v>4408116</v>
      </c>
      <c r="B104" s="7" t="str">
        <f aca="false">IFERROR(INDEX('Source 2026'!$C:$C,MATCH($A104,'Source 2026'!$B:$B,0)),IFERROR(INDEX('Source 2025'!$C:$C,MATCH($A104,'Source 2025'!$B:$B,0)),""))</f>
        <v>11EU XLח.בטן לאחר ניתוח</v>
      </c>
      <c r="C104" s="8" t="n">
        <f aca="false">SUMIFS('Source 2025'!$D:$D,'Source 2025'!$B:$B,$A104,'Source 2025'!$A:$A,"Quantity (units)")+SUMIFS('Source 2025'!$E:$E,'Source 2025'!$B:$B,$A104,'Source 2025'!$A:$A,"Quantity (units)")+SUMIFS('Source 2025'!$F:$F,'Source 2025'!$B:$B,$A104,'Source 2025'!$A:$A,"Quantity (units)")+SUMIFS('Source 2025'!$G:$G,'Source 2025'!$B:$B,$A104,'Source 2025'!$A:$A,"Quantity (units)")+SUMIFS('Source 2025'!$J:$J,'Source 2025'!$B:$B,$A104,'Source 2025'!$A:$A,"Quantity (units)")+SUMIFS('Source 2025'!$M:$M,'Source 2025'!$B:$B,$A104,'Source 2025'!$A:$A,"Quantity (units)")</f>
        <v>34</v>
      </c>
      <c r="D104" s="8" t="n">
        <f aca="false">SUMIFS('Source 2026'!$D:$D,'Source 2026'!$B:$B,$A104,'Source 2026'!$A:$A,"Quantity (units)")+SUMIFS('Source 2026'!$E:$E,'Source 2026'!$B:$B,$A104,'Source 2026'!$A:$A,"Quantity (units)")+SUMIFS('Source 2026'!$F:$F,'Source 2026'!$B:$B,$A104,'Source 2026'!$A:$A,"Quantity (units)")+SUMIFS('Source 2026'!$G:$G,'Source 2026'!$B:$B,$A104,'Source 2026'!$A:$A,"Quantity (units)")+SUMIFS('Source 2026'!$J:$J,'Source 2026'!$B:$B,$A104,'Source 2026'!$A:$A,"Quantity (units)")+SUMIFS('Source 2026'!$M:$M,'Source 2026'!$B:$B,$A104,'Source 2026'!$A:$A,"Quantity (units)")</f>
        <v>9</v>
      </c>
      <c r="E104" s="8" t="n">
        <f aca="false">D104*$J$5</f>
        <v>12.3428571428571</v>
      </c>
      <c r="F104" s="8" t="n">
        <f aca="false">E104-C104</f>
        <v>-21.6571428571429</v>
      </c>
      <c r="G104" s="9" t="n">
        <f aca="false">IF(AND(C104=0,E104=0),0,IF(C104=0,"New",(E104-C104)/C104))</f>
        <v>-0.636974789915967</v>
      </c>
      <c r="H104" s="8" t="n">
        <f aca="false">SUMIFS('Source 2025'!$D:$D,'Source 2025'!$B:$B,$A104,'Source 2025'!$A:$A,"Amount (NIS)")+SUMIFS('Source 2025'!$E:$E,'Source 2025'!$B:$B,$A104,'Source 2025'!$A:$A,"Amount (NIS)")+SUMIFS('Source 2025'!$F:$F,'Source 2025'!$B:$B,$A104,'Source 2025'!$A:$A,"Amount (NIS)")+SUMIFS('Source 2025'!$G:$G,'Source 2025'!$B:$B,$A104,'Source 2025'!$A:$A,"Amount (NIS)")+SUMIFS('Source 2025'!$J:$J,'Source 2025'!$B:$B,$A104,'Source 2025'!$A:$A,"Amount (NIS)")+SUMIFS('Source 2025'!$M:$M,'Source 2025'!$B:$B,$A104,'Source 2025'!$A:$A,"Amount (NIS)")</f>
        <v>3540</v>
      </c>
      <c r="I104" s="8" t="n">
        <f aca="false">SUMIFS('Source 2026'!$D:$D,'Source 2026'!$B:$B,$A104,'Source 2026'!$A:$A,"Amount (NIS)")+SUMIFS('Source 2026'!$E:$E,'Source 2026'!$B:$B,$A104,'Source 2026'!$A:$A,"Amount (NIS)")+SUMIFS('Source 2026'!$F:$F,'Source 2026'!$B:$B,$A104,'Source 2026'!$A:$A,"Amount (NIS)")+SUMIFS('Source 2026'!$G:$G,'Source 2026'!$B:$B,$A104,'Source 2026'!$A:$A,"Amount (NIS)")+SUMIFS('Source 2026'!$J:$J,'Source 2026'!$B:$B,$A104,'Source 2026'!$A:$A,"Amount (NIS)")+SUMIFS('Source 2026'!$M:$M,'Source 2026'!$B:$B,$A104,'Source 2026'!$A:$A,"Amount (NIS)")</f>
        <v>990.9</v>
      </c>
      <c r="J104" s="8" t="n">
        <f aca="false">I104*$J$5</f>
        <v>1358.94857142857</v>
      </c>
      <c r="K104" s="8" t="n">
        <f aca="false">J104-H104</f>
        <v>-2181.05142857143</v>
      </c>
      <c r="L104" s="9" t="n">
        <f aca="false">IF(AND(H104=0,J104=0),0,IF(H104=0,"New",(J104-H104)/H104))</f>
        <v>-0.616116222760291</v>
      </c>
    </row>
    <row r="105" customFormat="false" ht="15" hidden="false" customHeight="false" outlineLevel="0" collapsed="false">
      <c r="A105" s="7" t="n">
        <v>4422025</v>
      </c>
      <c r="B105" s="7" t="str">
        <f aca="false">IFERROR(INDEX('Source 2026'!$C:$C,MATCH($A105,'Source 2026'!$B:$B,0)),IFERROR(INDEX('Source 2025'!$C:$C,MATCH($A105,'Source 2025'!$B:$B,0)),""))</f>
        <v>806CB-GREEN      תחבושת א.נצמ</v>
      </c>
      <c r="C105" s="8" t="n">
        <f aca="false">SUMIFS('Source 2025'!$D:$D,'Source 2025'!$B:$B,$A105,'Source 2025'!$A:$A,"Quantity (units)")+SUMIFS('Source 2025'!$E:$E,'Source 2025'!$B:$B,$A105,'Source 2025'!$A:$A,"Quantity (units)")+SUMIFS('Source 2025'!$F:$F,'Source 2025'!$B:$B,$A105,'Source 2025'!$A:$A,"Quantity (units)")+SUMIFS('Source 2025'!$G:$G,'Source 2025'!$B:$B,$A105,'Source 2025'!$A:$A,"Quantity (units)")+SUMIFS('Source 2025'!$J:$J,'Source 2025'!$B:$B,$A105,'Source 2025'!$A:$A,"Quantity (units)")+SUMIFS('Source 2025'!$M:$M,'Source 2025'!$B:$B,$A105,'Source 2025'!$A:$A,"Quantity (units)")</f>
        <v>476</v>
      </c>
      <c r="D105" s="8" t="n">
        <f aca="false">SUMIFS('Source 2026'!$D:$D,'Source 2026'!$B:$B,$A105,'Source 2026'!$A:$A,"Quantity (units)")+SUMIFS('Source 2026'!$E:$E,'Source 2026'!$B:$B,$A105,'Source 2026'!$A:$A,"Quantity (units)")+SUMIFS('Source 2026'!$F:$F,'Source 2026'!$B:$B,$A105,'Source 2026'!$A:$A,"Quantity (units)")+SUMIFS('Source 2026'!$G:$G,'Source 2026'!$B:$B,$A105,'Source 2026'!$A:$A,"Quantity (units)")+SUMIFS('Source 2026'!$J:$J,'Source 2026'!$B:$B,$A105,'Source 2026'!$A:$A,"Quantity (units)")+SUMIFS('Source 2026'!$M:$M,'Source 2026'!$B:$B,$A105,'Source 2026'!$A:$A,"Quantity (units)")</f>
        <v>180</v>
      </c>
      <c r="E105" s="8" t="n">
        <f aca="false">D105*$J$5</f>
        <v>246.857142857143</v>
      </c>
      <c r="F105" s="8" t="n">
        <f aca="false">E105-C105</f>
        <v>-229.142857142857</v>
      </c>
      <c r="G105" s="9" t="n">
        <f aca="false">IF(AND(C105=0,E105=0),0,IF(C105=0,"New",(E105-C105)/C105))</f>
        <v>-0.481392557022809</v>
      </c>
      <c r="H105" s="8" t="n">
        <f aca="false">SUMIFS('Source 2025'!$D:$D,'Source 2025'!$B:$B,$A105,'Source 2025'!$A:$A,"Amount (NIS)")+SUMIFS('Source 2025'!$E:$E,'Source 2025'!$B:$B,$A105,'Source 2025'!$A:$A,"Amount (NIS)")+SUMIFS('Source 2025'!$F:$F,'Source 2025'!$B:$B,$A105,'Source 2025'!$A:$A,"Amount (NIS)")+SUMIFS('Source 2025'!$G:$G,'Source 2025'!$B:$B,$A105,'Source 2025'!$A:$A,"Amount (NIS)")+SUMIFS('Source 2025'!$J:$J,'Source 2025'!$B:$B,$A105,'Source 2025'!$A:$A,"Amount (NIS)")+SUMIFS('Source 2025'!$M:$M,'Source 2025'!$B:$B,$A105,'Source 2025'!$A:$A,"Amount (NIS)")</f>
        <v>4540.6</v>
      </c>
      <c r="I105" s="8" t="n">
        <f aca="false">SUMIFS('Source 2026'!$D:$D,'Source 2026'!$B:$B,$A105,'Source 2026'!$A:$A,"Amount (NIS)")+SUMIFS('Source 2026'!$E:$E,'Source 2026'!$B:$B,$A105,'Source 2026'!$A:$A,"Amount (NIS)")+SUMIFS('Source 2026'!$F:$F,'Source 2026'!$B:$B,$A105,'Source 2026'!$A:$A,"Amount (NIS)")+SUMIFS('Source 2026'!$G:$G,'Source 2026'!$B:$B,$A105,'Source 2026'!$A:$A,"Amount (NIS)")+SUMIFS('Source 2026'!$J:$J,'Source 2026'!$B:$B,$A105,'Source 2026'!$A:$A,"Amount (NIS)")+SUMIFS('Source 2026'!$M:$M,'Source 2026'!$B:$B,$A105,'Source 2026'!$A:$A,"Amount (NIS)")</f>
        <v>2001.6</v>
      </c>
      <c r="J105" s="8" t="n">
        <f aca="false">I105*$J$5</f>
        <v>2745.05142857143</v>
      </c>
      <c r="K105" s="8" t="n">
        <f aca="false">J105-H105</f>
        <v>-1795.54857142857</v>
      </c>
      <c r="L105" s="9" t="n">
        <f aca="false">IF(AND(H105=0,J105=0),0,IF(H105=0,"New",(J105-H105)/H105))</f>
        <v>-0.395443018858427</v>
      </c>
    </row>
    <row r="106" customFormat="false" ht="15" hidden="false" customHeight="false" outlineLevel="0" collapsed="false">
      <c r="A106" s="7" t="n">
        <v>4413049</v>
      </c>
      <c r="B106" s="7" t="str">
        <f aca="false">IFERROR(INDEX('Source 2026'!$C:$C,MATCH($A106,'Source 2026'!$B:$B,0)),IFERROR(INDEX('Source 2025'!$C:$C,MATCH($A106,'Source 2025'!$B:$B,0)),""))</f>
        <v>35 M מגן קרסול לבן</v>
      </c>
      <c r="C106" s="8" t="n">
        <f aca="false">SUMIFS('Source 2025'!$D:$D,'Source 2025'!$B:$B,$A106,'Source 2025'!$A:$A,"Quantity (units)")+SUMIFS('Source 2025'!$E:$E,'Source 2025'!$B:$B,$A106,'Source 2025'!$A:$A,"Quantity (units)")+SUMIFS('Source 2025'!$F:$F,'Source 2025'!$B:$B,$A106,'Source 2025'!$A:$A,"Quantity (units)")+SUMIFS('Source 2025'!$G:$G,'Source 2025'!$B:$B,$A106,'Source 2025'!$A:$A,"Quantity (units)")+SUMIFS('Source 2025'!$J:$J,'Source 2025'!$B:$B,$A106,'Source 2025'!$A:$A,"Quantity (units)")+SUMIFS('Source 2025'!$M:$M,'Source 2025'!$B:$B,$A106,'Source 2025'!$A:$A,"Quantity (units)")</f>
        <v>222</v>
      </c>
      <c r="D106" s="8" t="n">
        <f aca="false">SUMIFS('Source 2026'!$D:$D,'Source 2026'!$B:$B,$A106,'Source 2026'!$A:$A,"Quantity (units)")+SUMIFS('Source 2026'!$E:$E,'Source 2026'!$B:$B,$A106,'Source 2026'!$A:$A,"Quantity (units)")+SUMIFS('Source 2026'!$F:$F,'Source 2026'!$B:$B,$A106,'Source 2026'!$A:$A,"Quantity (units)")+SUMIFS('Source 2026'!$G:$G,'Source 2026'!$B:$B,$A106,'Source 2026'!$A:$A,"Quantity (units)")+SUMIFS('Source 2026'!$J:$J,'Source 2026'!$B:$B,$A106,'Source 2026'!$A:$A,"Quantity (units)")+SUMIFS('Source 2026'!$M:$M,'Source 2026'!$B:$B,$A106,'Source 2026'!$A:$A,"Quantity (units)")</f>
        <v>134</v>
      </c>
      <c r="E106" s="8" t="n">
        <f aca="false">D106*$J$5</f>
        <v>183.771428571429</v>
      </c>
      <c r="F106" s="8" t="n">
        <f aca="false">E106-C106</f>
        <v>-38.2285714285714</v>
      </c>
      <c r="G106" s="9" t="n">
        <f aca="false">IF(AND(C106=0,E106=0),0,IF(C106=0,"New",(E106-C106)/C106))</f>
        <v>-0.172200772200772</v>
      </c>
      <c r="H106" s="8" t="n">
        <f aca="false">SUMIFS('Source 2025'!$D:$D,'Source 2025'!$B:$B,$A106,'Source 2025'!$A:$A,"Amount (NIS)")+SUMIFS('Source 2025'!$E:$E,'Source 2025'!$B:$B,$A106,'Source 2025'!$A:$A,"Amount (NIS)")+SUMIFS('Source 2025'!$F:$F,'Source 2025'!$B:$B,$A106,'Source 2025'!$A:$A,"Amount (NIS)")+SUMIFS('Source 2025'!$G:$G,'Source 2025'!$B:$B,$A106,'Source 2025'!$A:$A,"Amount (NIS)")+SUMIFS('Source 2025'!$J:$J,'Source 2025'!$B:$B,$A106,'Source 2025'!$A:$A,"Amount (NIS)")+SUMIFS('Source 2025'!$M:$M,'Source 2025'!$B:$B,$A106,'Source 2025'!$A:$A,"Amount (NIS)")</f>
        <v>6497.8</v>
      </c>
      <c r="I106" s="8" t="n">
        <f aca="false">SUMIFS('Source 2026'!$D:$D,'Source 2026'!$B:$B,$A106,'Source 2026'!$A:$A,"Amount (NIS)")+SUMIFS('Source 2026'!$E:$E,'Source 2026'!$B:$B,$A106,'Source 2026'!$A:$A,"Amount (NIS)")+SUMIFS('Source 2026'!$F:$F,'Source 2026'!$B:$B,$A106,'Source 2026'!$A:$A,"Amount (NIS)")+SUMIFS('Source 2026'!$G:$G,'Source 2026'!$B:$B,$A106,'Source 2026'!$A:$A,"Amount (NIS)")+SUMIFS('Source 2026'!$J:$J,'Source 2026'!$B:$B,$A106,'Source 2026'!$A:$A,"Amount (NIS)")+SUMIFS('Source 2026'!$M:$M,'Source 2026'!$B:$B,$A106,'Source 2026'!$A:$A,"Amount (NIS)")</f>
        <v>3959.1</v>
      </c>
      <c r="J106" s="8" t="n">
        <f aca="false">I106*$J$5</f>
        <v>5429.62285714286</v>
      </c>
      <c r="K106" s="8" t="n">
        <f aca="false">J106-H106</f>
        <v>-1068.17714285714</v>
      </c>
      <c r="L106" s="9" t="n">
        <f aca="false">IF(AND(H106=0,J106=0),0,IF(H106=0,"New",(J106-H106)/H106))</f>
        <v>-0.164390584945234</v>
      </c>
    </row>
    <row r="107" customFormat="false" ht="15" hidden="false" customHeight="false" outlineLevel="0" collapsed="false">
      <c r="A107" s="7" t="n">
        <v>4413491</v>
      </c>
      <c r="B107" s="7" t="str">
        <f aca="false">IFERROR(INDEX('Source 2026'!$C:$C,MATCH($A107,'Source 2026'!$B:$B,0)),IFERROR(INDEX('Source 2025'!$C:$C,MATCH($A107,'Source 2025'!$B:$B,0)),""))</f>
        <v>35B XL מגן קרסול שחור</v>
      </c>
      <c r="C107" s="8" t="n">
        <f aca="false">SUMIFS('Source 2025'!$D:$D,'Source 2025'!$B:$B,$A107,'Source 2025'!$A:$A,"Quantity (units)")+SUMIFS('Source 2025'!$E:$E,'Source 2025'!$B:$B,$A107,'Source 2025'!$A:$A,"Quantity (units)")+SUMIFS('Source 2025'!$F:$F,'Source 2025'!$B:$B,$A107,'Source 2025'!$A:$A,"Quantity (units)")+SUMIFS('Source 2025'!$G:$G,'Source 2025'!$B:$B,$A107,'Source 2025'!$A:$A,"Quantity (units)")+SUMIFS('Source 2025'!$J:$J,'Source 2025'!$B:$B,$A107,'Source 2025'!$A:$A,"Quantity (units)")+SUMIFS('Source 2025'!$M:$M,'Source 2025'!$B:$B,$A107,'Source 2025'!$A:$A,"Quantity (units)")</f>
        <v>185</v>
      </c>
      <c r="D107" s="8" t="n">
        <f aca="false">SUMIFS('Source 2026'!$D:$D,'Source 2026'!$B:$B,$A107,'Source 2026'!$A:$A,"Quantity (units)")+SUMIFS('Source 2026'!$E:$E,'Source 2026'!$B:$B,$A107,'Source 2026'!$A:$A,"Quantity (units)")+SUMIFS('Source 2026'!$F:$F,'Source 2026'!$B:$B,$A107,'Source 2026'!$A:$A,"Quantity (units)")+SUMIFS('Source 2026'!$G:$G,'Source 2026'!$B:$B,$A107,'Source 2026'!$A:$A,"Quantity (units)")+SUMIFS('Source 2026'!$J:$J,'Source 2026'!$B:$B,$A107,'Source 2026'!$A:$A,"Quantity (units)")+SUMIFS('Source 2026'!$M:$M,'Source 2026'!$B:$B,$A107,'Source 2026'!$A:$A,"Quantity (units)")</f>
        <v>99</v>
      </c>
      <c r="E107" s="8" t="n">
        <f aca="false">D107*$J$5</f>
        <v>135.771428571429</v>
      </c>
      <c r="F107" s="8" t="n">
        <f aca="false">E107-C107</f>
        <v>-49.2285714285714</v>
      </c>
      <c r="G107" s="9" t="n">
        <f aca="false">IF(AND(C107=0,E107=0),0,IF(C107=0,"New",(E107-C107)/C107))</f>
        <v>-0.266100386100386</v>
      </c>
      <c r="H107" s="8" t="n">
        <f aca="false">SUMIFS('Source 2025'!$D:$D,'Source 2025'!$B:$B,$A107,'Source 2025'!$A:$A,"Amount (NIS)")+SUMIFS('Source 2025'!$E:$E,'Source 2025'!$B:$B,$A107,'Source 2025'!$A:$A,"Amount (NIS)")+SUMIFS('Source 2025'!$F:$F,'Source 2025'!$B:$B,$A107,'Source 2025'!$A:$A,"Amount (NIS)")+SUMIFS('Source 2025'!$G:$G,'Source 2025'!$B:$B,$A107,'Source 2025'!$A:$A,"Amount (NIS)")+SUMIFS('Source 2025'!$J:$J,'Source 2025'!$B:$B,$A107,'Source 2025'!$A:$A,"Amount (NIS)")+SUMIFS('Source 2025'!$M:$M,'Source 2025'!$B:$B,$A107,'Source 2025'!$A:$A,"Amount (NIS)")</f>
        <v>5554.1</v>
      </c>
      <c r="I107" s="8" t="n">
        <f aca="false">SUMIFS('Source 2026'!$D:$D,'Source 2026'!$B:$B,$A107,'Source 2026'!$A:$A,"Amount (NIS)")+SUMIFS('Source 2026'!$E:$E,'Source 2026'!$B:$B,$A107,'Source 2026'!$A:$A,"Amount (NIS)")+SUMIFS('Source 2026'!$F:$F,'Source 2026'!$B:$B,$A107,'Source 2026'!$A:$A,"Amount (NIS)")+SUMIFS('Source 2026'!$G:$G,'Source 2026'!$B:$B,$A107,'Source 2026'!$A:$A,"Amount (NIS)")+SUMIFS('Source 2026'!$J:$J,'Source 2026'!$B:$B,$A107,'Source 2026'!$A:$A,"Amount (NIS)")+SUMIFS('Source 2026'!$M:$M,'Source 2026'!$B:$B,$A107,'Source 2026'!$A:$A,"Amount (NIS)")</f>
        <v>3019</v>
      </c>
      <c r="J107" s="8" t="n">
        <f aca="false">I107*$J$5</f>
        <v>4140.34285714286</v>
      </c>
      <c r="K107" s="8" t="n">
        <f aca="false">J107-H107</f>
        <v>-1413.75714285714</v>
      </c>
      <c r="L107" s="9" t="n">
        <f aca="false">IF(AND(H107=0,J107=0),0,IF(H107=0,"New",(J107-H107)/H107))</f>
        <v>-0.254542975973991</v>
      </c>
    </row>
    <row r="108" customFormat="false" ht="15" hidden="false" customHeight="false" outlineLevel="0" collapsed="false">
      <c r="A108" s="7" t="n">
        <v>4413133</v>
      </c>
      <c r="B108" s="7" t="str">
        <f aca="false">IFERROR(INDEX('Source 2026'!$C:$C,MATCH($A108,'Source 2026'!$B:$B,0)),IFERROR(INDEX('Source 2025'!$C:$C,MATCH($A108,'Source 2025'!$B:$B,0)),""))</f>
        <v>76 Mמיישר כתף יציב,יישור רחב</v>
      </c>
      <c r="C108" s="8" t="n">
        <f aca="false">SUMIFS('Source 2025'!$D:$D,'Source 2025'!$B:$B,$A108,'Source 2025'!$A:$A,"Quantity (units)")+SUMIFS('Source 2025'!$E:$E,'Source 2025'!$B:$B,$A108,'Source 2025'!$A:$A,"Quantity (units)")+SUMIFS('Source 2025'!$F:$F,'Source 2025'!$B:$B,$A108,'Source 2025'!$A:$A,"Quantity (units)")+SUMIFS('Source 2025'!$G:$G,'Source 2025'!$B:$B,$A108,'Source 2025'!$A:$A,"Quantity (units)")+SUMIFS('Source 2025'!$J:$J,'Source 2025'!$B:$B,$A108,'Source 2025'!$A:$A,"Quantity (units)")+SUMIFS('Source 2025'!$M:$M,'Source 2025'!$B:$B,$A108,'Source 2025'!$A:$A,"Quantity (units)")</f>
        <v>30</v>
      </c>
      <c r="D108" s="8" t="n">
        <f aca="false">SUMIFS('Source 2026'!$D:$D,'Source 2026'!$B:$B,$A108,'Source 2026'!$A:$A,"Quantity (units)")+SUMIFS('Source 2026'!$E:$E,'Source 2026'!$B:$B,$A108,'Source 2026'!$A:$A,"Quantity (units)")+SUMIFS('Source 2026'!$F:$F,'Source 2026'!$B:$B,$A108,'Source 2026'!$A:$A,"Quantity (units)")+SUMIFS('Source 2026'!$G:$G,'Source 2026'!$B:$B,$A108,'Source 2026'!$A:$A,"Quantity (units)")+SUMIFS('Source 2026'!$J:$J,'Source 2026'!$B:$B,$A108,'Source 2026'!$A:$A,"Quantity (units)")+SUMIFS('Source 2026'!$M:$M,'Source 2026'!$B:$B,$A108,'Source 2026'!$A:$A,"Quantity (units)")</f>
        <v>17</v>
      </c>
      <c r="E108" s="8" t="n">
        <f aca="false">D108*$J$5</f>
        <v>23.3142857142857</v>
      </c>
      <c r="F108" s="8" t="n">
        <f aca="false">E108-C108</f>
        <v>-6.68571428571429</v>
      </c>
      <c r="G108" s="9" t="n">
        <f aca="false">IF(AND(C108=0,E108=0),0,IF(C108=0,"New",(E108-C108)/C108))</f>
        <v>-0.222857142857143</v>
      </c>
      <c r="H108" s="8" t="n">
        <f aca="false">SUMIFS('Source 2025'!$D:$D,'Source 2025'!$B:$B,$A108,'Source 2025'!$A:$A,"Amount (NIS)")+SUMIFS('Source 2025'!$E:$E,'Source 2025'!$B:$B,$A108,'Source 2025'!$A:$A,"Amount (NIS)")+SUMIFS('Source 2025'!$F:$F,'Source 2025'!$B:$B,$A108,'Source 2025'!$A:$A,"Amount (NIS)")+SUMIFS('Source 2025'!$G:$G,'Source 2025'!$B:$B,$A108,'Source 2025'!$A:$A,"Amount (NIS)")+SUMIFS('Source 2025'!$J:$J,'Source 2025'!$B:$B,$A108,'Source 2025'!$A:$A,"Amount (NIS)")+SUMIFS('Source 2025'!$M:$M,'Source 2025'!$B:$B,$A108,'Source 2025'!$A:$A,"Amount (NIS)")</f>
        <v>6039.6</v>
      </c>
      <c r="I108" s="8" t="n">
        <f aca="false">SUMIFS('Source 2026'!$D:$D,'Source 2026'!$B:$B,$A108,'Source 2026'!$A:$A,"Amount (NIS)")+SUMIFS('Source 2026'!$E:$E,'Source 2026'!$B:$B,$A108,'Source 2026'!$A:$A,"Amount (NIS)")+SUMIFS('Source 2026'!$F:$F,'Source 2026'!$B:$B,$A108,'Source 2026'!$A:$A,"Amount (NIS)")+SUMIFS('Source 2026'!$G:$G,'Source 2026'!$B:$B,$A108,'Source 2026'!$A:$A,"Amount (NIS)")+SUMIFS('Source 2026'!$J:$J,'Source 2026'!$B:$B,$A108,'Source 2026'!$A:$A,"Amount (NIS)")+SUMIFS('Source 2026'!$M:$M,'Source 2026'!$B:$B,$A108,'Source 2026'!$A:$A,"Amount (NIS)")</f>
        <v>3514.6</v>
      </c>
      <c r="J108" s="8" t="n">
        <f aca="false">I108*$J$5</f>
        <v>4820.02285714286</v>
      </c>
      <c r="K108" s="8" t="n">
        <f aca="false">J108-H108</f>
        <v>-1219.57714285714</v>
      </c>
      <c r="L108" s="9" t="n">
        <f aca="false">IF(AND(H108=0,J108=0),0,IF(H108=0,"New",(J108-H108)/H108))</f>
        <v>-0.20193011836167</v>
      </c>
    </row>
    <row r="109" customFormat="false" ht="15" hidden="false" customHeight="false" outlineLevel="0" collapsed="false">
      <c r="A109" s="7" t="n">
        <v>4422042</v>
      </c>
      <c r="B109" s="7" t="str">
        <f aca="false">IFERROR(INDEX('Source 2026'!$C:$C,MATCH($A109,'Source 2026'!$B:$B,0)),IFERROR(INDEX('Source 2025'!$C:$C,MATCH($A109,'Source 2025'!$B:$B,0)),""))</f>
        <v>SH422 6 תומך ברך גנושילד</v>
      </c>
      <c r="C109" s="8" t="n">
        <f aca="false">SUMIFS('Source 2025'!$D:$D,'Source 2025'!$B:$B,$A109,'Source 2025'!$A:$A,"Quantity (units)")+SUMIFS('Source 2025'!$E:$E,'Source 2025'!$B:$B,$A109,'Source 2025'!$A:$A,"Quantity (units)")+SUMIFS('Source 2025'!$F:$F,'Source 2025'!$B:$B,$A109,'Source 2025'!$A:$A,"Quantity (units)")+SUMIFS('Source 2025'!$G:$G,'Source 2025'!$B:$B,$A109,'Source 2025'!$A:$A,"Quantity (units)")+SUMIFS('Source 2025'!$J:$J,'Source 2025'!$B:$B,$A109,'Source 2025'!$A:$A,"Quantity (units)")+SUMIFS('Source 2025'!$M:$M,'Source 2025'!$B:$B,$A109,'Source 2025'!$A:$A,"Quantity (units)")</f>
        <v>0</v>
      </c>
      <c r="D109" s="8" t="n">
        <f aca="false">SUMIFS('Source 2026'!$D:$D,'Source 2026'!$B:$B,$A109,'Source 2026'!$A:$A,"Quantity (units)")+SUMIFS('Source 2026'!$E:$E,'Source 2026'!$B:$B,$A109,'Source 2026'!$A:$A,"Quantity (units)")+SUMIFS('Source 2026'!$F:$F,'Source 2026'!$B:$B,$A109,'Source 2026'!$A:$A,"Quantity (units)")+SUMIFS('Source 2026'!$G:$G,'Source 2026'!$B:$B,$A109,'Source 2026'!$A:$A,"Quantity (units)")+SUMIFS('Source 2026'!$J:$J,'Source 2026'!$B:$B,$A109,'Source 2026'!$A:$A,"Quantity (units)")+SUMIFS('Source 2026'!$M:$M,'Source 2026'!$B:$B,$A109,'Source 2026'!$A:$A,"Quantity (units)")</f>
        <v>12</v>
      </c>
      <c r="E109" s="8" t="n">
        <f aca="false">D109*$J$5</f>
        <v>16.4571428571429</v>
      </c>
      <c r="F109" s="8" t="n">
        <f aca="false">E109-C109</f>
        <v>16.4571428571429</v>
      </c>
      <c r="G109" s="9" t="str">
        <f aca="false">IF(AND(C109=0,E109=0),0,IF(C109=0,"New",(E109-C109)/C109))</f>
        <v>New</v>
      </c>
      <c r="H109" s="8" t="n">
        <f aca="false">SUMIFS('Source 2025'!$D:$D,'Source 2025'!$B:$B,$A109,'Source 2025'!$A:$A,"Amount (NIS)")+SUMIFS('Source 2025'!$E:$E,'Source 2025'!$B:$B,$A109,'Source 2025'!$A:$A,"Amount (NIS)")+SUMIFS('Source 2025'!$F:$F,'Source 2025'!$B:$B,$A109,'Source 2025'!$A:$A,"Amount (NIS)")+SUMIFS('Source 2025'!$G:$G,'Source 2025'!$B:$B,$A109,'Source 2025'!$A:$A,"Amount (NIS)")+SUMIFS('Source 2025'!$J:$J,'Source 2025'!$B:$B,$A109,'Source 2025'!$A:$A,"Amount (NIS)")+SUMIFS('Source 2025'!$M:$M,'Source 2025'!$B:$B,$A109,'Source 2025'!$A:$A,"Amount (NIS)")</f>
        <v>0</v>
      </c>
      <c r="I109" s="8" t="n">
        <f aca="false">SUMIFS('Source 2026'!$D:$D,'Source 2026'!$B:$B,$A109,'Source 2026'!$A:$A,"Amount (NIS)")+SUMIFS('Source 2026'!$E:$E,'Source 2026'!$B:$B,$A109,'Source 2026'!$A:$A,"Amount (NIS)")+SUMIFS('Source 2026'!$F:$F,'Source 2026'!$B:$B,$A109,'Source 2026'!$A:$A,"Amount (NIS)")+SUMIFS('Source 2026'!$G:$G,'Source 2026'!$B:$B,$A109,'Source 2026'!$A:$A,"Amount (NIS)")+SUMIFS('Source 2026'!$J:$J,'Source 2026'!$B:$B,$A109,'Source 2026'!$A:$A,"Amount (NIS)")+SUMIFS('Source 2026'!$M:$M,'Source 2026'!$B:$B,$A109,'Source 2026'!$A:$A,"Amount (NIS)")</f>
        <v>2498.3</v>
      </c>
      <c r="J109" s="8" t="n">
        <f aca="false">I109*$J$5</f>
        <v>3426.24</v>
      </c>
      <c r="K109" s="8" t="n">
        <f aca="false">J109-H109</f>
        <v>3426.24</v>
      </c>
      <c r="L109" s="9" t="str">
        <f aca="false">IF(AND(H109=0,J109=0),0,IF(H109=0,"New",(J109-H109)/H109))</f>
        <v>New</v>
      </c>
    </row>
    <row r="110" customFormat="false" ht="15" hidden="false" customHeight="false" outlineLevel="0" collapsed="false">
      <c r="A110" s="7" t="n">
        <v>4408046</v>
      </c>
      <c r="B110" s="7" t="str">
        <f aca="false">IFERROR(INDEX('Source 2026'!$C:$C,MATCH($A110,'Source 2026'!$B:$B,0)),IFERROR(INDEX('Source 2025'!$C:$C,MATCH($A110,'Source 2025'!$B:$B,0)),""))</f>
        <v>20 L חבק יד מתכוון עם צמדן</v>
      </c>
      <c r="C110" s="8" t="n">
        <f aca="false">SUMIFS('Source 2025'!$D:$D,'Source 2025'!$B:$B,$A110,'Source 2025'!$A:$A,"Quantity (units)")+SUMIFS('Source 2025'!$E:$E,'Source 2025'!$B:$B,$A110,'Source 2025'!$A:$A,"Quantity (units)")+SUMIFS('Source 2025'!$F:$F,'Source 2025'!$B:$B,$A110,'Source 2025'!$A:$A,"Quantity (units)")+SUMIFS('Source 2025'!$G:$G,'Source 2025'!$B:$B,$A110,'Source 2025'!$A:$A,"Quantity (units)")+SUMIFS('Source 2025'!$J:$J,'Source 2025'!$B:$B,$A110,'Source 2025'!$A:$A,"Quantity (units)")+SUMIFS('Source 2025'!$M:$M,'Source 2025'!$B:$B,$A110,'Source 2025'!$A:$A,"Quantity (units)")</f>
        <v>169</v>
      </c>
      <c r="D110" s="8" t="n">
        <f aca="false">SUMIFS('Source 2026'!$D:$D,'Source 2026'!$B:$B,$A110,'Source 2026'!$A:$A,"Quantity (units)")+SUMIFS('Source 2026'!$E:$E,'Source 2026'!$B:$B,$A110,'Source 2026'!$A:$A,"Quantity (units)")+SUMIFS('Source 2026'!$F:$F,'Source 2026'!$B:$B,$A110,'Source 2026'!$A:$A,"Quantity (units)")+SUMIFS('Source 2026'!$G:$G,'Source 2026'!$B:$B,$A110,'Source 2026'!$A:$A,"Quantity (units)")+SUMIFS('Source 2026'!$J:$J,'Source 2026'!$B:$B,$A110,'Source 2026'!$A:$A,"Quantity (units)")+SUMIFS('Source 2026'!$M:$M,'Source 2026'!$B:$B,$A110,'Source 2026'!$A:$A,"Quantity (units)")</f>
        <v>95</v>
      </c>
      <c r="E110" s="8" t="n">
        <f aca="false">D110*$J$5</f>
        <v>130.285714285714</v>
      </c>
      <c r="F110" s="8" t="n">
        <f aca="false">E110-C110</f>
        <v>-38.7142857142857</v>
      </c>
      <c r="G110" s="9" t="n">
        <f aca="false">IF(AND(C110=0,E110=0),0,IF(C110=0,"New",(E110-C110)/C110))</f>
        <v>-0.229078613693998</v>
      </c>
      <c r="H110" s="8" t="n">
        <f aca="false">SUMIFS('Source 2025'!$D:$D,'Source 2025'!$B:$B,$A110,'Source 2025'!$A:$A,"Amount (NIS)")+SUMIFS('Source 2025'!$E:$E,'Source 2025'!$B:$B,$A110,'Source 2025'!$A:$A,"Amount (NIS)")+SUMIFS('Source 2025'!$F:$F,'Source 2025'!$B:$B,$A110,'Source 2025'!$A:$A,"Amount (NIS)")+SUMIFS('Source 2025'!$G:$G,'Source 2025'!$B:$B,$A110,'Source 2025'!$A:$A,"Amount (NIS)")+SUMIFS('Source 2025'!$J:$J,'Source 2025'!$B:$B,$A110,'Source 2025'!$A:$A,"Amount (NIS)")+SUMIFS('Source 2025'!$M:$M,'Source 2025'!$B:$B,$A110,'Source 2025'!$A:$A,"Amount (NIS)")</f>
        <v>5535</v>
      </c>
      <c r="I110" s="8" t="n">
        <f aca="false">SUMIFS('Source 2026'!$D:$D,'Source 2026'!$B:$B,$A110,'Source 2026'!$A:$A,"Amount (NIS)")+SUMIFS('Source 2026'!$E:$E,'Source 2026'!$B:$B,$A110,'Source 2026'!$A:$A,"Amount (NIS)")+SUMIFS('Source 2026'!$F:$F,'Source 2026'!$B:$B,$A110,'Source 2026'!$A:$A,"Amount (NIS)")+SUMIFS('Source 2026'!$G:$G,'Source 2026'!$B:$B,$A110,'Source 2026'!$A:$A,"Amount (NIS)")+SUMIFS('Source 2026'!$J:$J,'Source 2026'!$B:$B,$A110,'Source 2026'!$A:$A,"Amount (NIS)")+SUMIFS('Source 2026'!$M:$M,'Source 2026'!$B:$B,$A110,'Source 2026'!$A:$A,"Amount (NIS)")</f>
        <v>3068.3</v>
      </c>
      <c r="J110" s="8" t="n">
        <f aca="false">I110*$J$5</f>
        <v>4207.95428571429</v>
      </c>
      <c r="K110" s="8" t="n">
        <f aca="false">J110-H110</f>
        <v>-1327.04571428572</v>
      </c>
      <c r="L110" s="9" t="n">
        <f aca="false">IF(AND(H110=0,J110=0),0,IF(H110=0,"New",(J110-H110)/H110))</f>
        <v>-0.239755323267519</v>
      </c>
    </row>
    <row r="111" customFormat="false" ht="15" hidden="false" customHeight="false" outlineLevel="0" collapsed="false">
      <c r="A111" s="7" t="n">
        <v>4413055</v>
      </c>
      <c r="B111" s="7" t="str">
        <f aca="false">IFERROR(INDEX('Source 2026'!$C:$C,MATCH($A111,'Source 2026'!$B:$B,0)),IFERROR(INDEX('Source 2025'!$C:$C,MATCH($A111,'Source 2025'!$B:$B,0)),""))</f>
        <v>35C XL מגן קרסול חום</v>
      </c>
      <c r="C111" s="8" t="n">
        <f aca="false">SUMIFS('Source 2025'!$D:$D,'Source 2025'!$B:$B,$A111,'Source 2025'!$A:$A,"Quantity (units)")+SUMIFS('Source 2025'!$E:$E,'Source 2025'!$B:$B,$A111,'Source 2025'!$A:$A,"Quantity (units)")+SUMIFS('Source 2025'!$F:$F,'Source 2025'!$B:$B,$A111,'Source 2025'!$A:$A,"Quantity (units)")+SUMIFS('Source 2025'!$G:$G,'Source 2025'!$B:$B,$A111,'Source 2025'!$A:$A,"Quantity (units)")+SUMIFS('Source 2025'!$J:$J,'Source 2025'!$B:$B,$A111,'Source 2025'!$A:$A,"Quantity (units)")+SUMIFS('Source 2025'!$M:$M,'Source 2025'!$B:$B,$A111,'Source 2025'!$A:$A,"Quantity (units)")</f>
        <v>242</v>
      </c>
      <c r="D111" s="8" t="n">
        <f aca="false">SUMIFS('Source 2026'!$D:$D,'Source 2026'!$B:$B,$A111,'Source 2026'!$A:$A,"Quantity (units)")+SUMIFS('Source 2026'!$E:$E,'Source 2026'!$B:$B,$A111,'Source 2026'!$A:$A,"Quantity (units)")+SUMIFS('Source 2026'!$F:$F,'Source 2026'!$B:$B,$A111,'Source 2026'!$A:$A,"Quantity (units)")+SUMIFS('Source 2026'!$G:$G,'Source 2026'!$B:$B,$A111,'Source 2026'!$A:$A,"Quantity (units)")+SUMIFS('Source 2026'!$J:$J,'Source 2026'!$B:$B,$A111,'Source 2026'!$A:$A,"Quantity (units)")+SUMIFS('Source 2026'!$M:$M,'Source 2026'!$B:$B,$A111,'Source 2026'!$A:$A,"Quantity (units)")</f>
        <v>160</v>
      </c>
      <c r="E111" s="8" t="n">
        <f aca="false">D111*$J$5</f>
        <v>219.428571428571</v>
      </c>
      <c r="F111" s="8" t="n">
        <f aca="false">E111-C111</f>
        <v>-22.5714285714286</v>
      </c>
      <c r="G111" s="9" t="n">
        <f aca="false">IF(AND(C111=0,E111=0),0,IF(C111=0,"New",(E111-C111)/C111))</f>
        <v>-0.0932703659976387</v>
      </c>
      <c r="H111" s="8" t="n">
        <f aca="false">SUMIFS('Source 2025'!$D:$D,'Source 2025'!$B:$B,$A111,'Source 2025'!$A:$A,"Amount (NIS)")+SUMIFS('Source 2025'!$E:$E,'Source 2025'!$B:$B,$A111,'Source 2025'!$A:$A,"Amount (NIS)")+SUMIFS('Source 2025'!$F:$F,'Source 2025'!$B:$B,$A111,'Source 2025'!$A:$A,"Amount (NIS)")+SUMIFS('Source 2025'!$G:$G,'Source 2025'!$B:$B,$A111,'Source 2025'!$A:$A,"Amount (NIS)")+SUMIFS('Source 2025'!$J:$J,'Source 2025'!$B:$B,$A111,'Source 2025'!$A:$A,"Amount (NIS)")+SUMIFS('Source 2025'!$M:$M,'Source 2025'!$B:$B,$A111,'Source 2025'!$A:$A,"Amount (NIS)")</f>
        <v>7230.6</v>
      </c>
      <c r="I111" s="8" t="n">
        <f aca="false">SUMIFS('Source 2026'!$D:$D,'Source 2026'!$B:$B,$A111,'Source 2026'!$A:$A,"Amount (NIS)")+SUMIFS('Source 2026'!$E:$E,'Source 2026'!$B:$B,$A111,'Source 2026'!$A:$A,"Amount (NIS)")+SUMIFS('Source 2026'!$F:$F,'Source 2026'!$B:$B,$A111,'Source 2026'!$A:$A,"Amount (NIS)")+SUMIFS('Source 2026'!$G:$G,'Source 2026'!$B:$B,$A111,'Source 2026'!$A:$A,"Amount (NIS)")+SUMIFS('Source 2026'!$J:$J,'Source 2026'!$B:$B,$A111,'Source 2026'!$A:$A,"Amount (NIS)")+SUMIFS('Source 2026'!$M:$M,'Source 2026'!$B:$B,$A111,'Source 2026'!$A:$A,"Amount (NIS)")</f>
        <v>4767.1</v>
      </c>
      <c r="J111" s="8" t="n">
        <f aca="false">I111*$J$5</f>
        <v>6537.73714285714</v>
      </c>
      <c r="K111" s="8" t="n">
        <f aca="false">J111-H111</f>
        <v>-692.86285714286</v>
      </c>
      <c r="L111" s="9" t="n">
        <f aca="false">IF(AND(H111=0,J111=0),0,IF(H111=0,"New",(J111-H111)/H111))</f>
        <v>-0.0958237016489447</v>
      </c>
    </row>
    <row r="112" customFormat="false" ht="15" hidden="false" customHeight="false" outlineLevel="0" collapsed="false">
      <c r="A112" s="7" t="n">
        <v>4413331</v>
      </c>
      <c r="B112" s="7" t="str">
        <f aca="false">IFERROR(INDEX('Source 2026'!$C:$C,MATCH($A112,'Source 2026'!$B:$B,0)),IFERROR(INDEX('Source 2025'!$C:$C,MATCH($A112,'Source 2025'!$B:$B,0)),""))</f>
        <v>AC95 מגן מרפק</v>
      </c>
      <c r="C112" s="8" t="n">
        <f aca="false">SUMIFS('Source 2025'!$D:$D,'Source 2025'!$B:$B,$A112,'Source 2025'!$A:$A,"Quantity (units)")+SUMIFS('Source 2025'!$E:$E,'Source 2025'!$B:$B,$A112,'Source 2025'!$A:$A,"Quantity (units)")+SUMIFS('Source 2025'!$F:$F,'Source 2025'!$B:$B,$A112,'Source 2025'!$A:$A,"Quantity (units)")+SUMIFS('Source 2025'!$G:$G,'Source 2025'!$B:$B,$A112,'Source 2025'!$A:$A,"Quantity (units)")+SUMIFS('Source 2025'!$J:$J,'Source 2025'!$B:$B,$A112,'Source 2025'!$A:$A,"Quantity (units)")+SUMIFS('Source 2025'!$M:$M,'Source 2025'!$B:$B,$A112,'Source 2025'!$A:$A,"Quantity (units)")</f>
        <v>231</v>
      </c>
      <c r="D112" s="8" t="n">
        <f aca="false">SUMIFS('Source 2026'!$D:$D,'Source 2026'!$B:$B,$A112,'Source 2026'!$A:$A,"Quantity (units)")+SUMIFS('Source 2026'!$E:$E,'Source 2026'!$B:$B,$A112,'Source 2026'!$A:$A,"Quantity (units)")+SUMIFS('Source 2026'!$F:$F,'Source 2026'!$B:$B,$A112,'Source 2026'!$A:$A,"Quantity (units)")+SUMIFS('Source 2026'!$G:$G,'Source 2026'!$B:$B,$A112,'Source 2026'!$A:$A,"Quantity (units)")+SUMIFS('Source 2026'!$J:$J,'Source 2026'!$B:$B,$A112,'Source 2026'!$A:$A,"Quantity (units)")+SUMIFS('Source 2026'!$M:$M,'Source 2026'!$B:$B,$A112,'Source 2026'!$A:$A,"Quantity (units)")</f>
        <v>158</v>
      </c>
      <c r="E112" s="8" t="n">
        <f aca="false">D112*$J$5</f>
        <v>216.685714285714</v>
      </c>
      <c r="F112" s="8" t="n">
        <f aca="false">E112-C112</f>
        <v>-14.3142857142857</v>
      </c>
      <c r="G112" s="9" t="n">
        <f aca="false">IF(AND(C112=0,E112=0),0,IF(C112=0,"New",(E112-C112)/C112))</f>
        <v>-0.0619666048237477</v>
      </c>
      <c r="H112" s="8" t="n">
        <f aca="false">SUMIFS('Source 2025'!$D:$D,'Source 2025'!$B:$B,$A112,'Source 2025'!$A:$A,"Amount (NIS)")+SUMIFS('Source 2025'!$E:$E,'Source 2025'!$B:$B,$A112,'Source 2025'!$A:$A,"Amount (NIS)")+SUMIFS('Source 2025'!$F:$F,'Source 2025'!$B:$B,$A112,'Source 2025'!$A:$A,"Amount (NIS)")+SUMIFS('Source 2025'!$G:$G,'Source 2025'!$B:$B,$A112,'Source 2025'!$A:$A,"Amount (NIS)")+SUMIFS('Source 2025'!$J:$J,'Source 2025'!$B:$B,$A112,'Source 2025'!$A:$A,"Amount (NIS)")+SUMIFS('Source 2025'!$M:$M,'Source 2025'!$B:$B,$A112,'Source 2025'!$A:$A,"Amount (NIS)")</f>
        <v>8400.9</v>
      </c>
      <c r="I112" s="8" t="n">
        <f aca="false">SUMIFS('Source 2026'!$D:$D,'Source 2026'!$B:$B,$A112,'Source 2026'!$A:$A,"Amount (NIS)")+SUMIFS('Source 2026'!$E:$E,'Source 2026'!$B:$B,$A112,'Source 2026'!$A:$A,"Amount (NIS)")+SUMIFS('Source 2026'!$F:$F,'Source 2026'!$B:$B,$A112,'Source 2026'!$A:$A,"Amount (NIS)")+SUMIFS('Source 2026'!$G:$G,'Source 2026'!$B:$B,$A112,'Source 2026'!$A:$A,"Amount (NIS)")+SUMIFS('Source 2026'!$J:$J,'Source 2026'!$B:$B,$A112,'Source 2026'!$A:$A,"Amount (NIS)")+SUMIFS('Source 2026'!$M:$M,'Source 2026'!$B:$B,$A112,'Source 2026'!$A:$A,"Amount (NIS)")</f>
        <v>5971.7</v>
      </c>
      <c r="J112" s="8" t="n">
        <f aca="false">I112*$J$5</f>
        <v>8189.76</v>
      </c>
      <c r="K112" s="8" t="n">
        <f aca="false">J112-H112</f>
        <v>-211.139999999999</v>
      </c>
      <c r="L112" s="9" t="n">
        <f aca="false">IF(AND(H112=0,J112=0),0,IF(H112=0,"New",(J112-H112)/H112))</f>
        <v>-0.0251330214619862</v>
      </c>
    </row>
    <row r="113" customFormat="false" ht="15" hidden="false" customHeight="false" outlineLevel="0" collapsed="false">
      <c r="A113" s="7" t="n">
        <v>4413054</v>
      </c>
      <c r="B113" s="7" t="str">
        <f aca="false">IFERROR(INDEX('Source 2026'!$C:$C,MATCH($A113,'Source 2026'!$B:$B,0)),IFERROR(INDEX('Source 2025'!$C:$C,MATCH($A113,'Source 2025'!$B:$B,0)),""))</f>
        <v>35C M מגן קרסול חום</v>
      </c>
      <c r="C113" s="8" t="n">
        <f aca="false">SUMIFS('Source 2025'!$D:$D,'Source 2025'!$B:$B,$A113,'Source 2025'!$A:$A,"Quantity (units)")+SUMIFS('Source 2025'!$E:$E,'Source 2025'!$B:$B,$A113,'Source 2025'!$A:$A,"Quantity (units)")+SUMIFS('Source 2025'!$F:$F,'Source 2025'!$B:$B,$A113,'Source 2025'!$A:$A,"Quantity (units)")+SUMIFS('Source 2025'!$G:$G,'Source 2025'!$B:$B,$A113,'Source 2025'!$A:$A,"Quantity (units)")+SUMIFS('Source 2025'!$J:$J,'Source 2025'!$B:$B,$A113,'Source 2025'!$A:$A,"Quantity (units)")+SUMIFS('Source 2025'!$M:$M,'Source 2025'!$B:$B,$A113,'Source 2025'!$A:$A,"Quantity (units)")</f>
        <v>376</v>
      </c>
      <c r="D113" s="8" t="n">
        <f aca="false">SUMIFS('Source 2026'!$D:$D,'Source 2026'!$B:$B,$A113,'Source 2026'!$A:$A,"Quantity (units)")+SUMIFS('Source 2026'!$E:$E,'Source 2026'!$B:$B,$A113,'Source 2026'!$A:$A,"Quantity (units)")+SUMIFS('Source 2026'!$F:$F,'Source 2026'!$B:$B,$A113,'Source 2026'!$A:$A,"Quantity (units)")+SUMIFS('Source 2026'!$G:$G,'Source 2026'!$B:$B,$A113,'Source 2026'!$A:$A,"Quantity (units)")+SUMIFS('Source 2026'!$J:$J,'Source 2026'!$B:$B,$A113,'Source 2026'!$A:$A,"Quantity (units)")+SUMIFS('Source 2026'!$M:$M,'Source 2026'!$B:$B,$A113,'Source 2026'!$A:$A,"Quantity (units)")</f>
        <v>294</v>
      </c>
      <c r="E113" s="8" t="n">
        <f aca="false">D113*$J$5</f>
        <v>403.2</v>
      </c>
      <c r="F113" s="8" t="n">
        <f aca="false">E113-C113</f>
        <v>27.2</v>
      </c>
      <c r="G113" s="9" t="n">
        <f aca="false">IF(AND(C113=0,E113=0),0,IF(C113=0,"New",(E113-C113)/C113))</f>
        <v>0.0723404255319149</v>
      </c>
      <c r="H113" s="8" t="n">
        <f aca="false">SUMIFS('Source 2025'!$D:$D,'Source 2025'!$B:$B,$A113,'Source 2025'!$A:$A,"Amount (NIS)")+SUMIFS('Source 2025'!$E:$E,'Source 2025'!$B:$B,$A113,'Source 2025'!$A:$A,"Amount (NIS)")+SUMIFS('Source 2025'!$F:$F,'Source 2025'!$B:$B,$A113,'Source 2025'!$A:$A,"Amount (NIS)")+SUMIFS('Source 2025'!$G:$G,'Source 2025'!$B:$B,$A113,'Source 2025'!$A:$A,"Amount (NIS)")+SUMIFS('Source 2025'!$J:$J,'Source 2025'!$B:$B,$A113,'Source 2025'!$A:$A,"Amount (NIS)")+SUMIFS('Source 2025'!$M:$M,'Source 2025'!$B:$B,$A113,'Source 2025'!$A:$A,"Amount (NIS)")</f>
        <v>11213</v>
      </c>
      <c r="I113" s="8" t="n">
        <f aca="false">SUMIFS('Source 2026'!$D:$D,'Source 2026'!$B:$B,$A113,'Source 2026'!$A:$A,"Amount (NIS)")+SUMIFS('Source 2026'!$E:$E,'Source 2026'!$B:$B,$A113,'Source 2026'!$A:$A,"Amount (NIS)")+SUMIFS('Source 2026'!$F:$F,'Source 2026'!$B:$B,$A113,'Source 2026'!$A:$A,"Amount (NIS)")+SUMIFS('Source 2026'!$G:$G,'Source 2026'!$B:$B,$A113,'Source 2026'!$A:$A,"Amount (NIS)")+SUMIFS('Source 2026'!$J:$J,'Source 2026'!$B:$B,$A113,'Source 2026'!$A:$A,"Amount (NIS)")+SUMIFS('Source 2026'!$M:$M,'Source 2026'!$B:$B,$A113,'Source 2026'!$A:$A,"Amount (NIS)")</f>
        <v>8792.9</v>
      </c>
      <c r="J113" s="8" t="n">
        <f aca="false">I113*$J$5</f>
        <v>12058.8342857143</v>
      </c>
      <c r="K113" s="8" t="n">
        <f aca="false">J113-H113</f>
        <v>845.834285714285</v>
      </c>
      <c r="L113" s="9" t="n">
        <f aca="false">IF(AND(H113=0,J113=0),0,IF(H113=0,"New",(J113-H113)/H113))</f>
        <v>0.0754333617867016</v>
      </c>
    </row>
    <row r="114" customFormat="false" ht="15" hidden="false" customHeight="false" outlineLevel="0" collapsed="false">
      <c r="A114" s="7" t="n">
        <v>4413061</v>
      </c>
      <c r="B114" s="7" t="str">
        <f aca="false">IFERROR(INDEX('Source 2026'!$C:$C,MATCH($A114,'Source 2026'!$B:$B,0)),IFERROR(INDEX('Source 2025'!$C:$C,MATCH($A114,'Source 2025'!$B:$B,0)),""))</f>
        <v>3641-מיישר בוהן סיליקון קשיח</v>
      </c>
      <c r="C114" s="8" t="n">
        <f aca="false">SUMIFS('Source 2025'!$D:$D,'Source 2025'!$B:$B,$A114,'Source 2025'!$A:$A,"Quantity (units)")+SUMIFS('Source 2025'!$E:$E,'Source 2025'!$B:$B,$A114,'Source 2025'!$A:$A,"Quantity (units)")+SUMIFS('Source 2025'!$F:$F,'Source 2025'!$B:$B,$A114,'Source 2025'!$A:$A,"Quantity (units)")+SUMIFS('Source 2025'!$G:$G,'Source 2025'!$B:$B,$A114,'Source 2025'!$A:$A,"Quantity (units)")+SUMIFS('Source 2025'!$J:$J,'Source 2025'!$B:$B,$A114,'Source 2025'!$A:$A,"Quantity (units)")+SUMIFS('Source 2025'!$M:$M,'Source 2025'!$B:$B,$A114,'Source 2025'!$A:$A,"Quantity (units)")</f>
        <v>167</v>
      </c>
      <c r="D114" s="8" t="n">
        <f aca="false">SUMIFS('Source 2026'!$D:$D,'Source 2026'!$B:$B,$A114,'Source 2026'!$A:$A,"Quantity (units)")+SUMIFS('Source 2026'!$E:$E,'Source 2026'!$B:$B,$A114,'Source 2026'!$A:$A,"Quantity (units)")+SUMIFS('Source 2026'!$F:$F,'Source 2026'!$B:$B,$A114,'Source 2026'!$A:$A,"Quantity (units)")+SUMIFS('Source 2026'!$G:$G,'Source 2026'!$B:$B,$A114,'Source 2026'!$A:$A,"Quantity (units)")+SUMIFS('Source 2026'!$J:$J,'Source 2026'!$B:$B,$A114,'Source 2026'!$A:$A,"Quantity (units)")+SUMIFS('Source 2026'!$M:$M,'Source 2026'!$B:$B,$A114,'Source 2026'!$A:$A,"Quantity (units)")</f>
        <v>46</v>
      </c>
      <c r="E114" s="8" t="n">
        <f aca="false">D114*$J$5</f>
        <v>63.0857142857143</v>
      </c>
      <c r="F114" s="8" t="n">
        <f aca="false">E114-C114</f>
        <v>-103.914285714286</v>
      </c>
      <c r="G114" s="9" t="n">
        <f aca="false">IF(AND(C114=0,E114=0),0,IF(C114=0,"New",(E114-C114)/C114))</f>
        <v>-0.62224123182207</v>
      </c>
      <c r="H114" s="8" t="n">
        <f aca="false">SUMIFS('Source 2025'!$D:$D,'Source 2025'!$B:$B,$A114,'Source 2025'!$A:$A,"Amount (NIS)")+SUMIFS('Source 2025'!$E:$E,'Source 2025'!$B:$B,$A114,'Source 2025'!$A:$A,"Amount (NIS)")+SUMIFS('Source 2025'!$F:$F,'Source 2025'!$B:$B,$A114,'Source 2025'!$A:$A,"Amount (NIS)")+SUMIFS('Source 2025'!$G:$G,'Source 2025'!$B:$B,$A114,'Source 2025'!$A:$A,"Amount (NIS)")+SUMIFS('Source 2025'!$J:$J,'Source 2025'!$B:$B,$A114,'Source 2025'!$A:$A,"Amount (NIS)")+SUMIFS('Source 2025'!$M:$M,'Source 2025'!$B:$B,$A114,'Source 2025'!$A:$A,"Amount (NIS)")</f>
        <v>3307.6</v>
      </c>
      <c r="I114" s="8" t="n">
        <f aca="false">SUMIFS('Source 2026'!$D:$D,'Source 2026'!$B:$B,$A114,'Source 2026'!$A:$A,"Amount (NIS)")+SUMIFS('Source 2026'!$E:$E,'Source 2026'!$B:$B,$A114,'Source 2026'!$A:$A,"Amount (NIS)")+SUMIFS('Source 2026'!$F:$F,'Source 2026'!$B:$B,$A114,'Source 2026'!$A:$A,"Amount (NIS)")+SUMIFS('Source 2026'!$G:$G,'Source 2026'!$B:$B,$A114,'Source 2026'!$A:$A,"Amount (NIS)")+SUMIFS('Source 2026'!$J:$J,'Source 2026'!$B:$B,$A114,'Source 2026'!$A:$A,"Amount (NIS)")+SUMIFS('Source 2026'!$M:$M,'Source 2026'!$B:$B,$A114,'Source 2026'!$A:$A,"Amount (NIS)")</f>
        <v>913.3</v>
      </c>
      <c r="J114" s="8" t="n">
        <f aca="false">I114*$J$5</f>
        <v>1252.52571428571</v>
      </c>
      <c r="K114" s="8" t="n">
        <f aca="false">J114-H114</f>
        <v>-2055.07428571429</v>
      </c>
      <c r="L114" s="9" t="n">
        <f aca="false">IF(AND(H114=0,J114=0),0,IF(H114=0,"New",(J114-H114)/H114))</f>
        <v>-0.621318867370385</v>
      </c>
    </row>
    <row r="115" customFormat="false" ht="15" hidden="false" customHeight="false" outlineLevel="0" collapsed="false">
      <c r="A115" s="7" t="n">
        <v>4408208</v>
      </c>
      <c r="B115" s="7" t="str">
        <f aca="false">IFERROR(INDEX('Source 2026'!$C:$C,MATCH($A115,'Source 2026'!$B:$B,0)),IFERROR(INDEX('Source 2025'!$C:$C,MATCH($A115,'Source 2025'!$B:$B,0)),""))</f>
        <v>AC91 חבק טניס</v>
      </c>
      <c r="C115" s="8" t="n">
        <f aca="false">SUMIFS('Source 2025'!$D:$D,'Source 2025'!$B:$B,$A115,'Source 2025'!$A:$A,"Quantity (units)")+SUMIFS('Source 2025'!$E:$E,'Source 2025'!$B:$B,$A115,'Source 2025'!$A:$A,"Quantity (units)")+SUMIFS('Source 2025'!$F:$F,'Source 2025'!$B:$B,$A115,'Source 2025'!$A:$A,"Quantity (units)")+SUMIFS('Source 2025'!$G:$G,'Source 2025'!$B:$B,$A115,'Source 2025'!$A:$A,"Quantity (units)")+SUMIFS('Source 2025'!$J:$J,'Source 2025'!$B:$B,$A115,'Source 2025'!$A:$A,"Quantity (units)")+SUMIFS('Source 2025'!$M:$M,'Source 2025'!$B:$B,$A115,'Source 2025'!$A:$A,"Quantity (units)")</f>
        <v>394</v>
      </c>
      <c r="D115" s="8" t="n">
        <f aca="false">SUMIFS('Source 2026'!$D:$D,'Source 2026'!$B:$B,$A115,'Source 2026'!$A:$A,"Quantity (units)")+SUMIFS('Source 2026'!$E:$E,'Source 2026'!$B:$B,$A115,'Source 2026'!$A:$A,"Quantity (units)")+SUMIFS('Source 2026'!$F:$F,'Source 2026'!$B:$B,$A115,'Source 2026'!$A:$A,"Quantity (units)")+SUMIFS('Source 2026'!$G:$G,'Source 2026'!$B:$B,$A115,'Source 2026'!$A:$A,"Quantity (units)")+SUMIFS('Source 2026'!$J:$J,'Source 2026'!$B:$B,$A115,'Source 2026'!$A:$A,"Quantity (units)")+SUMIFS('Source 2026'!$M:$M,'Source 2026'!$B:$B,$A115,'Source 2026'!$A:$A,"Quantity (units)")</f>
        <v>314</v>
      </c>
      <c r="E115" s="8" t="n">
        <f aca="false">D115*$J$5</f>
        <v>430.628571428571</v>
      </c>
      <c r="F115" s="8" t="n">
        <f aca="false">E115-C115</f>
        <v>36.6285714285714</v>
      </c>
      <c r="G115" s="9" t="n">
        <f aca="false">IF(AND(C115=0,E115=0),0,IF(C115=0,"New",(E115-C115)/C115))</f>
        <v>0.0929659173313996</v>
      </c>
      <c r="H115" s="8" t="n">
        <f aca="false">SUMIFS('Source 2025'!$D:$D,'Source 2025'!$B:$B,$A115,'Source 2025'!$A:$A,"Amount (NIS)")+SUMIFS('Source 2025'!$E:$E,'Source 2025'!$B:$B,$A115,'Source 2025'!$A:$A,"Amount (NIS)")+SUMIFS('Source 2025'!$F:$F,'Source 2025'!$B:$B,$A115,'Source 2025'!$A:$A,"Amount (NIS)")+SUMIFS('Source 2025'!$G:$G,'Source 2025'!$B:$B,$A115,'Source 2025'!$A:$A,"Amount (NIS)")+SUMIFS('Source 2025'!$J:$J,'Source 2025'!$B:$B,$A115,'Source 2025'!$A:$A,"Amount (NIS)")+SUMIFS('Source 2025'!$M:$M,'Source 2025'!$B:$B,$A115,'Source 2025'!$A:$A,"Amount (NIS)")</f>
        <v>14192.7</v>
      </c>
      <c r="I115" s="8" t="n">
        <f aca="false">SUMIFS('Source 2026'!$D:$D,'Source 2026'!$B:$B,$A115,'Source 2026'!$A:$A,"Amount (NIS)")+SUMIFS('Source 2026'!$E:$E,'Source 2026'!$B:$B,$A115,'Source 2026'!$A:$A,"Amount (NIS)")+SUMIFS('Source 2026'!$F:$F,'Source 2026'!$B:$B,$A115,'Source 2026'!$A:$A,"Amount (NIS)")+SUMIFS('Source 2026'!$G:$G,'Source 2026'!$B:$B,$A115,'Source 2026'!$A:$A,"Amount (NIS)")+SUMIFS('Source 2026'!$J:$J,'Source 2026'!$B:$B,$A115,'Source 2026'!$A:$A,"Amount (NIS)")+SUMIFS('Source 2026'!$M:$M,'Source 2026'!$B:$B,$A115,'Source 2026'!$A:$A,"Amount (NIS)")</f>
        <v>11799.5</v>
      </c>
      <c r="J115" s="8" t="n">
        <f aca="false">I115*$J$5</f>
        <v>16182.1714285714</v>
      </c>
      <c r="K115" s="8" t="n">
        <f aca="false">J115-H115</f>
        <v>1989.47142857143</v>
      </c>
      <c r="L115" s="9" t="n">
        <f aca="false">IF(AND(H115=0,J115=0),0,IF(H115=0,"New",(J115-H115)/H115))</f>
        <v>0.140175683877728</v>
      </c>
    </row>
    <row r="116" customFormat="false" ht="15" hidden="false" customHeight="false" outlineLevel="0" collapsed="false">
      <c r="A116" s="7" t="n">
        <v>4413137</v>
      </c>
      <c r="B116" s="7" t="str">
        <f aca="false">IFERROR(INDEX('Source 2026'!$C:$C,MATCH($A116,'Source 2026'!$B:$B,0)),IFERROR(INDEX('Source 2025'!$C:$C,MATCH($A116,'Source 2025'!$B:$B,0)),""))</f>
        <v>85 S (מתלה ליד )כיס</v>
      </c>
      <c r="C116" s="8" t="n">
        <f aca="false">SUMIFS('Source 2025'!$D:$D,'Source 2025'!$B:$B,$A116,'Source 2025'!$A:$A,"Quantity (units)")+SUMIFS('Source 2025'!$E:$E,'Source 2025'!$B:$B,$A116,'Source 2025'!$A:$A,"Quantity (units)")+SUMIFS('Source 2025'!$F:$F,'Source 2025'!$B:$B,$A116,'Source 2025'!$A:$A,"Quantity (units)")+SUMIFS('Source 2025'!$G:$G,'Source 2025'!$B:$B,$A116,'Source 2025'!$A:$A,"Quantity (units)")+SUMIFS('Source 2025'!$J:$J,'Source 2025'!$B:$B,$A116,'Source 2025'!$A:$A,"Quantity (units)")+SUMIFS('Source 2025'!$M:$M,'Source 2025'!$B:$B,$A116,'Source 2025'!$A:$A,"Quantity (units)")</f>
        <v>78</v>
      </c>
      <c r="D116" s="8" t="n">
        <f aca="false">SUMIFS('Source 2026'!$D:$D,'Source 2026'!$B:$B,$A116,'Source 2026'!$A:$A,"Quantity (units)")+SUMIFS('Source 2026'!$E:$E,'Source 2026'!$B:$B,$A116,'Source 2026'!$A:$A,"Quantity (units)")+SUMIFS('Source 2026'!$F:$F,'Source 2026'!$B:$B,$A116,'Source 2026'!$A:$A,"Quantity (units)")+SUMIFS('Source 2026'!$G:$G,'Source 2026'!$B:$B,$A116,'Source 2026'!$A:$A,"Quantity (units)")+SUMIFS('Source 2026'!$J:$J,'Source 2026'!$B:$B,$A116,'Source 2026'!$A:$A,"Quantity (units)")+SUMIFS('Source 2026'!$M:$M,'Source 2026'!$B:$B,$A116,'Source 2026'!$A:$A,"Quantity (units)")</f>
        <v>37</v>
      </c>
      <c r="E116" s="8" t="n">
        <f aca="false">D116*$J$5</f>
        <v>50.7428571428571</v>
      </c>
      <c r="F116" s="8" t="n">
        <f aca="false">E116-C116</f>
        <v>-27.2571428571429</v>
      </c>
      <c r="G116" s="9" t="n">
        <f aca="false">IF(AND(C116=0,E116=0),0,IF(C116=0,"New",(E116-C116)/C116))</f>
        <v>-0.34945054945055</v>
      </c>
      <c r="H116" s="8" t="n">
        <f aca="false">SUMIFS('Source 2025'!$D:$D,'Source 2025'!$B:$B,$A116,'Source 2025'!$A:$A,"Amount (NIS)")+SUMIFS('Source 2025'!$E:$E,'Source 2025'!$B:$B,$A116,'Source 2025'!$A:$A,"Amount (NIS)")+SUMIFS('Source 2025'!$F:$F,'Source 2025'!$B:$B,$A116,'Source 2025'!$A:$A,"Amount (NIS)")+SUMIFS('Source 2025'!$G:$G,'Source 2025'!$B:$B,$A116,'Source 2025'!$A:$A,"Amount (NIS)")+SUMIFS('Source 2025'!$J:$J,'Source 2025'!$B:$B,$A116,'Source 2025'!$A:$A,"Amount (NIS)")+SUMIFS('Source 2025'!$M:$M,'Source 2025'!$B:$B,$A116,'Source 2025'!$A:$A,"Amount (NIS)")</f>
        <v>4312.8</v>
      </c>
      <c r="I116" s="8" t="n">
        <f aca="false">SUMIFS('Source 2026'!$D:$D,'Source 2026'!$B:$B,$A116,'Source 2026'!$A:$A,"Amount (NIS)")+SUMIFS('Source 2026'!$E:$E,'Source 2026'!$B:$B,$A116,'Source 2026'!$A:$A,"Amount (NIS)")+SUMIFS('Source 2026'!$F:$F,'Source 2026'!$B:$B,$A116,'Source 2026'!$A:$A,"Amount (NIS)")+SUMIFS('Source 2026'!$G:$G,'Source 2026'!$B:$B,$A116,'Source 2026'!$A:$A,"Amount (NIS)")+SUMIFS('Source 2026'!$J:$J,'Source 2026'!$B:$B,$A116,'Source 2026'!$A:$A,"Amount (NIS)")+SUMIFS('Source 2026'!$M:$M,'Source 2026'!$B:$B,$A116,'Source 2026'!$A:$A,"Amount (NIS)")</f>
        <v>1939.5</v>
      </c>
      <c r="J116" s="8" t="n">
        <f aca="false">I116*$J$5</f>
        <v>2659.88571428571</v>
      </c>
      <c r="K116" s="8" t="n">
        <f aca="false">J116-H116</f>
        <v>-1652.91428571429</v>
      </c>
      <c r="L116" s="9" t="n">
        <f aca="false">IF(AND(H116=0,J116=0),0,IF(H116=0,"New",(J116-H116)/H116))</f>
        <v>-0.383257810636776</v>
      </c>
    </row>
    <row r="117" customFormat="false" ht="15" hidden="false" customHeight="false" outlineLevel="0" collapsed="false">
      <c r="A117" s="7" t="n">
        <v>4415002</v>
      </c>
      <c r="B117" s="7" t="str">
        <f aca="false">IFERROR(INDEX('Source 2026'!$C:$C,MATCH($A117,'Source 2026'!$B:$B,0)),IFERROR(INDEX('Source 2025'!$C:$C,MATCH($A117,'Source 2025'!$B:$B,0)),""))</f>
        <v>26 S סד ליד דו צדדי לאחר שבר</v>
      </c>
      <c r="C117" s="8" t="n">
        <f aca="false">SUMIFS('Source 2025'!$D:$D,'Source 2025'!$B:$B,$A117,'Source 2025'!$A:$A,"Quantity (units)")+SUMIFS('Source 2025'!$E:$E,'Source 2025'!$B:$B,$A117,'Source 2025'!$A:$A,"Quantity (units)")+SUMIFS('Source 2025'!$F:$F,'Source 2025'!$B:$B,$A117,'Source 2025'!$A:$A,"Quantity (units)")+SUMIFS('Source 2025'!$G:$G,'Source 2025'!$B:$B,$A117,'Source 2025'!$A:$A,"Quantity (units)")+SUMIFS('Source 2025'!$J:$J,'Source 2025'!$B:$B,$A117,'Source 2025'!$A:$A,"Quantity (units)")+SUMIFS('Source 2025'!$M:$M,'Source 2025'!$B:$B,$A117,'Source 2025'!$A:$A,"Quantity (units)")</f>
        <v>53</v>
      </c>
      <c r="D117" s="8" t="n">
        <f aca="false">SUMIFS('Source 2026'!$D:$D,'Source 2026'!$B:$B,$A117,'Source 2026'!$A:$A,"Quantity (units)")+SUMIFS('Source 2026'!$E:$E,'Source 2026'!$B:$B,$A117,'Source 2026'!$A:$A,"Quantity (units)")+SUMIFS('Source 2026'!$F:$F,'Source 2026'!$B:$B,$A117,'Source 2026'!$A:$A,"Quantity (units)")+SUMIFS('Source 2026'!$G:$G,'Source 2026'!$B:$B,$A117,'Source 2026'!$A:$A,"Quantity (units)")+SUMIFS('Source 2026'!$J:$J,'Source 2026'!$B:$B,$A117,'Source 2026'!$A:$A,"Quantity (units)")+SUMIFS('Source 2026'!$M:$M,'Source 2026'!$B:$B,$A117,'Source 2026'!$A:$A,"Quantity (units)")</f>
        <v>28</v>
      </c>
      <c r="E117" s="8" t="n">
        <f aca="false">D117*$J$5</f>
        <v>38.4</v>
      </c>
      <c r="F117" s="8" t="n">
        <f aca="false">E117-C117</f>
        <v>-14.6</v>
      </c>
      <c r="G117" s="9" t="n">
        <f aca="false">IF(AND(C117=0,E117=0),0,IF(C117=0,"New",(E117-C117)/C117))</f>
        <v>-0.275471698113208</v>
      </c>
      <c r="H117" s="8" t="n">
        <f aca="false">SUMIFS('Source 2025'!$D:$D,'Source 2025'!$B:$B,$A117,'Source 2025'!$A:$A,"Amount (NIS)")+SUMIFS('Source 2025'!$E:$E,'Source 2025'!$B:$B,$A117,'Source 2025'!$A:$A,"Amount (NIS)")+SUMIFS('Source 2025'!$F:$F,'Source 2025'!$B:$B,$A117,'Source 2025'!$A:$A,"Amount (NIS)")+SUMIFS('Source 2025'!$G:$G,'Source 2025'!$B:$B,$A117,'Source 2025'!$A:$A,"Amount (NIS)")+SUMIFS('Source 2025'!$J:$J,'Source 2025'!$B:$B,$A117,'Source 2025'!$A:$A,"Amount (NIS)")+SUMIFS('Source 2025'!$M:$M,'Source 2025'!$B:$B,$A117,'Source 2025'!$A:$A,"Amount (NIS)")</f>
        <v>5173.7</v>
      </c>
      <c r="I117" s="8" t="n">
        <f aca="false">SUMIFS('Source 2026'!$D:$D,'Source 2026'!$B:$B,$A117,'Source 2026'!$A:$A,"Amount (NIS)")+SUMIFS('Source 2026'!$E:$E,'Source 2026'!$B:$B,$A117,'Source 2026'!$A:$A,"Amount (NIS)")+SUMIFS('Source 2026'!$F:$F,'Source 2026'!$B:$B,$A117,'Source 2026'!$A:$A,"Amount (NIS)")+SUMIFS('Source 2026'!$G:$G,'Source 2026'!$B:$B,$A117,'Source 2026'!$A:$A,"Amount (NIS)")+SUMIFS('Source 2026'!$J:$J,'Source 2026'!$B:$B,$A117,'Source 2026'!$A:$A,"Amount (NIS)")+SUMIFS('Source 2026'!$M:$M,'Source 2026'!$B:$B,$A117,'Source 2026'!$A:$A,"Amount (NIS)")</f>
        <v>2810.4</v>
      </c>
      <c r="J117" s="8" t="n">
        <f aca="false">I117*$J$5</f>
        <v>3854.26285714286</v>
      </c>
      <c r="K117" s="8" t="n">
        <f aca="false">J117-H117</f>
        <v>-1319.43714285714</v>
      </c>
      <c r="L117" s="9" t="n">
        <f aca="false">IF(AND(H117=0,J117=0),0,IF(H117=0,"New",(J117-H117)/H117))</f>
        <v>-0.255027764048388</v>
      </c>
    </row>
    <row r="118" customFormat="false" ht="15" hidden="false" customHeight="false" outlineLevel="0" collapsed="false">
      <c r="A118" s="7" t="n">
        <v>4408048</v>
      </c>
      <c r="B118" s="7" t="str">
        <f aca="false">IFERROR(INDEX('Source 2026'!$C:$C,MATCH($A118,'Source 2026'!$B:$B,0)),IFERROR(INDEX('Source 2025'!$C:$C,MATCH($A118,'Source 2025'!$B:$B,0)),""))</f>
        <v>20 S חבק יד מתכוון עם צמדן</v>
      </c>
      <c r="C118" s="8" t="n">
        <f aca="false">SUMIFS('Source 2025'!$D:$D,'Source 2025'!$B:$B,$A118,'Source 2025'!$A:$A,"Quantity (units)")+SUMIFS('Source 2025'!$E:$E,'Source 2025'!$B:$B,$A118,'Source 2025'!$A:$A,"Quantity (units)")+SUMIFS('Source 2025'!$F:$F,'Source 2025'!$B:$B,$A118,'Source 2025'!$A:$A,"Quantity (units)")+SUMIFS('Source 2025'!$G:$G,'Source 2025'!$B:$B,$A118,'Source 2025'!$A:$A,"Quantity (units)")+SUMIFS('Source 2025'!$J:$J,'Source 2025'!$B:$B,$A118,'Source 2025'!$A:$A,"Quantity (units)")+SUMIFS('Source 2025'!$M:$M,'Source 2025'!$B:$B,$A118,'Source 2025'!$A:$A,"Quantity (units)")</f>
        <v>129</v>
      </c>
      <c r="D118" s="8" t="n">
        <f aca="false">SUMIFS('Source 2026'!$D:$D,'Source 2026'!$B:$B,$A118,'Source 2026'!$A:$A,"Quantity (units)")+SUMIFS('Source 2026'!$E:$E,'Source 2026'!$B:$B,$A118,'Source 2026'!$A:$A,"Quantity (units)")+SUMIFS('Source 2026'!$F:$F,'Source 2026'!$B:$B,$A118,'Source 2026'!$A:$A,"Quantity (units)")+SUMIFS('Source 2026'!$G:$G,'Source 2026'!$B:$B,$A118,'Source 2026'!$A:$A,"Quantity (units)")+SUMIFS('Source 2026'!$J:$J,'Source 2026'!$B:$B,$A118,'Source 2026'!$A:$A,"Quantity (units)")+SUMIFS('Source 2026'!$M:$M,'Source 2026'!$B:$B,$A118,'Source 2026'!$A:$A,"Quantity (units)")</f>
        <v>57</v>
      </c>
      <c r="E118" s="8" t="n">
        <f aca="false">D118*$J$5</f>
        <v>78.1714285714286</v>
      </c>
      <c r="F118" s="8" t="n">
        <f aca="false">E118-C118</f>
        <v>-50.8285714285714</v>
      </c>
      <c r="G118" s="9" t="n">
        <f aca="false">IF(AND(C118=0,E118=0),0,IF(C118=0,"New",(E118-C118)/C118))</f>
        <v>-0.394019933554817</v>
      </c>
      <c r="H118" s="8" t="n">
        <f aca="false">SUMIFS('Source 2025'!$D:$D,'Source 2025'!$B:$B,$A118,'Source 2025'!$A:$A,"Amount (NIS)")+SUMIFS('Source 2025'!$E:$E,'Source 2025'!$B:$B,$A118,'Source 2025'!$A:$A,"Amount (NIS)")+SUMIFS('Source 2025'!$F:$F,'Source 2025'!$B:$B,$A118,'Source 2025'!$A:$A,"Amount (NIS)")+SUMIFS('Source 2025'!$G:$G,'Source 2025'!$B:$B,$A118,'Source 2025'!$A:$A,"Amount (NIS)")+SUMIFS('Source 2025'!$J:$J,'Source 2025'!$B:$B,$A118,'Source 2025'!$A:$A,"Amount (NIS)")+SUMIFS('Source 2025'!$M:$M,'Source 2025'!$B:$B,$A118,'Source 2025'!$A:$A,"Amount (NIS)")</f>
        <v>4216.3</v>
      </c>
      <c r="I118" s="8" t="n">
        <f aca="false">SUMIFS('Source 2026'!$D:$D,'Source 2026'!$B:$B,$A118,'Source 2026'!$A:$A,"Amount (NIS)")+SUMIFS('Source 2026'!$E:$E,'Source 2026'!$B:$B,$A118,'Source 2026'!$A:$A,"Amount (NIS)")+SUMIFS('Source 2026'!$F:$F,'Source 2026'!$B:$B,$A118,'Source 2026'!$A:$A,"Amount (NIS)")+SUMIFS('Source 2026'!$G:$G,'Source 2026'!$B:$B,$A118,'Source 2026'!$A:$A,"Amount (NIS)")+SUMIFS('Source 2026'!$J:$J,'Source 2026'!$B:$B,$A118,'Source 2026'!$A:$A,"Amount (NIS)")+SUMIFS('Source 2026'!$M:$M,'Source 2026'!$B:$B,$A118,'Source 2026'!$A:$A,"Amount (NIS)")</f>
        <v>1860</v>
      </c>
      <c r="J118" s="8" t="n">
        <f aca="false">I118*$J$5</f>
        <v>2550.85714285714</v>
      </c>
      <c r="K118" s="8" t="n">
        <f aca="false">J118-H118</f>
        <v>-1665.44285714286</v>
      </c>
      <c r="L118" s="9" t="n">
        <f aca="false">IF(AND(H118=0,J118=0),0,IF(H118=0,"New",(J118-H118)/H118))</f>
        <v>-0.395001033404373</v>
      </c>
    </row>
    <row r="119" customFormat="false" ht="15" hidden="false" customHeight="false" outlineLevel="0" collapsed="false">
      <c r="A119" s="7" t="n">
        <v>4422033</v>
      </c>
      <c r="B119" s="7" t="str">
        <f aca="false">IFERROR(INDEX('Source 2026'!$C:$C,MATCH($A119,'Source 2026'!$B:$B,0)),IFERROR(INDEX('Source 2025'!$C:$C,MATCH($A119,'Source 2025'!$B:$B,0)),""))</f>
        <v>807CB-BLתחבושת נצמדת כחול20מ""מ</v>
      </c>
      <c r="C119" s="8" t="n">
        <f aca="false">SUMIFS('Source 2025'!$D:$D,'Source 2025'!$B:$B,$A119,'Source 2025'!$A:$A,"Quantity (units)")+SUMIFS('Source 2025'!$E:$E,'Source 2025'!$B:$B,$A119,'Source 2025'!$A:$A,"Quantity (units)")+SUMIFS('Source 2025'!$F:$F,'Source 2025'!$B:$B,$A119,'Source 2025'!$A:$A,"Quantity (units)")+SUMIFS('Source 2025'!$G:$G,'Source 2025'!$B:$B,$A119,'Source 2025'!$A:$A,"Quantity (units)")+SUMIFS('Source 2025'!$J:$J,'Source 2025'!$B:$B,$A119,'Source 2025'!$A:$A,"Quantity (units)")+SUMIFS('Source 2025'!$M:$M,'Source 2025'!$B:$B,$A119,'Source 2025'!$A:$A,"Quantity (units)")</f>
        <v>400</v>
      </c>
      <c r="D119" s="8" t="n">
        <f aca="false">SUMIFS('Source 2026'!$D:$D,'Source 2026'!$B:$B,$A119,'Source 2026'!$A:$A,"Quantity (units)")+SUMIFS('Source 2026'!$E:$E,'Source 2026'!$B:$B,$A119,'Source 2026'!$A:$A,"Quantity (units)")+SUMIFS('Source 2026'!$F:$F,'Source 2026'!$B:$B,$A119,'Source 2026'!$A:$A,"Quantity (units)")+SUMIFS('Source 2026'!$G:$G,'Source 2026'!$B:$B,$A119,'Source 2026'!$A:$A,"Quantity (units)")+SUMIFS('Source 2026'!$J:$J,'Source 2026'!$B:$B,$A119,'Source 2026'!$A:$A,"Quantity (units)")+SUMIFS('Source 2026'!$M:$M,'Source 2026'!$B:$B,$A119,'Source 2026'!$A:$A,"Quantity (units)")</f>
        <v>124</v>
      </c>
      <c r="E119" s="8" t="n">
        <f aca="false">D119*$J$5</f>
        <v>170.057142857143</v>
      </c>
      <c r="F119" s="8" t="n">
        <f aca="false">E119-C119</f>
        <v>-229.942857142857</v>
      </c>
      <c r="G119" s="9" t="n">
        <f aca="false">IF(AND(C119=0,E119=0),0,IF(C119=0,"New",(E119-C119)/C119))</f>
        <v>-0.574857142857143</v>
      </c>
      <c r="H119" s="8" t="n">
        <f aca="false">SUMIFS('Source 2025'!$D:$D,'Source 2025'!$B:$B,$A119,'Source 2025'!$A:$A,"Amount (NIS)")+SUMIFS('Source 2025'!$E:$E,'Source 2025'!$B:$B,$A119,'Source 2025'!$A:$A,"Amount (NIS)")+SUMIFS('Source 2025'!$F:$F,'Source 2025'!$B:$B,$A119,'Source 2025'!$A:$A,"Amount (NIS)")+SUMIFS('Source 2025'!$G:$G,'Source 2025'!$B:$B,$A119,'Source 2025'!$A:$A,"Amount (NIS)")+SUMIFS('Source 2025'!$J:$J,'Source 2025'!$B:$B,$A119,'Source 2025'!$A:$A,"Amount (NIS)")+SUMIFS('Source 2025'!$M:$M,'Source 2025'!$B:$B,$A119,'Source 2025'!$A:$A,"Amount (NIS)")</f>
        <v>3741.1</v>
      </c>
      <c r="I119" s="8" t="n">
        <f aca="false">SUMIFS('Source 2026'!$D:$D,'Source 2026'!$B:$B,$A119,'Source 2026'!$A:$A,"Amount (NIS)")+SUMIFS('Source 2026'!$E:$E,'Source 2026'!$B:$B,$A119,'Source 2026'!$A:$A,"Amount (NIS)")+SUMIFS('Source 2026'!$F:$F,'Source 2026'!$B:$B,$A119,'Source 2026'!$A:$A,"Amount (NIS)")+SUMIFS('Source 2026'!$G:$G,'Source 2026'!$B:$B,$A119,'Source 2026'!$A:$A,"Amount (NIS)")+SUMIFS('Source 2026'!$J:$J,'Source 2026'!$B:$B,$A119,'Source 2026'!$A:$A,"Amount (NIS)")+SUMIFS('Source 2026'!$M:$M,'Source 2026'!$B:$B,$A119,'Source 2026'!$A:$A,"Amount (NIS)")</f>
        <v>1388.3</v>
      </c>
      <c r="J119" s="8" t="n">
        <f aca="false">I119*$J$5</f>
        <v>1903.95428571429</v>
      </c>
      <c r="K119" s="8" t="n">
        <f aca="false">J119-H119</f>
        <v>-1837.14571428571</v>
      </c>
      <c r="L119" s="9" t="n">
        <f aca="false">IF(AND(H119=0,J119=0),0,IF(H119=0,"New",(J119-H119)/H119))</f>
        <v>-0.491070998980437</v>
      </c>
    </row>
    <row r="120" customFormat="false" ht="15" hidden="false" customHeight="false" outlineLevel="0" collapsed="false">
      <c r="A120" s="7" t="n">
        <v>4413092</v>
      </c>
      <c r="B120" s="7" t="str">
        <f aca="false">IFERROR(INDEX('Source 2026'!$C:$C,MATCH($A120,'Source 2026'!$B:$B,0)),IFERROR(INDEX('Source 2025'!$C:$C,MATCH($A120,'Source 2025'!$B:$B,0)),""))</f>
        <v>45 L מגן ברך לבן</v>
      </c>
      <c r="C120" s="8" t="n">
        <f aca="false">SUMIFS('Source 2025'!$D:$D,'Source 2025'!$B:$B,$A120,'Source 2025'!$A:$A,"Quantity (units)")+SUMIFS('Source 2025'!$E:$E,'Source 2025'!$B:$B,$A120,'Source 2025'!$A:$A,"Quantity (units)")+SUMIFS('Source 2025'!$F:$F,'Source 2025'!$B:$B,$A120,'Source 2025'!$A:$A,"Quantity (units)")+SUMIFS('Source 2025'!$G:$G,'Source 2025'!$B:$B,$A120,'Source 2025'!$A:$A,"Quantity (units)")+SUMIFS('Source 2025'!$J:$J,'Source 2025'!$B:$B,$A120,'Source 2025'!$A:$A,"Quantity (units)")+SUMIFS('Source 2025'!$M:$M,'Source 2025'!$B:$B,$A120,'Source 2025'!$A:$A,"Quantity (units)")</f>
        <v>319</v>
      </c>
      <c r="D120" s="8" t="n">
        <f aca="false">SUMIFS('Source 2026'!$D:$D,'Source 2026'!$B:$B,$A120,'Source 2026'!$A:$A,"Quantity (units)")+SUMIFS('Source 2026'!$E:$E,'Source 2026'!$B:$B,$A120,'Source 2026'!$A:$A,"Quantity (units)")+SUMIFS('Source 2026'!$F:$F,'Source 2026'!$B:$B,$A120,'Source 2026'!$A:$A,"Quantity (units)")+SUMIFS('Source 2026'!$G:$G,'Source 2026'!$B:$B,$A120,'Source 2026'!$A:$A,"Quantity (units)")+SUMIFS('Source 2026'!$J:$J,'Source 2026'!$B:$B,$A120,'Source 2026'!$A:$A,"Quantity (units)")+SUMIFS('Source 2026'!$M:$M,'Source 2026'!$B:$B,$A120,'Source 2026'!$A:$A,"Quantity (units)")</f>
        <v>240</v>
      </c>
      <c r="E120" s="8" t="n">
        <f aca="false">D120*$J$5</f>
        <v>329.142857142857</v>
      </c>
      <c r="F120" s="8" t="n">
        <f aca="false">E120-C120</f>
        <v>10.1428571428572</v>
      </c>
      <c r="G120" s="9" t="n">
        <f aca="false">IF(AND(C120=0,E120=0),0,IF(C120=0,"New",(E120-C120)/C120))</f>
        <v>0.0317957904164801</v>
      </c>
      <c r="H120" s="8" t="n">
        <f aca="false">SUMIFS('Source 2025'!$D:$D,'Source 2025'!$B:$B,$A120,'Source 2025'!$A:$A,"Amount (NIS)")+SUMIFS('Source 2025'!$E:$E,'Source 2025'!$B:$B,$A120,'Source 2025'!$A:$A,"Amount (NIS)")+SUMIFS('Source 2025'!$F:$F,'Source 2025'!$B:$B,$A120,'Source 2025'!$A:$A,"Amount (NIS)")+SUMIFS('Source 2025'!$G:$G,'Source 2025'!$B:$B,$A120,'Source 2025'!$A:$A,"Amount (NIS)")+SUMIFS('Source 2025'!$J:$J,'Source 2025'!$B:$B,$A120,'Source 2025'!$A:$A,"Amount (NIS)")+SUMIFS('Source 2025'!$M:$M,'Source 2025'!$B:$B,$A120,'Source 2025'!$A:$A,"Amount (NIS)")</f>
        <v>9500.5</v>
      </c>
      <c r="I120" s="8" t="n">
        <f aca="false">SUMIFS('Source 2026'!$D:$D,'Source 2026'!$B:$B,$A120,'Source 2026'!$A:$A,"Amount (NIS)")+SUMIFS('Source 2026'!$E:$E,'Source 2026'!$B:$B,$A120,'Source 2026'!$A:$A,"Amount (NIS)")+SUMIFS('Source 2026'!$F:$F,'Source 2026'!$B:$B,$A120,'Source 2026'!$A:$A,"Amount (NIS)")+SUMIFS('Source 2026'!$G:$G,'Source 2026'!$B:$B,$A120,'Source 2026'!$A:$A,"Amount (NIS)")+SUMIFS('Source 2026'!$J:$J,'Source 2026'!$B:$B,$A120,'Source 2026'!$A:$A,"Amount (NIS)")+SUMIFS('Source 2026'!$M:$M,'Source 2026'!$B:$B,$A120,'Source 2026'!$A:$A,"Amount (NIS)")</f>
        <v>7170.2</v>
      </c>
      <c r="J120" s="8" t="n">
        <f aca="false">I120*$J$5</f>
        <v>9833.41714285714</v>
      </c>
      <c r="K120" s="8" t="n">
        <f aca="false">J120-H120</f>
        <v>332.917142857143</v>
      </c>
      <c r="L120" s="9" t="n">
        <f aca="false">IF(AND(H120=0,J120=0),0,IF(H120=0,"New",(J120-H120)/H120))</f>
        <v>0.0350420654552016</v>
      </c>
    </row>
    <row r="121" customFormat="false" ht="15" hidden="false" customHeight="false" outlineLevel="0" collapsed="false">
      <c r="A121" s="7" t="n">
        <v>4413517</v>
      </c>
      <c r="B121" s="7" t="str">
        <f aca="false">IFERROR(INDEX('Source 2026'!$C:$C,MATCH($A121,'Source 2026'!$B:$B,0)),IFERROR(INDEX('Source 2025'!$C:$C,MATCH($A121,'Source 2025'!$B:$B,0)),""))</f>
        <v>85B M מתלה רשת לזרוע שחור</v>
      </c>
      <c r="C121" s="8" t="n">
        <f aca="false">SUMIFS('Source 2025'!$D:$D,'Source 2025'!$B:$B,$A121,'Source 2025'!$A:$A,"Quantity (units)")+SUMIFS('Source 2025'!$E:$E,'Source 2025'!$B:$B,$A121,'Source 2025'!$A:$A,"Quantity (units)")+SUMIFS('Source 2025'!$F:$F,'Source 2025'!$B:$B,$A121,'Source 2025'!$A:$A,"Quantity (units)")+SUMIFS('Source 2025'!$G:$G,'Source 2025'!$B:$B,$A121,'Source 2025'!$A:$A,"Quantity (units)")+SUMIFS('Source 2025'!$J:$J,'Source 2025'!$B:$B,$A121,'Source 2025'!$A:$A,"Quantity (units)")+SUMIFS('Source 2025'!$M:$M,'Source 2025'!$B:$B,$A121,'Source 2025'!$A:$A,"Quantity (units)")</f>
        <v>160</v>
      </c>
      <c r="D121" s="8" t="n">
        <f aca="false">SUMIFS('Source 2026'!$D:$D,'Source 2026'!$B:$B,$A121,'Source 2026'!$A:$A,"Quantity (units)")+SUMIFS('Source 2026'!$E:$E,'Source 2026'!$B:$B,$A121,'Source 2026'!$A:$A,"Quantity (units)")+SUMIFS('Source 2026'!$F:$F,'Source 2026'!$B:$B,$A121,'Source 2026'!$A:$A,"Quantity (units)")+SUMIFS('Source 2026'!$G:$G,'Source 2026'!$B:$B,$A121,'Source 2026'!$A:$A,"Quantity (units)")+SUMIFS('Source 2026'!$J:$J,'Source 2026'!$B:$B,$A121,'Source 2026'!$A:$A,"Quantity (units)")+SUMIFS('Source 2026'!$M:$M,'Source 2026'!$B:$B,$A121,'Source 2026'!$A:$A,"Quantity (units)")</f>
        <v>115</v>
      </c>
      <c r="E121" s="8" t="n">
        <f aca="false">D121*$J$5</f>
        <v>157.714285714286</v>
      </c>
      <c r="F121" s="8" t="n">
        <f aca="false">E121-C121</f>
        <v>-2.28571428571428</v>
      </c>
      <c r="G121" s="9" t="n">
        <f aca="false">IF(AND(C121=0,E121=0),0,IF(C121=0,"New",(E121-C121)/C121))</f>
        <v>-0.0142857142857142</v>
      </c>
      <c r="H121" s="8" t="n">
        <f aca="false">SUMIFS('Source 2025'!$D:$D,'Source 2025'!$B:$B,$A121,'Source 2025'!$A:$A,"Amount (NIS)")+SUMIFS('Source 2025'!$E:$E,'Source 2025'!$B:$B,$A121,'Source 2025'!$A:$A,"Amount (NIS)")+SUMIFS('Source 2025'!$F:$F,'Source 2025'!$B:$B,$A121,'Source 2025'!$A:$A,"Amount (NIS)")+SUMIFS('Source 2025'!$G:$G,'Source 2025'!$B:$B,$A121,'Source 2025'!$A:$A,"Amount (NIS)")+SUMIFS('Source 2025'!$J:$J,'Source 2025'!$B:$B,$A121,'Source 2025'!$A:$A,"Amount (NIS)")+SUMIFS('Source 2025'!$M:$M,'Source 2025'!$B:$B,$A121,'Source 2025'!$A:$A,"Amount (NIS)")</f>
        <v>8753.6</v>
      </c>
      <c r="I121" s="8" t="n">
        <f aca="false">SUMIFS('Source 2026'!$D:$D,'Source 2026'!$B:$B,$A121,'Source 2026'!$A:$A,"Amount (NIS)")+SUMIFS('Source 2026'!$E:$E,'Source 2026'!$B:$B,$A121,'Source 2026'!$A:$A,"Amount (NIS)")+SUMIFS('Source 2026'!$F:$F,'Source 2026'!$B:$B,$A121,'Source 2026'!$A:$A,"Amount (NIS)")+SUMIFS('Source 2026'!$G:$G,'Source 2026'!$B:$B,$A121,'Source 2026'!$A:$A,"Amount (NIS)")+SUMIFS('Source 2026'!$J:$J,'Source 2026'!$B:$B,$A121,'Source 2026'!$A:$A,"Amount (NIS)")+SUMIFS('Source 2026'!$M:$M,'Source 2026'!$B:$B,$A121,'Source 2026'!$A:$A,"Amount (NIS)")</f>
        <v>6429.3</v>
      </c>
      <c r="J121" s="8" t="n">
        <f aca="false">I121*$J$5</f>
        <v>8817.32571428572</v>
      </c>
      <c r="K121" s="8" t="n">
        <f aca="false">J121-H121</f>
        <v>63.7257142857143</v>
      </c>
      <c r="L121" s="9" t="n">
        <f aca="false">IF(AND(H121=0,J121=0),0,IF(H121=0,"New",(J121-H121)/H121))</f>
        <v>0.0072799435987153</v>
      </c>
    </row>
    <row r="122" customFormat="false" ht="15" hidden="false" customHeight="false" outlineLevel="0" collapsed="false">
      <c r="A122" s="7" t="n">
        <v>4413128</v>
      </c>
      <c r="B122" s="7" t="str">
        <f aca="false">IFERROR(INDEX('Source 2026'!$C:$C,MATCH($A122,'Source 2026'!$B:$B,0)),IFERROR(INDEX('Source 2025'!$C:$C,MATCH($A122,'Source 2025'!$B:$B,0)),""))</f>
        <v>75 Mמיישר כתף יציב יישור גב צר</v>
      </c>
      <c r="C122" s="8" t="n">
        <f aca="false">SUMIFS('Source 2025'!$D:$D,'Source 2025'!$B:$B,$A122,'Source 2025'!$A:$A,"Quantity (units)")+SUMIFS('Source 2025'!$E:$E,'Source 2025'!$B:$B,$A122,'Source 2025'!$A:$A,"Quantity (units)")+SUMIFS('Source 2025'!$F:$F,'Source 2025'!$B:$B,$A122,'Source 2025'!$A:$A,"Quantity (units)")+SUMIFS('Source 2025'!$G:$G,'Source 2025'!$B:$B,$A122,'Source 2025'!$A:$A,"Quantity (units)")+SUMIFS('Source 2025'!$J:$J,'Source 2025'!$B:$B,$A122,'Source 2025'!$A:$A,"Quantity (units)")+SUMIFS('Source 2025'!$M:$M,'Source 2025'!$B:$B,$A122,'Source 2025'!$A:$A,"Quantity (units)")</f>
        <v>21</v>
      </c>
      <c r="D122" s="8" t="n">
        <f aca="false">SUMIFS('Source 2026'!$D:$D,'Source 2026'!$B:$B,$A122,'Source 2026'!$A:$A,"Quantity (units)")+SUMIFS('Source 2026'!$E:$E,'Source 2026'!$B:$B,$A122,'Source 2026'!$A:$A,"Quantity (units)")+SUMIFS('Source 2026'!$F:$F,'Source 2026'!$B:$B,$A122,'Source 2026'!$A:$A,"Quantity (units)")+SUMIFS('Source 2026'!$G:$G,'Source 2026'!$B:$B,$A122,'Source 2026'!$A:$A,"Quantity (units)")+SUMIFS('Source 2026'!$J:$J,'Source 2026'!$B:$B,$A122,'Source 2026'!$A:$A,"Quantity (units)")+SUMIFS('Source 2026'!$M:$M,'Source 2026'!$B:$B,$A122,'Source 2026'!$A:$A,"Quantity (units)")</f>
        <v>7</v>
      </c>
      <c r="E122" s="8" t="n">
        <f aca="false">D122*$J$5</f>
        <v>9.6</v>
      </c>
      <c r="F122" s="8" t="n">
        <f aca="false">E122-C122</f>
        <v>-11.4</v>
      </c>
      <c r="G122" s="9" t="n">
        <f aca="false">IF(AND(C122=0,E122=0),0,IF(C122=0,"New",(E122-C122)/C122))</f>
        <v>-0.542857142857143</v>
      </c>
      <c r="H122" s="8" t="n">
        <f aca="false">SUMIFS('Source 2025'!$D:$D,'Source 2025'!$B:$B,$A122,'Source 2025'!$A:$A,"Amount (NIS)")+SUMIFS('Source 2025'!$E:$E,'Source 2025'!$B:$B,$A122,'Source 2025'!$A:$A,"Amount (NIS)")+SUMIFS('Source 2025'!$F:$F,'Source 2025'!$B:$B,$A122,'Source 2025'!$A:$A,"Amount (NIS)")+SUMIFS('Source 2025'!$G:$G,'Source 2025'!$B:$B,$A122,'Source 2025'!$A:$A,"Amount (NIS)")+SUMIFS('Source 2025'!$J:$J,'Source 2025'!$B:$B,$A122,'Source 2025'!$A:$A,"Amount (NIS)")+SUMIFS('Source 2025'!$M:$M,'Source 2025'!$B:$B,$A122,'Source 2025'!$A:$A,"Amount (NIS)")</f>
        <v>3344.9</v>
      </c>
      <c r="I122" s="8" t="n">
        <f aca="false">SUMIFS('Source 2026'!$D:$D,'Source 2026'!$B:$B,$A122,'Source 2026'!$A:$A,"Amount (NIS)")+SUMIFS('Source 2026'!$E:$E,'Source 2026'!$B:$B,$A122,'Source 2026'!$A:$A,"Amount (NIS)")+SUMIFS('Source 2026'!$F:$F,'Source 2026'!$B:$B,$A122,'Source 2026'!$A:$A,"Amount (NIS)")+SUMIFS('Source 2026'!$G:$G,'Source 2026'!$B:$B,$A122,'Source 2026'!$A:$A,"Amount (NIS)")+SUMIFS('Source 2026'!$J:$J,'Source 2026'!$B:$B,$A122,'Source 2026'!$A:$A,"Amount (NIS)")+SUMIFS('Source 2026'!$M:$M,'Source 2026'!$B:$B,$A122,'Source 2026'!$A:$A,"Amount (NIS)")</f>
        <v>1060.5</v>
      </c>
      <c r="J122" s="8" t="n">
        <f aca="false">I122*$J$5</f>
        <v>1454.4</v>
      </c>
      <c r="K122" s="8" t="n">
        <f aca="false">J122-H122</f>
        <v>-1890.5</v>
      </c>
      <c r="L122" s="9" t="n">
        <f aca="false">IF(AND(H122=0,J122=0),0,IF(H122=0,"New",(J122-H122)/H122))</f>
        <v>-0.56518879488176</v>
      </c>
    </row>
    <row r="123" customFormat="false" ht="15" hidden="false" customHeight="false" outlineLevel="0" collapsed="false">
      <c r="A123" s="7" t="n">
        <v>4413141</v>
      </c>
      <c r="B123" s="7" t="str">
        <f aca="false">IFERROR(INDEX('Source 2026'!$C:$C,MATCH($A123,'Source 2026'!$B:$B,0)),IFERROR(INDEX('Source 2025'!$C:$C,MATCH($A123,'Source 2025'!$B:$B,0)),""))</f>
        <v>95 S מגן מרפק רגיל לבן</v>
      </c>
      <c r="C123" s="8" t="n">
        <f aca="false">SUMIFS('Source 2025'!$D:$D,'Source 2025'!$B:$B,$A123,'Source 2025'!$A:$A,"Quantity (units)")+SUMIFS('Source 2025'!$E:$E,'Source 2025'!$B:$B,$A123,'Source 2025'!$A:$A,"Quantity (units)")+SUMIFS('Source 2025'!$F:$F,'Source 2025'!$B:$B,$A123,'Source 2025'!$A:$A,"Quantity (units)")+SUMIFS('Source 2025'!$G:$G,'Source 2025'!$B:$B,$A123,'Source 2025'!$A:$A,"Quantity (units)")+SUMIFS('Source 2025'!$J:$J,'Source 2025'!$B:$B,$A123,'Source 2025'!$A:$A,"Quantity (units)")+SUMIFS('Source 2025'!$M:$M,'Source 2025'!$B:$B,$A123,'Source 2025'!$A:$A,"Quantity (units)")</f>
        <v>134</v>
      </c>
      <c r="D123" s="8" t="n">
        <f aca="false">SUMIFS('Source 2026'!$D:$D,'Source 2026'!$B:$B,$A123,'Source 2026'!$A:$A,"Quantity (units)")+SUMIFS('Source 2026'!$E:$E,'Source 2026'!$B:$B,$A123,'Source 2026'!$A:$A,"Quantity (units)")+SUMIFS('Source 2026'!$F:$F,'Source 2026'!$B:$B,$A123,'Source 2026'!$A:$A,"Quantity (units)")+SUMIFS('Source 2026'!$G:$G,'Source 2026'!$B:$B,$A123,'Source 2026'!$A:$A,"Quantity (units)")+SUMIFS('Source 2026'!$J:$J,'Source 2026'!$B:$B,$A123,'Source 2026'!$A:$A,"Quantity (units)")+SUMIFS('Source 2026'!$M:$M,'Source 2026'!$B:$B,$A123,'Source 2026'!$A:$A,"Quantity (units)")</f>
        <v>64</v>
      </c>
      <c r="E123" s="8" t="n">
        <f aca="false">D123*$J$5</f>
        <v>87.7714285714286</v>
      </c>
      <c r="F123" s="8" t="n">
        <f aca="false">E123-C123</f>
        <v>-46.2285714285714</v>
      </c>
      <c r="G123" s="9" t="n">
        <f aca="false">IF(AND(C123=0,E123=0),0,IF(C123=0,"New",(E123-C123)/C123))</f>
        <v>-0.34498933901919</v>
      </c>
      <c r="H123" s="8" t="n">
        <f aca="false">SUMIFS('Source 2025'!$D:$D,'Source 2025'!$B:$B,$A123,'Source 2025'!$A:$A,"Amount (NIS)")+SUMIFS('Source 2025'!$E:$E,'Source 2025'!$B:$B,$A123,'Source 2025'!$A:$A,"Amount (NIS)")+SUMIFS('Source 2025'!$F:$F,'Source 2025'!$B:$B,$A123,'Source 2025'!$A:$A,"Amount (NIS)")+SUMIFS('Source 2025'!$G:$G,'Source 2025'!$B:$B,$A123,'Source 2025'!$A:$A,"Amount (NIS)")+SUMIFS('Source 2025'!$J:$J,'Source 2025'!$B:$B,$A123,'Source 2025'!$A:$A,"Amount (NIS)")+SUMIFS('Source 2025'!$M:$M,'Source 2025'!$B:$B,$A123,'Source 2025'!$A:$A,"Amount (NIS)")</f>
        <v>3972.6</v>
      </c>
      <c r="I123" s="8" t="n">
        <f aca="false">SUMIFS('Source 2026'!$D:$D,'Source 2026'!$B:$B,$A123,'Source 2026'!$A:$A,"Amount (NIS)")+SUMIFS('Source 2026'!$E:$E,'Source 2026'!$B:$B,$A123,'Source 2026'!$A:$A,"Amount (NIS)")+SUMIFS('Source 2026'!$F:$F,'Source 2026'!$B:$B,$A123,'Source 2026'!$A:$A,"Amount (NIS)")+SUMIFS('Source 2026'!$G:$G,'Source 2026'!$B:$B,$A123,'Source 2026'!$A:$A,"Amount (NIS)")+SUMIFS('Source 2026'!$J:$J,'Source 2026'!$B:$B,$A123,'Source 2026'!$A:$A,"Amount (NIS)")+SUMIFS('Source 2026'!$M:$M,'Source 2026'!$B:$B,$A123,'Source 2026'!$A:$A,"Amount (NIS)")</f>
        <v>1701.8</v>
      </c>
      <c r="J123" s="8" t="n">
        <f aca="false">I123*$J$5</f>
        <v>2333.89714285714</v>
      </c>
      <c r="K123" s="8" t="n">
        <f aca="false">J123-H123</f>
        <v>-1638.70285714286</v>
      </c>
      <c r="L123" s="9" t="n">
        <f aca="false">IF(AND(H123=0,J123=0),0,IF(H123=0,"New",(J123-H123)/H123))</f>
        <v>-0.412501348523098</v>
      </c>
    </row>
    <row r="124" customFormat="false" ht="15" hidden="false" customHeight="false" outlineLevel="0" collapsed="false">
      <c r="A124" s="7" t="n">
        <v>4413366</v>
      </c>
      <c r="B124" s="7" t="str">
        <f aca="false">IFERROR(INDEX('Source 2026'!$C:$C,MATCH($A124,'Source 2026'!$B:$B,0)),IFERROR(INDEX('Source 2025'!$C:$C,MATCH($A124,'Source 2025'!$B:$B,0)),""))</f>
        <v>95C S 'מגן מרפק בז</v>
      </c>
      <c r="C124" s="8" t="n">
        <f aca="false">SUMIFS('Source 2025'!$D:$D,'Source 2025'!$B:$B,$A124,'Source 2025'!$A:$A,"Quantity (units)")+SUMIFS('Source 2025'!$E:$E,'Source 2025'!$B:$B,$A124,'Source 2025'!$A:$A,"Quantity (units)")+SUMIFS('Source 2025'!$F:$F,'Source 2025'!$B:$B,$A124,'Source 2025'!$A:$A,"Quantity (units)")+SUMIFS('Source 2025'!$G:$G,'Source 2025'!$B:$B,$A124,'Source 2025'!$A:$A,"Quantity (units)")+SUMIFS('Source 2025'!$J:$J,'Source 2025'!$B:$B,$A124,'Source 2025'!$A:$A,"Quantity (units)")+SUMIFS('Source 2025'!$M:$M,'Source 2025'!$B:$B,$A124,'Source 2025'!$A:$A,"Quantity (units)")</f>
        <v>155</v>
      </c>
      <c r="D124" s="8" t="n">
        <f aca="false">SUMIFS('Source 2026'!$D:$D,'Source 2026'!$B:$B,$A124,'Source 2026'!$A:$A,"Quantity (units)")+SUMIFS('Source 2026'!$E:$E,'Source 2026'!$B:$B,$A124,'Source 2026'!$A:$A,"Quantity (units)")+SUMIFS('Source 2026'!$F:$F,'Source 2026'!$B:$B,$A124,'Source 2026'!$A:$A,"Quantity (units)")+SUMIFS('Source 2026'!$G:$G,'Source 2026'!$B:$B,$A124,'Source 2026'!$A:$A,"Quantity (units)")+SUMIFS('Source 2026'!$J:$J,'Source 2026'!$B:$B,$A124,'Source 2026'!$A:$A,"Quantity (units)")+SUMIFS('Source 2026'!$M:$M,'Source 2026'!$B:$B,$A124,'Source 2026'!$A:$A,"Quantity (units)")</f>
        <v>81</v>
      </c>
      <c r="E124" s="8" t="n">
        <f aca="false">D124*$J$5</f>
        <v>111.085714285714</v>
      </c>
      <c r="F124" s="8" t="n">
        <f aca="false">E124-C124</f>
        <v>-43.9142857142857</v>
      </c>
      <c r="G124" s="9" t="n">
        <f aca="false">IF(AND(C124=0,E124=0),0,IF(C124=0,"New",(E124-C124)/C124))</f>
        <v>-0.28331797235023</v>
      </c>
      <c r="H124" s="8" t="n">
        <f aca="false">SUMIFS('Source 2025'!$D:$D,'Source 2025'!$B:$B,$A124,'Source 2025'!$A:$A,"Amount (NIS)")+SUMIFS('Source 2025'!$E:$E,'Source 2025'!$B:$B,$A124,'Source 2025'!$A:$A,"Amount (NIS)")+SUMIFS('Source 2025'!$F:$F,'Source 2025'!$B:$B,$A124,'Source 2025'!$A:$A,"Amount (NIS)")+SUMIFS('Source 2025'!$G:$G,'Source 2025'!$B:$B,$A124,'Source 2025'!$A:$A,"Amount (NIS)")+SUMIFS('Source 2025'!$J:$J,'Source 2025'!$B:$B,$A124,'Source 2025'!$A:$A,"Amount (NIS)")+SUMIFS('Source 2025'!$M:$M,'Source 2025'!$B:$B,$A124,'Source 2025'!$A:$A,"Amount (NIS)")</f>
        <v>4633.6</v>
      </c>
      <c r="I124" s="8" t="n">
        <f aca="false">SUMIFS('Source 2026'!$D:$D,'Source 2026'!$B:$B,$A124,'Source 2026'!$A:$A,"Amount (NIS)")+SUMIFS('Source 2026'!$E:$E,'Source 2026'!$B:$B,$A124,'Source 2026'!$A:$A,"Amount (NIS)")+SUMIFS('Source 2026'!$F:$F,'Source 2026'!$B:$B,$A124,'Source 2026'!$A:$A,"Amount (NIS)")+SUMIFS('Source 2026'!$G:$G,'Source 2026'!$B:$B,$A124,'Source 2026'!$A:$A,"Amount (NIS)")+SUMIFS('Source 2026'!$J:$J,'Source 2026'!$B:$B,$A124,'Source 2026'!$A:$A,"Amount (NIS)")+SUMIFS('Source 2026'!$M:$M,'Source 2026'!$B:$B,$A124,'Source 2026'!$A:$A,"Amount (NIS)")</f>
        <v>2418.5</v>
      </c>
      <c r="J124" s="8" t="n">
        <f aca="false">I124*$J$5</f>
        <v>3316.8</v>
      </c>
      <c r="K124" s="8" t="n">
        <f aca="false">J124-H124</f>
        <v>-1316.8</v>
      </c>
      <c r="L124" s="9" t="n">
        <f aca="false">IF(AND(H124=0,J124=0),0,IF(H124=0,"New",(J124-H124)/H124))</f>
        <v>-0.284185082872928</v>
      </c>
    </row>
    <row r="125" customFormat="false" ht="15" hidden="false" customHeight="false" outlineLevel="0" collapsed="false">
      <c r="A125" s="7" t="n">
        <v>4402007</v>
      </c>
      <c r="B125" s="7" t="str">
        <f aca="false">IFERROR(INDEX('Source 2026'!$C:$C,MATCH($A125,'Source 2026'!$B:$B,0)),IFERROR(INDEX('Source 2025'!$C:$C,MATCH($A125,'Source 2025'!$B:$B,0)),""))</f>
        <v>320 בליסטר פלסטר</v>
      </c>
      <c r="C125" s="8" t="n">
        <f aca="false">SUMIFS('Source 2025'!$D:$D,'Source 2025'!$B:$B,$A125,'Source 2025'!$A:$A,"Quantity (units)")+SUMIFS('Source 2025'!$E:$E,'Source 2025'!$B:$B,$A125,'Source 2025'!$A:$A,"Quantity (units)")+SUMIFS('Source 2025'!$F:$F,'Source 2025'!$B:$B,$A125,'Source 2025'!$A:$A,"Quantity (units)")+SUMIFS('Source 2025'!$G:$G,'Source 2025'!$B:$B,$A125,'Source 2025'!$A:$A,"Quantity (units)")+SUMIFS('Source 2025'!$J:$J,'Source 2025'!$B:$B,$A125,'Source 2025'!$A:$A,"Quantity (units)")+SUMIFS('Source 2025'!$M:$M,'Source 2025'!$B:$B,$A125,'Source 2025'!$A:$A,"Quantity (units)")</f>
        <v>343</v>
      </c>
      <c r="D125" s="8" t="n">
        <f aca="false">SUMIFS('Source 2026'!$D:$D,'Source 2026'!$B:$B,$A125,'Source 2026'!$A:$A,"Quantity (units)")+SUMIFS('Source 2026'!$E:$E,'Source 2026'!$B:$B,$A125,'Source 2026'!$A:$A,"Quantity (units)")+SUMIFS('Source 2026'!$F:$F,'Source 2026'!$B:$B,$A125,'Source 2026'!$A:$A,"Quantity (units)")+SUMIFS('Source 2026'!$G:$G,'Source 2026'!$B:$B,$A125,'Source 2026'!$A:$A,"Quantity (units)")+SUMIFS('Source 2026'!$J:$J,'Source 2026'!$B:$B,$A125,'Source 2026'!$A:$A,"Quantity (units)")+SUMIFS('Source 2026'!$M:$M,'Source 2026'!$B:$B,$A125,'Source 2026'!$A:$A,"Quantity (units)")</f>
        <v>222</v>
      </c>
      <c r="E125" s="8" t="n">
        <f aca="false">D125*$J$5</f>
        <v>304.457142857143</v>
      </c>
      <c r="F125" s="8" t="n">
        <f aca="false">E125-C125</f>
        <v>-38.5428571428571</v>
      </c>
      <c r="G125" s="9" t="n">
        <f aca="false">IF(AND(C125=0,E125=0),0,IF(C125=0,"New",(E125-C125)/C125))</f>
        <v>-0.112369845897543</v>
      </c>
      <c r="H125" s="8" t="n">
        <f aca="false">SUMIFS('Source 2025'!$D:$D,'Source 2025'!$B:$B,$A125,'Source 2025'!$A:$A,"Amount (NIS)")+SUMIFS('Source 2025'!$E:$E,'Source 2025'!$B:$B,$A125,'Source 2025'!$A:$A,"Amount (NIS)")+SUMIFS('Source 2025'!$F:$F,'Source 2025'!$B:$B,$A125,'Source 2025'!$A:$A,"Amount (NIS)")+SUMIFS('Source 2025'!$G:$G,'Source 2025'!$B:$B,$A125,'Source 2025'!$A:$A,"Amount (NIS)")+SUMIFS('Source 2025'!$J:$J,'Source 2025'!$B:$B,$A125,'Source 2025'!$A:$A,"Amount (NIS)")+SUMIFS('Source 2025'!$M:$M,'Source 2025'!$B:$B,$A125,'Source 2025'!$A:$A,"Amount (NIS)")</f>
        <v>6288.6</v>
      </c>
      <c r="I125" s="8" t="n">
        <f aca="false">SUMIFS('Source 2026'!$D:$D,'Source 2026'!$B:$B,$A125,'Source 2026'!$A:$A,"Amount (NIS)")+SUMIFS('Source 2026'!$E:$E,'Source 2026'!$B:$B,$A125,'Source 2026'!$A:$A,"Amount (NIS)")+SUMIFS('Source 2026'!$F:$F,'Source 2026'!$B:$B,$A125,'Source 2026'!$A:$A,"Amount (NIS)")+SUMIFS('Source 2026'!$G:$G,'Source 2026'!$B:$B,$A125,'Source 2026'!$A:$A,"Amount (NIS)")+SUMIFS('Source 2026'!$J:$J,'Source 2026'!$B:$B,$A125,'Source 2026'!$A:$A,"Amount (NIS)")+SUMIFS('Source 2026'!$M:$M,'Source 2026'!$B:$B,$A125,'Source 2026'!$A:$A,"Amount (NIS)")</f>
        <v>4074.7</v>
      </c>
      <c r="J125" s="8" t="n">
        <f aca="false">I125*$J$5</f>
        <v>5588.16</v>
      </c>
      <c r="K125" s="8" t="n">
        <f aca="false">J125-H125</f>
        <v>-700.439999999998</v>
      </c>
      <c r="L125" s="9" t="n">
        <f aca="false">IF(AND(H125=0,J125=0),0,IF(H125=0,"New",(J125-H125)/H125))</f>
        <v>-0.111382501669688</v>
      </c>
    </row>
    <row r="126" customFormat="false" ht="15" hidden="false" customHeight="false" outlineLevel="0" collapsed="false">
      <c r="A126" s="7" t="n">
        <v>4422005</v>
      </c>
      <c r="B126" s="7" t="str">
        <f aca="false">IFERROR(INDEX('Source 2026'!$C:$C,MATCH($A126,'Source 2026'!$B:$B,0)),IFERROR(INDEX('Source 2025'!$C:$C,MATCH($A126,'Source 2025'!$B:$B,0)),""))</f>
        <v>T78 M תומך זרוע וכתף</v>
      </c>
      <c r="C126" s="8" t="n">
        <f aca="false">SUMIFS('Source 2025'!$D:$D,'Source 2025'!$B:$B,$A126,'Source 2025'!$A:$A,"Quantity (units)")+SUMIFS('Source 2025'!$E:$E,'Source 2025'!$B:$B,$A126,'Source 2025'!$A:$A,"Quantity (units)")+SUMIFS('Source 2025'!$F:$F,'Source 2025'!$B:$B,$A126,'Source 2025'!$A:$A,"Quantity (units)")+SUMIFS('Source 2025'!$G:$G,'Source 2025'!$B:$B,$A126,'Source 2025'!$A:$A,"Quantity (units)")+SUMIFS('Source 2025'!$J:$J,'Source 2025'!$B:$B,$A126,'Source 2025'!$A:$A,"Quantity (units)")+SUMIFS('Source 2025'!$M:$M,'Source 2025'!$B:$B,$A126,'Source 2025'!$A:$A,"Quantity (units)")</f>
        <v>27</v>
      </c>
      <c r="D126" s="8" t="n">
        <f aca="false">SUMIFS('Source 2026'!$D:$D,'Source 2026'!$B:$B,$A126,'Source 2026'!$A:$A,"Quantity (units)")+SUMIFS('Source 2026'!$E:$E,'Source 2026'!$B:$B,$A126,'Source 2026'!$A:$A,"Quantity (units)")+SUMIFS('Source 2026'!$F:$F,'Source 2026'!$B:$B,$A126,'Source 2026'!$A:$A,"Quantity (units)")+SUMIFS('Source 2026'!$G:$G,'Source 2026'!$B:$B,$A126,'Source 2026'!$A:$A,"Quantity (units)")+SUMIFS('Source 2026'!$J:$J,'Source 2026'!$B:$B,$A126,'Source 2026'!$A:$A,"Quantity (units)")+SUMIFS('Source 2026'!$M:$M,'Source 2026'!$B:$B,$A126,'Source 2026'!$A:$A,"Quantity (units)")</f>
        <v>15</v>
      </c>
      <c r="E126" s="8" t="n">
        <f aca="false">D126*$J$5</f>
        <v>20.5714285714286</v>
      </c>
      <c r="F126" s="8" t="n">
        <f aca="false">E126-C126</f>
        <v>-6.42857142857143</v>
      </c>
      <c r="G126" s="9" t="n">
        <f aca="false">IF(AND(C126=0,E126=0),0,IF(C126=0,"New",(E126-C126)/C126))</f>
        <v>-0.238095238095238</v>
      </c>
      <c r="H126" s="8" t="n">
        <f aca="false">SUMIFS('Source 2025'!$D:$D,'Source 2025'!$B:$B,$A126,'Source 2025'!$A:$A,"Amount (NIS)")+SUMIFS('Source 2025'!$E:$E,'Source 2025'!$B:$B,$A126,'Source 2025'!$A:$A,"Amount (NIS)")+SUMIFS('Source 2025'!$F:$F,'Source 2025'!$B:$B,$A126,'Source 2025'!$A:$A,"Amount (NIS)")+SUMIFS('Source 2025'!$G:$G,'Source 2025'!$B:$B,$A126,'Source 2025'!$A:$A,"Amount (NIS)")+SUMIFS('Source 2025'!$J:$J,'Source 2025'!$B:$B,$A126,'Source 2025'!$A:$A,"Amount (NIS)")+SUMIFS('Source 2025'!$M:$M,'Source 2025'!$B:$B,$A126,'Source 2025'!$A:$A,"Amount (NIS)")</f>
        <v>5060</v>
      </c>
      <c r="I126" s="8" t="n">
        <f aca="false">SUMIFS('Source 2026'!$D:$D,'Source 2026'!$B:$B,$A126,'Source 2026'!$A:$A,"Amount (NIS)")+SUMIFS('Source 2026'!$E:$E,'Source 2026'!$B:$B,$A126,'Source 2026'!$A:$A,"Amount (NIS)")+SUMIFS('Source 2026'!$F:$F,'Source 2026'!$B:$B,$A126,'Source 2026'!$A:$A,"Amount (NIS)")+SUMIFS('Source 2026'!$G:$G,'Source 2026'!$B:$B,$A126,'Source 2026'!$A:$A,"Amount (NIS)")+SUMIFS('Source 2026'!$J:$J,'Source 2026'!$B:$B,$A126,'Source 2026'!$A:$A,"Amount (NIS)")+SUMIFS('Source 2026'!$M:$M,'Source 2026'!$B:$B,$A126,'Source 2026'!$A:$A,"Amount (NIS)")</f>
        <v>2852.4</v>
      </c>
      <c r="J126" s="8" t="n">
        <f aca="false">I126*$J$5</f>
        <v>3911.86285714286</v>
      </c>
      <c r="K126" s="8" t="n">
        <f aca="false">J126-H126</f>
        <v>-1148.13714285714</v>
      </c>
      <c r="L126" s="9" t="n">
        <f aca="false">IF(AND(H126=0,J126=0),0,IF(H126=0,"New",(J126-H126)/H126))</f>
        <v>-0.226904573687182</v>
      </c>
    </row>
    <row r="127" customFormat="false" ht="15" hidden="false" customHeight="false" outlineLevel="0" collapsed="false">
      <c r="A127" s="7" t="n">
        <v>4411001</v>
      </c>
      <c r="B127" s="7" t="str">
        <f aca="false">IFERROR(INDEX('Source 2026'!$C:$C,MATCH($A127,'Source 2026'!$B:$B,0)),IFERROR(INDEX('Source 2025'!$C:$C,MATCH($A127,'Source 2025'!$B:$B,0)),""))</f>
        <v>3623 כרית ליישור אצבע פטיש</v>
      </c>
      <c r="C127" s="8" t="n">
        <f aca="false">SUMIFS('Source 2025'!$D:$D,'Source 2025'!$B:$B,$A127,'Source 2025'!$A:$A,"Quantity (units)")+SUMIFS('Source 2025'!$E:$E,'Source 2025'!$B:$B,$A127,'Source 2025'!$A:$A,"Quantity (units)")+SUMIFS('Source 2025'!$F:$F,'Source 2025'!$B:$B,$A127,'Source 2025'!$A:$A,"Quantity (units)")+SUMIFS('Source 2025'!$G:$G,'Source 2025'!$B:$B,$A127,'Source 2025'!$A:$A,"Quantity (units)")+SUMIFS('Source 2025'!$J:$J,'Source 2025'!$B:$B,$A127,'Source 2025'!$A:$A,"Quantity (units)")+SUMIFS('Source 2025'!$M:$M,'Source 2025'!$B:$B,$A127,'Source 2025'!$A:$A,"Quantity (units)")</f>
        <v>222</v>
      </c>
      <c r="D127" s="8" t="n">
        <f aca="false">SUMIFS('Source 2026'!$D:$D,'Source 2026'!$B:$B,$A127,'Source 2026'!$A:$A,"Quantity (units)")+SUMIFS('Source 2026'!$E:$E,'Source 2026'!$B:$B,$A127,'Source 2026'!$A:$A,"Quantity (units)")+SUMIFS('Source 2026'!$F:$F,'Source 2026'!$B:$B,$A127,'Source 2026'!$A:$A,"Quantity (units)")+SUMIFS('Source 2026'!$G:$G,'Source 2026'!$B:$B,$A127,'Source 2026'!$A:$A,"Quantity (units)")+SUMIFS('Source 2026'!$J:$J,'Source 2026'!$B:$B,$A127,'Source 2026'!$A:$A,"Quantity (units)")+SUMIFS('Source 2026'!$M:$M,'Source 2026'!$B:$B,$A127,'Source 2026'!$A:$A,"Quantity (units)")</f>
        <v>136</v>
      </c>
      <c r="E127" s="8" t="n">
        <f aca="false">D127*$J$5</f>
        <v>186.514285714286</v>
      </c>
      <c r="F127" s="8" t="n">
        <f aca="false">E127-C127</f>
        <v>-35.4857142857143</v>
      </c>
      <c r="G127" s="9" t="n">
        <f aca="false">IF(AND(C127=0,E127=0),0,IF(C127=0,"New",(E127-C127)/C127))</f>
        <v>-0.15984555984556</v>
      </c>
      <c r="H127" s="8" t="n">
        <f aca="false">SUMIFS('Source 2025'!$D:$D,'Source 2025'!$B:$B,$A127,'Source 2025'!$A:$A,"Amount (NIS)")+SUMIFS('Source 2025'!$E:$E,'Source 2025'!$B:$B,$A127,'Source 2025'!$A:$A,"Amount (NIS)")+SUMIFS('Source 2025'!$F:$F,'Source 2025'!$B:$B,$A127,'Source 2025'!$A:$A,"Amount (NIS)")+SUMIFS('Source 2025'!$G:$G,'Source 2025'!$B:$B,$A127,'Source 2025'!$A:$A,"Amount (NIS)")+SUMIFS('Source 2025'!$J:$J,'Source 2025'!$B:$B,$A127,'Source 2025'!$A:$A,"Amount (NIS)")+SUMIFS('Source 2025'!$M:$M,'Source 2025'!$B:$B,$A127,'Source 2025'!$A:$A,"Amount (NIS)")</f>
        <v>5823</v>
      </c>
      <c r="I127" s="8" t="n">
        <f aca="false">SUMIFS('Source 2026'!$D:$D,'Source 2026'!$B:$B,$A127,'Source 2026'!$A:$A,"Amount (NIS)")+SUMIFS('Source 2026'!$E:$E,'Source 2026'!$B:$B,$A127,'Source 2026'!$A:$A,"Amount (NIS)")+SUMIFS('Source 2026'!$F:$F,'Source 2026'!$B:$B,$A127,'Source 2026'!$A:$A,"Amount (NIS)")+SUMIFS('Source 2026'!$G:$G,'Source 2026'!$B:$B,$A127,'Source 2026'!$A:$A,"Amount (NIS)")+SUMIFS('Source 2026'!$J:$J,'Source 2026'!$B:$B,$A127,'Source 2026'!$A:$A,"Amount (NIS)")+SUMIFS('Source 2026'!$M:$M,'Source 2026'!$B:$B,$A127,'Source 2026'!$A:$A,"Amount (NIS)")</f>
        <v>3638.9</v>
      </c>
      <c r="J127" s="8" t="n">
        <f aca="false">I127*$J$5</f>
        <v>4990.49142857143</v>
      </c>
      <c r="K127" s="8" t="n">
        <f aca="false">J127-H127</f>
        <v>-832.508571428572</v>
      </c>
      <c r="L127" s="9" t="n">
        <f aca="false">IF(AND(H127=0,J127=0),0,IF(H127=0,"New",(J127-H127)/H127))</f>
        <v>-0.142969014499154</v>
      </c>
    </row>
    <row r="128" customFormat="false" ht="15" hidden="false" customHeight="false" outlineLevel="0" collapsed="false">
      <c r="A128" s="7" t="n">
        <v>4413160</v>
      </c>
      <c r="B128" s="7" t="str">
        <f aca="false">IFERROR(INDEX('Source 2026'!$C:$C,MATCH($A128,'Source 2026'!$B:$B,0)),IFERROR(INDEX('Source 2025'!$C:$C,MATCH($A128,'Source 2025'!$B:$B,0)),""))</f>
        <v>34+ M מגן קרסול עקב סגור+רצוע</v>
      </c>
      <c r="C128" s="8" t="n">
        <f aca="false">SUMIFS('Source 2025'!$D:$D,'Source 2025'!$B:$B,$A128,'Source 2025'!$A:$A,"Quantity (units)")+SUMIFS('Source 2025'!$E:$E,'Source 2025'!$B:$B,$A128,'Source 2025'!$A:$A,"Quantity (units)")+SUMIFS('Source 2025'!$F:$F,'Source 2025'!$B:$B,$A128,'Source 2025'!$A:$A,"Quantity (units)")+SUMIFS('Source 2025'!$G:$G,'Source 2025'!$B:$B,$A128,'Source 2025'!$A:$A,"Quantity (units)")+SUMIFS('Source 2025'!$J:$J,'Source 2025'!$B:$B,$A128,'Source 2025'!$A:$A,"Quantity (units)")+SUMIFS('Source 2025'!$M:$M,'Source 2025'!$B:$B,$A128,'Source 2025'!$A:$A,"Quantity (units)")</f>
        <v>62</v>
      </c>
      <c r="D128" s="8" t="n">
        <f aca="false">SUMIFS('Source 2026'!$D:$D,'Source 2026'!$B:$B,$A128,'Source 2026'!$A:$A,"Quantity (units)")+SUMIFS('Source 2026'!$E:$E,'Source 2026'!$B:$B,$A128,'Source 2026'!$A:$A,"Quantity (units)")+SUMIFS('Source 2026'!$F:$F,'Source 2026'!$B:$B,$A128,'Source 2026'!$A:$A,"Quantity (units)")+SUMIFS('Source 2026'!$G:$G,'Source 2026'!$B:$B,$A128,'Source 2026'!$A:$A,"Quantity (units)")+SUMIFS('Source 2026'!$J:$J,'Source 2026'!$B:$B,$A128,'Source 2026'!$A:$A,"Quantity (units)")+SUMIFS('Source 2026'!$M:$M,'Source 2026'!$B:$B,$A128,'Source 2026'!$A:$A,"Quantity (units)")</f>
        <v>28</v>
      </c>
      <c r="E128" s="8" t="n">
        <f aca="false">D128*$J$5</f>
        <v>38.4</v>
      </c>
      <c r="F128" s="8" t="n">
        <f aca="false">E128-C128</f>
        <v>-23.6</v>
      </c>
      <c r="G128" s="9" t="n">
        <f aca="false">IF(AND(C128=0,E128=0),0,IF(C128=0,"New",(E128-C128)/C128))</f>
        <v>-0.380645161290323</v>
      </c>
      <c r="H128" s="8" t="n">
        <f aca="false">SUMIFS('Source 2025'!$D:$D,'Source 2025'!$B:$B,$A128,'Source 2025'!$A:$A,"Amount (NIS)")+SUMIFS('Source 2025'!$E:$E,'Source 2025'!$B:$B,$A128,'Source 2025'!$A:$A,"Amount (NIS)")+SUMIFS('Source 2025'!$F:$F,'Source 2025'!$B:$B,$A128,'Source 2025'!$A:$A,"Amount (NIS)")+SUMIFS('Source 2025'!$G:$G,'Source 2025'!$B:$B,$A128,'Source 2025'!$A:$A,"Amount (NIS)")+SUMIFS('Source 2025'!$J:$J,'Source 2025'!$B:$B,$A128,'Source 2025'!$A:$A,"Amount (NIS)")+SUMIFS('Source 2025'!$M:$M,'Source 2025'!$B:$B,$A128,'Source 2025'!$A:$A,"Amount (NIS)")</f>
        <v>4069.3</v>
      </c>
      <c r="I128" s="8" t="n">
        <f aca="false">SUMIFS('Source 2026'!$D:$D,'Source 2026'!$B:$B,$A128,'Source 2026'!$A:$A,"Amount (NIS)")+SUMIFS('Source 2026'!$E:$E,'Source 2026'!$B:$B,$A128,'Source 2026'!$A:$A,"Amount (NIS)")+SUMIFS('Source 2026'!$F:$F,'Source 2026'!$B:$B,$A128,'Source 2026'!$A:$A,"Amount (NIS)")+SUMIFS('Source 2026'!$G:$G,'Source 2026'!$B:$B,$A128,'Source 2026'!$A:$A,"Amount (NIS)")+SUMIFS('Source 2026'!$J:$J,'Source 2026'!$B:$B,$A128,'Source 2026'!$A:$A,"Amount (NIS)")+SUMIFS('Source 2026'!$M:$M,'Source 2026'!$B:$B,$A128,'Source 2026'!$A:$A,"Amount (NIS)")</f>
        <v>1897</v>
      </c>
      <c r="J128" s="8" t="n">
        <f aca="false">I128*$J$5</f>
        <v>2601.6</v>
      </c>
      <c r="K128" s="8" t="n">
        <f aca="false">J128-H128</f>
        <v>-1467.7</v>
      </c>
      <c r="L128" s="9" t="n">
        <f aca="false">IF(AND(H128=0,J128=0),0,IF(H128=0,"New",(J128-H128)/H128))</f>
        <v>-0.360676283390264</v>
      </c>
    </row>
    <row r="129" customFormat="false" ht="15" hidden="false" customHeight="false" outlineLevel="0" collapsed="false">
      <c r="A129" s="7" t="n">
        <v>4413519</v>
      </c>
      <c r="B129" s="7" t="str">
        <f aca="false">IFERROR(INDEX('Source 2026'!$C:$C,MATCH($A129,'Source 2026'!$B:$B,0)),IFERROR(INDEX('Source 2025'!$C:$C,MATCH($A129,'Source 2025'!$B:$B,0)),""))</f>
        <v>85B S מתלה רשת לזרוע שחור</v>
      </c>
      <c r="C129" s="8" t="n">
        <f aca="false">SUMIFS('Source 2025'!$D:$D,'Source 2025'!$B:$B,$A129,'Source 2025'!$A:$A,"Quantity (units)")+SUMIFS('Source 2025'!$E:$E,'Source 2025'!$B:$B,$A129,'Source 2025'!$A:$A,"Quantity (units)")+SUMIFS('Source 2025'!$F:$F,'Source 2025'!$B:$B,$A129,'Source 2025'!$A:$A,"Quantity (units)")+SUMIFS('Source 2025'!$G:$G,'Source 2025'!$B:$B,$A129,'Source 2025'!$A:$A,"Quantity (units)")+SUMIFS('Source 2025'!$J:$J,'Source 2025'!$B:$B,$A129,'Source 2025'!$A:$A,"Quantity (units)")+SUMIFS('Source 2025'!$M:$M,'Source 2025'!$B:$B,$A129,'Source 2025'!$A:$A,"Quantity (units)")</f>
        <v>86</v>
      </c>
      <c r="D129" s="8" t="n">
        <f aca="false">SUMIFS('Source 2026'!$D:$D,'Source 2026'!$B:$B,$A129,'Source 2026'!$A:$A,"Quantity (units)")+SUMIFS('Source 2026'!$E:$E,'Source 2026'!$B:$B,$A129,'Source 2026'!$A:$A,"Quantity (units)")+SUMIFS('Source 2026'!$F:$F,'Source 2026'!$B:$B,$A129,'Source 2026'!$A:$A,"Quantity (units)")+SUMIFS('Source 2026'!$G:$G,'Source 2026'!$B:$B,$A129,'Source 2026'!$A:$A,"Quantity (units)")+SUMIFS('Source 2026'!$J:$J,'Source 2026'!$B:$B,$A129,'Source 2026'!$A:$A,"Quantity (units)")+SUMIFS('Source 2026'!$M:$M,'Source 2026'!$B:$B,$A129,'Source 2026'!$A:$A,"Quantity (units)")</f>
        <v>46</v>
      </c>
      <c r="E129" s="8" t="n">
        <f aca="false">D129*$J$5</f>
        <v>63.0857142857143</v>
      </c>
      <c r="F129" s="8" t="n">
        <f aca="false">E129-C129</f>
        <v>-22.9142857142857</v>
      </c>
      <c r="G129" s="9" t="n">
        <f aca="false">IF(AND(C129=0,E129=0),0,IF(C129=0,"New",(E129-C129)/C129))</f>
        <v>-0.266445182724252</v>
      </c>
      <c r="H129" s="8" t="n">
        <f aca="false">SUMIFS('Source 2025'!$D:$D,'Source 2025'!$B:$B,$A129,'Source 2025'!$A:$A,"Amount (NIS)")+SUMIFS('Source 2025'!$E:$E,'Source 2025'!$B:$B,$A129,'Source 2025'!$A:$A,"Amount (NIS)")+SUMIFS('Source 2025'!$F:$F,'Source 2025'!$B:$B,$A129,'Source 2025'!$A:$A,"Amount (NIS)")+SUMIFS('Source 2025'!$G:$G,'Source 2025'!$B:$B,$A129,'Source 2025'!$A:$A,"Amount (NIS)")+SUMIFS('Source 2025'!$J:$J,'Source 2025'!$B:$B,$A129,'Source 2025'!$A:$A,"Amount (NIS)")+SUMIFS('Source 2025'!$M:$M,'Source 2025'!$B:$B,$A129,'Source 2025'!$A:$A,"Amount (NIS)")</f>
        <v>4720.2</v>
      </c>
      <c r="I129" s="8" t="n">
        <f aca="false">SUMIFS('Source 2026'!$D:$D,'Source 2026'!$B:$B,$A129,'Source 2026'!$A:$A,"Amount (NIS)")+SUMIFS('Source 2026'!$E:$E,'Source 2026'!$B:$B,$A129,'Source 2026'!$A:$A,"Amount (NIS)")+SUMIFS('Source 2026'!$F:$F,'Source 2026'!$B:$B,$A129,'Source 2026'!$A:$A,"Amount (NIS)")+SUMIFS('Source 2026'!$G:$G,'Source 2026'!$B:$B,$A129,'Source 2026'!$A:$A,"Amount (NIS)")+SUMIFS('Source 2026'!$J:$J,'Source 2026'!$B:$B,$A129,'Source 2026'!$A:$A,"Amount (NIS)")+SUMIFS('Source 2026'!$M:$M,'Source 2026'!$B:$B,$A129,'Source 2026'!$A:$A,"Amount (NIS)")</f>
        <v>2565.2</v>
      </c>
      <c r="J129" s="8" t="n">
        <f aca="false">I129*$J$5</f>
        <v>3517.98857142857</v>
      </c>
      <c r="K129" s="8" t="n">
        <f aca="false">J129-H129</f>
        <v>-1202.21142857143</v>
      </c>
      <c r="L129" s="9" t="n">
        <f aca="false">IF(AND(H129=0,J129=0),0,IF(H129=0,"New",(J129-H129)/H129))</f>
        <v>-0.254695018976194</v>
      </c>
    </row>
    <row r="130" customFormat="false" ht="15" hidden="false" customHeight="false" outlineLevel="0" collapsed="false">
      <c r="A130" s="7" t="n">
        <v>4408034</v>
      </c>
      <c r="B130" s="7" t="str">
        <f aca="false">IFERROR(INDEX('Source 2026'!$C:$C,MATCH($A130,'Source 2026'!$B:$B,0)),IFERROR(INDEX('Source 2025'!$C:$C,MATCH($A130,'Source 2025'!$B:$B,0)),""))</f>
        <v>11 XL""חגורת בטן""אורירית</v>
      </c>
      <c r="C130" s="8" t="n">
        <f aca="false">SUMIFS('Source 2025'!$D:$D,'Source 2025'!$B:$B,$A130,'Source 2025'!$A:$A,"Quantity (units)")+SUMIFS('Source 2025'!$E:$E,'Source 2025'!$B:$B,$A130,'Source 2025'!$A:$A,"Quantity (units)")+SUMIFS('Source 2025'!$F:$F,'Source 2025'!$B:$B,$A130,'Source 2025'!$A:$A,"Quantity (units)")+SUMIFS('Source 2025'!$G:$G,'Source 2025'!$B:$B,$A130,'Source 2025'!$A:$A,"Quantity (units)")+SUMIFS('Source 2025'!$J:$J,'Source 2025'!$B:$B,$A130,'Source 2025'!$A:$A,"Quantity (units)")+SUMIFS('Source 2025'!$M:$M,'Source 2025'!$B:$B,$A130,'Source 2025'!$A:$A,"Quantity (units)")</f>
        <v>45</v>
      </c>
      <c r="D130" s="8" t="n">
        <f aca="false">SUMIFS('Source 2026'!$D:$D,'Source 2026'!$B:$B,$A130,'Source 2026'!$A:$A,"Quantity (units)")+SUMIFS('Source 2026'!$E:$E,'Source 2026'!$B:$B,$A130,'Source 2026'!$A:$A,"Quantity (units)")+SUMIFS('Source 2026'!$F:$F,'Source 2026'!$B:$B,$A130,'Source 2026'!$A:$A,"Quantity (units)")+SUMIFS('Source 2026'!$G:$G,'Source 2026'!$B:$B,$A130,'Source 2026'!$A:$A,"Quantity (units)")+SUMIFS('Source 2026'!$J:$J,'Source 2026'!$B:$B,$A130,'Source 2026'!$A:$A,"Quantity (units)")+SUMIFS('Source 2026'!$M:$M,'Source 2026'!$B:$B,$A130,'Source 2026'!$A:$A,"Quantity (units)")</f>
        <v>24</v>
      </c>
      <c r="E130" s="8" t="n">
        <f aca="false">D130*$J$5</f>
        <v>32.9142857142857</v>
      </c>
      <c r="F130" s="8" t="n">
        <f aca="false">E130-C130</f>
        <v>-12.0857142857143</v>
      </c>
      <c r="G130" s="9" t="n">
        <f aca="false">IF(AND(C130=0,E130=0),0,IF(C130=0,"New",(E130-C130)/C130))</f>
        <v>-0.268571428571429</v>
      </c>
      <c r="H130" s="8" t="n">
        <f aca="false">SUMIFS('Source 2025'!$D:$D,'Source 2025'!$B:$B,$A130,'Source 2025'!$A:$A,"Amount (NIS)")+SUMIFS('Source 2025'!$E:$E,'Source 2025'!$B:$B,$A130,'Source 2025'!$A:$A,"Amount (NIS)")+SUMIFS('Source 2025'!$F:$F,'Source 2025'!$B:$B,$A130,'Source 2025'!$A:$A,"Amount (NIS)")+SUMIFS('Source 2025'!$G:$G,'Source 2025'!$B:$B,$A130,'Source 2025'!$A:$A,"Amount (NIS)")+SUMIFS('Source 2025'!$J:$J,'Source 2025'!$B:$B,$A130,'Source 2025'!$A:$A,"Amount (NIS)")+SUMIFS('Source 2025'!$M:$M,'Source 2025'!$B:$B,$A130,'Source 2025'!$A:$A,"Amount (NIS)")</f>
        <v>4656.5</v>
      </c>
      <c r="I130" s="8" t="n">
        <f aca="false">SUMIFS('Source 2026'!$D:$D,'Source 2026'!$B:$B,$A130,'Source 2026'!$A:$A,"Amount (NIS)")+SUMIFS('Source 2026'!$E:$E,'Source 2026'!$B:$B,$A130,'Source 2026'!$A:$A,"Amount (NIS)")+SUMIFS('Source 2026'!$F:$F,'Source 2026'!$B:$B,$A130,'Source 2026'!$A:$A,"Amount (NIS)")+SUMIFS('Source 2026'!$G:$G,'Source 2026'!$B:$B,$A130,'Source 2026'!$A:$A,"Amount (NIS)")+SUMIFS('Source 2026'!$J:$J,'Source 2026'!$B:$B,$A130,'Source 2026'!$A:$A,"Amount (NIS)")+SUMIFS('Source 2026'!$M:$M,'Source 2026'!$B:$B,$A130,'Source 2026'!$A:$A,"Amount (NIS)")</f>
        <v>2502.9</v>
      </c>
      <c r="J130" s="8" t="n">
        <f aca="false">I130*$J$5</f>
        <v>3432.54857142857</v>
      </c>
      <c r="K130" s="8" t="n">
        <f aca="false">J130-H130</f>
        <v>-1223.95142857143</v>
      </c>
      <c r="L130" s="9" t="n">
        <f aca="false">IF(AND(H130=0,J130=0),0,IF(H130=0,"New",(J130-H130)/H130))</f>
        <v>-0.262847939132702</v>
      </c>
    </row>
    <row r="131" customFormat="false" ht="15" hidden="false" customHeight="false" outlineLevel="0" collapsed="false">
      <c r="A131" s="7" t="n">
        <v>4413129</v>
      </c>
      <c r="B131" s="7" t="str">
        <f aca="false">IFERROR(INDEX('Source 2026'!$C:$C,MATCH($A131,'Source 2026'!$B:$B,0)),IFERROR(INDEX('Source 2025'!$C:$C,MATCH($A131,'Source 2025'!$B:$B,0)),""))</f>
        <v>75 XLמיישר כתף יציב יישור ג.צר</v>
      </c>
      <c r="C131" s="8" t="n">
        <f aca="false">SUMIFS('Source 2025'!$D:$D,'Source 2025'!$B:$B,$A131,'Source 2025'!$A:$A,"Quantity (units)")+SUMIFS('Source 2025'!$E:$E,'Source 2025'!$B:$B,$A131,'Source 2025'!$A:$A,"Quantity (units)")+SUMIFS('Source 2025'!$F:$F,'Source 2025'!$B:$B,$A131,'Source 2025'!$A:$A,"Quantity (units)")+SUMIFS('Source 2025'!$G:$G,'Source 2025'!$B:$B,$A131,'Source 2025'!$A:$A,"Quantity (units)")+SUMIFS('Source 2025'!$J:$J,'Source 2025'!$B:$B,$A131,'Source 2025'!$A:$A,"Quantity (units)")+SUMIFS('Source 2025'!$M:$M,'Source 2025'!$B:$B,$A131,'Source 2025'!$A:$A,"Quantity (units)")</f>
        <v>15</v>
      </c>
      <c r="D131" s="8" t="n">
        <f aca="false">SUMIFS('Source 2026'!$D:$D,'Source 2026'!$B:$B,$A131,'Source 2026'!$A:$A,"Quantity (units)")+SUMIFS('Source 2026'!$E:$E,'Source 2026'!$B:$B,$A131,'Source 2026'!$A:$A,"Quantity (units)")+SUMIFS('Source 2026'!$F:$F,'Source 2026'!$B:$B,$A131,'Source 2026'!$A:$A,"Quantity (units)")+SUMIFS('Source 2026'!$G:$G,'Source 2026'!$B:$B,$A131,'Source 2026'!$A:$A,"Quantity (units)")+SUMIFS('Source 2026'!$J:$J,'Source 2026'!$B:$B,$A131,'Source 2026'!$A:$A,"Quantity (units)")+SUMIFS('Source 2026'!$M:$M,'Source 2026'!$B:$B,$A131,'Source 2026'!$A:$A,"Quantity (units)")</f>
        <v>2</v>
      </c>
      <c r="E131" s="8" t="n">
        <f aca="false">D131*$J$5</f>
        <v>2.74285714285714</v>
      </c>
      <c r="F131" s="8" t="n">
        <f aca="false">E131-C131</f>
        <v>-12.2571428571429</v>
      </c>
      <c r="G131" s="9" t="n">
        <f aca="false">IF(AND(C131=0,E131=0),0,IF(C131=0,"New",(E131-C131)/C131))</f>
        <v>-0.817142857142857</v>
      </c>
      <c r="H131" s="8" t="n">
        <f aca="false">SUMIFS('Source 2025'!$D:$D,'Source 2025'!$B:$B,$A131,'Source 2025'!$A:$A,"Amount (NIS)")+SUMIFS('Source 2025'!$E:$E,'Source 2025'!$B:$B,$A131,'Source 2025'!$A:$A,"Amount (NIS)")+SUMIFS('Source 2025'!$F:$F,'Source 2025'!$B:$B,$A131,'Source 2025'!$A:$A,"Amount (NIS)")+SUMIFS('Source 2025'!$G:$G,'Source 2025'!$B:$B,$A131,'Source 2025'!$A:$A,"Amount (NIS)")+SUMIFS('Source 2025'!$J:$J,'Source 2025'!$B:$B,$A131,'Source 2025'!$A:$A,"Amount (NIS)")+SUMIFS('Source 2025'!$M:$M,'Source 2025'!$B:$B,$A131,'Source 2025'!$A:$A,"Amount (NIS)")</f>
        <v>2465.8</v>
      </c>
      <c r="I131" s="8" t="n">
        <f aca="false">SUMIFS('Source 2026'!$D:$D,'Source 2026'!$B:$B,$A131,'Source 2026'!$A:$A,"Amount (NIS)")+SUMIFS('Source 2026'!$E:$E,'Source 2026'!$B:$B,$A131,'Source 2026'!$A:$A,"Amount (NIS)")+SUMIFS('Source 2026'!$F:$F,'Source 2026'!$B:$B,$A131,'Source 2026'!$A:$A,"Amount (NIS)")+SUMIFS('Source 2026'!$G:$G,'Source 2026'!$B:$B,$A131,'Source 2026'!$A:$A,"Amount (NIS)")+SUMIFS('Source 2026'!$J:$J,'Source 2026'!$B:$B,$A131,'Source 2026'!$A:$A,"Amount (NIS)")+SUMIFS('Source 2026'!$M:$M,'Source 2026'!$B:$B,$A131,'Source 2026'!$A:$A,"Amount (NIS)")</f>
        <v>320.8</v>
      </c>
      <c r="J131" s="8" t="n">
        <f aca="false">I131*$J$5</f>
        <v>439.954285714286</v>
      </c>
      <c r="K131" s="8" t="n">
        <f aca="false">J131-H131</f>
        <v>-2025.84571428571</v>
      </c>
      <c r="L131" s="9" t="n">
        <f aca="false">IF(AND(H131=0,J131=0),0,IF(H131=0,"New",(J131-H131)/H131))</f>
        <v>-0.821577465441526</v>
      </c>
    </row>
    <row r="132" customFormat="false" ht="15" hidden="false" customHeight="false" outlineLevel="0" collapsed="false">
      <c r="A132" s="7" t="n">
        <v>4413445</v>
      </c>
      <c r="B132" s="7" t="str">
        <f aca="false">IFERROR(INDEX('Source 2026'!$C:$C,MATCH($A132,'Source 2026'!$B:$B,0)),IFERROR(INDEX('Source 2025'!$C:$C,MATCH($A132,'Source 2025'!$B:$B,0)),""))</f>
        <v>302SP Wמדרס ג'ל ספורט לאישה</v>
      </c>
      <c r="C132" s="8" t="n">
        <f aca="false">SUMIFS('Source 2025'!$D:$D,'Source 2025'!$B:$B,$A132,'Source 2025'!$A:$A,"Quantity (units)")+SUMIFS('Source 2025'!$E:$E,'Source 2025'!$B:$B,$A132,'Source 2025'!$A:$A,"Quantity (units)")+SUMIFS('Source 2025'!$F:$F,'Source 2025'!$B:$B,$A132,'Source 2025'!$A:$A,"Quantity (units)")+SUMIFS('Source 2025'!$G:$G,'Source 2025'!$B:$B,$A132,'Source 2025'!$A:$A,"Quantity (units)")+SUMIFS('Source 2025'!$J:$J,'Source 2025'!$B:$B,$A132,'Source 2025'!$A:$A,"Quantity (units)")+SUMIFS('Source 2025'!$M:$M,'Source 2025'!$B:$B,$A132,'Source 2025'!$A:$A,"Quantity (units)")</f>
        <v>1</v>
      </c>
      <c r="D132" s="8" t="n">
        <f aca="false">SUMIFS('Source 2026'!$D:$D,'Source 2026'!$B:$B,$A132,'Source 2026'!$A:$A,"Quantity (units)")+SUMIFS('Source 2026'!$E:$E,'Source 2026'!$B:$B,$A132,'Source 2026'!$A:$A,"Quantity (units)")+SUMIFS('Source 2026'!$F:$F,'Source 2026'!$B:$B,$A132,'Source 2026'!$A:$A,"Quantity (units)")+SUMIFS('Source 2026'!$G:$G,'Source 2026'!$B:$B,$A132,'Source 2026'!$A:$A,"Quantity (units)")+SUMIFS('Source 2026'!$J:$J,'Source 2026'!$B:$B,$A132,'Source 2026'!$A:$A,"Quantity (units)")+SUMIFS('Source 2026'!$M:$M,'Source 2026'!$B:$B,$A132,'Source 2026'!$A:$A,"Quantity (units)")</f>
        <v>39</v>
      </c>
      <c r="E132" s="8" t="n">
        <f aca="false">D132*$J$5</f>
        <v>53.4857142857143</v>
      </c>
      <c r="F132" s="8" t="n">
        <f aca="false">E132-C132</f>
        <v>52.4857142857143</v>
      </c>
      <c r="G132" s="9" t="n">
        <f aca="false">IF(AND(C132=0,E132=0),0,IF(C132=0,"New",(E132-C132)/C132))</f>
        <v>52.4857142857143</v>
      </c>
      <c r="H132" s="8" t="n">
        <f aca="false">SUMIFS('Source 2025'!$D:$D,'Source 2025'!$B:$B,$A132,'Source 2025'!$A:$A,"Amount (NIS)")+SUMIFS('Source 2025'!$E:$E,'Source 2025'!$B:$B,$A132,'Source 2025'!$A:$A,"Amount (NIS)")+SUMIFS('Source 2025'!$F:$F,'Source 2025'!$B:$B,$A132,'Source 2025'!$A:$A,"Amount (NIS)")+SUMIFS('Source 2025'!$G:$G,'Source 2025'!$B:$B,$A132,'Source 2025'!$A:$A,"Amount (NIS)")+SUMIFS('Source 2025'!$J:$J,'Source 2025'!$B:$B,$A132,'Source 2025'!$A:$A,"Amount (NIS)")+SUMIFS('Source 2025'!$M:$M,'Source 2025'!$B:$B,$A132,'Source 2025'!$A:$A,"Amount (NIS)")</f>
        <v>56</v>
      </c>
      <c r="I132" s="8" t="n">
        <f aca="false">SUMIFS('Source 2026'!$D:$D,'Source 2026'!$B:$B,$A132,'Source 2026'!$A:$A,"Amount (NIS)")+SUMIFS('Source 2026'!$E:$E,'Source 2026'!$B:$B,$A132,'Source 2026'!$A:$A,"Amount (NIS)")+SUMIFS('Source 2026'!$F:$F,'Source 2026'!$B:$B,$A132,'Source 2026'!$A:$A,"Amount (NIS)")+SUMIFS('Source 2026'!$G:$G,'Source 2026'!$B:$B,$A132,'Source 2026'!$A:$A,"Amount (NIS)")+SUMIFS('Source 2026'!$J:$J,'Source 2026'!$B:$B,$A132,'Source 2026'!$A:$A,"Amount (NIS)")+SUMIFS('Source 2026'!$M:$M,'Source 2026'!$B:$B,$A132,'Source 2026'!$A:$A,"Amount (NIS)")</f>
        <v>2191.9</v>
      </c>
      <c r="J132" s="8" t="n">
        <f aca="false">I132*$J$5</f>
        <v>3006.03428571429</v>
      </c>
      <c r="K132" s="8" t="n">
        <f aca="false">J132-H132</f>
        <v>2950.03428571429</v>
      </c>
      <c r="L132" s="9" t="n">
        <f aca="false">IF(AND(H132=0,J132=0),0,IF(H132=0,"New",(J132-H132)/H132))</f>
        <v>52.6791836734694</v>
      </c>
    </row>
    <row r="133" customFormat="false" ht="15" hidden="false" customHeight="false" outlineLevel="0" collapsed="false">
      <c r="A133" s="7" t="n">
        <v>4413048</v>
      </c>
      <c r="B133" s="7" t="str">
        <f aca="false">IFERROR(INDEX('Source 2026'!$C:$C,MATCH($A133,'Source 2026'!$B:$B,0)),IFERROR(INDEX('Source 2025'!$C:$C,MATCH($A133,'Source 2025'!$B:$B,0)),""))</f>
        <v>35 L מגן קרסול לבן</v>
      </c>
      <c r="C133" s="8" t="n">
        <f aca="false">SUMIFS('Source 2025'!$D:$D,'Source 2025'!$B:$B,$A133,'Source 2025'!$A:$A,"Quantity (units)")+SUMIFS('Source 2025'!$E:$E,'Source 2025'!$B:$B,$A133,'Source 2025'!$A:$A,"Quantity (units)")+SUMIFS('Source 2025'!$F:$F,'Source 2025'!$B:$B,$A133,'Source 2025'!$A:$A,"Quantity (units)")+SUMIFS('Source 2025'!$G:$G,'Source 2025'!$B:$B,$A133,'Source 2025'!$A:$A,"Quantity (units)")+SUMIFS('Source 2025'!$J:$J,'Source 2025'!$B:$B,$A133,'Source 2025'!$A:$A,"Quantity (units)")+SUMIFS('Source 2025'!$M:$M,'Source 2025'!$B:$B,$A133,'Source 2025'!$A:$A,"Quantity (units)")</f>
        <v>207</v>
      </c>
      <c r="D133" s="8" t="n">
        <f aca="false">SUMIFS('Source 2026'!$D:$D,'Source 2026'!$B:$B,$A133,'Source 2026'!$A:$A,"Quantity (units)")+SUMIFS('Source 2026'!$E:$E,'Source 2026'!$B:$B,$A133,'Source 2026'!$A:$A,"Quantity (units)")+SUMIFS('Source 2026'!$F:$F,'Source 2026'!$B:$B,$A133,'Source 2026'!$A:$A,"Quantity (units)")+SUMIFS('Source 2026'!$G:$G,'Source 2026'!$B:$B,$A133,'Source 2026'!$A:$A,"Quantity (units)")+SUMIFS('Source 2026'!$J:$J,'Source 2026'!$B:$B,$A133,'Source 2026'!$A:$A,"Quantity (units)")+SUMIFS('Source 2026'!$M:$M,'Source 2026'!$B:$B,$A133,'Source 2026'!$A:$A,"Quantity (units)")</f>
        <v>134</v>
      </c>
      <c r="E133" s="8" t="n">
        <f aca="false">D133*$J$5</f>
        <v>183.771428571429</v>
      </c>
      <c r="F133" s="8" t="n">
        <f aca="false">E133-C133</f>
        <v>-23.2285714285714</v>
      </c>
      <c r="G133" s="9" t="n">
        <f aca="false">IF(AND(C133=0,E133=0),0,IF(C133=0,"New",(E133-C133)/C133))</f>
        <v>-0.112215320910973</v>
      </c>
      <c r="H133" s="8" t="n">
        <f aca="false">SUMIFS('Source 2025'!$D:$D,'Source 2025'!$B:$B,$A133,'Source 2025'!$A:$A,"Amount (NIS)")+SUMIFS('Source 2025'!$E:$E,'Source 2025'!$B:$B,$A133,'Source 2025'!$A:$A,"Amount (NIS)")+SUMIFS('Source 2025'!$F:$F,'Source 2025'!$B:$B,$A133,'Source 2025'!$A:$A,"Amount (NIS)")+SUMIFS('Source 2025'!$G:$G,'Source 2025'!$B:$B,$A133,'Source 2025'!$A:$A,"Amount (NIS)")+SUMIFS('Source 2025'!$J:$J,'Source 2025'!$B:$B,$A133,'Source 2025'!$A:$A,"Amount (NIS)")+SUMIFS('Source 2025'!$M:$M,'Source 2025'!$B:$B,$A133,'Source 2025'!$A:$A,"Amount (NIS)")</f>
        <v>6098.2</v>
      </c>
      <c r="I133" s="8" t="n">
        <f aca="false">SUMIFS('Source 2026'!$D:$D,'Source 2026'!$B:$B,$A133,'Source 2026'!$A:$A,"Amount (NIS)")+SUMIFS('Source 2026'!$E:$E,'Source 2026'!$B:$B,$A133,'Source 2026'!$A:$A,"Amount (NIS)")+SUMIFS('Source 2026'!$F:$F,'Source 2026'!$B:$B,$A133,'Source 2026'!$A:$A,"Amount (NIS)")+SUMIFS('Source 2026'!$G:$G,'Source 2026'!$B:$B,$A133,'Source 2026'!$A:$A,"Amount (NIS)")+SUMIFS('Source 2026'!$J:$J,'Source 2026'!$B:$B,$A133,'Source 2026'!$A:$A,"Amount (NIS)")+SUMIFS('Source 2026'!$M:$M,'Source 2026'!$B:$B,$A133,'Source 2026'!$A:$A,"Amount (NIS)")</f>
        <v>3963.4</v>
      </c>
      <c r="J133" s="8" t="n">
        <f aca="false">I133*$J$5</f>
        <v>5435.52</v>
      </c>
      <c r="K133" s="8" t="n">
        <f aca="false">J133-H133</f>
        <v>-662.68</v>
      </c>
      <c r="L133" s="9" t="n">
        <f aca="false">IF(AND(H133=0,J133=0),0,IF(H133=0,"New",(J133-H133)/H133))</f>
        <v>-0.10866813157981</v>
      </c>
    </row>
    <row r="134" customFormat="false" ht="15" hidden="false" customHeight="false" outlineLevel="0" collapsed="false">
      <c r="A134" s="7" t="n">
        <v>4416002</v>
      </c>
      <c r="B134" s="7" t="str">
        <f aca="false">IFERROR(INDEX('Source 2026'!$C:$C,MATCH($A134,'Source 2026'!$B:$B,0)),IFERROR(INDEX('Source 2025'!$C:$C,MATCH($A134,'Source 2025'!$B:$B,0)),""))</f>
        <v>307 S עקבים לדורבן-זוג כריות</v>
      </c>
      <c r="C134" s="8" t="n">
        <f aca="false">SUMIFS('Source 2025'!$D:$D,'Source 2025'!$B:$B,$A134,'Source 2025'!$A:$A,"Quantity (units)")+SUMIFS('Source 2025'!$E:$E,'Source 2025'!$B:$B,$A134,'Source 2025'!$A:$A,"Quantity (units)")+SUMIFS('Source 2025'!$F:$F,'Source 2025'!$B:$B,$A134,'Source 2025'!$A:$A,"Quantity (units)")+SUMIFS('Source 2025'!$G:$G,'Source 2025'!$B:$B,$A134,'Source 2025'!$A:$A,"Quantity (units)")+SUMIFS('Source 2025'!$J:$J,'Source 2025'!$B:$B,$A134,'Source 2025'!$A:$A,"Quantity (units)")+SUMIFS('Source 2025'!$M:$M,'Source 2025'!$B:$B,$A134,'Source 2025'!$A:$A,"Quantity (units)")</f>
        <v>46</v>
      </c>
      <c r="D134" s="8" t="n">
        <f aca="false">SUMIFS('Source 2026'!$D:$D,'Source 2026'!$B:$B,$A134,'Source 2026'!$A:$A,"Quantity (units)")+SUMIFS('Source 2026'!$E:$E,'Source 2026'!$B:$B,$A134,'Source 2026'!$A:$A,"Quantity (units)")+SUMIFS('Source 2026'!$F:$F,'Source 2026'!$B:$B,$A134,'Source 2026'!$A:$A,"Quantity (units)")+SUMIFS('Source 2026'!$G:$G,'Source 2026'!$B:$B,$A134,'Source 2026'!$A:$A,"Quantity (units)")+SUMIFS('Source 2026'!$J:$J,'Source 2026'!$B:$B,$A134,'Source 2026'!$A:$A,"Quantity (units)")+SUMIFS('Source 2026'!$M:$M,'Source 2026'!$B:$B,$A134,'Source 2026'!$A:$A,"Quantity (units)")</f>
        <v>18</v>
      </c>
      <c r="E134" s="8" t="n">
        <f aca="false">D134*$J$5</f>
        <v>24.6857142857143</v>
      </c>
      <c r="F134" s="8" t="n">
        <f aca="false">E134-C134</f>
        <v>-21.3142857142857</v>
      </c>
      <c r="G134" s="9" t="n">
        <f aca="false">IF(AND(C134=0,E134=0),0,IF(C134=0,"New",(E134-C134)/C134))</f>
        <v>-0.463354037267081</v>
      </c>
      <c r="H134" s="8" t="n">
        <f aca="false">SUMIFS('Source 2025'!$D:$D,'Source 2025'!$B:$B,$A134,'Source 2025'!$A:$A,"Amount (NIS)")+SUMIFS('Source 2025'!$E:$E,'Source 2025'!$B:$B,$A134,'Source 2025'!$A:$A,"Amount (NIS)")+SUMIFS('Source 2025'!$F:$F,'Source 2025'!$B:$B,$A134,'Source 2025'!$A:$A,"Amount (NIS)")+SUMIFS('Source 2025'!$G:$G,'Source 2025'!$B:$B,$A134,'Source 2025'!$A:$A,"Amount (NIS)")+SUMIFS('Source 2025'!$J:$J,'Source 2025'!$B:$B,$A134,'Source 2025'!$A:$A,"Amount (NIS)")+SUMIFS('Source 2025'!$M:$M,'Source 2025'!$B:$B,$A134,'Source 2025'!$A:$A,"Amount (NIS)")</f>
        <v>3635.5</v>
      </c>
      <c r="I134" s="8" t="n">
        <f aca="false">SUMIFS('Source 2026'!$D:$D,'Source 2026'!$B:$B,$A134,'Source 2026'!$A:$A,"Amount (NIS)")+SUMIFS('Source 2026'!$E:$E,'Source 2026'!$B:$B,$A134,'Source 2026'!$A:$A,"Amount (NIS)")+SUMIFS('Source 2026'!$F:$F,'Source 2026'!$B:$B,$A134,'Source 2026'!$A:$A,"Amount (NIS)")+SUMIFS('Source 2026'!$G:$G,'Source 2026'!$B:$B,$A134,'Source 2026'!$A:$A,"Amount (NIS)")+SUMIFS('Source 2026'!$J:$J,'Source 2026'!$B:$B,$A134,'Source 2026'!$A:$A,"Amount (NIS)")+SUMIFS('Source 2026'!$M:$M,'Source 2026'!$B:$B,$A134,'Source 2026'!$A:$A,"Amount (NIS)")</f>
        <v>1513.6</v>
      </c>
      <c r="J134" s="8" t="n">
        <f aca="false">I134*$J$5</f>
        <v>2075.79428571429</v>
      </c>
      <c r="K134" s="8" t="n">
        <f aca="false">J134-H134</f>
        <v>-1559.70571428571</v>
      </c>
      <c r="L134" s="9" t="n">
        <f aca="false">IF(AND(H134=0,J134=0),0,IF(H134=0,"New",(J134-H134)/H134))</f>
        <v>-0.429020963907499</v>
      </c>
    </row>
    <row r="135" customFormat="false" ht="15" hidden="false" customHeight="false" outlineLevel="0" collapsed="false">
      <c r="A135" s="7" t="n">
        <v>4408222</v>
      </c>
      <c r="B135" s="7" t="str">
        <f aca="false">IFERROR(INDEX('Source 2026'!$C:$C,MATCH($A135,'Source 2026'!$B:$B,0)),IFERROR(INDEX('Source 2025'!$C:$C,MATCH($A135,'Source 2025'!$B:$B,0)),""))</f>
        <v>078G-XLחגורת גב אפורה</v>
      </c>
      <c r="C135" s="8" t="n">
        <f aca="false">SUMIFS('Source 2025'!$D:$D,'Source 2025'!$B:$B,$A135,'Source 2025'!$A:$A,"Quantity (units)")+SUMIFS('Source 2025'!$E:$E,'Source 2025'!$B:$B,$A135,'Source 2025'!$A:$A,"Quantity (units)")+SUMIFS('Source 2025'!$F:$F,'Source 2025'!$B:$B,$A135,'Source 2025'!$A:$A,"Quantity (units)")+SUMIFS('Source 2025'!$G:$G,'Source 2025'!$B:$B,$A135,'Source 2025'!$A:$A,"Quantity (units)")+SUMIFS('Source 2025'!$J:$J,'Source 2025'!$B:$B,$A135,'Source 2025'!$A:$A,"Quantity (units)")+SUMIFS('Source 2025'!$M:$M,'Source 2025'!$B:$B,$A135,'Source 2025'!$A:$A,"Quantity (units)")</f>
        <v>53</v>
      </c>
      <c r="D135" s="8" t="n">
        <f aca="false">SUMIFS('Source 2026'!$D:$D,'Source 2026'!$B:$B,$A135,'Source 2026'!$A:$A,"Quantity (units)")+SUMIFS('Source 2026'!$E:$E,'Source 2026'!$B:$B,$A135,'Source 2026'!$A:$A,"Quantity (units)")+SUMIFS('Source 2026'!$F:$F,'Source 2026'!$B:$B,$A135,'Source 2026'!$A:$A,"Quantity (units)")+SUMIFS('Source 2026'!$G:$G,'Source 2026'!$B:$B,$A135,'Source 2026'!$A:$A,"Quantity (units)")+SUMIFS('Source 2026'!$J:$J,'Source 2026'!$B:$B,$A135,'Source 2026'!$A:$A,"Quantity (units)")+SUMIFS('Source 2026'!$M:$M,'Source 2026'!$B:$B,$A135,'Source 2026'!$A:$A,"Quantity (units)")</f>
        <v>35</v>
      </c>
      <c r="E135" s="8" t="n">
        <f aca="false">D135*$J$5</f>
        <v>48</v>
      </c>
      <c r="F135" s="8" t="n">
        <f aca="false">E135-C135</f>
        <v>-5</v>
      </c>
      <c r="G135" s="9" t="n">
        <f aca="false">IF(AND(C135=0,E135=0),0,IF(C135=0,"New",(E135-C135)/C135))</f>
        <v>-0.0943396226415094</v>
      </c>
      <c r="H135" s="8" t="n">
        <f aca="false">SUMIFS('Source 2025'!$D:$D,'Source 2025'!$B:$B,$A135,'Source 2025'!$A:$A,"Amount (NIS)")+SUMIFS('Source 2025'!$E:$E,'Source 2025'!$B:$B,$A135,'Source 2025'!$A:$A,"Amount (NIS)")+SUMIFS('Source 2025'!$F:$F,'Source 2025'!$B:$B,$A135,'Source 2025'!$A:$A,"Amount (NIS)")+SUMIFS('Source 2025'!$G:$G,'Source 2025'!$B:$B,$A135,'Source 2025'!$A:$A,"Amount (NIS)")+SUMIFS('Source 2025'!$J:$J,'Source 2025'!$B:$B,$A135,'Source 2025'!$A:$A,"Amount (NIS)")+SUMIFS('Source 2025'!$M:$M,'Source 2025'!$B:$B,$A135,'Source 2025'!$A:$A,"Amount (NIS)")</f>
        <v>5922.9</v>
      </c>
      <c r="I135" s="8" t="n">
        <f aca="false">SUMIFS('Source 2026'!$D:$D,'Source 2026'!$B:$B,$A135,'Source 2026'!$A:$A,"Amount (NIS)")+SUMIFS('Source 2026'!$E:$E,'Source 2026'!$B:$B,$A135,'Source 2026'!$A:$A,"Amount (NIS)")+SUMIFS('Source 2026'!$F:$F,'Source 2026'!$B:$B,$A135,'Source 2026'!$A:$A,"Amount (NIS)")+SUMIFS('Source 2026'!$G:$G,'Source 2026'!$B:$B,$A135,'Source 2026'!$A:$A,"Amount (NIS)")+SUMIFS('Source 2026'!$J:$J,'Source 2026'!$B:$B,$A135,'Source 2026'!$A:$A,"Amount (NIS)")+SUMIFS('Source 2026'!$M:$M,'Source 2026'!$B:$B,$A135,'Source 2026'!$A:$A,"Amount (NIS)")</f>
        <v>3813.7</v>
      </c>
      <c r="J135" s="8" t="n">
        <f aca="false">I135*$J$5</f>
        <v>5230.21714285714</v>
      </c>
      <c r="K135" s="8" t="n">
        <f aca="false">J135-H135</f>
        <v>-692.682857142856</v>
      </c>
      <c r="L135" s="9" t="n">
        <f aca="false">IF(AND(H135=0,J135=0),0,IF(H135=0,"New",(J135-H135)/H135))</f>
        <v>-0.116949949710928</v>
      </c>
    </row>
    <row r="136" customFormat="false" ht="15" hidden="false" customHeight="false" outlineLevel="0" collapsed="false">
      <c r="A136" s="7" t="n">
        <v>4422032</v>
      </c>
      <c r="B136" s="7" t="str">
        <f aca="false">IFERROR(INDEX('Source 2026'!$C:$C,MATCH($A136,'Source 2026'!$B:$B,0)),IFERROR(INDEX('Source 2025'!$C:$C,MATCH($A136,'Source 2025'!$B:$B,0)),""))</f>
        <v>807B-Bתחבושת נצמדת שחור 20 מ""מ</v>
      </c>
      <c r="C136" s="8" t="n">
        <f aca="false">SUMIFS('Source 2025'!$D:$D,'Source 2025'!$B:$B,$A136,'Source 2025'!$A:$A,"Quantity (units)")+SUMIFS('Source 2025'!$E:$E,'Source 2025'!$B:$B,$A136,'Source 2025'!$A:$A,"Quantity (units)")+SUMIFS('Source 2025'!$F:$F,'Source 2025'!$B:$B,$A136,'Source 2025'!$A:$A,"Quantity (units)")+SUMIFS('Source 2025'!$G:$G,'Source 2025'!$B:$B,$A136,'Source 2025'!$A:$A,"Quantity (units)")+SUMIFS('Source 2025'!$J:$J,'Source 2025'!$B:$B,$A136,'Source 2025'!$A:$A,"Quantity (units)")+SUMIFS('Source 2025'!$M:$M,'Source 2025'!$B:$B,$A136,'Source 2025'!$A:$A,"Quantity (units)")</f>
        <v>482</v>
      </c>
      <c r="D136" s="8" t="n">
        <f aca="false">SUMIFS('Source 2026'!$D:$D,'Source 2026'!$B:$B,$A136,'Source 2026'!$A:$A,"Quantity (units)")+SUMIFS('Source 2026'!$E:$E,'Source 2026'!$B:$B,$A136,'Source 2026'!$A:$A,"Quantity (units)")+SUMIFS('Source 2026'!$F:$F,'Source 2026'!$B:$B,$A136,'Source 2026'!$A:$A,"Quantity (units)")+SUMIFS('Source 2026'!$G:$G,'Source 2026'!$B:$B,$A136,'Source 2026'!$A:$A,"Quantity (units)")+SUMIFS('Source 2026'!$J:$J,'Source 2026'!$B:$B,$A136,'Source 2026'!$A:$A,"Quantity (units)")+SUMIFS('Source 2026'!$M:$M,'Source 2026'!$B:$B,$A136,'Source 2026'!$A:$A,"Quantity (units)")</f>
        <v>212</v>
      </c>
      <c r="E136" s="8" t="n">
        <f aca="false">D136*$J$5</f>
        <v>290.742857142857</v>
      </c>
      <c r="F136" s="8" t="n">
        <f aca="false">E136-C136</f>
        <v>-191.257142857143</v>
      </c>
      <c r="G136" s="9" t="n">
        <f aca="false">IF(AND(C136=0,E136=0),0,IF(C136=0,"New",(E136-C136)/C136))</f>
        <v>-0.396799051570836</v>
      </c>
      <c r="H136" s="8" t="n">
        <f aca="false">SUMIFS('Source 2025'!$D:$D,'Source 2025'!$B:$B,$A136,'Source 2025'!$A:$A,"Amount (NIS)")+SUMIFS('Source 2025'!$E:$E,'Source 2025'!$B:$B,$A136,'Source 2025'!$A:$A,"Amount (NIS)")+SUMIFS('Source 2025'!$F:$F,'Source 2025'!$B:$B,$A136,'Source 2025'!$A:$A,"Amount (NIS)")+SUMIFS('Source 2025'!$G:$G,'Source 2025'!$B:$B,$A136,'Source 2025'!$A:$A,"Amount (NIS)")+SUMIFS('Source 2025'!$J:$J,'Source 2025'!$B:$B,$A136,'Source 2025'!$A:$A,"Amount (NIS)")+SUMIFS('Source 2025'!$M:$M,'Source 2025'!$B:$B,$A136,'Source 2025'!$A:$A,"Amount (NIS)")</f>
        <v>4463.1</v>
      </c>
      <c r="I136" s="8" t="n">
        <f aca="false">SUMIFS('Source 2026'!$D:$D,'Source 2026'!$B:$B,$A136,'Source 2026'!$A:$A,"Amount (NIS)")+SUMIFS('Source 2026'!$E:$E,'Source 2026'!$B:$B,$A136,'Source 2026'!$A:$A,"Amount (NIS)")+SUMIFS('Source 2026'!$F:$F,'Source 2026'!$B:$B,$A136,'Source 2026'!$A:$A,"Amount (NIS)")+SUMIFS('Source 2026'!$G:$G,'Source 2026'!$B:$B,$A136,'Source 2026'!$A:$A,"Amount (NIS)")+SUMIFS('Source 2026'!$J:$J,'Source 2026'!$B:$B,$A136,'Source 2026'!$A:$A,"Amount (NIS)")+SUMIFS('Source 2026'!$M:$M,'Source 2026'!$B:$B,$A136,'Source 2026'!$A:$A,"Amount (NIS)")</f>
        <v>2361.9</v>
      </c>
      <c r="J136" s="8" t="n">
        <f aca="false">I136*$J$5</f>
        <v>3239.17714285714</v>
      </c>
      <c r="K136" s="8" t="n">
        <f aca="false">J136-H136</f>
        <v>-1223.92285714286</v>
      </c>
      <c r="L136" s="9" t="n">
        <f aca="false">IF(AND(H136=0,J136=0),0,IF(H136=0,"New",(J136-H136)/H136))</f>
        <v>-0.274231555901247</v>
      </c>
    </row>
    <row r="137" customFormat="false" ht="15" hidden="false" customHeight="false" outlineLevel="0" collapsed="false">
      <c r="A137" s="7" t="n">
        <v>4408033</v>
      </c>
      <c r="B137" s="7" t="str">
        <f aca="false">IFERROR(INDEX('Source 2026'!$C:$C,MATCH($A137,'Source 2026'!$B:$B,0)),IFERROR(INDEX('Source 2025'!$C:$C,MATCH($A137,'Source 2025'!$B:$B,0)),""))</f>
        <v>11 M""חגורת בטן""אורירית</v>
      </c>
      <c r="C137" s="8" t="n">
        <f aca="false">SUMIFS('Source 2025'!$D:$D,'Source 2025'!$B:$B,$A137,'Source 2025'!$A:$A,"Quantity (units)")+SUMIFS('Source 2025'!$E:$E,'Source 2025'!$B:$B,$A137,'Source 2025'!$A:$A,"Quantity (units)")+SUMIFS('Source 2025'!$F:$F,'Source 2025'!$B:$B,$A137,'Source 2025'!$A:$A,"Quantity (units)")+SUMIFS('Source 2025'!$G:$G,'Source 2025'!$B:$B,$A137,'Source 2025'!$A:$A,"Quantity (units)")+SUMIFS('Source 2025'!$J:$J,'Source 2025'!$B:$B,$A137,'Source 2025'!$A:$A,"Quantity (units)")+SUMIFS('Source 2025'!$M:$M,'Source 2025'!$B:$B,$A137,'Source 2025'!$A:$A,"Quantity (units)")</f>
        <v>43</v>
      </c>
      <c r="D137" s="8" t="n">
        <f aca="false">SUMIFS('Source 2026'!$D:$D,'Source 2026'!$B:$B,$A137,'Source 2026'!$A:$A,"Quantity (units)")+SUMIFS('Source 2026'!$E:$E,'Source 2026'!$B:$B,$A137,'Source 2026'!$A:$A,"Quantity (units)")+SUMIFS('Source 2026'!$F:$F,'Source 2026'!$B:$B,$A137,'Source 2026'!$A:$A,"Quantity (units)")+SUMIFS('Source 2026'!$G:$G,'Source 2026'!$B:$B,$A137,'Source 2026'!$A:$A,"Quantity (units)")+SUMIFS('Source 2026'!$J:$J,'Source 2026'!$B:$B,$A137,'Source 2026'!$A:$A,"Quantity (units)")+SUMIFS('Source 2026'!$M:$M,'Source 2026'!$B:$B,$A137,'Source 2026'!$A:$A,"Quantity (units)")</f>
        <v>24</v>
      </c>
      <c r="E137" s="8" t="n">
        <f aca="false">D137*$J$5</f>
        <v>32.9142857142857</v>
      </c>
      <c r="F137" s="8" t="n">
        <f aca="false">E137-C137</f>
        <v>-10.0857142857143</v>
      </c>
      <c r="G137" s="9" t="n">
        <f aca="false">IF(AND(C137=0,E137=0),0,IF(C137=0,"New",(E137-C137)/C137))</f>
        <v>-0.234551495016611</v>
      </c>
      <c r="H137" s="8" t="n">
        <f aca="false">SUMIFS('Source 2025'!$D:$D,'Source 2025'!$B:$B,$A137,'Source 2025'!$A:$A,"Amount (NIS)")+SUMIFS('Source 2025'!$E:$E,'Source 2025'!$B:$B,$A137,'Source 2025'!$A:$A,"Amount (NIS)")+SUMIFS('Source 2025'!$F:$F,'Source 2025'!$B:$B,$A137,'Source 2025'!$A:$A,"Amount (NIS)")+SUMIFS('Source 2025'!$G:$G,'Source 2025'!$B:$B,$A137,'Source 2025'!$A:$A,"Amount (NIS)")+SUMIFS('Source 2025'!$J:$J,'Source 2025'!$B:$B,$A137,'Source 2025'!$A:$A,"Amount (NIS)")+SUMIFS('Source 2025'!$M:$M,'Source 2025'!$B:$B,$A137,'Source 2025'!$A:$A,"Amount (NIS)")</f>
        <v>4517.5</v>
      </c>
      <c r="I137" s="8" t="n">
        <f aca="false">SUMIFS('Source 2026'!$D:$D,'Source 2026'!$B:$B,$A137,'Source 2026'!$A:$A,"Amount (NIS)")+SUMIFS('Source 2026'!$E:$E,'Source 2026'!$B:$B,$A137,'Source 2026'!$A:$A,"Amount (NIS)")+SUMIFS('Source 2026'!$F:$F,'Source 2026'!$B:$B,$A137,'Source 2026'!$A:$A,"Amount (NIS)")+SUMIFS('Source 2026'!$G:$G,'Source 2026'!$B:$B,$A137,'Source 2026'!$A:$A,"Amount (NIS)")+SUMIFS('Source 2026'!$J:$J,'Source 2026'!$B:$B,$A137,'Source 2026'!$A:$A,"Amount (NIS)")+SUMIFS('Source 2026'!$M:$M,'Source 2026'!$B:$B,$A137,'Source 2026'!$A:$A,"Amount (NIS)")</f>
        <v>2466.9</v>
      </c>
      <c r="J137" s="8" t="n">
        <f aca="false">I137*$J$5</f>
        <v>3383.17714285714</v>
      </c>
      <c r="K137" s="8" t="n">
        <f aca="false">J137-H137</f>
        <v>-1134.32285714286</v>
      </c>
      <c r="L137" s="9" t="n">
        <f aca="false">IF(AND(H137=0,J137=0),0,IF(H137=0,"New",(J137-H137)/H137))</f>
        <v>-0.251095264447782</v>
      </c>
    </row>
    <row r="138" customFormat="false" ht="15" hidden="false" customHeight="false" outlineLevel="0" collapsed="false">
      <c r="A138" s="7" t="n">
        <v>4413100</v>
      </c>
      <c r="B138" s="7" t="str">
        <f aca="false">IFERROR(INDEX('Source 2026'!$C:$C,MATCH($A138,'Source 2026'!$B:$B,0)),IFERROR(INDEX('Source 2025'!$C:$C,MATCH($A138,'Source 2025'!$B:$B,0)),""))</f>
        <v>45C XL מגן ברך חום</v>
      </c>
      <c r="C138" s="8" t="n">
        <f aca="false">SUMIFS('Source 2025'!$D:$D,'Source 2025'!$B:$B,$A138,'Source 2025'!$A:$A,"Quantity (units)")+SUMIFS('Source 2025'!$E:$E,'Source 2025'!$B:$B,$A138,'Source 2025'!$A:$A,"Quantity (units)")+SUMIFS('Source 2025'!$F:$F,'Source 2025'!$B:$B,$A138,'Source 2025'!$A:$A,"Quantity (units)")+SUMIFS('Source 2025'!$G:$G,'Source 2025'!$B:$B,$A138,'Source 2025'!$A:$A,"Quantity (units)")+SUMIFS('Source 2025'!$J:$J,'Source 2025'!$B:$B,$A138,'Source 2025'!$A:$A,"Quantity (units)")+SUMIFS('Source 2025'!$M:$M,'Source 2025'!$B:$B,$A138,'Source 2025'!$A:$A,"Quantity (units)")</f>
        <v>331</v>
      </c>
      <c r="D138" s="8" t="n">
        <f aca="false">SUMIFS('Source 2026'!$D:$D,'Source 2026'!$B:$B,$A138,'Source 2026'!$A:$A,"Quantity (units)")+SUMIFS('Source 2026'!$E:$E,'Source 2026'!$B:$B,$A138,'Source 2026'!$A:$A,"Quantity (units)")+SUMIFS('Source 2026'!$F:$F,'Source 2026'!$B:$B,$A138,'Source 2026'!$A:$A,"Quantity (units)")+SUMIFS('Source 2026'!$G:$G,'Source 2026'!$B:$B,$A138,'Source 2026'!$A:$A,"Quantity (units)")+SUMIFS('Source 2026'!$J:$J,'Source 2026'!$B:$B,$A138,'Source 2026'!$A:$A,"Quantity (units)")+SUMIFS('Source 2026'!$M:$M,'Source 2026'!$B:$B,$A138,'Source 2026'!$A:$A,"Quantity (units)")</f>
        <v>260</v>
      </c>
      <c r="E138" s="8" t="n">
        <f aca="false">D138*$J$5</f>
        <v>356.571428571429</v>
      </c>
      <c r="F138" s="8" t="n">
        <f aca="false">E138-C138</f>
        <v>25.5714285714286</v>
      </c>
      <c r="G138" s="9" t="n">
        <f aca="false">IF(AND(C138=0,E138=0),0,IF(C138=0,"New",(E138-C138)/C138))</f>
        <v>0.0772550712127751</v>
      </c>
      <c r="H138" s="8" t="n">
        <f aca="false">SUMIFS('Source 2025'!$D:$D,'Source 2025'!$B:$B,$A138,'Source 2025'!$A:$A,"Amount (NIS)")+SUMIFS('Source 2025'!$E:$E,'Source 2025'!$B:$B,$A138,'Source 2025'!$A:$A,"Amount (NIS)")+SUMIFS('Source 2025'!$F:$F,'Source 2025'!$B:$B,$A138,'Source 2025'!$A:$A,"Amount (NIS)")+SUMIFS('Source 2025'!$G:$G,'Source 2025'!$B:$B,$A138,'Source 2025'!$A:$A,"Amount (NIS)")+SUMIFS('Source 2025'!$J:$J,'Source 2025'!$B:$B,$A138,'Source 2025'!$A:$A,"Amount (NIS)")+SUMIFS('Source 2025'!$M:$M,'Source 2025'!$B:$B,$A138,'Source 2025'!$A:$A,"Amount (NIS)")</f>
        <v>9904.8</v>
      </c>
      <c r="I138" s="8" t="n">
        <f aca="false">SUMIFS('Source 2026'!$D:$D,'Source 2026'!$B:$B,$A138,'Source 2026'!$A:$A,"Amount (NIS)")+SUMIFS('Source 2026'!$E:$E,'Source 2026'!$B:$B,$A138,'Source 2026'!$A:$A,"Amount (NIS)")+SUMIFS('Source 2026'!$F:$F,'Source 2026'!$B:$B,$A138,'Source 2026'!$A:$A,"Amount (NIS)")+SUMIFS('Source 2026'!$G:$G,'Source 2026'!$B:$B,$A138,'Source 2026'!$A:$A,"Amount (NIS)")+SUMIFS('Source 2026'!$J:$J,'Source 2026'!$B:$B,$A138,'Source 2026'!$A:$A,"Amount (NIS)")+SUMIFS('Source 2026'!$M:$M,'Source 2026'!$B:$B,$A138,'Source 2026'!$A:$A,"Amount (NIS)")</f>
        <v>7867.9</v>
      </c>
      <c r="J138" s="8" t="n">
        <f aca="false">I138*$J$5</f>
        <v>10790.2628571429</v>
      </c>
      <c r="K138" s="8" t="n">
        <f aca="false">J138-H138</f>
        <v>885.462857142857</v>
      </c>
      <c r="L138" s="9" t="n">
        <f aca="false">IF(AND(H138=0,J138=0),0,IF(H138=0,"New",(J138-H138)/H138))</f>
        <v>0.0893973484717366</v>
      </c>
    </row>
    <row r="139" customFormat="false" ht="15" hidden="false" customHeight="false" outlineLevel="0" collapsed="false">
      <c r="A139" s="7" t="n">
        <v>4413104</v>
      </c>
      <c r="B139" s="7" t="str">
        <f aca="false">IFERROR(INDEX('Source 2026'!$C:$C,MATCH($A139,'Source 2026'!$B:$B,0)),IFERROR(INDEX('Source 2025'!$C:$C,MATCH($A139,'Source 2025'!$B:$B,0)),""))</f>
        <v>45E XLמגן ברך ארוך לבן</v>
      </c>
      <c r="C139" s="8" t="n">
        <f aca="false">SUMIFS('Source 2025'!$D:$D,'Source 2025'!$B:$B,$A139,'Source 2025'!$A:$A,"Quantity (units)")+SUMIFS('Source 2025'!$E:$E,'Source 2025'!$B:$B,$A139,'Source 2025'!$A:$A,"Quantity (units)")+SUMIFS('Source 2025'!$F:$F,'Source 2025'!$B:$B,$A139,'Source 2025'!$A:$A,"Quantity (units)")+SUMIFS('Source 2025'!$G:$G,'Source 2025'!$B:$B,$A139,'Source 2025'!$A:$A,"Quantity (units)")+SUMIFS('Source 2025'!$J:$J,'Source 2025'!$B:$B,$A139,'Source 2025'!$A:$A,"Quantity (units)")+SUMIFS('Source 2025'!$M:$M,'Source 2025'!$B:$B,$A139,'Source 2025'!$A:$A,"Quantity (units)")</f>
        <v>124</v>
      </c>
      <c r="D139" s="8" t="n">
        <f aca="false">SUMIFS('Source 2026'!$D:$D,'Source 2026'!$B:$B,$A139,'Source 2026'!$A:$A,"Quantity (units)")+SUMIFS('Source 2026'!$E:$E,'Source 2026'!$B:$B,$A139,'Source 2026'!$A:$A,"Quantity (units)")+SUMIFS('Source 2026'!$F:$F,'Source 2026'!$B:$B,$A139,'Source 2026'!$A:$A,"Quantity (units)")+SUMIFS('Source 2026'!$G:$G,'Source 2026'!$B:$B,$A139,'Source 2026'!$A:$A,"Quantity (units)")+SUMIFS('Source 2026'!$J:$J,'Source 2026'!$B:$B,$A139,'Source 2026'!$A:$A,"Quantity (units)")+SUMIFS('Source 2026'!$M:$M,'Source 2026'!$B:$B,$A139,'Source 2026'!$A:$A,"Quantity (units)")</f>
        <v>67</v>
      </c>
      <c r="E139" s="8" t="n">
        <f aca="false">D139*$J$5</f>
        <v>91.8857142857143</v>
      </c>
      <c r="F139" s="8" t="n">
        <f aca="false">E139-C139</f>
        <v>-32.1142857142857</v>
      </c>
      <c r="G139" s="9" t="n">
        <f aca="false">IF(AND(C139=0,E139=0),0,IF(C139=0,"New",(E139-C139)/C139))</f>
        <v>-0.258986175115207</v>
      </c>
      <c r="H139" s="8" t="n">
        <f aca="false">SUMIFS('Source 2025'!$D:$D,'Source 2025'!$B:$B,$A139,'Source 2025'!$A:$A,"Amount (NIS)")+SUMIFS('Source 2025'!$E:$E,'Source 2025'!$B:$B,$A139,'Source 2025'!$A:$A,"Amount (NIS)")+SUMIFS('Source 2025'!$F:$F,'Source 2025'!$B:$B,$A139,'Source 2025'!$A:$A,"Amount (NIS)")+SUMIFS('Source 2025'!$G:$G,'Source 2025'!$B:$B,$A139,'Source 2025'!$A:$A,"Amount (NIS)")+SUMIFS('Source 2025'!$J:$J,'Source 2025'!$B:$B,$A139,'Source 2025'!$A:$A,"Amount (NIS)")+SUMIFS('Source 2025'!$M:$M,'Source 2025'!$B:$B,$A139,'Source 2025'!$A:$A,"Amount (NIS)")</f>
        <v>4474.2</v>
      </c>
      <c r="I139" s="8" t="n">
        <f aca="false">SUMIFS('Source 2026'!$D:$D,'Source 2026'!$B:$B,$A139,'Source 2026'!$A:$A,"Amount (NIS)")+SUMIFS('Source 2026'!$E:$E,'Source 2026'!$B:$B,$A139,'Source 2026'!$A:$A,"Amount (NIS)")+SUMIFS('Source 2026'!$F:$F,'Source 2026'!$B:$B,$A139,'Source 2026'!$A:$A,"Amount (NIS)")+SUMIFS('Source 2026'!$G:$G,'Source 2026'!$B:$B,$A139,'Source 2026'!$A:$A,"Amount (NIS)")+SUMIFS('Source 2026'!$J:$J,'Source 2026'!$B:$B,$A139,'Source 2026'!$A:$A,"Amount (NIS)")+SUMIFS('Source 2026'!$M:$M,'Source 2026'!$B:$B,$A139,'Source 2026'!$A:$A,"Amount (NIS)")</f>
        <v>2438.9</v>
      </c>
      <c r="J139" s="8" t="n">
        <f aca="false">I139*$J$5</f>
        <v>3344.77714285714</v>
      </c>
      <c r="K139" s="8" t="n">
        <f aca="false">J139-H139</f>
        <v>-1129.42285714286</v>
      </c>
      <c r="L139" s="9" t="n">
        <f aca="false">IF(AND(H139=0,J139=0),0,IF(H139=0,"New",(J139-H139)/H139))</f>
        <v>-0.252430123182436</v>
      </c>
    </row>
    <row r="140" customFormat="false" ht="15" hidden="false" customHeight="false" outlineLevel="0" collapsed="false">
      <c r="A140" s="7" t="n">
        <v>4413095</v>
      </c>
      <c r="B140" s="7" t="str">
        <f aca="false">IFERROR(INDEX('Source 2026'!$C:$C,MATCH($A140,'Source 2026'!$B:$B,0)),IFERROR(INDEX('Source 2025'!$C:$C,MATCH($A140,'Source 2025'!$B:$B,0)),""))</f>
        <v>45 XL מגן ברך לבן</v>
      </c>
      <c r="C140" s="8" t="n">
        <f aca="false">SUMIFS('Source 2025'!$D:$D,'Source 2025'!$B:$B,$A140,'Source 2025'!$A:$A,"Quantity (units)")+SUMIFS('Source 2025'!$E:$E,'Source 2025'!$B:$B,$A140,'Source 2025'!$A:$A,"Quantity (units)")+SUMIFS('Source 2025'!$F:$F,'Source 2025'!$B:$B,$A140,'Source 2025'!$A:$A,"Quantity (units)")+SUMIFS('Source 2025'!$G:$G,'Source 2025'!$B:$B,$A140,'Source 2025'!$A:$A,"Quantity (units)")+SUMIFS('Source 2025'!$J:$J,'Source 2025'!$B:$B,$A140,'Source 2025'!$A:$A,"Quantity (units)")+SUMIFS('Source 2025'!$M:$M,'Source 2025'!$B:$B,$A140,'Source 2025'!$A:$A,"Quantity (units)")</f>
        <v>241</v>
      </c>
      <c r="D140" s="8" t="n">
        <f aca="false">SUMIFS('Source 2026'!$D:$D,'Source 2026'!$B:$B,$A140,'Source 2026'!$A:$A,"Quantity (units)")+SUMIFS('Source 2026'!$E:$E,'Source 2026'!$B:$B,$A140,'Source 2026'!$A:$A,"Quantity (units)")+SUMIFS('Source 2026'!$F:$F,'Source 2026'!$B:$B,$A140,'Source 2026'!$A:$A,"Quantity (units)")+SUMIFS('Source 2026'!$G:$G,'Source 2026'!$B:$B,$A140,'Source 2026'!$A:$A,"Quantity (units)")+SUMIFS('Source 2026'!$J:$J,'Source 2026'!$B:$B,$A140,'Source 2026'!$A:$A,"Quantity (units)")+SUMIFS('Source 2026'!$M:$M,'Source 2026'!$B:$B,$A140,'Source 2026'!$A:$A,"Quantity (units)")</f>
        <v>173</v>
      </c>
      <c r="E140" s="8" t="n">
        <f aca="false">D140*$J$5</f>
        <v>237.257142857143</v>
      </c>
      <c r="F140" s="8" t="n">
        <f aca="false">E140-C140</f>
        <v>-3.74285714285713</v>
      </c>
      <c r="G140" s="9" t="n">
        <f aca="false">IF(AND(C140=0,E140=0),0,IF(C140=0,"New",(E140-C140)/C140))</f>
        <v>-0.0155305275637225</v>
      </c>
      <c r="H140" s="8" t="n">
        <f aca="false">SUMIFS('Source 2025'!$D:$D,'Source 2025'!$B:$B,$A140,'Source 2025'!$A:$A,"Amount (NIS)")+SUMIFS('Source 2025'!$E:$E,'Source 2025'!$B:$B,$A140,'Source 2025'!$A:$A,"Amount (NIS)")+SUMIFS('Source 2025'!$F:$F,'Source 2025'!$B:$B,$A140,'Source 2025'!$A:$A,"Amount (NIS)")+SUMIFS('Source 2025'!$G:$G,'Source 2025'!$B:$B,$A140,'Source 2025'!$A:$A,"Amount (NIS)")+SUMIFS('Source 2025'!$J:$J,'Source 2025'!$B:$B,$A140,'Source 2025'!$A:$A,"Amount (NIS)")+SUMIFS('Source 2025'!$M:$M,'Source 2025'!$B:$B,$A140,'Source 2025'!$A:$A,"Amount (NIS)")</f>
        <v>7175.7</v>
      </c>
      <c r="I140" s="8" t="n">
        <f aca="false">SUMIFS('Source 2026'!$D:$D,'Source 2026'!$B:$B,$A140,'Source 2026'!$A:$A,"Amount (NIS)")+SUMIFS('Source 2026'!$E:$E,'Source 2026'!$B:$B,$A140,'Source 2026'!$A:$A,"Amount (NIS)")+SUMIFS('Source 2026'!$F:$F,'Source 2026'!$B:$B,$A140,'Source 2026'!$A:$A,"Amount (NIS)")+SUMIFS('Source 2026'!$G:$G,'Source 2026'!$B:$B,$A140,'Source 2026'!$A:$A,"Amount (NIS)")+SUMIFS('Source 2026'!$J:$J,'Source 2026'!$B:$B,$A140,'Source 2026'!$A:$A,"Amount (NIS)")+SUMIFS('Source 2026'!$M:$M,'Source 2026'!$B:$B,$A140,'Source 2026'!$A:$A,"Amount (NIS)")</f>
        <v>5164.4</v>
      </c>
      <c r="J140" s="8" t="n">
        <f aca="false">I140*$J$5</f>
        <v>7082.60571428571</v>
      </c>
      <c r="K140" s="8" t="n">
        <f aca="false">J140-H140</f>
        <v>-93.0942857142863</v>
      </c>
      <c r="L140" s="9" t="n">
        <f aca="false">IF(AND(H140=0,J140=0),0,IF(H140=0,"New",(J140-H140)/H140))</f>
        <v>-0.0129735476280065</v>
      </c>
    </row>
    <row r="141" customFormat="false" ht="15" hidden="false" customHeight="false" outlineLevel="0" collapsed="false">
      <c r="A141" s="7" t="n">
        <v>4408032</v>
      </c>
      <c r="B141" s="7" t="str">
        <f aca="false">IFERROR(INDEX('Source 2026'!$C:$C,MATCH($A141,'Source 2026'!$B:$B,0)),IFERROR(INDEX('Source 2025'!$C:$C,MATCH($A141,'Source 2025'!$B:$B,0)),""))</f>
        <v>11 L""חגורת בטן""אורירית</v>
      </c>
      <c r="C141" s="8" t="n">
        <f aca="false">SUMIFS('Source 2025'!$D:$D,'Source 2025'!$B:$B,$A141,'Source 2025'!$A:$A,"Quantity (units)")+SUMIFS('Source 2025'!$E:$E,'Source 2025'!$B:$B,$A141,'Source 2025'!$A:$A,"Quantity (units)")+SUMIFS('Source 2025'!$F:$F,'Source 2025'!$B:$B,$A141,'Source 2025'!$A:$A,"Quantity (units)")+SUMIFS('Source 2025'!$G:$G,'Source 2025'!$B:$B,$A141,'Source 2025'!$A:$A,"Quantity (units)")+SUMIFS('Source 2025'!$J:$J,'Source 2025'!$B:$B,$A141,'Source 2025'!$A:$A,"Quantity (units)")+SUMIFS('Source 2025'!$M:$M,'Source 2025'!$B:$B,$A141,'Source 2025'!$A:$A,"Quantity (units)")</f>
        <v>45</v>
      </c>
      <c r="D141" s="8" t="n">
        <f aca="false">SUMIFS('Source 2026'!$D:$D,'Source 2026'!$B:$B,$A141,'Source 2026'!$A:$A,"Quantity (units)")+SUMIFS('Source 2026'!$E:$E,'Source 2026'!$B:$B,$A141,'Source 2026'!$A:$A,"Quantity (units)")+SUMIFS('Source 2026'!$F:$F,'Source 2026'!$B:$B,$A141,'Source 2026'!$A:$A,"Quantity (units)")+SUMIFS('Source 2026'!$G:$G,'Source 2026'!$B:$B,$A141,'Source 2026'!$A:$A,"Quantity (units)")+SUMIFS('Source 2026'!$J:$J,'Source 2026'!$B:$B,$A141,'Source 2026'!$A:$A,"Quantity (units)")+SUMIFS('Source 2026'!$M:$M,'Source 2026'!$B:$B,$A141,'Source 2026'!$A:$A,"Quantity (units)")</f>
        <v>25</v>
      </c>
      <c r="E141" s="8" t="n">
        <f aca="false">D141*$J$5</f>
        <v>34.2857142857143</v>
      </c>
      <c r="F141" s="8" t="n">
        <f aca="false">E141-C141</f>
        <v>-10.7142857142857</v>
      </c>
      <c r="G141" s="9" t="n">
        <f aca="false">IF(AND(C141=0,E141=0),0,IF(C141=0,"New",(E141-C141)/C141))</f>
        <v>-0.238095238095238</v>
      </c>
      <c r="H141" s="8" t="n">
        <f aca="false">SUMIFS('Source 2025'!$D:$D,'Source 2025'!$B:$B,$A141,'Source 2025'!$A:$A,"Amount (NIS)")+SUMIFS('Source 2025'!$E:$E,'Source 2025'!$B:$B,$A141,'Source 2025'!$A:$A,"Amount (NIS)")+SUMIFS('Source 2025'!$F:$F,'Source 2025'!$B:$B,$A141,'Source 2025'!$A:$A,"Amount (NIS)")+SUMIFS('Source 2025'!$G:$G,'Source 2025'!$B:$B,$A141,'Source 2025'!$A:$A,"Amount (NIS)")+SUMIFS('Source 2025'!$J:$J,'Source 2025'!$B:$B,$A141,'Source 2025'!$A:$A,"Amount (NIS)")+SUMIFS('Source 2025'!$M:$M,'Source 2025'!$B:$B,$A141,'Source 2025'!$A:$A,"Amount (NIS)")</f>
        <v>4620.2</v>
      </c>
      <c r="I141" s="8" t="n">
        <f aca="false">SUMIFS('Source 2026'!$D:$D,'Source 2026'!$B:$B,$A141,'Source 2026'!$A:$A,"Amount (NIS)")+SUMIFS('Source 2026'!$E:$E,'Source 2026'!$B:$B,$A141,'Source 2026'!$A:$A,"Amount (NIS)")+SUMIFS('Source 2026'!$F:$F,'Source 2026'!$B:$B,$A141,'Source 2026'!$A:$A,"Amount (NIS)")+SUMIFS('Source 2026'!$G:$G,'Source 2026'!$B:$B,$A141,'Source 2026'!$A:$A,"Amount (NIS)")+SUMIFS('Source 2026'!$J:$J,'Source 2026'!$B:$B,$A141,'Source 2026'!$A:$A,"Amount (NIS)")+SUMIFS('Source 2026'!$M:$M,'Source 2026'!$B:$B,$A141,'Source 2026'!$A:$A,"Amount (NIS)")</f>
        <v>2629.3</v>
      </c>
      <c r="J141" s="8" t="n">
        <f aca="false">I141*$J$5</f>
        <v>3605.89714285714</v>
      </c>
      <c r="K141" s="8" t="n">
        <f aca="false">J141-H141</f>
        <v>-1014.30285714286</v>
      </c>
      <c r="L141" s="9" t="n">
        <f aca="false">IF(AND(H141=0,J141=0),0,IF(H141=0,"New",(J141-H141)/H141))</f>
        <v>-0.219536569227059</v>
      </c>
    </row>
    <row r="142" customFormat="false" ht="15" hidden="false" customHeight="false" outlineLevel="0" collapsed="false">
      <c r="A142" s="7" t="n">
        <v>4408223</v>
      </c>
      <c r="B142" s="7" t="str">
        <f aca="false">IFERROR(INDEX('Source 2026'!$C:$C,MATCH($A142,'Source 2026'!$B:$B,0)),IFERROR(INDEX('Source 2025'!$C:$C,MATCH($A142,'Source 2025'!$B:$B,0)),""))</f>
        <v>078G-XXLחגורת גב אפורה</v>
      </c>
      <c r="C142" s="8" t="n">
        <f aca="false">SUMIFS('Source 2025'!$D:$D,'Source 2025'!$B:$B,$A142,'Source 2025'!$A:$A,"Quantity (units)")+SUMIFS('Source 2025'!$E:$E,'Source 2025'!$B:$B,$A142,'Source 2025'!$A:$A,"Quantity (units)")+SUMIFS('Source 2025'!$F:$F,'Source 2025'!$B:$B,$A142,'Source 2025'!$A:$A,"Quantity (units)")+SUMIFS('Source 2025'!$G:$G,'Source 2025'!$B:$B,$A142,'Source 2025'!$A:$A,"Quantity (units)")+SUMIFS('Source 2025'!$J:$J,'Source 2025'!$B:$B,$A142,'Source 2025'!$A:$A,"Quantity (units)")+SUMIFS('Source 2025'!$M:$M,'Source 2025'!$B:$B,$A142,'Source 2025'!$A:$A,"Quantity (units)")</f>
        <v>41</v>
      </c>
      <c r="D142" s="8" t="n">
        <f aca="false">SUMIFS('Source 2026'!$D:$D,'Source 2026'!$B:$B,$A142,'Source 2026'!$A:$A,"Quantity (units)")+SUMIFS('Source 2026'!$E:$E,'Source 2026'!$B:$B,$A142,'Source 2026'!$A:$A,"Quantity (units)")+SUMIFS('Source 2026'!$F:$F,'Source 2026'!$B:$B,$A142,'Source 2026'!$A:$A,"Quantity (units)")+SUMIFS('Source 2026'!$G:$G,'Source 2026'!$B:$B,$A142,'Source 2026'!$A:$A,"Quantity (units)")+SUMIFS('Source 2026'!$J:$J,'Source 2026'!$B:$B,$A142,'Source 2026'!$A:$A,"Quantity (units)")+SUMIFS('Source 2026'!$M:$M,'Source 2026'!$B:$B,$A142,'Source 2026'!$A:$A,"Quantity (units)")</f>
        <v>22</v>
      </c>
      <c r="E142" s="8" t="n">
        <f aca="false">D142*$J$5</f>
        <v>30.1714285714286</v>
      </c>
      <c r="F142" s="8" t="n">
        <f aca="false">E142-C142</f>
        <v>-10.8285714285714</v>
      </c>
      <c r="G142" s="9" t="n">
        <f aca="false">IF(AND(C142=0,E142=0),0,IF(C142=0,"New",(E142-C142)/C142))</f>
        <v>-0.26411149825784</v>
      </c>
      <c r="H142" s="8" t="n">
        <f aca="false">SUMIFS('Source 2025'!$D:$D,'Source 2025'!$B:$B,$A142,'Source 2025'!$A:$A,"Amount (NIS)")+SUMIFS('Source 2025'!$E:$E,'Source 2025'!$B:$B,$A142,'Source 2025'!$A:$A,"Amount (NIS)")+SUMIFS('Source 2025'!$F:$F,'Source 2025'!$B:$B,$A142,'Source 2025'!$A:$A,"Amount (NIS)")+SUMIFS('Source 2025'!$G:$G,'Source 2025'!$B:$B,$A142,'Source 2025'!$A:$A,"Amount (NIS)")+SUMIFS('Source 2025'!$J:$J,'Source 2025'!$B:$B,$A142,'Source 2025'!$A:$A,"Amount (NIS)")+SUMIFS('Source 2025'!$M:$M,'Source 2025'!$B:$B,$A142,'Source 2025'!$A:$A,"Amount (NIS)")</f>
        <v>4452.3</v>
      </c>
      <c r="I142" s="8" t="n">
        <f aca="false">SUMIFS('Source 2026'!$D:$D,'Source 2026'!$B:$B,$A142,'Source 2026'!$A:$A,"Amount (NIS)")+SUMIFS('Source 2026'!$E:$E,'Source 2026'!$B:$B,$A142,'Source 2026'!$A:$A,"Amount (NIS)")+SUMIFS('Source 2026'!$F:$F,'Source 2026'!$B:$B,$A142,'Source 2026'!$A:$A,"Amount (NIS)")+SUMIFS('Source 2026'!$G:$G,'Source 2026'!$B:$B,$A142,'Source 2026'!$A:$A,"Amount (NIS)")+SUMIFS('Source 2026'!$J:$J,'Source 2026'!$B:$B,$A142,'Source 2026'!$A:$A,"Amount (NIS)")+SUMIFS('Source 2026'!$M:$M,'Source 2026'!$B:$B,$A142,'Source 2026'!$A:$A,"Amount (NIS)")</f>
        <v>2494.1</v>
      </c>
      <c r="J142" s="8" t="n">
        <f aca="false">I142*$J$5</f>
        <v>3420.48</v>
      </c>
      <c r="K142" s="8" t="n">
        <f aca="false">J142-H142</f>
        <v>-1031.82</v>
      </c>
      <c r="L142" s="9" t="n">
        <f aca="false">IF(AND(H142=0,J142=0),0,IF(H142=0,"New",(J142-H142)/H142))</f>
        <v>-0.231749882083418</v>
      </c>
    </row>
    <row r="143" customFormat="false" ht="15" hidden="false" customHeight="false" outlineLevel="0" collapsed="false">
      <c r="A143" s="7" t="n">
        <v>4408035</v>
      </c>
      <c r="B143" s="7" t="str">
        <f aca="false">IFERROR(INDEX('Source 2026'!$C:$C,MATCH($A143,'Source 2026'!$B:$B,0)),IFERROR(INDEX('Source 2025'!$C:$C,MATCH($A143,'Source 2025'!$B:$B,0)),""))</f>
        <v>11 XXL""חגורת בטן""אורירית</v>
      </c>
      <c r="C143" s="8" t="n">
        <f aca="false">SUMIFS('Source 2025'!$D:$D,'Source 2025'!$B:$B,$A143,'Source 2025'!$A:$A,"Quantity (units)")+SUMIFS('Source 2025'!$E:$E,'Source 2025'!$B:$B,$A143,'Source 2025'!$A:$A,"Quantity (units)")+SUMIFS('Source 2025'!$F:$F,'Source 2025'!$B:$B,$A143,'Source 2025'!$A:$A,"Quantity (units)")+SUMIFS('Source 2025'!$G:$G,'Source 2025'!$B:$B,$A143,'Source 2025'!$A:$A,"Quantity (units)")+SUMIFS('Source 2025'!$J:$J,'Source 2025'!$B:$B,$A143,'Source 2025'!$A:$A,"Quantity (units)")+SUMIFS('Source 2025'!$M:$M,'Source 2025'!$B:$B,$A143,'Source 2025'!$A:$A,"Quantity (units)")</f>
        <v>29</v>
      </c>
      <c r="D143" s="8" t="n">
        <f aca="false">SUMIFS('Source 2026'!$D:$D,'Source 2026'!$B:$B,$A143,'Source 2026'!$A:$A,"Quantity (units)")+SUMIFS('Source 2026'!$E:$E,'Source 2026'!$B:$B,$A143,'Source 2026'!$A:$A,"Quantity (units)")+SUMIFS('Source 2026'!$F:$F,'Source 2026'!$B:$B,$A143,'Source 2026'!$A:$A,"Quantity (units)")+SUMIFS('Source 2026'!$G:$G,'Source 2026'!$B:$B,$A143,'Source 2026'!$A:$A,"Quantity (units)")+SUMIFS('Source 2026'!$J:$J,'Source 2026'!$B:$B,$A143,'Source 2026'!$A:$A,"Quantity (units)")+SUMIFS('Source 2026'!$M:$M,'Source 2026'!$B:$B,$A143,'Source 2026'!$A:$A,"Quantity (units)")</f>
        <v>10</v>
      </c>
      <c r="E143" s="8" t="n">
        <f aca="false">D143*$J$5</f>
        <v>13.7142857142857</v>
      </c>
      <c r="F143" s="8" t="n">
        <f aca="false">E143-C143</f>
        <v>-15.2857142857143</v>
      </c>
      <c r="G143" s="9" t="n">
        <f aca="false">IF(AND(C143=0,E143=0),0,IF(C143=0,"New",(E143-C143)/C143))</f>
        <v>-0.527093596059113</v>
      </c>
      <c r="H143" s="8" t="n">
        <f aca="false">SUMIFS('Source 2025'!$D:$D,'Source 2025'!$B:$B,$A143,'Source 2025'!$A:$A,"Amount (NIS)")+SUMIFS('Source 2025'!$E:$E,'Source 2025'!$B:$B,$A143,'Source 2025'!$A:$A,"Amount (NIS)")+SUMIFS('Source 2025'!$F:$F,'Source 2025'!$B:$B,$A143,'Source 2025'!$A:$A,"Amount (NIS)")+SUMIFS('Source 2025'!$G:$G,'Source 2025'!$B:$B,$A143,'Source 2025'!$A:$A,"Amount (NIS)")+SUMIFS('Source 2025'!$J:$J,'Source 2025'!$B:$B,$A143,'Source 2025'!$A:$A,"Amount (NIS)")+SUMIFS('Source 2025'!$M:$M,'Source 2025'!$B:$B,$A143,'Source 2025'!$A:$A,"Amount (NIS)")</f>
        <v>3013.9</v>
      </c>
      <c r="I143" s="8" t="n">
        <f aca="false">SUMIFS('Source 2026'!$D:$D,'Source 2026'!$B:$B,$A143,'Source 2026'!$A:$A,"Amount (NIS)")+SUMIFS('Source 2026'!$E:$E,'Source 2026'!$B:$B,$A143,'Source 2026'!$A:$A,"Amount (NIS)")+SUMIFS('Source 2026'!$F:$F,'Source 2026'!$B:$B,$A143,'Source 2026'!$A:$A,"Amount (NIS)")+SUMIFS('Source 2026'!$G:$G,'Source 2026'!$B:$B,$A143,'Source 2026'!$A:$A,"Amount (NIS)")+SUMIFS('Source 2026'!$J:$J,'Source 2026'!$B:$B,$A143,'Source 2026'!$A:$A,"Amount (NIS)")+SUMIFS('Source 2026'!$M:$M,'Source 2026'!$B:$B,$A143,'Source 2026'!$A:$A,"Amount (NIS)")</f>
        <v>1077.6</v>
      </c>
      <c r="J143" s="8" t="n">
        <f aca="false">I143*$J$5</f>
        <v>1477.85142857143</v>
      </c>
      <c r="K143" s="8" t="n">
        <f aca="false">J143-H143</f>
        <v>-1536.04857142857</v>
      </c>
      <c r="L143" s="9" t="n">
        <f aca="false">IF(AND(H143=0,J143=0),0,IF(H143=0,"New",(J143-H143)/H143))</f>
        <v>-0.509654789949425</v>
      </c>
    </row>
    <row r="144" customFormat="false" ht="15" hidden="false" customHeight="false" outlineLevel="0" collapsed="false">
      <c r="A144" s="7" t="n">
        <v>4413365</v>
      </c>
      <c r="B144" s="7" t="str">
        <f aca="false">IFERROR(INDEX('Source 2026'!$C:$C,MATCH($A144,'Source 2026'!$B:$B,0)),IFERROR(INDEX('Source 2025'!$C:$C,MATCH($A144,'Source 2025'!$B:$B,0)),""))</f>
        <v>95C L 'מגן מרפק בז</v>
      </c>
      <c r="C144" s="8" t="n">
        <f aca="false">SUMIFS('Source 2025'!$D:$D,'Source 2025'!$B:$B,$A144,'Source 2025'!$A:$A,"Quantity (units)")+SUMIFS('Source 2025'!$E:$E,'Source 2025'!$B:$B,$A144,'Source 2025'!$A:$A,"Quantity (units)")+SUMIFS('Source 2025'!$F:$F,'Source 2025'!$B:$B,$A144,'Source 2025'!$A:$A,"Quantity (units)")+SUMIFS('Source 2025'!$G:$G,'Source 2025'!$B:$B,$A144,'Source 2025'!$A:$A,"Quantity (units)")+SUMIFS('Source 2025'!$J:$J,'Source 2025'!$B:$B,$A144,'Source 2025'!$A:$A,"Quantity (units)")+SUMIFS('Source 2025'!$M:$M,'Source 2025'!$B:$B,$A144,'Source 2025'!$A:$A,"Quantity (units)")</f>
        <v>146</v>
      </c>
      <c r="D144" s="8" t="n">
        <f aca="false">SUMIFS('Source 2026'!$D:$D,'Source 2026'!$B:$B,$A144,'Source 2026'!$A:$A,"Quantity (units)")+SUMIFS('Source 2026'!$E:$E,'Source 2026'!$B:$B,$A144,'Source 2026'!$A:$A,"Quantity (units)")+SUMIFS('Source 2026'!$F:$F,'Source 2026'!$B:$B,$A144,'Source 2026'!$A:$A,"Quantity (units)")+SUMIFS('Source 2026'!$G:$G,'Source 2026'!$B:$B,$A144,'Source 2026'!$A:$A,"Quantity (units)")+SUMIFS('Source 2026'!$J:$J,'Source 2026'!$B:$B,$A144,'Source 2026'!$A:$A,"Quantity (units)")+SUMIFS('Source 2026'!$M:$M,'Source 2026'!$B:$B,$A144,'Source 2026'!$A:$A,"Quantity (units)")</f>
        <v>84</v>
      </c>
      <c r="E144" s="8" t="n">
        <f aca="false">D144*$J$5</f>
        <v>115.2</v>
      </c>
      <c r="F144" s="8" t="n">
        <f aca="false">E144-C144</f>
        <v>-30.8</v>
      </c>
      <c r="G144" s="9" t="n">
        <f aca="false">IF(AND(C144=0,E144=0),0,IF(C144=0,"New",(E144-C144)/C144))</f>
        <v>-0.210958904109589</v>
      </c>
      <c r="H144" s="8" t="n">
        <f aca="false">SUMIFS('Source 2025'!$D:$D,'Source 2025'!$B:$B,$A144,'Source 2025'!$A:$A,"Amount (NIS)")+SUMIFS('Source 2025'!$E:$E,'Source 2025'!$B:$B,$A144,'Source 2025'!$A:$A,"Amount (NIS)")+SUMIFS('Source 2025'!$F:$F,'Source 2025'!$B:$B,$A144,'Source 2025'!$A:$A,"Amount (NIS)")+SUMIFS('Source 2025'!$G:$G,'Source 2025'!$B:$B,$A144,'Source 2025'!$A:$A,"Amount (NIS)")+SUMIFS('Source 2025'!$J:$J,'Source 2025'!$B:$B,$A144,'Source 2025'!$A:$A,"Amount (NIS)")+SUMIFS('Source 2025'!$M:$M,'Source 2025'!$B:$B,$A144,'Source 2025'!$A:$A,"Amount (NIS)")</f>
        <v>4343.9</v>
      </c>
      <c r="I144" s="8" t="n">
        <f aca="false">SUMIFS('Source 2026'!$D:$D,'Source 2026'!$B:$B,$A144,'Source 2026'!$A:$A,"Amount (NIS)")+SUMIFS('Source 2026'!$E:$E,'Source 2026'!$B:$B,$A144,'Source 2026'!$A:$A,"Amount (NIS)")+SUMIFS('Source 2026'!$F:$F,'Source 2026'!$B:$B,$A144,'Source 2026'!$A:$A,"Amount (NIS)")+SUMIFS('Source 2026'!$G:$G,'Source 2026'!$B:$B,$A144,'Source 2026'!$A:$A,"Amount (NIS)")+SUMIFS('Source 2026'!$J:$J,'Source 2026'!$B:$B,$A144,'Source 2026'!$A:$A,"Amount (NIS)")+SUMIFS('Source 2026'!$M:$M,'Source 2026'!$B:$B,$A144,'Source 2026'!$A:$A,"Amount (NIS)")</f>
        <v>2415.6</v>
      </c>
      <c r="J144" s="8" t="n">
        <f aca="false">I144*$J$5</f>
        <v>3312.82285714286</v>
      </c>
      <c r="K144" s="8" t="n">
        <f aca="false">J144-H144</f>
        <v>-1031.07714285714</v>
      </c>
      <c r="L144" s="9" t="n">
        <f aca="false">IF(AND(H144=0,J144=0),0,IF(H144=0,"New",(J144-H144)/H144))</f>
        <v>-0.23736208081612</v>
      </c>
    </row>
    <row r="145" customFormat="false" ht="15" hidden="false" customHeight="false" outlineLevel="0" collapsed="false">
      <c r="A145" s="7" t="n">
        <v>4413455</v>
      </c>
      <c r="B145" s="7" t="str">
        <f aca="false">IFERROR(INDEX('Source 2026'!$C:$C,MATCH($A145,'Source 2026'!$B:$B,0)),IFERROR(INDEX('Source 2025'!$C:$C,MATCH($A145,'Source 2025'!$B:$B,0)),""))</f>
        <v>85K מתלה ליד לילדים</v>
      </c>
      <c r="C145" s="8" t="n">
        <f aca="false">SUMIFS('Source 2025'!$D:$D,'Source 2025'!$B:$B,$A145,'Source 2025'!$A:$A,"Quantity (units)")+SUMIFS('Source 2025'!$E:$E,'Source 2025'!$B:$B,$A145,'Source 2025'!$A:$A,"Quantity (units)")+SUMIFS('Source 2025'!$F:$F,'Source 2025'!$B:$B,$A145,'Source 2025'!$A:$A,"Quantity (units)")+SUMIFS('Source 2025'!$G:$G,'Source 2025'!$B:$B,$A145,'Source 2025'!$A:$A,"Quantity (units)")+SUMIFS('Source 2025'!$J:$J,'Source 2025'!$B:$B,$A145,'Source 2025'!$A:$A,"Quantity (units)")+SUMIFS('Source 2025'!$M:$M,'Source 2025'!$B:$B,$A145,'Source 2025'!$A:$A,"Quantity (units)")</f>
        <v>153</v>
      </c>
      <c r="D145" s="8" t="n">
        <f aca="false">SUMIFS('Source 2026'!$D:$D,'Source 2026'!$B:$B,$A145,'Source 2026'!$A:$A,"Quantity (units)")+SUMIFS('Source 2026'!$E:$E,'Source 2026'!$B:$B,$A145,'Source 2026'!$A:$A,"Quantity (units)")+SUMIFS('Source 2026'!$F:$F,'Source 2026'!$B:$B,$A145,'Source 2026'!$A:$A,"Quantity (units)")+SUMIFS('Source 2026'!$G:$G,'Source 2026'!$B:$B,$A145,'Source 2026'!$A:$A,"Quantity (units)")+SUMIFS('Source 2026'!$J:$J,'Source 2026'!$B:$B,$A145,'Source 2026'!$A:$A,"Quantity (units)")+SUMIFS('Source 2026'!$M:$M,'Source 2026'!$B:$B,$A145,'Source 2026'!$A:$A,"Quantity (units)")</f>
        <v>115</v>
      </c>
      <c r="E145" s="8" t="n">
        <f aca="false">D145*$J$5</f>
        <v>157.714285714286</v>
      </c>
      <c r="F145" s="8" t="n">
        <f aca="false">E145-C145</f>
        <v>4.71428571428572</v>
      </c>
      <c r="G145" s="9" t="n">
        <f aca="false">IF(AND(C145=0,E145=0),0,IF(C145=0,"New",(E145-C145)/C145))</f>
        <v>0.030812324929972</v>
      </c>
      <c r="H145" s="8" t="n">
        <f aca="false">SUMIFS('Source 2025'!$D:$D,'Source 2025'!$B:$B,$A145,'Source 2025'!$A:$A,"Amount (NIS)")+SUMIFS('Source 2025'!$E:$E,'Source 2025'!$B:$B,$A145,'Source 2025'!$A:$A,"Amount (NIS)")+SUMIFS('Source 2025'!$F:$F,'Source 2025'!$B:$B,$A145,'Source 2025'!$A:$A,"Amount (NIS)")+SUMIFS('Source 2025'!$G:$G,'Source 2025'!$B:$B,$A145,'Source 2025'!$A:$A,"Amount (NIS)")+SUMIFS('Source 2025'!$J:$J,'Source 2025'!$B:$B,$A145,'Source 2025'!$A:$A,"Amount (NIS)")+SUMIFS('Source 2025'!$M:$M,'Source 2025'!$B:$B,$A145,'Source 2025'!$A:$A,"Amount (NIS)")</f>
        <v>7719.7</v>
      </c>
      <c r="I145" s="8" t="n">
        <f aca="false">SUMIFS('Source 2026'!$D:$D,'Source 2026'!$B:$B,$A145,'Source 2026'!$A:$A,"Amount (NIS)")+SUMIFS('Source 2026'!$E:$E,'Source 2026'!$B:$B,$A145,'Source 2026'!$A:$A,"Amount (NIS)")+SUMIFS('Source 2026'!$F:$F,'Source 2026'!$B:$B,$A145,'Source 2026'!$A:$A,"Amount (NIS)")+SUMIFS('Source 2026'!$G:$G,'Source 2026'!$B:$B,$A145,'Source 2026'!$A:$A,"Amount (NIS)")+SUMIFS('Source 2026'!$J:$J,'Source 2026'!$B:$B,$A145,'Source 2026'!$A:$A,"Amount (NIS)")+SUMIFS('Source 2026'!$M:$M,'Source 2026'!$B:$B,$A145,'Source 2026'!$A:$A,"Amount (NIS)")</f>
        <v>5814.2</v>
      </c>
      <c r="J145" s="8" t="n">
        <f aca="false">I145*$J$5</f>
        <v>7973.76</v>
      </c>
      <c r="K145" s="8" t="n">
        <f aca="false">J145-H145</f>
        <v>254.06</v>
      </c>
      <c r="L145" s="9" t="n">
        <f aca="false">IF(AND(H145=0,J145=0),0,IF(H145=0,"New",(J145-H145)/H145))</f>
        <v>0.0329106053344042</v>
      </c>
    </row>
    <row r="146" customFormat="false" ht="15" hidden="false" customHeight="false" outlineLevel="0" collapsed="false">
      <c r="A146" s="7" t="n">
        <v>4413102</v>
      </c>
      <c r="B146" s="7" t="str">
        <f aca="false">IFERROR(INDEX('Source 2026'!$C:$C,MATCH($A146,'Source 2026'!$B:$B,0)),IFERROR(INDEX('Source 2025'!$C:$C,MATCH($A146,'Source 2025'!$B:$B,0)),""))</f>
        <v>45E  L        מגן ברך ארוך לבן</v>
      </c>
      <c r="C146" s="8" t="n">
        <f aca="false">SUMIFS('Source 2025'!$D:$D,'Source 2025'!$B:$B,$A146,'Source 2025'!$A:$A,"Quantity (units)")+SUMIFS('Source 2025'!$E:$E,'Source 2025'!$B:$B,$A146,'Source 2025'!$A:$A,"Quantity (units)")+SUMIFS('Source 2025'!$F:$F,'Source 2025'!$B:$B,$A146,'Source 2025'!$A:$A,"Quantity (units)")+SUMIFS('Source 2025'!$G:$G,'Source 2025'!$B:$B,$A146,'Source 2025'!$A:$A,"Quantity (units)")+SUMIFS('Source 2025'!$J:$J,'Source 2025'!$B:$B,$A146,'Source 2025'!$A:$A,"Quantity (units)")+SUMIFS('Source 2025'!$M:$M,'Source 2025'!$B:$B,$A146,'Source 2025'!$A:$A,"Quantity (units)")</f>
        <v>142</v>
      </c>
      <c r="D146" s="8" t="n">
        <f aca="false">SUMIFS('Source 2026'!$D:$D,'Source 2026'!$B:$B,$A146,'Source 2026'!$A:$A,"Quantity (units)")+SUMIFS('Source 2026'!$E:$E,'Source 2026'!$B:$B,$A146,'Source 2026'!$A:$A,"Quantity (units)")+SUMIFS('Source 2026'!$F:$F,'Source 2026'!$B:$B,$A146,'Source 2026'!$A:$A,"Quantity (units)")+SUMIFS('Source 2026'!$G:$G,'Source 2026'!$B:$B,$A146,'Source 2026'!$A:$A,"Quantity (units)")+SUMIFS('Source 2026'!$J:$J,'Source 2026'!$B:$B,$A146,'Source 2026'!$A:$A,"Quantity (units)")+SUMIFS('Source 2026'!$M:$M,'Source 2026'!$B:$B,$A146,'Source 2026'!$A:$A,"Quantity (units)")</f>
        <v>90</v>
      </c>
      <c r="E146" s="8" t="n">
        <f aca="false">D146*$J$5</f>
        <v>123.428571428571</v>
      </c>
      <c r="F146" s="8" t="n">
        <f aca="false">E146-C146</f>
        <v>-18.5714285714286</v>
      </c>
      <c r="G146" s="9" t="n">
        <f aca="false">IF(AND(C146=0,E146=0),0,IF(C146=0,"New",(E146-C146)/C146))</f>
        <v>-0.130784708249497</v>
      </c>
      <c r="H146" s="8" t="n">
        <f aca="false">SUMIFS('Source 2025'!$D:$D,'Source 2025'!$B:$B,$A146,'Source 2025'!$A:$A,"Amount (NIS)")+SUMIFS('Source 2025'!$E:$E,'Source 2025'!$B:$B,$A146,'Source 2025'!$A:$A,"Amount (NIS)")+SUMIFS('Source 2025'!$F:$F,'Source 2025'!$B:$B,$A146,'Source 2025'!$A:$A,"Amount (NIS)")+SUMIFS('Source 2025'!$G:$G,'Source 2025'!$B:$B,$A146,'Source 2025'!$A:$A,"Amount (NIS)")+SUMIFS('Source 2025'!$J:$J,'Source 2025'!$B:$B,$A146,'Source 2025'!$A:$A,"Amount (NIS)")+SUMIFS('Source 2025'!$M:$M,'Source 2025'!$B:$B,$A146,'Source 2025'!$A:$A,"Amount (NIS)")</f>
        <v>5108.9</v>
      </c>
      <c r="I146" s="8" t="n">
        <f aca="false">SUMIFS('Source 2026'!$D:$D,'Source 2026'!$B:$B,$A146,'Source 2026'!$A:$A,"Amount (NIS)")+SUMIFS('Source 2026'!$E:$E,'Source 2026'!$B:$B,$A146,'Source 2026'!$A:$A,"Amount (NIS)")+SUMIFS('Source 2026'!$F:$F,'Source 2026'!$B:$B,$A146,'Source 2026'!$A:$A,"Amount (NIS)")+SUMIFS('Source 2026'!$G:$G,'Source 2026'!$B:$B,$A146,'Source 2026'!$A:$A,"Amount (NIS)")+SUMIFS('Source 2026'!$J:$J,'Source 2026'!$B:$B,$A146,'Source 2026'!$A:$A,"Amount (NIS)")+SUMIFS('Source 2026'!$M:$M,'Source 2026'!$B:$B,$A146,'Source 2026'!$A:$A,"Amount (NIS)")</f>
        <v>3242.9</v>
      </c>
      <c r="J146" s="8" t="n">
        <f aca="false">I146*$J$5</f>
        <v>4447.40571428572</v>
      </c>
      <c r="K146" s="8" t="n">
        <f aca="false">J146-H146</f>
        <v>-661.494285714286</v>
      </c>
      <c r="L146" s="9" t="n">
        <f aca="false">IF(AND(H146=0,J146=0),0,IF(H146=0,"New",(J146-H146)/H146))</f>
        <v>-0.129478808689598</v>
      </c>
    </row>
    <row r="147" customFormat="false" ht="15" hidden="false" customHeight="false" outlineLevel="0" collapsed="false">
      <c r="A147" s="7" t="n">
        <v>4413044</v>
      </c>
      <c r="B147" s="7" t="str">
        <f aca="false">IFERROR(INDEX('Source 2026'!$C:$C,MATCH($A147,'Source 2026'!$B:$B,0)),IFERROR(INDEX('Source 2025'!$C:$C,MATCH($A147,'Source 2025'!$B:$B,0)),""))</f>
        <v>34 XL מגן קרסול עקב סגור</v>
      </c>
      <c r="C147" s="8" t="n">
        <f aca="false">SUMIFS('Source 2025'!$D:$D,'Source 2025'!$B:$B,$A147,'Source 2025'!$A:$A,"Quantity (units)")+SUMIFS('Source 2025'!$E:$E,'Source 2025'!$B:$B,$A147,'Source 2025'!$A:$A,"Quantity (units)")+SUMIFS('Source 2025'!$F:$F,'Source 2025'!$B:$B,$A147,'Source 2025'!$A:$A,"Quantity (units)")+SUMIFS('Source 2025'!$G:$G,'Source 2025'!$B:$B,$A147,'Source 2025'!$A:$A,"Quantity (units)")+SUMIFS('Source 2025'!$J:$J,'Source 2025'!$B:$B,$A147,'Source 2025'!$A:$A,"Quantity (units)")+SUMIFS('Source 2025'!$M:$M,'Source 2025'!$B:$B,$A147,'Source 2025'!$A:$A,"Quantity (units)")</f>
        <v>113</v>
      </c>
      <c r="D147" s="8" t="n">
        <f aca="false">SUMIFS('Source 2026'!$D:$D,'Source 2026'!$B:$B,$A147,'Source 2026'!$A:$A,"Quantity (units)")+SUMIFS('Source 2026'!$E:$E,'Source 2026'!$B:$B,$A147,'Source 2026'!$A:$A,"Quantity (units)")+SUMIFS('Source 2026'!$F:$F,'Source 2026'!$B:$B,$A147,'Source 2026'!$A:$A,"Quantity (units)")+SUMIFS('Source 2026'!$G:$G,'Source 2026'!$B:$B,$A147,'Source 2026'!$A:$A,"Quantity (units)")+SUMIFS('Source 2026'!$J:$J,'Source 2026'!$B:$B,$A147,'Source 2026'!$A:$A,"Quantity (units)")+SUMIFS('Source 2026'!$M:$M,'Source 2026'!$B:$B,$A147,'Source 2026'!$A:$A,"Quantity (units)")</f>
        <v>70</v>
      </c>
      <c r="E147" s="8" t="n">
        <f aca="false">D147*$J$5</f>
        <v>96</v>
      </c>
      <c r="F147" s="8" t="n">
        <f aca="false">E147-C147</f>
        <v>-17</v>
      </c>
      <c r="G147" s="9" t="n">
        <f aca="false">IF(AND(C147=0,E147=0),0,IF(C147=0,"New",(E147-C147)/C147))</f>
        <v>-0.150442477876106</v>
      </c>
      <c r="H147" s="8" t="n">
        <f aca="false">SUMIFS('Source 2025'!$D:$D,'Source 2025'!$B:$B,$A147,'Source 2025'!$A:$A,"Amount (NIS)")+SUMIFS('Source 2025'!$E:$E,'Source 2025'!$B:$B,$A147,'Source 2025'!$A:$A,"Amount (NIS)")+SUMIFS('Source 2025'!$F:$F,'Source 2025'!$B:$B,$A147,'Source 2025'!$A:$A,"Amount (NIS)")+SUMIFS('Source 2025'!$G:$G,'Source 2025'!$B:$B,$A147,'Source 2025'!$A:$A,"Amount (NIS)")+SUMIFS('Source 2025'!$J:$J,'Source 2025'!$B:$B,$A147,'Source 2025'!$A:$A,"Amount (NIS)")+SUMIFS('Source 2025'!$M:$M,'Source 2025'!$B:$B,$A147,'Source 2025'!$A:$A,"Amount (NIS)")</f>
        <v>5045</v>
      </c>
      <c r="I147" s="8" t="n">
        <f aca="false">SUMIFS('Source 2026'!$D:$D,'Source 2026'!$B:$B,$A147,'Source 2026'!$A:$A,"Amount (NIS)")+SUMIFS('Source 2026'!$E:$E,'Source 2026'!$B:$B,$A147,'Source 2026'!$A:$A,"Amount (NIS)")+SUMIFS('Source 2026'!$F:$F,'Source 2026'!$B:$B,$A147,'Source 2026'!$A:$A,"Amount (NIS)")+SUMIFS('Source 2026'!$G:$G,'Source 2026'!$B:$B,$A147,'Source 2026'!$A:$A,"Amount (NIS)")+SUMIFS('Source 2026'!$J:$J,'Source 2026'!$B:$B,$A147,'Source 2026'!$A:$A,"Amount (NIS)")+SUMIFS('Source 2026'!$M:$M,'Source 2026'!$B:$B,$A147,'Source 2026'!$A:$A,"Amount (NIS)")</f>
        <v>3183.1</v>
      </c>
      <c r="J147" s="8" t="n">
        <f aca="false">I147*$J$5</f>
        <v>4365.39428571429</v>
      </c>
      <c r="K147" s="8" t="n">
        <f aca="false">J147-H147</f>
        <v>-679.605714285714</v>
      </c>
      <c r="L147" s="9" t="n">
        <f aca="false">IF(AND(H147=0,J147=0),0,IF(H147=0,"New",(J147-H147)/H147))</f>
        <v>-0.134708763981311</v>
      </c>
    </row>
    <row r="148" customFormat="false" ht="15" hidden="false" customHeight="false" outlineLevel="0" collapsed="false">
      <c r="A148" s="7" t="n">
        <v>4415298</v>
      </c>
      <c r="B148" s="7" t="str">
        <f aca="false">IFERROR(INDEX('Source 2026'!$C:$C,MATCH($A148,'Source 2026'!$B:$B,0)),IFERROR(INDEX('Source 2025'!$C:$C,MATCH($A148,'Source 2025'!$B:$B,0)),""))</f>
        <v>388B L סד לילה שחור לבוהן שמאל</v>
      </c>
      <c r="C148" s="8" t="n">
        <f aca="false">SUMIFS('Source 2025'!$D:$D,'Source 2025'!$B:$B,$A148,'Source 2025'!$A:$A,"Quantity (units)")+SUMIFS('Source 2025'!$E:$E,'Source 2025'!$B:$B,$A148,'Source 2025'!$A:$A,"Quantity (units)")+SUMIFS('Source 2025'!$F:$F,'Source 2025'!$B:$B,$A148,'Source 2025'!$A:$A,"Quantity (units)")+SUMIFS('Source 2025'!$G:$G,'Source 2025'!$B:$B,$A148,'Source 2025'!$A:$A,"Quantity (units)")+SUMIFS('Source 2025'!$J:$J,'Source 2025'!$B:$B,$A148,'Source 2025'!$A:$A,"Quantity (units)")+SUMIFS('Source 2025'!$M:$M,'Source 2025'!$B:$B,$A148,'Source 2025'!$A:$A,"Quantity (units)")</f>
        <v>43</v>
      </c>
      <c r="D148" s="8" t="n">
        <f aca="false">SUMIFS('Source 2026'!$D:$D,'Source 2026'!$B:$B,$A148,'Source 2026'!$A:$A,"Quantity (units)")+SUMIFS('Source 2026'!$E:$E,'Source 2026'!$B:$B,$A148,'Source 2026'!$A:$A,"Quantity (units)")+SUMIFS('Source 2026'!$F:$F,'Source 2026'!$B:$B,$A148,'Source 2026'!$A:$A,"Quantity (units)")+SUMIFS('Source 2026'!$G:$G,'Source 2026'!$B:$B,$A148,'Source 2026'!$A:$A,"Quantity (units)")+SUMIFS('Source 2026'!$J:$J,'Source 2026'!$B:$B,$A148,'Source 2026'!$A:$A,"Quantity (units)")+SUMIFS('Source 2026'!$M:$M,'Source 2026'!$B:$B,$A148,'Source 2026'!$A:$A,"Quantity (units)")</f>
        <v>17</v>
      </c>
      <c r="E148" s="8" t="n">
        <f aca="false">D148*$J$5</f>
        <v>23.3142857142857</v>
      </c>
      <c r="F148" s="8" t="n">
        <f aca="false">E148-C148</f>
        <v>-19.6857142857143</v>
      </c>
      <c r="G148" s="9" t="n">
        <f aca="false">IF(AND(C148=0,E148=0),0,IF(C148=0,"New",(E148-C148)/C148))</f>
        <v>-0.4578073089701</v>
      </c>
      <c r="H148" s="8" t="n">
        <f aca="false">SUMIFS('Source 2025'!$D:$D,'Source 2025'!$B:$B,$A148,'Source 2025'!$A:$A,"Amount (NIS)")+SUMIFS('Source 2025'!$E:$E,'Source 2025'!$B:$B,$A148,'Source 2025'!$A:$A,"Amount (NIS)")+SUMIFS('Source 2025'!$F:$F,'Source 2025'!$B:$B,$A148,'Source 2025'!$A:$A,"Amount (NIS)")+SUMIFS('Source 2025'!$G:$G,'Source 2025'!$B:$B,$A148,'Source 2025'!$A:$A,"Amount (NIS)")+SUMIFS('Source 2025'!$J:$J,'Source 2025'!$B:$B,$A148,'Source 2025'!$A:$A,"Amount (NIS)")+SUMIFS('Source 2025'!$M:$M,'Source 2025'!$B:$B,$A148,'Source 2025'!$A:$A,"Amount (NIS)")</f>
        <v>2988.8</v>
      </c>
      <c r="I148" s="8" t="n">
        <f aca="false">SUMIFS('Source 2026'!$D:$D,'Source 2026'!$B:$B,$A148,'Source 2026'!$A:$A,"Amount (NIS)")+SUMIFS('Source 2026'!$E:$E,'Source 2026'!$B:$B,$A148,'Source 2026'!$A:$A,"Amount (NIS)")+SUMIFS('Source 2026'!$F:$F,'Source 2026'!$B:$B,$A148,'Source 2026'!$A:$A,"Amount (NIS)")+SUMIFS('Source 2026'!$G:$G,'Source 2026'!$B:$B,$A148,'Source 2026'!$A:$A,"Amount (NIS)")+SUMIFS('Source 2026'!$J:$J,'Source 2026'!$B:$B,$A148,'Source 2026'!$A:$A,"Amount (NIS)")+SUMIFS('Source 2026'!$M:$M,'Source 2026'!$B:$B,$A148,'Source 2026'!$A:$A,"Amount (NIS)")</f>
        <v>1132.5</v>
      </c>
      <c r="J148" s="8" t="n">
        <f aca="false">I148*$J$5</f>
        <v>1553.14285714286</v>
      </c>
      <c r="K148" s="8" t="n">
        <f aca="false">J148-H148</f>
        <v>-1435.65714285714</v>
      </c>
      <c r="L148" s="9" t="n">
        <f aca="false">IF(AND(H148=0,J148=0),0,IF(H148=0,"New",(J148-H148)/H148))</f>
        <v>-0.480345671459162</v>
      </c>
    </row>
    <row r="149" customFormat="false" ht="15" hidden="false" customHeight="false" outlineLevel="0" collapsed="false">
      <c r="A149" s="7" t="n">
        <v>4417000</v>
      </c>
      <c r="B149" s="7" t="str">
        <f aca="false">IFERROR(INDEX('Source 2026'!$C:$C,MATCH($A149,'Source 2026'!$B:$B,0)),IFERROR(INDEX('Source 2025'!$C:$C,MATCH($A149,'Source 2025'!$B:$B,0)),""))</f>
        <v>PD342-פומפיה להסרת עור קשה</v>
      </c>
      <c r="C149" s="8" t="n">
        <f aca="false">SUMIFS('Source 2025'!$D:$D,'Source 2025'!$B:$B,$A149,'Source 2025'!$A:$A,"Quantity (units)")+SUMIFS('Source 2025'!$E:$E,'Source 2025'!$B:$B,$A149,'Source 2025'!$A:$A,"Quantity (units)")+SUMIFS('Source 2025'!$F:$F,'Source 2025'!$B:$B,$A149,'Source 2025'!$A:$A,"Quantity (units)")+SUMIFS('Source 2025'!$G:$G,'Source 2025'!$B:$B,$A149,'Source 2025'!$A:$A,"Quantity (units)")+SUMIFS('Source 2025'!$J:$J,'Source 2025'!$B:$B,$A149,'Source 2025'!$A:$A,"Quantity (units)")+SUMIFS('Source 2025'!$M:$M,'Source 2025'!$B:$B,$A149,'Source 2025'!$A:$A,"Quantity (units)")</f>
        <v>220</v>
      </c>
      <c r="D149" s="8" t="n">
        <f aca="false">SUMIFS('Source 2026'!$D:$D,'Source 2026'!$B:$B,$A149,'Source 2026'!$A:$A,"Quantity (units)")+SUMIFS('Source 2026'!$E:$E,'Source 2026'!$B:$B,$A149,'Source 2026'!$A:$A,"Quantity (units)")+SUMIFS('Source 2026'!$F:$F,'Source 2026'!$B:$B,$A149,'Source 2026'!$A:$A,"Quantity (units)")+SUMIFS('Source 2026'!$G:$G,'Source 2026'!$B:$B,$A149,'Source 2026'!$A:$A,"Quantity (units)")+SUMIFS('Source 2026'!$J:$J,'Source 2026'!$B:$B,$A149,'Source 2026'!$A:$A,"Quantity (units)")+SUMIFS('Source 2026'!$M:$M,'Source 2026'!$B:$B,$A149,'Source 2026'!$A:$A,"Quantity (units)")</f>
        <v>146</v>
      </c>
      <c r="E149" s="8" t="n">
        <f aca="false">D149*$J$5</f>
        <v>200.228571428571</v>
      </c>
      <c r="F149" s="8" t="n">
        <f aca="false">E149-C149</f>
        <v>-19.7714285714286</v>
      </c>
      <c r="G149" s="9" t="n">
        <f aca="false">IF(AND(C149=0,E149=0),0,IF(C149=0,"New",(E149-C149)/C149))</f>
        <v>-0.0898701298701299</v>
      </c>
      <c r="H149" s="8" t="n">
        <f aca="false">SUMIFS('Source 2025'!$D:$D,'Source 2025'!$B:$B,$A149,'Source 2025'!$A:$A,"Amount (NIS)")+SUMIFS('Source 2025'!$E:$E,'Source 2025'!$B:$B,$A149,'Source 2025'!$A:$A,"Amount (NIS)")+SUMIFS('Source 2025'!$F:$F,'Source 2025'!$B:$B,$A149,'Source 2025'!$A:$A,"Amount (NIS)")+SUMIFS('Source 2025'!$G:$G,'Source 2025'!$B:$B,$A149,'Source 2025'!$A:$A,"Amount (NIS)")+SUMIFS('Source 2025'!$J:$J,'Source 2025'!$B:$B,$A149,'Source 2025'!$A:$A,"Amount (NIS)")+SUMIFS('Source 2025'!$M:$M,'Source 2025'!$B:$B,$A149,'Source 2025'!$A:$A,"Amount (NIS)")</f>
        <v>5447.3</v>
      </c>
      <c r="I149" s="8" t="n">
        <f aca="false">SUMIFS('Source 2026'!$D:$D,'Source 2026'!$B:$B,$A149,'Source 2026'!$A:$A,"Amount (NIS)")+SUMIFS('Source 2026'!$E:$E,'Source 2026'!$B:$B,$A149,'Source 2026'!$A:$A,"Amount (NIS)")+SUMIFS('Source 2026'!$F:$F,'Source 2026'!$B:$B,$A149,'Source 2026'!$A:$A,"Amount (NIS)")+SUMIFS('Source 2026'!$G:$G,'Source 2026'!$B:$B,$A149,'Source 2026'!$A:$A,"Amount (NIS)")+SUMIFS('Source 2026'!$J:$J,'Source 2026'!$B:$B,$A149,'Source 2026'!$A:$A,"Amount (NIS)")+SUMIFS('Source 2026'!$M:$M,'Source 2026'!$B:$B,$A149,'Source 2026'!$A:$A,"Amount (NIS)")</f>
        <v>3606.2</v>
      </c>
      <c r="J149" s="8" t="n">
        <f aca="false">I149*$J$5</f>
        <v>4945.64571428571</v>
      </c>
      <c r="K149" s="8" t="n">
        <f aca="false">J149-H149</f>
        <v>-501.654285714285</v>
      </c>
      <c r="L149" s="9" t="n">
        <f aca="false">IF(AND(H149=0,J149=0),0,IF(H149=0,"New",(J149-H149)/H149))</f>
        <v>-0.092092281628382</v>
      </c>
    </row>
    <row r="150" customFormat="false" ht="15" hidden="false" customHeight="false" outlineLevel="0" collapsed="false">
      <c r="A150" s="7" t="n">
        <v>4413050</v>
      </c>
      <c r="B150" s="7" t="str">
        <f aca="false">IFERROR(INDEX('Source 2026'!$C:$C,MATCH($A150,'Source 2026'!$B:$B,0)),IFERROR(INDEX('Source 2025'!$C:$C,MATCH($A150,'Source 2025'!$B:$B,0)),""))</f>
        <v>35 XL מגן קרסול לבן</v>
      </c>
      <c r="C150" s="8" t="n">
        <f aca="false">SUMIFS('Source 2025'!$D:$D,'Source 2025'!$B:$B,$A150,'Source 2025'!$A:$A,"Quantity (units)")+SUMIFS('Source 2025'!$E:$E,'Source 2025'!$B:$B,$A150,'Source 2025'!$A:$A,"Quantity (units)")+SUMIFS('Source 2025'!$F:$F,'Source 2025'!$B:$B,$A150,'Source 2025'!$A:$A,"Quantity (units)")+SUMIFS('Source 2025'!$G:$G,'Source 2025'!$B:$B,$A150,'Source 2025'!$A:$A,"Quantity (units)")+SUMIFS('Source 2025'!$J:$J,'Source 2025'!$B:$B,$A150,'Source 2025'!$A:$A,"Quantity (units)")+SUMIFS('Source 2025'!$M:$M,'Source 2025'!$B:$B,$A150,'Source 2025'!$A:$A,"Quantity (units)")</f>
        <v>154</v>
      </c>
      <c r="D150" s="8" t="n">
        <f aca="false">SUMIFS('Source 2026'!$D:$D,'Source 2026'!$B:$B,$A150,'Source 2026'!$A:$A,"Quantity (units)")+SUMIFS('Source 2026'!$E:$E,'Source 2026'!$B:$B,$A150,'Source 2026'!$A:$A,"Quantity (units)")+SUMIFS('Source 2026'!$F:$F,'Source 2026'!$B:$B,$A150,'Source 2026'!$A:$A,"Quantity (units)")+SUMIFS('Source 2026'!$G:$G,'Source 2026'!$B:$B,$A150,'Source 2026'!$A:$A,"Quantity (units)")+SUMIFS('Source 2026'!$J:$J,'Source 2026'!$B:$B,$A150,'Source 2026'!$A:$A,"Quantity (units)")+SUMIFS('Source 2026'!$M:$M,'Source 2026'!$B:$B,$A150,'Source 2026'!$A:$A,"Quantity (units)")</f>
        <v>92</v>
      </c>
      <c r="E150" s="8" t="n">
        <f aca="false">D150*$J$5</f>
        <v>126.171428571429</v>
      </c>
      <c r="F150" s="8" t="n">
        <f aca="false">E150-C150</f>
        <v>-27.8285714285714</v>
      </c>
      <c r="G150" s="9" t="n">
        <f aca="false">IF(AND(C150=0,E150=0),0,IF(C150=0,"New",(E150-C150)/C150))</f>
        <v>-0.180705009276438</v>
      </c>
      <c r="H150" s="8" t="n">
        <f aca="false">SUMIFS('Source 2025'!$D:$D,'Source 2025'!$B:$B,$A150,'Source 2025'!$A:$A,"Amount (NIS)")+SUMIFS('Source 2025'!$E:$E,'Source 2025'!$B:$B,$A150,'Source 2025'!$A:$A,"Amount (NIS)")+SUMIFS('Source 2025'!$F:$F,'Source 2025'!$B:$B,$A150,'Source 2025'!$A:$A,"Amount (NIS)")+SUMIFS('Source 2025'!$G:$G,'Source 2025'!$B:$B,$A150,'Source 2025'!$A:$A,"Amount (NIS)")+SUMIFS('Source 2025'!$J:$J,'Source 2025'!$B:$B,$A150,'Source 2025'!$A:$A,"Amount (NIS)")+SUMIFS('Source 2025'!$M:$M,'Source 2025'!$B:$B,$A150,'Source 2025'!$A:$A,"Amount (NIS)")</f>
        <v>4593.1</v>
      </c>
      <c r="I150" s="8" t="n">
        <f aca="false">SUMIFS('Source 2026'!$D:$D,'Source 2026'!$B:$B,$A150,'Source 2026'!$A:$A,"Amount (NIS)")+SUMIFS('Source 2026'!$E:$E,'Source 2026'!$B:$B,$A150,'Source 2026'!$A:$A,"Amount (NIS)")+SUMIFS('Source 2026'!$F:$F,'Source 2026'!$B:$B,$A150,'Source 2026'!$A:$A,"Amount (NIS)")+SUMIFS('Source 2026'!$G:$G,'Source 2026'!$B:$B,$A150,'Source 2026'!$A:$A,"Amount (NIS)")+SUMIFS('Source 2026'!$J:$J,'Source 2026'!$B:$B,$A150,'Source 2026'!$A:$A,"Amount (NIS)")+SUMIFS('Source 2026'!$M:$M,'Source 2026'!$B:$B,$A150,'Source 2026'!$A:$A,"Amount (NIS)")</f>
        <v>2764.5</v>
      </c>
      <c r="J150" s="8" t="n">
        <f aca="false">I150*$J$5</f>
        <v>3791.31428571429</v>
      </c>
      <c r="K150" s="8" t="n">
        <f aca="false">J150-H150</f>
        <v>-801.785714285715</v>
      </c>
      <c r="L150" s="9" t="n">
        <f aca="false">IF(AND(H150=0,J150=0),0,IF(H150=0,"New",(J150-H150)/H150))</f>
        <v>-0.174563086866324</v>
      </c>
    </row>
    <row r="151" customFormat="false" ht="15" hidden="false" customHeight="false" outlineLevel="0" collapsed="false">
      <c r="A151" s="7" t="n">
        <v>4413047</v>
      </c>
      <c r="B151" s="7" t="str">
        <f aca="false">IFERROR(INDEX('Source 2026'!$C:$C,MATCH($A151,'Source 2026'!$B:$B,0)),IFERROR(INDEX('Source 2025'!$C:$C,MATCH($A151,'Source 2025'!$B:$B,0)),""))</f>
        <v>35 S מגן קרסול לבן</v>
      </c>
      <c r="C151" s="8" t="n">
        <f aca="false">SUMIFS('Source 2025'!$D:$D,'Source 2025'!$B:$B,$A151,'Source 2025'!$A:$A,"Quantity (units)")+SUMIFS('Source 2025'!$E:$E,'Source 2025'!$B:$B,$A151,'Source 2025'!$A:$A,"Quantity (units)")+SUMIFS('Source 2025'!$F:$F,'Source 2025'!$B:$B,$A151,'Source 2025'!$A:$A,"Quantity (units)")+SUMIFS('Source 2025'!$G:$G,'Source 2025'!$B:$B,$A151,'Source 2025'!$A:$A,"Quantity (units)")+SUMIFS('Source 2025'!$J:$J,'Source 2025'!$B:$B,$A151,'Source 2025'!$A:$A,"Quantity (units)")+SUMIFS('Source 2025'!$M:$M,'Source 2025'!$B:$B,$A151,'Source 2025'!$A:$A,"Quantity (units)")</f>
        <v>112</v>
      </c>
      <c r="D151" s="8" t="n">
        <f aca="false">SUMIFS('Source 2026'!$D:$D,'Source 2026'!$B:$B,$A151,'Source 2026'!$A:$A,"Quantity (units)")+SUMIFS('Source 2026'!$E:$E,'Source 2026'!$B:$B,$A151,'Source 2026'!$A:$A,"Quantity (units)")+SUMIFS('Source 2026'!$F:$F,'Source 2026'!$B:$B,$A151,'Source 2026'!$A:$A,"Quantity (units)")+SUMIFS('Source 2026'!$G:$G,'Source 2026'!$B:$B,$A151,'Source 2026'!$A:$A,"Quantity (units)")+SUMIFS('Source 2026'!$J:$J,'Source 2026'!$B:$B,$A151,'Source 2026'!$A:$A,"Quantity (units)")+SUMIFS('Source 2026'!$M:$M,'Source 2026'!$B:$B,$A151,'Source 2026'!$A:$A,"Quantity (units)")</f>
        <v>50</v>
      </c>
      <c r="E151" s="8" t="n">
        <f aca="false">D151*$J$5</f>
        <v>68.5714285714286</v>
      </c>
      <c r="F151" s="8" t="n">
        <f aca="false">E151-C151</f>
        <v>-43.4285714285714</v>
      </c>
      <c r="G151" s="9" t="n">
        <f aca="false">IF(AND(C151=0,E151=0),0,IF(C151=0,"New",(E151-C151)/C151))</f>
        <v>-0.387755102040816</v>
      </c>
      <c r="H151" s="8" t="n">
        <f aca="false">SUMIFS('Source 2025'!$D:$D,'Source 2025'!$B:$B,$A151,'Source 2025'!$A:$A,"Amount (NIS)")+SUMIFS('Source 2025'!$E:$E,'Source 2025'!$B:$B,$A151,'Source 2025'!$A:$A,"Amount (NIS)")+SUMIFS('Source 2025'!$F:$F,'Source 2025'!$B:$B,$A151,'Source 2025'!$A:$A,"Amount (NIS)")+SUMIFS('Source 2025'!$G:$G,'Source 2025'!$B:$B,$A151,'Source 2025'!$A:$A,"Amount (NIS)")+SUMIFS('Source 2025'!$J:$J,'Source 2025'!$B:$B,$A151,'Source 2025'!$A:$A,"Amount (NIS)")+SUMIFS('Source 2025'!$M:$M,'Source 2025'!$B:$B,$A151,'Source 2025'!$A:$A,"Amount (NIS)")</f>
        <v>3338.7</v>
      </c>
      <c r="I151" s="8" t="n">
        <f aca="false">SUMIFS('Source 2026'!$D:$D,'Source 2026'!$B:$B,$A151,'Source 2026'!$A:$A,"Amount (NIS)")+SUMIFS('Source 2026'!$E:$E,'Source 2026'!$B:$B,$A151,'Source 2026'!$A:$A,"Amount (NIS)")+SUMIFS('Source 2026'!$F:$F,'Source 2026'!$B:$B,$A151,'Source 2026'!$A:$A,"Amount (NIS)")+SUMIFS('Source 2026'!$G:$G,'Source 2026'!$B:$B,$A151,'Source 2026'!$A:$A,"Amount (NIS)")+SUMIFS('Source 2026'!$J:$J,'Source 2026'!$B:$B,$A151,'Source 2026'!$A:$A,"Amount (NIS)")+SUMIFS('Source 2026'!$M:$M,'Source 2026'!$B:$B,$A151,'Source 2026'!$A:$A,"Amount (NIS)")</f>
        <v>1515.2</v>
      </c>
      <c r="J151" s="8" t="n">
        <f aca="false">I151*$J$5</f>
        <v>2077.98857142857</v>
      </c>
      <c r="K151" s="8" t="n">
        <f aca="false">J151-H151</f>
        <v>-1260.71142857143</v>
      </c>
      <c r="L151" s="9" t="n">
        <f aca="false">IF(AND(H151=0,J151=0),0,IF(H151=0,"New",(J151-H151)/H151))</f>
        <v>-0.377605483742603</v>
      </c>
    </row>
    <row r="152" customFormat="false" ht="15" hidden="false" customHeight="false" outlineLevel="0" collapsed="false">
      <c r="A152" s="7" t="n">
        <v>4413307</v>
      </c>
      <c r="B152" s="7" t="str">
        <f aca="false">IFERROR(INDEX('Source 2026'!$C:$C,MATCH($A152,'Source 2026'!$B:$B,0)),IFERROR(INDEX('Source 2025'!$C:$C,MATCH($A152,'Source 2025'!$B:$B,0)),""))</f>
        <v>URI 3667 מגן בוניון</v>
      </c>
      <c r="C152" s="8" t="n">
        <f aca="false">SUMIFS('Source 2025'!$D:$D,'Source 2025'!$B:$B,$A152,'Source 2025'!$A:$A,"Quantity (units)")+SUMIFS('Source 2025'!$E:$E,'Source 2025'!$B:$B,$A152,'Source 2025'!$A:$A,"Quantity (units)")+SUMIFS('Source 2025'!$F:$F,'Source 2025'!$B:$B,$A152,'Source 2025'!$A:$A,"Quantity (units)")+SUMIFS('Source 2025'!$G:$G,'Source 2025'!$B:$B,$A152,'Source 2025'!$A:$A,"Quantity (units)")+SUMIFS('Source 2025'!$J:$J,'Source 2025'!$B:$B,$A152,'Source 2025'!$A:$A,"Quantity (units)")+SUMIFS('Source 2025'!$M:$M,'Source 2025'!$B:$B,$A152,'Source 2025'!$A:$A,"Quantity (units)")</f>
        <v>141</v>
      </c>
      <c r="D152" s="8" t="n">
        <f aca="false">SUMIFS('Source 2026'!$D:$D,'Source 2026'!$B:$B,$A152,'Source 2026'!$A:$A,"Quantity (units)")+SUMIFS('Source 2026'!$E:$E,'Source 2026'!$B:$B,$A152,'Source 2026'!$A:$A,"Quantity (units)")+SUMIFS('Source 2026'!$F:$F,'Source 2026'!$B:$B,$A152,'Source 2026'!$A:$A,"Quantity (units)")+SUMIFS('Source 2026'!$G:$G,'Source 2026'!$B:$B,$A152,'Source 2026'!$A:$A,"Quantity (units)")+SUMIFS('Source 2026'!$J:$J,'Source 2026'!$B:$B,$A152,'Source 2026'!$A:$A,"Quantity (units)")+SUMIFS('Source 2026'!$M:$M,'Source 2026'!$B:$B,$A152,'Source 2026'!$A:$A,"Quantity (units)")</f>
        <v>81</v>
      </c>
      <c r="E152" s="8" t="n">
        <f aca="false">D152*$J$5</f>
        <v>111.085714285714</v>
      </c>
      <c r="F152" s="8" t="n">
        <f aca="false">E152-C152</f>
        <v>-29.9142857142857</v>
      </c>
      <c r="G152" s="9" t="n">
        <f aca="false">IF(AND(C152=0,E152=0),0,IF(C152=0,"New",(E152-C152)/C152))</f>
        <v>-0.212158054711246</v>
      </c>
      <c r="H152" s="8" t="n">
        <f aca="false">SUMIFS('Source 2025'!$D:$D,'Source 2025'!$B:$B,$A152,'Source 2025'!$A:$A,"Amount (NIS)")+SUMIFS('Source 2025'!$E:$E,'Source 2025'!$B:$B,$A152,'Source 2025'!$A:$A,"Amount (NIS)")+SUMIFS('Source 2025'!$F:$F,'Source 2025'!$B:$B,$A152,'Source 2025'!$A:$A,"Amount (NIS)")+SUMIFS('Source 2025'!$G:$G,'Source 2025'!$B:$B,$A152,'Source 2025'!$A:$A,"Amount (NIS)")+SUMIFS('Source 2025'!$J:$J,'Source 2025'!$B:$B,$A152,'Source 2025'!$A:$A,"Amount (NIS)")+SUMIFS('Source 2025'!$M:$M,'Source 2025'!$B:$B,$A152,'Source 2025'!$A:$A,"Amount (NIS)")</f>
        <v>4332.4</v>
      </c>
      <c r="I152" s="8" t="n">
        <f aca="false">SUMIFS('Source 2026'!$D:$D,'Source 2026'!$B:$B,$A152,'Source 2026'!$A:$A,"Amount (NIS)")+SUMIFS('Source 2026'!$E:$E,'Source 2026'!$B:$B,$A152,'Source 2026'!$A:$A,"Amount (NIS)")+SUMIFS('Source 2026'!$F:$F,'Source 2026'!$B:$B,$A152,'Source 2026'!$A:$A,"Amount (NIS)")+SUMIFS('Source 2026'!$G:$G,'Source 2026'!$B:$B,$A152,'Source 2026'!$A:$A,"Amount (NIS)")+SUMIFS('Source 2026'!$J:$J,'Source 2026'!$B:$B,$A152,'Source 2026'!$A:$A,"Amount (NIS)")+SUMIFS('Source 2026'!$M:$M,'Source 2026'!$B:$B,$A152,'Source 2026'!$A:$A,"Amount (NIS)")</f>
        <v>2522.8</v>
      </c>
      <c r="J152" s="8" t="n">
        <f aca="false">I152*$J$5</f>
        <v>3459.84</v>
      </c>
      <c r="K152" s="8" t="n">
        <f aca="false">J152-H152</f>
        <v>-872.56</v>
      </c>
      <c r="L152" s="9" t="n">
        <f aca="false">IF(AND(H152=0,J152=0),0,IF(H152=0,"New",(J152-H152)/H152))</f>
        <v>-0.201403379189364</v>
      </c>
    </row>
    <row r="153" customFormat="false" ht="15" hidden="false" customHeight="false" outlineLevel="0" collapsed="false">
      <c r="A153" s="7" t="n">
        <v>4401000</v>
      </c>
      <c r="B153" s="7" t="str">
        <f aca="false">IFERROR(INDEX('Source 2026'!$C:$C,MATCH($A153,'Source 2026'!$B:$B,0)),IFERROR(INDEX('Source 2025'!$C:$C,MATCH($A153,'Source 2025'!$B:$B,0)),""))</f>
        <v>369  S-L אצבעון מסיליקון יחידה</v>
      </c>
      <c r="C153" s="8" t="n">
        <f aca="false">SUMIFS('Source 2025'!$D:$D,'Source 2025'!$B:$B,$A153,'Source 2025'!$A:$A,"Quantity (units)")+SUMIFS('Source 2025'!$E:$E,'Source 2025'!$B:$B,$A153,'Source 2025'!$A:$A,"Quantity (units)")+SUMIFS('Source 2025'!$F:$F,'Source 2025'!$B:$B,$A153,'Source 2025'!$A:$A,"Quantity (units)")+SUMIFS('Source 2025'!$G:$G,'Source 2025'!$B:$B,$A153,'Source 2025'!$A:$A,"Quantity (units)")+SUMIFS('Source 2025'!$J:$J,'Source 2025'!$B:$B,$A153,'Source 2025'!$A:$A,"Quantity (units)")+SUMIFS('Source 2025'!$M:$M,'Source 2025'!$B:$B,$A153,'Source 2025'!$A:$A,"Quantity (units)")</f>
        <v>328</v>
      </c>
      <c r="D153" s="8" t="n">
        <f aca="false">SUMIFS('Source 2026'!$D:$D,'Source 2026'!$B:$B,$A153,'Source 2026'!$A:$A,"Quantity (units)")+SUMIFS('Source 2026'!$E:$E,'Source 2026'!$B:$B,$A153,'Source 2026'!$A:$A,"Quantity (units)")+SUMIFS('Source 2026'!$F:$F,'Source 2026'!$B:$B,$A153,'Source 2026'!$A:$A,"Quantity (units)")+SUMIFS('Source 2026'!$G:$G,'Source 2026'!$B:$B,$A153,'Source 2026'!$A:$A,"Quantity (units)")+SUMIFS('Source 2026'!$J:$J,'Source 2026'!$B:$B,$A153,'Source 2026'!$A:$A,"Quantity (units)")+SUMIFS('Source 2026'!$M:$M,'Source 2026'!$B:$B,$A153,'Source 2026'!$A:$A,"Quantity (units)")</f>
        <v>246</v>
      </c>
      <c r="E153" s="8" t="n">
        <f aca="false">D153*$J$5</f>
        <v>337.371428571429</v>
      </c>
      <c r="F153" s="8" t="n">
        <f aca="false">E153-C153</f>
        <v>9.37142857142857</v>
      </c>
      <c r="G153" s="9" t="n">
        <f aca="false">IF(AND(C153=0,E153=0),0,IF(C153=0,"New",(E153-C153)/C153))</f>
        <v>0.0285714285714286</v>
      </c>
      <c r="H153" s="8" t="n">
        <f aca="false">SUMIFS('Source 2025'!$D:$D,'Source 2025'!$B:$B,$A153,'Source 2025'!$A:$A,"Amount (NIS)")+SUMIFS('Source 2025'!$E:$E,'Source 2025'!$B:$B,$A153,'Source 2025'!$A:$A,"Amount (NIS)")+SUMIFS('Source 2025'!$F:$F,'Source 2025'!$B:$B,$A153,'Source 2025'!$A:$A,"Amount (NIS)")+SUMIFS('Source 2025'!$G:$G,'Source 2025'!$B:$B,$A153,'Source 2025'!$A:$A,"Amount (NIS)")+SUMIFS('Source 2025'!$J:$J,'Source 2025'!$B:$B,$A153,'Source 2025'!$A:$A,"Amount (NIS)")+SUMIFS('Source 2025'!$M:$M,'Source 2025'!$B:$B,$A153,'Source 2025'!$A:$A,"Amount (NIS)")</f>
        <v>7458.3</v>
      </c>
      <c r="I153" s="8" t="n">
        <f aca="false">SUMIFS('Source 2026'!$D:$D,'Source 2026'!$B:$B,$A153,'Source 2026'!$A:$A,"Amount (NIS)")+SUMIFS('Source 2026'!$E:$E,'Source 2026'!$B:$B,$A153,'Source 2026'!$A:$A,"Amount (NIS)")+SUMIFS('Source 2026'!$F:$F,'Source 2026'!$B:$B,$A153,'Source 2026'!$A:$A,"Amount (NIS)")+SUMIFS('Source 2026'!$G:$G,'Source 2026'!$B:$B,$A153,'Source 2026'!$A:$A,"Amount (NIS)")+SUMIFS('Source 2026'!$J:$J,'Source 2026'!$B:$B,$A153,'Source 2026'!$A:$A,"Amount (NIS)")+SUMIFS('Source 2026'!$M:$M,'Source 2026'!$B:$B,$A153,'Source 2026'!$A:$A,"Amount (NIS)")</f>
        <v>5653.1</v>
      </c>
      <c r="J153" s="8" t="n">
        <f aca="false">I153*$J$5</f>
        <v>7752.82285714286</v>
      </c>
      <c r="K153" s="8" t="n">
        <f aca="false">J153-H153</f>
        <v>294.522857142859</v>
      </c>
      <c r="L153" s="9" t="n">
        <f aca="false">IF(AND(H153=0,J153=0),0,IF(H153=0,"New",(J153-H153)/H153))</f>
        <v>0.039489274652784</v>
      </c>
    </row>
    <row r="154" customFormat="false" ht="15" hidden="false" customHeight="false" outlineLevel="0" collapsed="false">
      <c r="A154" s="7" t="n">
        <v>4413493</v>
      </c>
      <c r="B154" s="7" t="str">
        <f aca="false">IFERROR(INDEX('Source 2026'!$C:$C,MATCH($A154,'Source 2026'!$B:$B,0)),IFERROR(INDEX('Source 2025'!$C:$C,MATCH($A154,'Source 2025'!$B:$B,0)),""))</f>
        <v>35B S מגן קרסול שחור</v>
      </c>
      <c r="C154" s="8" t="n">
        <f aca="false">SUMIFS('Source 2025'!$D:$D,'Source 2025'!$B:$B,$A154,'Source 2025'!$A:$A,"Quantity (units)")+SUMIFS('Source 2025'!$E:$E,'Source 2025'!$B:$B,$A154,'Source 2025'!$A:$A,"Quantity (units)")+SUMIFS('Source 2025'!$F:$F,'Source 2025'!$B:$B,$A154,'Source 2025'!$A:$A,"Quantity (units)")+SUMIFS('Source 2025'!$G:$G,'Source 2025'!$B:$B,$A154,'Source 2025'!$A:$A,"Quantity (units)")+SUMIFS('Source 2025'!$J:$J,'Source 2025'!$B:$B,$A154,'Source 2025'!$A:$A,"Quantity (units)")+SUMIFS('Source 2025'!$M:$M,'Source 2025'!$B:$B,$A154,'Source 2025'!$A:$A,"Quantity (units)")</f>
        <v>136</v>
      </c>
      <c r="D154" s="8" t="n">
        <f aca="false">SUMIFS('Source 2026'!$D:$D,'Source 2026'!$B:$B,$A154,'Source 2026'!$A:$A,"Quantity (units)")+SUMIFS('Source 2026'!$E:$E,'Source 2026'!$B:$B,$A154,'Source 2026'!$A:$A,"Quantity (units)")+SUMIFS('Source 2026'!$F:$F,'Source 2026'!$B:$B,$A154,'Source 2026'!$A:$A,"Quantity (units)")+SUMIFS('Source 2026'!$G:$G,'Source 2026'!$B:$B,$A154,'Source 2026'!$A:$A,"Quantity (units)")+SUMIFS('Source 2026'!$J:$J,'Source 2026'!$B:$B,$A154,'Source 2026'!$A:$A,"Quantity (units)")+SUMIFS('Source 2026'!$M:$M,'Source 2026'!$B:$B,$A154,'Source 2026'!$A:$A,"Quantity (units)")</f>
        <v>77</v>
      </c>
      <c r="E154" s="8" t="n">
        <f aca="false">D154*$J$5</f>
        <v>105.6</v>
      </c>
      <c r="F154" s="8" t="n">
        <f aca="false">E154-C154</f>
        <v>-30.4</v>
      </c>
      <c r="G154" s="9" t="n">
        <f aca="false">IF(AND(C154=0,E154=0),0,IF(C154=0,"New",(E154-C154)/C154))</f>
        <v>-0.223529411764706</v>
      </c>
      <c r="H154" s="8" t="n">
        <f aca="false">SUMIFS('Source 2025'!$D:$D,'Source 2025'!$B:$B,$A154,'Source 2025'!$A:$A,"Amount (NIS)")+SUMIFS('Source 2025'!$E:$E,'Source 2025'!$B:$B,$A154,'Source 2025'!$A:$A,"Amount (NIS)")+SUMIFS('Source 2025'!$F:$F,'Source 2025'!$B:$B,$A154,'Source 2025'!$A:$A,"Amount (NIS)")+SUMIFS('Source 2025'!$G:$G,'Source 2025'!$B:$B,$A154,'Source 2025'!$A:$A,"Amount (NIS)")+SUMIFS('Source 2025'!$J:$J,'Source 2025'!$B:$B,$A154,'Source 2025'!$A:$A,"Amount (NIS)")+SUMIFS('Source 2025'!$M:$M,'Source 2025'!$B:$B,$A154,'Source 2025'!$A:$A,"Amount (NIS)")</f>
        <v>4138.2</v>
      </c>
      <c r="I154" s="8" t="n">
        <f aca="false">SUMIFS('Source 2026'!$D:$D,'Source 2026'!$B:$B,$A154,'Source 2026'!$A:$A,"Amount (NIS)")+SUMIFS('Source 2026'!$E:$E,'Source 2026'!$B:$B,$A154,'Source 2026'!$A:$A,"Amount (NIS)")+SUMIFS('Source 2026'!$F:$F,'Source 2026'!$B:$B,$A154,'Source 2026'!$A:$A,"Amount (NIS)")+SUMIFS('Source 2026'!$G:$G,'Source 2026'!$B:$B,$A154,'Source 2026'!$A:$A,"Amount (NIS)")+SUMIFS('Source 2026'!$J:$J,'Source 2026'!$B:$B,$A154,'Source 2026'!$A:$A,"Amount (NIS)")+SUMIFS('Source 2026'!$M:$M,'Source 2026'!$B:$B,$A154,'Source 2026'!$A:$A,"Amount (NIS)")</f>
        <v>2360</v>
      </c>
      <c r="J154" s="8" t="n">
        <f aca="false">I154*$J$5</f>
        <v>3236.57142857143</v>
      </c>
      <c r="K154" s="8" t="n">
        <f aca="false">J154-H154</f>
        <v>-901.628571428571</v>
      </c>
      <c r="L154" s="9" t="n">
        <f aca="false">IF(AND(H154=0,J154=0),0,IF(H154=0,"New",(J154-H154)/H154))</f>
        <v>-0.217879409266969</v>
      </c>
    </row>
    <row r="155" customFormat="false" ht="15" hidden="false" customHeight="false" outlineLevel="0" collapsed="false">
      <c r="A155" s="7" t="n">
        <v>4408135</v>
      </c>
      <c r="B155" s="7" t="str">
        <f aca="false">IFERROR(INDEX('Source 2026'!$C:$C,MATCH($A155,'Source 2026'!$B:$B,0)),IFERROR(INDEX('Source 2025'!$C:$C,MATCH($A155,'Source 2025'!$B:$B,0)),""))</f>
        <v>077A L-XLחגורת גב</v>
      </c>
      <c r="C155" s="8" t="n">
        <f aca="false">SUMIFS('Source 2025'!$D:$D,'Source 2025'!$B:$B,$A155,'Source 2025'!$A:$A,"Quantity (units)")+SUMIFS('Source 2025'!$E:$E,'Source 2025'!$B:$B,$A155,'Source 2025'!$A:$A,"Quantity (units)")+SUMIFS('Source 2025'!$F:$F,'Source 2025'!$B:$B,$A155,'Source 2025'!$A:$A,"Quantity (units)")+SUMIFS('Source 2025'!$G:$G,'Source 2025'!$B:$B,$A155,'Source 2025'!$A:$A,"Quantity (units)")+SUMIFS('Source 2025'!$J:$J,'Source 2025'!$B:$B,$A155,'Source 2025'!$A:$A,"Quantity (units)")+SUMIFS('Source 2025'!$M:$M,'Source 2025'!$B:$B,$A155,'Source 2025'!$A:$A,"Quantity (units)")</f>
        <v>20</v>
      </c>
      <c r="D155" s="8" t="n">
        <f aca="false">SUMIFS('Source 2026'!$D:$D,'Source 2026'!$B:$B,$A155,'Source 2026'!$A:$A,"Quantity (units)")+SUMIFS('Source 2026'!$E:$E,'Source 2026'!$B:$B,$A155,'Source 2026'!$A:$A,"Quantity (units)")+SUMIFS('Source 2026'!$F:$F,'Source 2026'!$B:$B,$A155,'Source 2026'!$A:$A,"Quantity (units)")+SUMIFS('Source 2026'!$G:$G,'Source 2026'!$B:$B,$A155,'Source 2026'!$A:$A,"Quantity (units)")+SUMIFS('Source 2026'!$J:$J,'Source 2026'!$B:$B,$A155,'Source 2026'!$A:$A,"Quantity (units)")+SUMIFS('Source 2026'!$M:$M,'Source 2026'!$B:$B,$A155,'Source 2026'!$A:$A,"Quantity (units)")</f>
        <v>8</v>
      </c>
      <c r="E155" s="8" t="n">
        <f aca="false">D155*$J$5</f>
        <v>10.9714285714286</v>
      </c>
      <c r="F155" s="8" t="n">
        <f aca="false">E155-C155</f>
        <v>-9.02857142857143</v>
      </c>
      <c r="G155" s="9" t="n">
        <f aca="false">IF(AND(C155=0,E155=0),0,IF(C155=0,"New",(E155-C155)/C155))</f>
        <v>-0.451428571428571</v>
      </c>
      <c r="H155" s="8" t="n">
        <f aca="false">SUMIFS('Source 2025'!$D:$D,'Source 2025'!$B:$B,$A155,'Source 2025'!$A:$A,"Amount (NIS)")+SUMIFS('Source 2025'!$E:$E,'Source 2025'!$B:$B,$A155,'Source 2025'!$A:$A,"Amount (NIS)")+SUMIFS('Source 2025'!$F:$F,'Source 2025'!$B:$B,$A155,'Source 2025'!$A:$A,"Amount (NIS)")+SUMIFS('Source 2025'!$G:$G,'Source 2025'!$B:$B,$A155,'Source 2025'!$A:$A,"Amount (NIS)")+SUMIFS('Source 2025'!$J:$J,'Source 2025'!$B:$B,$A155,'Source 2025'!$A:$A,"Amount (NIS)")+SUMIFS('Source 2025'!$M:$M,'Source 2025'!$B:$B,$A155,'Source 2025'!$A:$A,"Amount (NIS)")</f>
        <v>2803.8</v>
      </c>
      <c r="I155" s="8" t="n">
        <f aca="false">SUMIFS('Source 2026'!$D:$D,'Source 2026'!$B:$B,$A155,'Source 2026'!$A:$A,"Amount (NIS)")+SUMIFS('Source 2026'!$E:$E,'Source 2026'!$B:$B,$A155,'Source 2026'!$A:$A,"Amount (NIS)")+SUMIFS('Source 2026'!$F:$F,'Source 2026'!$B:$B,$A155,'Source 2026'!$A:$A,"Amount (NIS)")+SUMIFS('Source 2026'!$G:$G,'Source 2026'!$B:$B,$A155,'Source 2026'!$A:$A,"Amount (NIS)")+SUMIFS('Source 2026'!$J:$J,'Source 2026'!$B:$B,$A155,'Source 2026'!$A:$A,"Amount (NIS)")+SUMIFS('Source 2026'!$M:$M,'Source 2026'!$B:$B,$A155,'Source 2026'!$A:$A,"Amount (NIS)")</f>
        <v>1113.6</v>
      </c>
      <c r="J155" s="8" t="n">
        <f aca="false">I155*$J$5</f>
        <v>1527.22285714286</v>
      </c>
      <c r="K155" s="8" t="n">
        <f aca="false">J155-H155</f>
        <v>-1276.57714285714</v>
      </c>
      <c r="L155" s="9" t="n">
        <f aca="false">IF(AND(H155=0,J155=0),0,IF(H155=0,"New",(J155-H155)/H155))</f>
        <v>-0.455302497630766</v>
      </c>
    </row>
    <row r="156" customFormat="false" ht="15" hidden="false" customHeight="false" outlineLevel="0" collapsed="false">
      <c r="A156" s="7" t="n">
        <v>4408015</v>
      </c>
      <c r="B156" s="7" t="str">
        <f aca="false">IFERROR(INDEX('Source 2026'!$C:$C,MATCH($A156,'Source 2026'!$B:$B,0)),IFERROR(INDEX('Source 2025'!$C:$C,MATCH($A156,'Source 2025'!$B:$B,0)),""))</f>
        <v>07AU L ח.גב ""איטלקית"" אורירית</v>
      </c>
      <c r="C156" s="8" t="n">
        <f aca="false">SUMIFS('Source 2025'!$D:$D,'Source 2025'!$B:$B,$A156,'Source 2025'!$A:$A,"Quantity (units)")+SUMIFS('Source 2025'!$E:$E,'Source 2025'!$B:$B,$A156,'Source 2025'!$A:$A,"Quantity (units)")+SUMIFS('Source 2025'!$F:$F,'Source 2025'!$B:$B,$A156,'Source 2025'!$A:$A,"Quantity (units)")+SUMIFS('Source 2025'!$G:$G,'Source 2025'!$B:$B,$A156,'Source 2025'!$A:$A,"Quantity (units)")+SUMIFS('Source 2025'!$J:$J,'Source 2025'!$B:$B,$A156,'Source 2025'!$A:$A,"Quantity (units)")+SUMIFS('Source 2025'!$M:$M,'Source 2025'!$B:$B,$A156,'Source 2025'!$A:$A,"Quantity (units)")</f>
        <v>4</v>
      </c>
      <c r="D156" s="8" t="n">
        <f aca="false">SUMIFS('Source 2026'!$D:$D,'Source 2026'!$B:$B,$A156,'Source 2026'!$A:$A,"Quantity (units)")+SUMIFS('Source 2026'!$E:$E,'Source 2026'!$B:$B,$A156,'Source 2026'!$A:$A,"Quantity (units)")+SUMIFS('Source 2026'!$F:$F,'Source 2026'!$B:$B,$A156,'Source 2026'!$A:$A,"Quantity (units)")+SUMIFS('Source 2026'!$G:$G,'Source 2026'!$B:$B,$A156,'Source 2026'!$A:$A,"Quantity (units)")+SUMIFS('Source 2026'!$J:$J,'Source 2026'!$B:$B,$A156,'Source 2026'!$A:$A,"Quantity (units)")+SUMIFS('Source 2026'!$M:$M,'Source 2026'!$B:$B,$A156,'Source 2026'!$A:$A,"Quantity (units)")</f>
        <v>-3</v>
      </c>
      <c r="E156" s="8" t="n">
        <f aca="false">D156*$J$5</f>
        <v>-4.11428571428571</v>
      </c>
      <c r="F156" s="8" t="n">
        <f aca="false">E156-C156</f>
        <v>-8.11428571428571</v>
      </c>
      <c r="G156" s="9" t="n">
        <f aca="false">IF(AND(C156=0,E156=0),0,IF(C156=0,"New",(E156-C156)/C156))</f>
        <v>-2.02857142857143</v>
      </c>
      <c r="H156" s="8" t="n">
        <f aca="false">SUMIFS('Source 2025'!$D:$D,'Source 2025'!$B:$B,$A156,'Source 2025'!$A:$A,"Amount (NIS)")+SUMIFS('Source 2025'!$E:$E,'Source 2025'!$B:$B,$A156,'Source 2025'!$A:$A,"Amount (NIS)")+SUMIFS('Source 2025'!$F:$F,'Source 2025'!$B:$B,$A156,'Source 2025'!$A:$A,"Amount (NIS)")+SUMIFS('Source 2025'!$G:$G,'Source 2025'!$B:$B,$A156,'Source 2025'!$A:$A,"Amount (NIS)")+SUMIFS('Source 2025'!$J:$J,'Source 2025'!$B:$B,$A156,'Source 2025'!$A:$A,"Amount (NIS)")+SUMIFS('Source 2025'!$M:$M,'Source 2025'!$B:$B,$A156,'Source 2025'!$A:$A,"Amount (NIS)")</f>
        <v>975.1</v>
      </c>
      <c r="I156" s="8" t="n">
        <f aca="false">SUMIFS('Source 2026'!$D:$D,'Source 2026'!$B:$B,$A156,'Source 2026'!$A:$A,"Amount (NIS)")+SUMIFS('Source 2026'!$E:$E,'Source 2026'!$B:$B,$A156,'Source 2026'!$A:$A,"Amount (NIS)")+SUMIFS('Source 2026'!$F:$F,'Source 2026'!$B:$B,$A156,'Source 2026'!$A:$A,"Amount (NIS)")+SUMIFS('Source 2026'!$G:$G,'Source 2026'!$B:$B,$A156,'Source 2026'!$A:$A,"Amount (NIS)")+SUMIFS('Source 2026'!$J:$J,'Source 2026'!$B:$B,$A156,'Source 2026'!$A:$A,"Amount (NIS)")+SUMIFS('Source 2026'!$M:$M,'Source 2026'!$B:$B,$A156,'Source 2026'!$A:$A,"Amount (NIS)")</f>
        <v>-710.5</v>
      </c>
      <c r="J156" s="8" t="n">
        <f aca="false">I156*$J$5</f>
        <v>-974.4</v>
      </c>
      <c r="K156" s="8" t="n">
        <f aca="false">J156-H156</f>
        <v>-1949.5</v>
      </c>
      <c r="L156" s="9" t="n">
        <f aca="false">IF(AND(H156=0,J156=0),0,IF(H156=0,"New",(J156-H156)/H156))</f>
        <v>-1.99928212491027</v>
      </c>
    </row>
    <row r="157" customFormat="false" ht="15" hidden="false" customHeight="false" outlineLevel="0" collapsed="false">
      <c r="A157" s="7" t="n">
        <v>4415159</v>
      </c>
      <c r="B157" s="7" t="str">
        <f aca="false">IFERROR(INDEX('Source 2026'!$C:$C,MATCH($A157,'Source 2026'!$B:$B,0)),IFERROR(INDEX('Source 2025'!$C:$C,MATCH($A157,'Source 2025'!$B:$B,0)),""))</f>
        <v>268 סד לאגודל</v>
      </c>
      <c r="C157" s="8" t="n">
        <f aca="false">SUMIFS('Source 2025'!$D:$D,'Source 2025'!$B:$B,$A157,'Source 2025'!$A:$A,"Quantity (units)")+SUMIFS('Source 2025'!$E:$E,'Source 2025'!$B:$B,$A157,'Source 2025'!$A:$A,"Quantity (units)")+SUMIFS('Source 2025'!$F:$F,'Source 2025'!$B:$B,$A157,'Source 2025'!$A:$A,"Quantity (units)")+SUMIFS('Source 2025'!$G:$G,'Source 2025'!$B:$B,$A157,'Source 2025'!$A:$A,"Quantity (units)")+SUMIFS('Source 2025'!$J:$J,'Source 2025'!$B:$B,$A157,'Source 2025'!$A:$A,"Quantity (units)")+SUMIFS('Source 2025'!$M:$M,'Source 2025'!$B:$B,$A157,'Source 2025'!$A:$A,"Quantity (units)")</f>
        <v>120</v>
      </c>
      <c r="D157" s="8" t="n">
        <f aca="false">SUMIFS('Source 2026'!$D:$D,'Source 2026'!$B:$B,$A157,'Source 2026'!$A:$A,"Quantity (units)")+SUMIFS('Source 2026'!$E:$E,'Source 2026'!$B:$B,$A157,'Source 2026'!$A:$A,"Quantity (units)")+SUMIFS('Source 2026'!$F:$F,'Source 2026'!$B:$B,$A157,'Source 2026'!$A:$A,"Quantity (units)")+SUMIFS('Source 2026'!$G:$G,'Source 2026'!$B:$B,$A157,'Source 2026'!$A:$A,"Quantity (units)")+SUMIFS('Source 2026'!$J:$J,'Source 2026'!$B:$B,$A157,'Source 2026'!$A:$A,"Quantity (units)")+SUMIFS('Source 2026'!$M:$M,'Source 2026'!$B:$B,$A157,'Source 2026'!$A:$A,"Quantity (units)")</f>
        <v>105</v>
      </c>
      <c r="E157" s="8" t="n">
        <f aca="false">D157*$J$5</f>
        <v>144</v>
      </c>
      <c r="F157" s="8" t="n">
        <f aca="false">E157-C157</f>
        <v>24</v>
      </c>
      <c r="G157" s="9" t="n">
        <f aca="false">IF(AND(C157=0,E157=0),0,IF(C157=0,"New",(E157-C157)/C157))</f>
        <v>0.2</v>
      </c>
      <c r="H157" s="8" t="n">
        <f aca="false">SUMIFS('Source 2025'!$D:$D,'Source 2025'!$B:$B,$A157,'Source 2025'!$A:$A,"Amount (NIS)")+SUMIFS('Source 2025'!$E:$E,'Source 2025'!$B:$B,$A157,'Source 2025'!$A:$A,"Amount (NIS)")+SUMIFS('Source 2025'!$F:$F,'Source 2025'!$B:$B,$A157,'Source 2025'!$A:$A,"Amount (NIS)")+SUMIFS('Source 2025'!$G:$G,'Source 2025'!$B:$B,$A157,'Source 2025'!$A:$A,"Amount (NIS)")+SUMIFS('Source 2025'!$J:$J,'Source 2025'!$B:$B,$A157,'Source 2025'!$A:$A,"Amount (NIS)")+SUMIFS('Source 2025'!$M:$M,'Source 2025'!$B:$B,$A157,'Source 2025'!$A:$A,"Amount (NIS)")</f>
        <v>13916.1</v>
      </c>
      <c r="I157" s="8" t="n">
        <f aca="false">SUMIFS('Source 2026'!$D:$D,'Source 2026'!$B:$B,$A157,'Source 2026'!$A:$A,"Amount (NIS)")+SUMIFS('Source 2026'!$E:$E,'Source 2026'!$B:$B,$A157,'Source 2026'!$A:$A,"Amount (NIS)")+SUMIFS('Source 2026'!$F:$F,'Source 2026'!$B:$B,$A157,'Source 2026'!$A:$A,"Amount (NIS)")+SUMIFS('Source 2026'!$G:$G,'Source 2026'!$B:$B,$A157,'Source 2026'!$A:$A,"Amount (NIS)")+SUMIFS('Source 2026'!$J:$J,'Source 2026'!$B:$B,$A157,'Source 2026'!$A:$A,"Amount (NIS)")+SUMIFS('Source 2026'!$M:$M,'Source 2026'!$B:$B,$A157,'Source 2026'!$A:$A,"Amount (NIS)")</f>
        <v>12242</v>
      </c>
      <c r="J157" s="8" t="n">
        <f aca="false">I157*$J$5</f>
        <v>16789.0285714286</v>
      </c>
      <c r="K157" s="8" t="n">
        <f aca="false">J157-H157</f>
        <v>2872.92857142857</v>
      </c>
      <c r="L157" s="9" t="n">
        <f aca="false">IF(AND(H157=0,J157=0),0,IF(H157=0,"New",(J157-H157)/H157))</f>
        <v>0.206446387380701</v>
      </c>
    </row>
    <row r="158" customFormat="false" ht="15" hidden="false" customHeight="false" outlineLevel="0" collapsed="false">
      <c r="A158" s="7" t="n">
        <v>4421003</v>
      </c>
      <c r="B158" s="7" t="str">
        <f aca="false">IFERROR(INDEX('Source 2026'!$C:$C,MATCH($A158,'Source 2026'!$B:$B,0)),IFERROR(INDEX('Source 2025'!$C:$C,MATCH($A158,'Source 2025'!$B:$B,0)),""))</f>
        <v>3672 שרוול מגן לבוניון</v>
      </c>
      <c r="C158" s="8" t="n">
        <f aca="false">SUMIFS('Source 2025'!$D:$D,'Source 2025'!$B:$B,$A158,'Source 2025'!$A:$A,"Quantity (units)")+SUMIFS('Source 2025'!$E:$E,'Source 2025'!$B:$B,$A158,'Source 2025'!$A:$A,"Quantity (units)")+SUMIFS('Source 2025'!$F:$F,'Source 2025'!$B:$B,$A158,'Source 2025'!$A:$A,"Quantity (units)")+SUMIFS('Source 2025'!$G:$G,'Source 2025'!$B:$B,$A158,'Source 2025'!$A:$A,"Quantity (units)")+SUMIFS('Source 2025'!$J:$J,'Source 2025'!$B:$B,$A158,'Source 2025'!$A:$A,"Quantity (units)")+SUMIFS('Source 2025'!$M:$M,'Source 2025'!$B:$B,$A158,'Source 2025'!$A:$A,"Quantity (units)")</f>
        <v>127</v>
      </c>
      <c r="D158" s="8" t="n">
        <f aca="false">SUMIFS('Source 2026'!$D:$D,'Source 2026'!$B:$B,$A158,'Source 2026'!$A:$A,"Quantity (units)")+SUMIFS('Source 2026'!$E:$E,'Source 2026'!$B:$B,$A158,'Source 2026'!$A:$A,"Quantity (units)")+SUMIFS('Source 2026'!$F:$F,'Source 2026'!$B:$B,$A158,'Source 2026'!$A:$A,"Quantity (units)")+SUMIFS('Source 2026'!$G:$G,'Source 2026'!$B:$B,$A158,'Source 2026'!$A:$A,"Quantity (units)")+SUMIFS('Source 2026'!$J:$J,'Source 2026'!$B:$B,$A158,'Source 2026'!$A:$A,"Quantity (units)")+SUMIFS('Source 2026'!$M:$M,'Source 2026'!$B:$B,$A158,'Source 2026'!$A:$A,"Quantity (units)")</f>
        <v>77</v>
      </c>
      <c r="E158" s="8" t="n">
        <f aca="false">D158*$J$5</f>
        <v>105.6</v>
      </c>
      <c r="F158" s="8" t="n">
        <f aca="false">E158-C158</f>
        <v>-21.4</v>
      </c>
      <c r="G158" s="9" t="n">
        <f aca="false">IF(AND(C158=0,E158=0),0,IF(C158=0,"New",(E158-C158)/C158))</f>
        <v>-0.168503937007874</v>
      </c>
      <c r="H158" s="8" t="n">
        <f aca="false">SUMIFS('Source 2025'!$D:$D,'Source 2025'!$B:$B,$A158,'Source 2025'!$A:$A,"Amount (NIS)")+SUMIFS('Source 2025'!$E:$E,'Source 2025'!$B:$B,$A158,'Source 2025'!$A:$A,"Amount (NIS)")+SUMIFS('Source 2025'!$F:$F,'Source 2025'!$B:$B,$A158,'Source 2025'!$A:$A,"Amount (NIS)")+SUMIFS('Source 2025'!$G:$G,'Source 2025'!$B:$B,$A158,'Source 2025'!$A:$A,"Amount (NIS)")+SUMIFS('Source 2025'!$J:$J,'Source 2025'!$B:$B,$A158,'Source 2025'!$A:$A,"Amount (NIS)")+SUMIFS('Source 2025'!$M:$M,'Source 2025'!$B:$B,$A158,'Source 2025'!$A:$A,"Amount (NIS)")</f>
        <v>4418.7</v>
      </c>
      <c r="I158" s="8" t="n">
        <f aca="false">SUMIFS('Source 2026'!$D:$D,'Source 2026'!$B:$B,$A158,'Source 2026'!$A:$A,"Amount (NIS)")+SUMIFS('Source 2026'!$E:$E,'Source 2026'!$B:$B,$A158,'Source 2026'!$A:$A,"Amount (NIS)")+SUMIFS('Source 2026'!$F:$F,'Source 2026'!$B:$B,$A158,'Source 2026'!$A:$A,"Amount (NIS)")+SUMIFS('Source 2026'!$G:$G,'Source 2026'!$B:$B,$A158,'Source 2026'!$A:$A,"Amount (NIS)")+SUMIFS('Source 2026'!$J:$J,'Source 2026'!$B:$B,$A158,'Source 2026'!$A:$A,"Amount (NIS)")+SUMIFS('Source 2026'!$M:$M,'Source 2026'!$B:$B,$A158,'Source 2026'!$A:$A,"Amount (NIS)")</f>
        <v>2765</v>
      </c>
      <c r="J158" s="8" t="n">
        <f aca="false">I158*$J$5</f>
        <v>3792</v>
      </c>
      <c r="K158" s="8" t="n">
        <f aca="false">J158-H158</f>
        <v>-626.7</v>
      </c>
      <c r="L158" s="9" t="n">
        <f aca="false">IF(AND(H158=0,J158=0),0,IF(H158=0,"New",(J158-H158)/H158))</f>
        <v>-0.141829044741666</v>
      </c>
    </row>
    <row r="159" customFormat="false" ht="15" hidden="false" customHeight="false" outlineLevel="0" collapsed="false">
      <c r="A159" s="7" t="n">
        <v>4415074</v>
      </c>
      <c r="B159" s="7" t="str">
        <f aca="false">IFERROR(INDEX('Source 2026'!$C:$C,MATCH($A159,'Source 2026'!$B:$B,0)),IFERROR(INDEX('Source 2025'!$C:$C,MATCH($A159,'Source 2025'!$B:$B,0)),""))</f>
        <v>T28AC S-M סד לאגודל</v>
      </c>
      <c r="C159" s="8" t="n">
        <f aca="false">SUMIFS('Source 2025'!$D:$D,'Source 2025'!$B:$B,$A159,'Source 2025'!$A:$A,"Quantity (units)")+SUMIFS('Source 2025'!$E:$E,'Source 2025'!$B:$B,$A159,'Source 2025'!$A:$A,"Quantity (units)")+SUMIFS('Source 2025'!$F:$F,'Source 2025'!$B:$B,$A159,'Source 2025'!$A:$A,"Quantity (units)")+SUMIFS('Source 2025'!$G:$G,'Source 2025'!$B:$B,$A159,'Source 2025'!$A:$A,"Quantity (units)")+SUMIFS('Source 2025'!$J:$J,'Source 2025'!$B:$B,$A159,'Source 2025'!$A:$A,"Quantity (units)")+SUMIFS('Source 2025'!$M:$M,'Source 2025'!$B:$B,$A159,'Source 2025'!$A:$A,"Quantity (units)")</f>
        <v>88</v>
      </c>
      <c r="D159" s="8" t="n">
        <f aca="false">SUMIFS('Source 2026'!$D:$D,'Source 2026'!$B:$B,$A159,'Source 2026'!$A:$A,"Quantity (units)")+SUMIFS('Source 2026'!$E:$E,'Source 2026'!$B:$B,$A159,'Source 2026'!$A:$A,"Quantity (units)")+SUMIFS('Source 2026'!$F:$F,'Source 2026'!$B:$B,$A159,'Source 2026'!$A:$A,"Quantity (units)")+SUMIFS('Source 2026'!$G:$G,'Source 2026'!$B:$B,$A159,'Source 2026'!$A:$A,"Quantity (units)")+SUMIFS('Source 2026'!$J:$J,'Source 2026'!$B:$B,$A159,'Source 2026'!$A:$A,"Quantity (units)")+SUMIFS('Source 2026'!$M:$M,'Source 2026'!$B:$B,$A159,'Source 2026'!$A:$A,"Quantity (units)")</f>
        <v>63</v>
      </c>
      <c r="E159" s="8" t="n">
        <f aca="false">D159*$J$5</f>
        <v>86.4</v>
      </c>
      <c r="F159" s="8" t="n">
        <f aca="false">E159-C159</f>
        <v>-1.59999999999999</v>
      </c>
      <c r="G159" s="9" t="n">
        <f aca="false">IF(AND(C159=0,E159=0),0,IF(C159=0,"New",(E159-C159)/C159))</f>
        <v>-0.0181818181818181</v>
      </c>
      <c r="H159" s="8" t="n">
        <f aca="false">SUMIFS('Source 2025'!$D:$D,'Source 2025'!$B:$B,$A159,'Source 2025'!$A:$A,"Amount (NIS)")+SUMIFS('Source 2025'!$E:$E,'Source 2025'!$B:$B,$A159,'Source 2025'!$A:$A,"Amount (NIS)")+SUMIFS('Source 2025'!$F:$F,'Source 2025'!$B:$B,$A159,'Source 2025'!$A:$A,"Amount (NIS)")+SUMIFS('Source 2025'!$G:$G,'Source 2025'!$B:$B,$A159,'Source 2025'!$A:$A,"Amount (NIS)")+SUMIFS('Source 2025'!$J:$J,'Source 2025'!$B:$B,$A159,'Source 2025'!$A:$A,"Amount (NIS)")+SUMIFS('Source 2025'!$M:$M,'Source 2025'!$B:$B,$A159,'Source 2025'!$A:$A,"Amount (NIS)")</f>
        <v>5922.8</v>
      </c>
      <c r="I159" s="8" t="n">
        <f aca="false">SUMIFS('Source 2026'!$D:$D,'Source 2026'!$B:$B,$A159,'Source 2026'!$A:$A,"Amount (NIS)")+SUMIFS('Source 2026'!$E:$E,'Source 2026'!$B:$B,$A159,'Source 2026'!$A:$A,"Amount (NIS)")+SUMIFS('Source 2026'!$F:$F,'Source 2026'!$B:$B,$A159,'Source 2026'!$A:$A,"Amount (NIS)")+SUMIFS('Source 2026'!$G:$G,'Source 2026'!$B:$B,$A159,'Source 2026'!$A:$A,"Amount (NIS)")+SUMIFS('Source 2026'!$J:$J,'Source 2026'!$B:$B,$A159,'Source 2026'!$A:$A,"Amount (NIS)")+SUMIFS('Source 2026'!$M:$M,'Source 2026'!$B:$B,$A159,'Source 2026'!$A:$A,"Amount (NIS)")</f>
        <v>4281.1</v>
      </c>
      <c r="J159" s="8" t="n">
        <f aca="false">I159*$J$5</f>
        <v>5871.22285714286</v>
      </c>
      <c r="K159" s="8" t="n">
        <f aca="false">J159-H159</f>
        <v>-51.5771428571425</v>
      </c>
      <c r="L159" s="9" t="n">
        <f aca="false">IF(AND(H159=0,J159=0),0,IF(H159=0,"New",(J159-H159)/H159))</f>
        <v>-0.00870823645187115</v>
      </c>
    </row>
    <row r="160" customFormat="false" ht="15" hidden="false" customHeight="false" outlineLevel="0" collapsed="false">
      <c r="A160" s="7" t="n">
        <v>4408049</v>
      </c>
      <c r="B160" s="7" t="str">
        <f aca="false">IFERROR(INDEX('Source 2026'!$C:$C,MATCH($A160,'Source 2026'!$B:$B,0)),IFERROR(INDEX('Source 2025'!$C:$C,MATCH($A160,'Source 2025'!$B:$B,0)),""))</f>
        <v>20 XL חבק יד מתכוון עם צמדן</v>
      </c>
      <c r="C160" s="8" t="n">
        <f aca="false">SUMIFS('Source 2025'!$D:$D,'Source 2025'!$B:$B,$A160,'Source 2025'!$A:$A,"Quantity (units)")+SUMIFS('Source 2025'!$E:$E,'Source 2025'!$B:$B,$A160,'Source 2025'!$A:$A,"Quantity (units)")+SUMIFS('Source 2025'!$F:$F,'Source 2025'!$B:$B,$A160,'Source 2025'!$A:$A,"Quantity (units)")+SUMIFS('Source 2025'!$G:$G,'Source 2025'!$B:$B,$A160,'Source 2025'!$A:$A,"Quantity (units)")+SUMIFS('Source 2025'!$J:$J,'Source 2025'!$B:$B,$A160,'Source 2025'!$A:$A,"Quantity (units)")+SUMIFS('Source 2025'!$M:$M,'Source 2025'!$B:$B,$A160,'Source 2025'!$A:$A,"Quantity (units)")</f>
        <v>80</v>
      </c>
      <c r="D160" s="8" t="n">
        <f aca="false">SUMIFS('Source 2026'!$D:$D,'Source 2026'!$B:$B,$A160,'Source 2026'!$A:$A,"Quantity (units)")+SUMIFS('Source 2026'!$E:$E,'Source 2026'!$B:$B,$A160,'Source 2026'!$A:$A,"Quantity (units)")+SUMIFS('Source 2026'!$F:$F,'Source 2026'!$B:$B,$A160,'Source 2026'!$A:$A,"Quantity (units)")+SUMIFS('Source 2026'!$G:$G,'Source 2026'!$B:$B,$A160,'Source 2026'!$A:$A,"Quantity (units)")+SUMIFS('Source 2026'!$J:$J,'Source 2026'!$B:$B,$A160,'Source 2026'!$A:$A,"Quantity (units)")+SUMIFS('Source 2026'!$M:$M,'Source 2026'!$B:$B,$A160,'Source 2026'!$A:$A,"Quantity (units)")</f>
        <v>30</v>
      </c>
      <c r="E160" s="8" t="n">
        <f aca="false">D160*$J$5</f>
        <v>41.1428571428571</v>
      </c>
      <c r="F160" s="8" t="n">
        <f aca="false">E160-C160</f>
        <v>-38.8571428571429</v>
      </c>
      <c r="G160" s="9" t="n">
        <f aca="false">IF(AND(C160=0,E160=0),0,IF(C160=0,"New",(E160-C160)/C160))</f>
        <v>-0.485714285714286</v>
      </c>
      <c r="H160" s="8" t="n">
        <f aca="false">SUMIFS('Source 2025'!$D:$D,'Source 2025'!$B:$B,$A160,'Source 2025'!$A:$A,"Amount (NIS)")+SUMIFS('Source 2025'!$E:$E,'Source 2025'!$B:$B,$A160,'Source 2025'!$A:$A,"Amount (NIS)")+SUMIFS('Source 2025'!$F:$F,'Source 2025'!$B:$B,$A160,'Source 2025'!$A:$A,"Amount (NIS)")+SUMIFS('Source 2025'!$G:$G,'Source 2025'!$B:$B,$A160,'Source 2025'!$A:$A,"Amount (NIS)")+SUMIFS('Source 2025'!$J:$J,'Source 2025'!$B:$B,$A160,'Source 2025'!$A:$A,"Amount (NIS)")+SUMIFS('Source 2025'!$M:$M,'Source 2025'!$B:$B,$A160,'Source 2025'!$A:$A,"Amount (NIS)")</f>
        <v>2603.8</v>
      </c>
      <c r="I160" s="8" t="n">
        <f aca="false">SUMIFS('Source 2026'!$D:$D,'Source 2026'!$B:$B,$A160,'Source 2026'!$A:$A,"Amount (NIS)")+SUMIFS('Source 2026'!$E:$E,'Source 2026'!$B:$B,$A160,'Source 2026'!$A:$A,"Amount (NIS)")+SUMIFS('Source 2026'!$F:$F,'Source 2026'!$B:$B,$A160,'Source 2026'!$A:$A,"Amount (NIS)")+SUMIFS('Source 2026'!$G:$G,'Source 2026'!$B:$B,$A160,'Source 2026'!$A:$A,"Amount (NIS)")+SUMIFS('Source 2026'!$J:$J,'Source 2026'!$B:$B,$A160,'Source 2026'!$A:$A,"Amount (NIS)")+SUMIFS('Source 2026'!$M:$M,'Source 2026'!$B:$B,$A160,'Source 2026'!$A:$A,"Amount (NIS)")</f>
        <v>971.3</v>
      </c>
      <c r="J160" s="8" t="n">
        <f aca="false">I160*$J$5</f>
        <v>1332.06857142857</v>
      </c>
      <c r="K160" s="8" t="n">
        <f aca="false">J160-H160</f>
        <v>-1271.73142857143</v>
      </c>
      <c r="L160" s="9" t="n">
        <f aca="false">IF(AND(H160=0,J160=0),0,IF(H160=0,"New",(J160-H160)/H160))</f>
        <v>-0.488413637211548</v>
      </c>
    </row>
    <row r="161" customFormat="false" ht="15" hidden="false" customHeight="false" outlineLevel="0" collapsed="false">
      <c r="A161" s="7" t="n">
        <v>4413097</v>
      </c>
      <c r="B161" s="7" t="str">
        <f aca="false">IFERROR(INDEX('Source 2026'!$C:$C,MATCH($A161,'Source 2026'!$B:$B,0)),IFERROR(INDEX('Source 2025'!$C:$C,MATCH($A161,'Source 2025'!$B:$B,0)),""))</f>
        <v>45C S מגן ברך חום</v>
      </c>
      <c r="C161" s="8" t="n">
        <f aca="false">SUMIFS('Source 2025'!$D:$D,'Source 2025'!$B:$B,$A161,'Source 2025'!$A:$A,"Quantity (units)")+SUMIFS('Source 2025'!$E:$E,'Source 2025'!$B:$B,$A161,'Source 2025'!$A:$A,"Quantity (units)")+SUMIFS('Source 2025'!$F:$F,'Source 2025'!$B:$B,$A161,'Source 2025'!$A:$A,"Quantity (units)")+SUMIFS('Source 2025'!$G:$G,'Source 2025'!$B:$B,$A161,'Source 2025'!$A:$A,"Quantity (units)")+SUMIFS('Source 2025'!$J:$J,'Source 2025'!$B:$B,$A161,'Source 2025'!$A:$A,"Quantity (units)")+SUMIFS('Source 2025'!$M:$M,'Source 2025'!$B:$B,$A161,'Source 2025'!$A:$A,"Quantity (units)")</f>
        <v>158</v>
      </c>
      <c r="D161" s="8" t="n">
        <f aca="false">SUMIFS('Source 2026'!$D:$D,'Source 2026'!$B:$B,$A161,'Source 2026'!$A:$A,"Quantity (units)")+SUMIFS('Source 2026'!$E:$E,'Source 2026'!$B:$B,$A161,'Source 2026'!$A:$A,"Quantity (units)")+SUMIFS('Source 2026'!$F:$F,'Source 2026'!$B:$B,$A161,'Source 2026'!$A:$A,"Quantity (units)")+SUMIFS('Source 2026'!$G:$G,'Source 2026'!$B:$B,$A161,'Source 2026'!$A:$A,"Quantity (units)")+SUMIFS('Source 2026'!$J:$J,'Source 2026'!$B:$B,$A161,'Source 2026'!$A:$A,"Quantity (units)")+SUMIFS('Source 2026'!$M:$M,'Source 2026'!$B:$B,$A161,'Source 2026'!$A:$A,"Quantity (units)")</f>
        <v>103</v>
      </c>
      <c r="E161" s="8" t="n">
        <f aca="false">D161*$J$5</f>
        <v>141.257142857143</v>
      </c>
      <c r="F161" s="8" t="n">
        <f aca="false">E161-C161</f>
        <v>-16.7428571428571</v>
      </c>
      <c r="G161" s="9" t="n">
        <f aca="false">IF(AND(C161=0,E161=0),0,IF(C161=0,"New",(E161-C161)/C161))</f>
        <v>-0.105967450271248</v>
      </c>
      <c r="H161" s="8" t="n">
        <f aca="false">SUMIFS('Source 2025'!$D:$D,'Source 2025'!$B:$B,$A161,'Source 2025'!$A:$A,"Amount (NIS)")+SUMIFS('Source 2025'!$E:$E,'Source 2025'!$B:$B,$A161,'Source 2025'!$A:$A,"Amount (NIS)")+SUMIFS('Source 2025'!$F:$F,'Source 2025'!$B:$B,$A161,'Source 2025'!$A:$A,"Amount (NIS)")+SUMIFS('Source 2025'!$G:$G,'Source 2025'!$B:$B,$A161,'Source 2025'!$A:$A,"Amount (NIS)")+SUMIFS('Source 2025'!$J:$J,'Source 2025'!$B:$B,$A161,'Source 2025'!$A:$A,"Amount (NIS)")+SUMIFS('Source 2025'!$M:$M,'Source 2025'!$B:$B,$A161,'Source 2025'!$A:$A,"Amount (NIS)")</f>
        <v>4737.2</v>
      </c>
      <c r="I161" s="8" t="n">
        <f aca="false">SUMIFS('Source 2026'!$D:$D,'Source 2026'!$B:$B,$A161,'Source 2026'!$A:$A,"Amount (NIS)")+SUMIFS('Source 2026'!$E:$E,'Source 2026'!$B:$B,$A161,'Source 2026'!$A:$A,"Amount (NIS)")+SUMIFS('Source 2026'!$F:$F,'Source 2026'!$B:$B,$A161,'Source 2026'!$A:$A,"Amount (NIS)")+SUMIFS('Source 2026'!$G:$G,'Source 2026'!$B:$B,$A161,'Source 2026'!$A:$A,"Amount (NIS)")+SUMIFS('Source 2026'!$J:$J,'Source 2026'!$B:$B,$A161,'Source 2026'!$A:$A,"Amount (NIS)")+SUMIFS('Source 2026'!$M:$M,'Source 2026'!$B:$B,$A161,'Source 2026'!$A:$A,"Amount (NIS)")</f>
        <v>3118.6</v>
      </c>
      <c r="J161" s="8" t="n">
        <f aca="false">I161*$J$5</f>
        <v>4276.93714285714</v>
      </c>
      <c r="K161" s="8" t="n">
        <f aca="false">J161-H161</f>
        <v>-460.262857142857</v>
      </c>
      <c r="L161" s="9" t="n">
        <f aca="false">IF(AND(H161=0,J161=0),0,IF(H161=0,"New",(J161-H161)/H161))</f>
        <v>-0.0971592622525662</v>
      </c>
    </row>
    <row r="162" customFormat="false" ht="15" hidden="false" customHeight="false" outlineLevel="0" collapsed="false">
      <c r="A162" s="7" t="n">
        <v>4418002</v>
      </c>
      <c r="B162" s="7" t="str">
        <f aca="false">IFERROR(INDEX('Source 2026'!$C:$C,MATCH($A162,'Source 2026'!$B:$B,0)),IFERROR(INDEX('Source 2025'!$C:$C,MATCH($A162,'Source 2025'!$B:$B,0)),""))</f>
        <v>60 S צוארון ספוגי</v>
      </c>
      <c r="C162" s="8" t="n">
        <f aca="false">SUMIFS('Source 2025'!$D:$D,'Source 2025'!$B:$B,$A162,'Source 2025'!$A:$A,"Quantity (units)")+SUMIFS('Source 2025'!$E:$E,'Source 2025'!$B:$B,$A162,'Source 2025'!$A:$A,"Quantity (units)")+SUMIFS('Source 2025'!$F:$F,'Source 2025'!$B:$B,$A162,'Source 2025'!$A:$A,"Quantity (units)")+SUMIFS('Source 2025'!$G:$G,'Source 2025'!$B:$B,$A162,'Source 2025'!$A:$A,"Quantity (units)")+SUMIFS('Source 2025'!$J:$J,'Source 2025'!$B:$B,$A162,'Source 2025'!$A:$A,"Quantity (units)")+SUMIFS('Source 2025'!$M:$M,'Source 2025'!$B:$B,$A162,'Source 2025'!$A:$A,"Quantity (units)")</f>
        <v>71</v>
      </c>
      <c r="D162" s="8" t="n">
        <f aca="false">SUMIFS('Source 2026'!$D:$D,'Source 2026'!$B:$B,$A162,'Source 2026'!$A:$A,"Quantity (units)")+SUMIFS('Source 2026'!$E:$E,'Source 2026'!$B:$B,$A162,'Source 2026'!$A:$A,"Quantity (units)")+SUMIFS('Source 2026'!$F:$F,'Source 2026'!$B:$B,$A162,'Source 2026'!$A:$A,"Quantity (units)")+SUMIFS('Source 2026'!$G:$G,'Source 2026'!$B:$B,$A162,'Source 2026'!$A:$A,"Quantity (units)")+SUMIFS('Source 2026'!$J:$J,'Source 2026'!$B:$B,$A162,'Source 2026'!$A:$A,"Quantity (units)")+SUMIFS('Source 2026'!$M:$M,'Source 2026'!$B:$B,$A162,'Source 2026'!$A:$A,"Quantity (units)")</f>
        <v>37</v>
      </c>
      <c r="E162" s="8" t="n">
        <f aca="false">D162*$J$5</f>
        <v>50.7428571428571</v>
      </c>
      <c r="F162" s="8" t="n">
        <f aca="false">E162-C162</f>
        <v>-20.2571428571429</v>
      </c>
      <c r="G162" s="9" t="n">
        <f aca="false">IF(AND(C162=0,E162=0),0,IF(C162=0,"New",(E162-C162)/C162))</f>
        <v>-0.285311871227364</v>
      </c>
      <c r="H162" s="8" t="n">
        <f aca="false">SUMIFS('Source 2025'!$D:$D,'Source 2025'!$B:$B,$A162,'Source 2025'!$A:$A,"Amount (NIS)")+SUMIFS('Source 2025'!$E:$E,'Source 2025'!$B:$B,$A162,'Source 2025'!$A:$A,"Amount (NIS)")+SUMIFS('Source 2025'!$F:$F,'Source 2025'!$B:$B,$A162,'Source 2025'!$A:$A,"Amount (NIS)")+SUMIFS('Source 2025'!$G:$G,'Source 2025'!$B:$B,$A162,'Source 2025'!$A:$A,"Amount (NIS)")+SUMIFS('Source 2025'!$J:$J,'Source 2025'!$B:$B,$A162,'Source 2025'!$A:$A,"Amount (NIS)")+SUMIFS('Source 2025'!$M:$M,'Source 2025'!$B:$B,$A162,'Source 2025'!$A:$A,"Amount (NIS)")</f>
        <v>3406.8</v>
      </c>
      <c r="I162" s="8" t="n">
        <f aca="false">SUMIFS('Source 2026'!$D:$D,'Source 2026'!$B:$B,$A162,'Source 2026'!$A:$A,"Amount (NIS)")+SUMIFS('Source 2026'!$E:$E,'Source 2026'!$B:$B,$A162,'Source 2026'!$A:$A,"Amount (NIS)")+SUMIFS('Source 2026'!$F:$F,'Source 2026'!$B:$B,$A162,'Source 2026'!$A:$A,"Amount (NIS)")+SUMIFS('Source 2026'!$G:$G,'Source 2026'!$B:$B,$A162,'Source 2026'!$A:$A,"Amount (NIS)")+SUMIFS('Source 2026'!$J:$J,'Source 2026'!$B:$B,$A162,'Source 2026'!$A:$A,"Amount (NIS)")+SUMIFS('Source 2026'!$M:$M,'Source 2026'!$B:$B,$A162,'Source 2026'!$A:$A,"Amount (NIS)")</f>
        <v>1803.2</v>
      </c>
      <c r="J162" s="8" t="n">
        <f aca="false">I162*$J$5</f>
        <v>2472.96</v>
      </c>
      <c r="K162" s="8" t="n">
        <f aca="false">J162-H162</f>
        <v>-933.84</v>
      </c>
      <c r="L162" s="9" t="n">
        <f aca="false">IF(AND(H162=0,J162=0),0,IF(H162=0,"New",(J162-H162)/H162))</f>
        <v>-0.274110602324762</v>
      </c>
    </row>
    <row r="163" customFormat="false" ht="15" hidden="false" customHeight="false" outlineLevel="0" collapsed="false">
      <c r="A163" s="7" t="n">
        <v>4413501</v>
      </c>
      <c r="B163" s="7" t="str">
        <f aca="false">IFERROR(INDEX('Source 2026'!$C:$C,MATCH($A163,'Source 2026'!$B:$B,0)),IFERROR(INDEX('Source 2025'!$C:$C,MATCH($A163,'Source 2025'!$B:$B,0)),""))</f>
        <v>95B M מגן מרפק שחור</v>
      </c>
      <c r="C163" s="8" t="n">
        <f aca="false">SUMIFS('Source 2025'!$D:$D,'Source 2025'!$B:$B,$A163,'Source 2025'!$A:$A,"Quantity (units)")+SUMIFS('Source 2025'!$E:$E,'Source 2025'!$B:$B,$A163,'Source 2025'!$A:$A,"Quantity (units)")+SUMIFS('Source 2025'!$F:$F,'Source 2025'!$B:$B,$A163,'Source 2025'!$A:$A,"Quantity (units)")+SUMIFS('Source 2025'!$G:$G,'Source 2025'!$B:$B,$A163,'Source 2025'!$A:$A,"Quantity (units)")+SUMIFS('Source 2025'!$J:$J,'Source 2025'!$B:$B,$A163,'Source 2025'!$A:$A,"Quantity (units)")+SUMIFS('Source 2025'!$M:$M,'Source 2025'!$B:$B,$A163,'Source 2025'!$A:$A,"Quantity (units)")</f>
        <v>169</v>
      </c>
      <c r="D163" s="8" t="n">
        <f aca="false">SUMIFS('Source 2026'!$D:$D,'Source 2026'!$B:$B,$A163,'Source 2026'!$A:$A,"Quantity (units)")+SUMIFS('Source 2026'!$E:$E,'Source 2026'!$B:$B,$A163,'Source 2026'!$A:$A,"Quantity (units)")+SUMIFS('Source 2026'!$F:$F,'Source 2026'!$B:$B,$A163,'Source 2026'!$A:$A,"Quantity (units)")+SUMIFS('Source 2026'!$G:$G,'Source 2026'!$B:$B,$A163,'Source 2026'!$A:$A,"Quantity (units)")+SUMIFS('Source 2026'!$J:$J,'Source 2026'!$B:$B,$A163,'Source 2026'!$A:$A,"Quantity (units)")+SUMIFS('Source 2026'!$M:$M,'Source 2026'!$B:$B,$A163,'Source 2026'!$A:$A,"Quantity (units)")</f>
        <v>112</v>
      </c>
      <c r="E163" s="8" t="n">
        <f aca="false">D163*$J$5</f>
        <v>153.6</v>
      </c>
      <c r="F163" s="8" t="n">
        <f aca="false">E163-C163</f>
        <v>-15.4</v>
      </c>
      <c r="G163" s="9" t="n">
        <f aca="false">IF(AND(C163=0,E163=0),0,IF(C163=0,"New",(E163-C163)/C163))</f>
        <v>-0.0911242603550296</v>
      </c>
      <c r="H163" s="8" t="n">
        <f aca="false">SUMIFS('Source 2025'!$D:$D,'Source 2025'!$B:$B,$A163,'Source 2025'!$A:$A,"Amount (NIS)")+SUMIFS('Source 2025'!$E:$E,'Source 2025'!$B:$B,$A163,'Source 2025'!$A:$A,"Amount (NIS)")+SUMIFS('Source 2025'!$F:$F,'Source 2025'!$B:$B,$A163,'Source 2025'!$A:$A,"Amount (NIS)")+SUMIFS('Source 2025'!$G:$G,'Source 2025'!$B:$B,$A163,'Source 2025'!$A:$A,"Amount (NIS)")+SUMIFS('Source 2025'!$J:$J,'Source 2025'!$B:$B,$A163,'Source 2025'!$A:$A,"Amount (NIS)")+SUMIFS('Source 2025'!$M:$M,'Source 2025'!$B:$B,$A163,'Source 2025'!$A:$A,"Amount (NIS)")</f>
        <v>5003.7</v>
      </c>
      <c r="I163" s="8" t="n">
        <f aca="false">SUMIFS('Source 2026'!$D:$D,'Source 2026'!$B:$B,$A163,'Source 2026'!$A:$A,"Amount (NIS)")+SUMIFS('Source 2026'!$E:$E,'Source 2026'!$B:$B,$A163,'Source 2026'!$A:$A,"Amount (NIS)")+SUMIFS('Source 2026'!$F:$F,'Source 2026'!$B:$B,$A163,'Source 2026'!$A:$A,"Amount (NIS)")+SUMIFS('Source 2026'!$G:$G,'Source 2026'!$B:$B,$A163,'Source 2026'!$A:$A,"Amount (NIS)")+SUMIFS('Source 2026'!$J:$J,'Source 2026'!$B:$B,$A163,'Source 2026'!$A:$A,"Amount (NIS)")+SUMIFS('Source 2026'!$M:$M,'Source 2026'!$B:$B,$A163,'Source 2026'!$A:$A,"Amount (NIS)")</f>
        <v>3420.6</v>
      </c>
      <c r="J163" s="8" t="n">
        <f aca="false">I163*$J$5</f>
        <v>4691.10857142857</v>
      </c>
      <c r="K163" s="8" t="n">
        <f aca="false">J163-H163</f>
        <v>-312.591428571429</v>
      </c>
      <c r="L163" s="9" t="n">
        <f aca="false">IF(AND(H163=0,J163=0),0,IF(H163=0,"New",(J163-H163)/H163))</f>
        <v>-0.0624720563925553</v>
      </c>
    </row>
    <row r="164" customFormat="false" ht="15" hidden="false" customHeight="false" outlineLevel="0" collapsed="false">
      <c r="A164" s="7" t="n">
        <v>4409001</v>
      </c>
      <c r="B164" s="7" t="str">
        <f aca="false">IFERROR(INDEX('Source 2026'!$C:$C,MATCH($A164,'Source 2026'!$B:$B,0)),IFERROR(INDEX('Source 2025'!$C:$C,MATCH($A164,'Source 2025'!$B:$B,0)),""))</f>
        <v>365  X-Lטבעת אלסטית מסיליקון</v>
      </c>
      <c r="C164" s="8" t="n">
        <f aca="false">SUMIFS('Source 2025'!$D:$D,'Source 2025'!$B:$B,$A164,'Source 2025'!$A:$A,"Quantity (units)")+SUMIFS('Source 2025'!$E:$E,'Source 2025'!$B:$B,$A164,'Source 2025'!$A:$A,"Quantity (units)")+SUMIFS('Source 2025'!$F:$F,'Source 2025'!$B:$B,$A164,'Source 2025'!$A:$A,"Quantity (units)")+SUMIFS('Source 2025'!$G:$G,'Source 2025'!$B:$B,$A164,'Source 2025'!$A:$A,"Quantity (units)")+SUMIFS('Source 2025'!$J:$J,'Source 2025'!$B:$B,$A164,'Source 2025'!$A:$A,"Quantity (units)")+SUMIFS('Source 2025'!$M:$M,'Source 2025'!$B:$B,$A164,'Source 2025'!$A:$A,"Quantity (units)")</f>
        <v>259</v>
      </c>
      <c r="D164" s="8" t="n">
        <f aca="false">SUMIFS('Source 2026'!$D:$D,'Source 2026'!$B:$B,$A164,'Source 2026'!$A:$A,"Quantity (units)")+SUMIFS('Source 2026'!$E:$E,'Source 2026'!$B:$B,$A164,'Source 2026'!$A:$A,"Quantity (units)")+SUMIFS('Source 2026'!$F:$F,'Source 2026'!$B:$B,$A164,'Source 2026'!$A:$A,"Quantity (units)")+SUMIFS('Source 2026'!$G:$G,'Source 2026'!$B:$B,$A164,'Source 2026'!$A:$A,"Quantity (units)")+SUMIFS('Source 2026'!$J:$J,'Source 2026'!$B:$B,$A164,'Source 2026'!$A:$A,"Quantity (units)")+SUMIFS('Source 2026'!$M:$M,'Source 2026'!$B:$B,$A164,'Source 2026'!$A:$A,"Quantity (units)")</f>
        <v>140</v>
      </c>
      <c r="E164" s="8" t="n">
        <f aca="false">D164*$J$5</f>
        <v>192</v>
      </c>
      <c r="F164" s="8" t="n">
        <f aca="false">E164-C164</f>
        <v>-67</v>
      </c>
      <c r="G164" s="9" t="n">
        <f aca="false">IF(AND(C164=0,E164=0),0,IF(C164=0,"New",(E164-C164)/C164))</f>
        <v>-0.258687258687259</v>
      </c>
      <c r="H164" s="8" t="n">
        <f aca="false">SUMIFS('Source 2025'!$D:$D,'Source 2025'!$B:$B,$A164,'Source 2025'!$A:$A,"Amount (NIS)")+SUMIFS('Source 2025'!$E:$E,'Source 2025'!$B:$B,$A164,'Source 2025'!$A:$A,"Amount (NIS)")+SUMIFS('Source 2025'!$F:$F,'Source 2025'!$B:$B,$A164,'Source 2025'!$A:$A,"Amount (NIS)")+SUMIFS('Source 2025'!$G:$G,'Source 2025'!$B:$B,$A164,'Source 2025'!$A:$A,"Amount (NIS)")+SUMIFS('Source 2025'!$J:$J,'Source 2025'!$B:$B,$A164,'Source 2025'!$A:$A,"Amount (NIS)")+SUMIFS('Source 2025'!$M:$M,'Source 2025'!$B:$B,$A164,'Source 2025'!$A:$A,"Amount (NIS)")</f>
        <v>3377.2</v>
      </c>
      <c r="I164" s="8" t="n">
        <f aca="false">SUMIFS('Source 2026'!$D:$D,'Source 2026'!$B:$B,$A164,'Source 2026'!$A:$A,"Amount (NIS)")+SUMIFS('Source 2026'!$E:$E,'Source 2026'!$B:$B,$A164,'Source 2026'!$A:$A,"Amount (NIS)")+SUMIFS('Source 2026'!$F:$F,'Source 2026'!$B:$B,$A164,'Source 2026'!$A:$A,"Amount (NIS)")+SUMIFS('Source 2026'!$G:$G,'Source 2026'!$B:$B,$A164,'Source 2026'!$A:$A,"Amount (NIS)")+SUMIFS('Source 2026'!$J:$J,'Source 2026'!$B:$B,$A164,'Source 2026'!$A:$A,"Amount (NIS)")+SUMIFS('Source 2026'!$M:$M,'Source 2026'!$B:$B,$A164,'Source 2026'!$A:$A,"Amount (NIS)")</f>
        <v>1798.7</v>
      </c>
      <c r="J164" s="8" t="n">
        <f aca="false">I164*$J$5</f>
        <v>2466.78857142857</v>
      </c>
      <c r="K164" s="8" t="n">
        <f aca="false">J164-H164</f>
        <v>-910.411428571428</v>
      </c>
      <c r="L164" s="9" t="n">
        <f aca="false">IF(AND(H164=0,J164=0),0,IF(H164=0,"New",(J164-H164)/H164))</f>
        <v>-0.269575810899985</v>
      </c>
    </row>
    <row r="165" customFormat="false" ht="15" hidden="false" customHeight="false" outlineLevel="0" collapsed="false">
      <c r="A165" s="7" t="n">
        <v>4413522</v>
      </c>
      <c r="B165" s="7" t="str">
        <f aca="false">IFERROR(INDEX('Source 2026'!$C:$C,MATCH($A165,'Source 2026'!$B:$B,0)),IFERROR(INDEX('Source 2025'!$C:$C,MATCH($A165,'Source 2025'!$B:$B,0)),""))</f>
        <v>מדרסי אפיק ג'ל מולט.ספורט43-47</v>
      </c>
      <c r="C165" s="8" t="n">
        <f aca="false">SUMIFS('Source 2025'!$D:$D,'Source 2025'!$B:$B,$A165,'Source 2025'!$A:$A,"Quantity (units)")+SUMIFS('Source 2025'!$E:$E,'Source 2025'!$B:$B,$A165,'Source 2025'!$A:$A,"Quantity (units)")+SUMIFS('Source 2025'!$F:$F,'Source 2025'!$B:$B,$A165,'Source 2025'!$A:$A,"Quantity (units)")+SUMIFS('Source 2025'!$G:$G,'Source 2025'!$B:$B,$A165,'Source 2025'!$A:$A,"Quantity (units)")+SUMIFS('Source 2025'!$J:$J,'Source 2025'!$B:$B,$A165,'Source 2025'!$A:$A,"Quantity (units)")+SUMIFS('Source 2025'!$M:$M,'Source 2025'!$B:$B,$A165,'Source 2025'!$A:$A,"Quantity (units)")</f>
        <v>27</v>
      </c>
      <c r="D165" s="8" t="n">
        <f aca="false">SUMIFS('Source 2026'!$D:$D,'Source 2026'!$B:$B,$A165,'Source 2026'!$A:$A,"Quantity (units)")+SUMIFS('Source 2026'!$E:$E,'Source 2026'!$B:$B,$A165,'Source 2026'!$A:$A,"Quantity (units)")+SUMIFS('Source 2026'!$F:$F,'Source 2026'!$B:$B,$A165,'Source 2026'!$A:$A,"Quantity (units)")+SUMIFS('Source 2026'!$G:$G,'Source 2026'!$B:$B,$A165,'Source 2026'!$A:$A,"Quantity (units)")+SUMIFS('Source 2026'!$J:$J,'Source 2026'!$B:$B,$A165,'Source 2026'!$A:$A,"Quantity (units)")+SUMIFS('Source 2026'!$M:$M,'Source 2026'!$B:$B,$A165,'Source 2026'!$A:$A,"Quantity (units)")</f>
        <v>11</v>
      </c>
      <c r="E165" s="8" t="n">
        <f aca="false">D165*$J$5</f>
        <v>15.0857142857143</v>
      </c>
      <c r="F165" s="8" t="n">
        <f aca="false">E165-C165</f>
        <v>-11.9142857142857</v>
      </c>
      <c r="G165" s="9" t="n">
        <f aca="false">IF(AND(C165=0,E165=0),0,IF(C165=0,"New",(E165-C165)/C165))</f>
        <v>-0.441269841269841</v>
      </c>
      <c r="H165" s="8" t="n">
        <f aca="false">SUMIFS('Source 2025'!$D:$D,'Source 2025'!$B:$B,$A165,'Source 2025'!$A:$A,"Amount (NIS)")+SUMIFS('Source 2025'!$E:$E,'Source 2025'!$B:$B,$A165,'Source 2025'!$A:$A,"Amount (NIS)")+SUMIFS('Source 2025'!$F:$F,'Source 2025'!$B:$B,$A165,'Source 2025'!$A:$A,"Amount (NIS)")+SUMIFS('Source 2025'!$G:$G,'Source 2025'!$B:$B,$A165,'Source 2025'!$A:$A,"Amount (NIS)")+SUMIFS('Source 2025'!$J:$J,'Source 2025'!$B:$B,$A165,'Source 2025'!$A:$A,"Amount (NIS)")+SUMIFS('Source 2025'!$M:$M,'Source 2025'!$B:$B,$A165,'Source 2025'!$A:$A,"Amount (NIS)")</f>
        <v>2824.7</v>
      </c>
      <c r="I165" s="8" t="n">
        <f aca="false">SUMIFS('Source 2026'!$D:$D,'Source 2026'!$B:$B,$A165,'Source 2026'!$A:$A,"Amount (NIS)")+SUMIFS('Source 2026'!$E:$E,'Source 2026'!$B:$B,$A165,'Source 2026'!$A:$A,"Amount (NIS)")+SUMIFS('Source 2026'!$F:$F,'Source 2026'!$B:$B,$A165,'Source 2026'!$A:$A,"Amount (NIS)")+SUMIFS('Source 2026'!$G:$G,'Source 2026'!$B:$B,$A165,'Source 2026'!$A:$A,"Amount (NIS)")+SUMIFS('Source 2026'!$J:$J,'Source 2026'!$B:$B,$A165,'Source 2026'!$A:$A,"Amount (NIS)")+SUMIFS('Source 2026'!$M:$M,'Source 2026'!$B:$B,$A165,'Source 2026'!$A:$A,"Amount (NIS)")</f>
        <v>1253.7</v>
      </c>
      <c r="J165" s="8" t="n">
        <f aca="false">I165*$J$5</f>
        <v>1719.36</v>
      </c>
      <c r="K165" s="8" t="n">
        <f aca="false">J165-H165</f>
        <v>-1105.34</v>
      </c>
      <c r="L165" s="9" t="n">
        <f aca="false">IF(AND(H165=0,J165=0),0,IF(H165=0,"New",(J165-H165)/H165))</f>
        <v>-0.391312351754169</v>
      </c>
    </row>
    <row r="166" customFormat="false" ht="15" hidden="false" customHeight="false" outlineLevel="0" collapsed="false">
      <c r="A166" s="7" t="n">
        <v>4403018</v>
      </c>
      <c r="B166" s="7" t="str">
        <f aca="false">IFERROR(INDEX('Source 2026'!$C:$C,MATCH($A166,'Source 2026'!$B:$B,0)),IFERROR(INDEX('Source 2025'!$C:$C,MATCH($A166,'Source 2025'!$B:$B,0)),""))</f>
        <v>394B גרב.כסף לסכרתים שחור39-42</v>
      </c>
      <c r="C166" s="8" t="n">
        <f aca="false">SUMIFS('Source 2025'!$D:$D,'Source 2025'!$B:$B,$A166,'Source 2025'!$A:$A,"Quantity (units)")+SUMIFS('Source 2025'!$E:$E,'Source 2025'!$B:$B,$A166,'Source 2025'!$A:$A,"Quantity (units)")+SUMIFS('Source 2025'!$F:$F,'Source 2025'!$B:$B,$A166,'Source 2025'!$A:$A,"Quantity (units)")+SUMIFS('Source 2025'!$G:$G,'Source 2025'!$B:$B,$A166,'Source 2025'!$A:$A,"Quantity (units)")+SUMIFS('Source 2025'!$J:$J,'Source 2025'!$B:$B,$A166,'Source 2025'!$A:$A,"Quantity (units)")+SUMIFS('Source 2025'!$M:$M,'Source 2025'!$B:$B,$A166,'Source 2025'!$A:$A,"Quantity (units)")</f>
        <v>123</v>
      </c>
      <c r="D166" s="8" t="n">
        <f aca="false">SUMIFS('Source 2026'!$D:$D,'Source 2026'!$B:$B,$A166,'Source 2026'!$A:$A,"Quantity (units)")+SUMIFS('Source 2026'!$E:$E,'Source 2026'!$B:$B,$A166,'Source 2026'!$A:$A,"Quantity (units)")+SUMIFS('Source 2026'!$F:$F,'Source 2026'!$B:$B,$A166,'Source 2026'!$A:$A,"Quantity (units)")+SUMIFS('Source 2026'!$G:$G,'Source 2026'!$B:$B,$A166,'Source 2026'!$A:$A,"Quantity (units)")+SUMIFS('Source 2026'!$J:$J,'Source 2026'!$B:$B,$A166,'Source 2026'!$A:$A,"Quantity (units)")+SUMIFS('Source 2026'!$M:$M,'Source 2026'!$B:$B,$A166,'Source 2026'!$A:$A,"Quantity (units)")</f>
        <v>61</v>
      </c>
      <c r="E166" s="8" t="n">
        <f aca="false">D166*$J$5</f>
        <v>83.6571428571429</v>
      </c>
      <c r="F166" s="8" t="n">
        <f aca="false">E166-C166</f>
        <v>-39.3428571428571</v>
      </c>
      <c r="G166" s="9" t="n">
        <f aca="false">IF(AND(C166=0,E166=0),0,IF(C166=0,"New",(E166-C166)/C166))</f>
        <v>-0.3198606271777</v>
      </c>
      <c r="H166" s="8" t="n">
        <f aca="false">SUMIFS('Source 2025'!$D:$D,'Source 2025'!$B:$B,$A166,'Source 2025'!$A:$A,"Amount (NIS)")+SUMIFS('Source 2025'!$E:$E,'Source 2025'!$B:$B,$A166,'Source 2025'!$A:$A,"Amount (NIS)")+SUMIFS('Source 2025'!$F:$F,'Source 2025'!$B:$B,$A166,'Source 2025'!$A:$A,"Amount (NIS)")+SUMIFS('Source 2025'!$G:$G,'Source 2025'!$B:$B,$A166,'Source 2025'!$A:$A,"Amount (NIS)")+SUMIFS('Source 2025'!$J:$J,'Source 2025'!$B:$B,$A166,'Source 2025'!$A:$A,"Amount (NIS)")+SUMIFS('Source 2025'!$M:$M,'Source 2025'!$B:$B,$A166,'Source 2025'!$A:$A,"Amount (NIS)")</f>
        <v>3121.1</v>
      </c>
      <c r="I166" s="8" t="n">
        <f aca="false">SUMIFS('Source 2026'!$D:$D,'Source 2026'!$B:$B,$A166,'Source 2026'!$A:$A,"Amount (NIS)")+SUMIFS('Source 2026'!$E:$E,'Source 2026'!$B:$B,$A166,'Source 2026'!$A:$A,"Amount (NIS)")+SUMIFS('Source 2026'!$F:$F,'Source 2026'!$B:$B,$A166,'Source 2026'!$A:$A,"Amount (NIS)")+SUMIFS('Source 2026'!$G:$G,'Source 2026'!$B:$B,$A166,'Source 2026'!$A:$A,"Amount (NIS)")+SUMIFS('Source 2026'!$J:$J,'Source 2026'!$B:$B,$A166,'Source 2026'!$A:$A,"Amount (NIS)")+SUMIFS('Source 2026'!$M:$M,'Source 2026'!$B:$B,$A166,'Source 2026'!$A:$A,"Amount (NIS)")</f>
        <v>1578.1</v>
      </c>
      <c r="J166" s="8" t="n">
        <f aca="false">I166*$J$5</f>
        <v>2164.25142857143</v>
      </c>
      <c r="K166" s="8" t="n">
        <f aca="false">J166-H166</f>
        <v>-956.848571428572</v>
      </c>
      <c r="L166" s="9" t="n">
        <f aca="false">IF(AND(H166=0,J166=0),0,IF(H166=0,"New",(J166-H166)/H166))</f>
        <v>-0.30657414739309</v>
      </c>
    </row>
    <row r="167" customFormat="false" ht="15" hidden="false" customHeight="false" outlineLevel="0" collapsed="false">
      <c r="A167" s="7" t="n">
        <v>4403002</v>
      </c>
      <c r="B167" s="7" t="str">
        <f aca="false">IFERROR(INDEX('Source 2026'!$C:$C,MATCH($A167,'Source 2026'!$B:$B,0)),IFERROR(INDEX('Source 2025'!$C:$C,MATCH($A167,'Source 2025'!$B:$B,0)),""))</f>
        <v>390B 43-46.גרב.כסף לסכרתיים שח</v>
      </c>
      <c r="C167" s="8" t="n">
        <f aca="false">SUMIFS('Source 2025'!$D:$D,'Source 2025'!$B:$B,$A167,'Source 2025'!$A:$A,"Quantity (units)")+SUMIFS('Source 2025'!$E:$E,'Source 2025'!$B:$B,$A167,'Source 2025'!$A:$A,"Quantity (units)")+SUMIFS('Source 2025'!$F:$F,'Source 2025'!$B:$B,$A167,'Source 2025'!$A:$A,"Quantity (units)")+SUMIFS('Source 2025'!$G:$G,'Source 2025'!$B:$B,$A167,'Source 2025'!$A:$A,"Quantity (units)")+SUMIFS('Source 2025'!$J:$J,'Source 2025'!$B:$B,$A167,'Source 2025'!$A:$A,"Quantity (units)")+SUMIFS('Source 2025'!$M:$M,'Source 2025'!$B:$B,$A167,'Source 2025'!$A:$A,"Quantity (units)")</f>
        <v>73</v>
      </c>
      <c r="D167" s="8" t="n">
        <f aca="false">SUMIFS('Source 2026'!$D:$D,'Source 2026'!$B:$B,$A167,'Source 2026'!$A:$A,"Quantity (units)")+SUMIFS('Source 2026'!$E:$E,'Source 2026'!$B:$B,$A167,'Source 2026'!$A:$A,"Quantity (units)")+SUMIFS('Source 2026'!$F:$F,'Source 2026'!$B:$B,$A167,'Source 2026'!$A:$A,"Quantity (units)")+SUMIFS('Source 2026'!$G:$G,'Source 2026'!$B:$B,$A167,'Source 2026'!$A:$A,"Quantity (units)")+SUMIFS('Source 2026'!$J:$J,'Source 2026'!$B:$B,$A167,'Source 2026'!$A:$A,"Quantity (units)")+SUMIFS('Source 2026'!$M:$M,'Source 2026'!$B:$B,$A167,'Source 2026'!$A:$A,"Quantity (units)")</f>
        <v>23</v>
      </c>
      <c r="E167" s="8" t="n">
        <f aca="false">D167*$J$5</f>
        <v>31.5428571428571</v>
      </c>
      <c r="F167" s="8" t="n">
        <f aca="false">E167-C167</f>
        <v>-41.4571428571429</v>
      </c>
      <c r="G167" s="9" t="n">
        <f aca="false">IF(AND(C167=0,E167=0),0,IF(C167=0,"New",(E167-C167)/C167))</f>
        <v>-0.567906066536204</v>
      </c>
      <c r="H167" s="8" t="n">
        <f aca="false">SUMIFS('Source 2025'!$D:$D,'Source 2025'!$B:$B,$A167,'Source 2025'!$A:$A,"Amount (NIS)")+SUMIFS('Source 2025'!$E:$E,'Source 2025'!$B:$B,$A167,'Source 2025'!$A:$A,"Amount (NIS)")+SUMIFS('Source 2025'!$F:$F,'Source 2025'!$B:$B,$A167,'Source 2025'!$A:$A,"Amount (NIS)")+SUMIFS('Source 2025'!$G:$G,'Source 2025'!$B:$B,$A167,'Source 2025'!$A:$A,"Amount (NIS)")+SUMIFS('Source 2025'!$J:$J,'Source 2025'!$B:$B,$A167,'Source 2025'!$A:$A,"Amount (NIS)")+SUMIFS('Source 2025'!$M:$M,'Source 2025'!$B:$B,$A167,'Source 2025'!$A:$A,"Amount (NIS)")</f>
        <v>2296</v>
      </c>
      <c r="I167" s="8" t="n">
        <f aca="false">SUMIFS('Source 2026'!$D:$D,'Source 2026'!$B:$B,$A167,'Source 2026'!$A:$A,"Amount (NIS)")+SUMIFS('Source 2026'!$E:$E,'Source 2026'!$B:$B,$A167,'Source 2026'!$A:$A,"Amount (NIS)")+SUMIFS('Source 2026'!$F:$F,'Source 2026'!$B:$B,$A167,'Source 2026'!$A:$A,"Amount (NIS)")+SUMIFS('Source 2026'!$G:$G,'Source 2026'!$B:$B,$A167,'Source 2026'!$A:$A,"Amount (NIS)")+SUMIFS('Source 2026'!$J:$J,'Source 2026'!$B:$B,$A167,'Source 2026'!$A:$A,"Amount (NIS)")+SUMIFS('Source 2026'!$M:$M,'Source 2026'!$B:$B,$A167,'Source 2026'!$A:$A,"Amount (NIS)")</f>
        <v>763</v>
      </c>
      <c r="J167" s="8" t="n">
        <f aca="false">I167*$J$5</f>
        <v>1046.4</v>
      </c>
      <c r="K167" s="8" t="n">
        <f aca="false">J167-H167</f>
        <v>-1249.6</v>
      </c>
      <c r="L167" s="9" t="n">
        <f aca="false">IF(AND(H167=0,J167=0),0,IF(H167=0,"New",(J167-H167)/H167))</f>
        <v>-0.544250871080139</v>
      </c>
    </row>
    <row r="168" customFormat="false" ht="15" hidden="false" customHeight="false" outlineLevel="0" collapsed="false">
      <c r="A168" s="7" t="n">
        <v>4413156</v>
      </c>
      <c r="B168" s="7" t="str">
        <f aca="false">IFERROR(INDEX('Source 2026'!$C:$C,MATCH($A168,'Source 2026'!$B:$B,0)),IFERROR(INDEX('Source 2025'!$C:$C,MATCH($A168,'Source 2025'!$B:$B,0)),""))</f>
        <v>305GA מדרס אורטופ.מתכוון41-42</v>
      </c>
      <c r="C168" s="8" t="n">
        <f aca="false">SUMIFS('Source 2025'!$D:$D,'Source 2025'!$B:$B,$A168,'Source 2025'!$A:$A,"Quantity (units)")+SUMIFS('Source 2025'!$E:$E,'Source 2025'!$B:$B,$A168,'Source 2025'!$A:$A,"Quantity (units)")+SUMIFS('Source 2025'!$F:$F,'Source 2025'!$B:$B,$A168,'Source 2025'!$A:$A,"Quantity (units)")+SUMIFS('Source 2025'!$G:$G,'Source 2025'!$B:$B,$A168,'Source 2025'!$A:$A,"Quantity (units)")+SUMIFS('Source 2025'!$J:$J,'Source 2025'!$B:$B,$A168,'Source 2025'!$A:$A,"Quantity (units)")+SUMIFS('Source 2025'!$M:$M,'Source 2025'!$B:$B,$A168,'Source 2025'!$A:$A,"Quantity (units)")</f>
        <v>36</v>
      </c>
      <c r="D168" s="8" t="n">
        <f aca="false">SUMIFS('Source 2026'!$D:$D,'Source 2026'!$B:$B,$A168,'Source 2026'!$A:$A,"Quantity (units)")+SUMIFS('Source 2026'!$E:$E,'Source 2026'!$B:$B,$A168,'Source 2026'!$A:$A,"Quantity (units)")+SUMIFS('Source 2026'!$F:$F,'Source 2026'!$B:$B,$A168,'Source 2026'!$A:$A,"Quantity (units)")+SUMIFS('Source 2026'!$G:$G,'Source 2026'!$B:$B,$A168,'Source 2026'!$A:$A,"Quantity (units)")+SUMIFS('Source 2026'!$J:$J,'Source 2026'!$B:$B,$A168,'Source 2026'!$A:$A,"Quantity (units)")+SUMIFS('Source 2026'!$M:$M,'Source 2026'!$B:$B,$A168,'Source 2026'!$A:$A,"Quantity (units)")</f>
        <v>16</v>
      </c>
      <c r="E168" s="8" t="n">
        <f aca="false">D168*$J$5</f>
        <v>21.9428571428571</v>
      </c>
      <c r="F168" s="8" t="n">
        <f aca="false">E168-C168</f>
        <v>-14.0571428571429</v>
      </c>
      <c r="G168" s="9" t="n">
        <f aca="false">IF(AND(C168=0,E168=0),0,IF(C168=0,"New",(E168-C168)/C168))</f>
        <v>-0.390476190476191</v>
      </c>
      <c r="H168" s="8" t="n">
        <f aca="false">SUMIFS('Source 2025'!$D:$D,'Source 2025'!$B:$B,$A168,'Source 2025'!$A:$A,"Amount (NIS)")+SUMIFS('Source 2025'!$E:$E,'Source 2025'!$B:$B,$A168,'Source 2025'!$A:$A,"Amount (NIS)")+SUMIFS('Source 2025'!$F:$F,'Source 2025'!$B:$B,$A168,'Source 2025'!$A:$A,"Amount (NIS)")+SUMIFS('Source 2025'!$G:$G,'Source 2025'!$B:$B,$A168,'Source 2025'!$A:$A,"Amount (NIS)")+SUMIFS('Source 2025'!$J:$J,'Source 2025'!$B:$B,$A168,'Source 2025'!$A:$A,"Amount (NIS)")+SUMIFS('Source 2025'!$M:$M,'Source 2025'!$B:$B,$A168,'Source 2025'!$A:$A,"Amount (NIS)")</f>
        <v>3080.1</v>
      </c>
      <c r="I168" s="8" t="n">
        <f aca="false">SUMIFS('Source 2026'!$D:$D,'Source 2026'!$B:$B,$A168,'Source 2026'!$A:$A,"Amount (NIS)")+SUMIFS('Source 2026'!$E:$E,'Source 2026'!$B:$B,$A168,'Source 2026'!$A:$A,"Amount (NIS)")+SUMIFS('Source 2026'!$F:$F,'Source 2026'!$B:$B,$A168,'Source 2026'!$A:$A,"Amount (NIS)")+SUMIFS('Source 2026'!$G:$G,'Source 2026'!$B:$B,$A168,'Source 2026'!$A:$A,"Amount (NIS)")+SUMIFS('Source 2026'!$J:$J,'Source 2026'!$B:$B,$A168,'Source 2026'!$A:$A,"Amount (NIS)")+SUMIFS('Source 2026'!$M:$M,'Source 2026'!$B:$B,$A168,'Source 2026'!$A:$A,"Amount (NIS)")</f>
        <v>1554</v>
      </c>
      <c r="J168" s="8" t="n">
        <f aca="false">I168*$J$5</f>
        <v>2131.2</v>
      </c>
      <c r="K168" s="8" t="n">
        <f aca="false">J168-H168</f>
        <v>-948.9</v>
      </c>
      <c r="L168" s="9" t="n">
        <f aca="false">IF(AND(H168=0,J168=0),0,IF(H168=0,"New",(J168-H168)/H168))</f>
        <v>-0.308074413168404</v>
      </c>
    </row>
    <row r="169" customFormat="false" ht="15" hidden="false" customHeight="false" outlineLevel="0" collapsed="false">
      <c r="A169" s="7" t="n">
        <v>4413134</v>
      </c>
      <c r="B169" s="7" t="str">
        <f aca="false">IFERROR(INDEX('Source 2026'!$C:$C,MATCH($A169,'Source 2026'!$B:$B,0)),IFERROR(INDEX('Source 2025'!$C:$C,MATCH($A169,'Source 2025'!$B:$B,0)),""))</f>
        <v>76 XLמיישר כתף יציב יישור רחב</v>
      </c>
      <c r="C169" s="8" t="n">
        <f aca="false">SUMIFS('Source 2025'!$D:$D,'Source 2025'!$B:$B,$A169,'Source 2025'!$A:$A,"Quantity (units)")+SUMIFS('Source 2025'!$E:$E,'Source 2025'!$B:$B,$A169,'Source 2025'!$A:$A,"Quantity (units)")+SUMIFS('Source 2025'!$F:$F,'Source 2025'!$B:$B,$A169,'Source 2025'!$A:$A,"Quantity (units)")+SUMIFS('Source 2025'!$G:$G,'Source 2025'!$B:$B,$A169,'Source 2025'!$A:$A,"Quantity (units)")+SUMIFS('Source 2025'!$J:$J,'Source 2025'!$B:$B,$A169,'Source 2025'!$A:$A,"Quantity (units)")+SUMIFS('Source 2025'!$M:$M,'Source 2025'!$B:$B,$A169,'Source 2025'!$A:$A,"Quantity (units)")</f>
        <v>22</v>
      </c>
      <c r="D169" s="8" t="n">
        <f aca="false">SUMIFS('Source 2026'!$D:$D,'Source 2026'!$B:$B,$A169,'Source 2026'!$A:$A,"Quantity (units)")+SUMIFS('Source 2026'!$E:$E,'Source 2026'!$B:$B,$A169,'Source 2026'!$A:$A,"Quantity (units)")+SUMIFS('Source 2026'!$F:$F,'Source 2026'!$B:$B,$A169,'Source 2026'!$A:$A,"Quantity (units)")+SUMIFS('Source 2026'!$G:$G,'Source 2026'!$B:$B,$A169,'Source 2026'!$A:$A,"Quantity (units)")+SUMIFS('Source 2026'!$J:$J,'Source 2026'!$B:$B,$A169,'Source 2026'!$A:$A,"Quantity (units)")+SUMIFS('Source 2026'!$M:$M,'Source 2026'!$B:$B,$A169,'Source 2026'!$A:$A,"Quantity (units)")</f>
        <v>14</v>
      </c>
      <c r="E169" s="8" t="n">
        <f aca="false">D169*$J$5</f>
        <v>19.2</v>
      </c>
      <c r="F169" s="8" t="n">
        <f aca="false">E169-C169</f>
        <v>-2.8</v>
      </c>
      <c r="G169" s="9" t="n">
        <f aca="false">IF(AND(C169=0,E169=0),0,IF(C169=0,"New",(E169-C169)/C169))</f>
        <v>-0.127272727272727</v>
      </c>
      <c r="H169" s="8" t="n">
        <f aca="false">SUMIFS('Source 2025'!$D:$D,'Source 2025'!$B:$B,$A169,'Source 2025'!$A:$A,"Amount (NIS)")+SUMIFS('Source 2025'!$E:$E,'Source 2025'!$B:$B,$A169,'Source 2025'!$A:$A,"Amount (NIS)")+SUMIFS('Source 2025'!$F:$F,'Source 2025'!$B:$B,$A169,'Source 2025'!$A:$A,"Amount (NIS)")+SUMIFS('Source 2025'!$G:$G,'Source 2025'!$B:$B,$A169,'Source 2025'!$A:$A,"Amount (NIS)")+SUMIFS('Source 2025'!$J:$J,'Source 2025'!$B:$B,$A169,'Source 2025'!$A:$A,"Amount (NIS)")+SUMIFS('Source 2025'!$M:$M,'Source 2025'!$B:$B,$A169,'Source 2025'!$A:$A,"Amount (NIS)")</f>
        <v>4426</v>
      </c>
      <c r="I169" s="8" t="n">
        <f aca="false">SUMIFS('Source 2026'!$D:$D,'Source 2026'!$B:$B,$A169,'Source 2026'!$A:$A,"Amount (NIS)")+SUMIFS('Source 2026'!$E:$E,'Source 2026'!$B:$B,$A169,'Source 2026'!$A:$A,"Amount (NIS)")+SUMIFS('Source 2026'!$F:$F,'Source 2026'!$B:$B,$A169,'Source 2026'!$A:$A,"Amount (NIS)")+SUMIFS('Source 2026'!$G:$G,'Source 2026'!$B:$B,$A169,'Source 2026'!$A:$A,"Amount (NIS)")+SUMIFS('Source 2026'!$J:$J,'Source 2026'!$B:$B,$A169,'Source 2026'!$A:$A,"Amount (NIS)")+SUMIFS('Source 2026'!$M:$M,'Source 2026'!$B:$B,$A169,'Source 2026'!$A:$A,"Amount (NIS)")</f>
        <v>2910</v>
      </c>
      <c r="J169" s="8" t="n">
        <f aca="false">I169*$J$5</f>
        <v>3990.85714285714</v>
      </c>
      <c r="K169" s="8" t="n">
        <f aca="false">J169-H169</f>
        <v>-435.142857142857</v>
      </c>
      <c r="L169" s="9" t="n">
        <f aca="false">IF(AND(H169=0,J169=0),0,IF(H169=0,"New",(J169-H169)/H169))</f>
        <v>-0.0983151507326834</v>
      </c>
    </row>
    <row r="170" customFormat="false" ht="15" hidden="false" customHeight="false" outlineLevel="0" collapsed="false">
      <c r="A170" s="7" t="n">
        <v>4408094</v>
      </c>
      <c r="B170" s="7" t="str">
        <f aca="false">IFERROR(INDEX('Source 2026'!$C:$C,MATCH($A170,'Source 2026'!$B:$B,0)),IFERROR(INDEX('Source 2025'!$C:$C,MATCH($A170,'Source 2025'!$B:$B,0)),""))</f>
        <v>T20 S-M חבק יד עם צמדן</v>
      </c>
      <c r="C170" s="8" t="n">
        <f aca="false">SUMIFS('Source 2025'!$D:$D,'Source 2025'!$B:$B,$A170,'Source 2025'!$A:$A,"Quantity (units)")+SUMIFS('Source 2025'!$E:$E,'Source 2025'!$B:$B,$A170,'Source 2025'!$A:$A,"Quantity (units)")+SUMIFS('Source 2025'!$F:$F,'Source 2025'!$B:$B,$A170,'Source 2025'!$A:$A,"Quantity (units)")+SUMIFS('Source 2025'!$G:$G,'Source 2025'!$B:$B,$A170,'Source 2025'!$A:$A,"Quantity (units)")+SUMIFS('Source 2025'!$J:$J,'Source 2025'!$B:$B,$A170,'Source 2025'!$A:$A,"Quantity (units)")+SUMIFS('Source 2025'!$M:$M,'Source 2025'!$B:$B,$A170,'Source 2025'!$A:$A,"Quantity (units)")</f>
        <v>104</v>
      </c>
      <c r="D170" s="8" t="n">
        <f aca="false">SUMIFS('Source 2026'!$D:$D,'Source 2026'!$B:$B,$A170,'Source 2026'!$A:$A,"Quantity (units)")+SUMIFS('Source 2026'!$E:$E,'Source 2026'!$B:$B,$A170,'Source 2026'!$A:$A,"Quantity (units)")+SUMIFS('Source 2026'!$F:$F,'Source 2026'!$B:$B,$A170,'Source 2026'!$A:$A,"Quantity (units)")+SUMIFS('Source 2026'!$G:$G,'Source 2026'!$B:$B,$A170,'Source 2026'!$A:$A,"Quantity (units)")+SUMIFS('Source 2026'!$J:$J,'Source 2026'!$B:$B,$A170,'Source 2026'!$A:$A,"Quantity (units)")+SUMIFS('Source 2026'!$M:$M,'Source 2026'!$B:$B,$A170,'Source 2026'!$A:$A,"Quantity (units)")</f>
        <v>61</v>
      </c>
      <c r="E170" s="8" t="n">
        <f aca="false">D170*$J$5</f>
        <v>83.6571428571429</v>
      </c>
      <c r="F170" s="8" t="n">
        <f aca="false">E170-C170</f>
        <v>-20.3428571428571</v>
      </c>
      <c r="G170" s="9" t="n">
        <f aca="false">IF(AND(C170=0,E170=0),0,IF(C170=0,"New",(E170-C170)/C170))</f>
        <v>-0.195604395604396</v>
      </c>
      <c r="H170" s="8" t="n">
        <f aca="false">SUMIFS('Source 2025'!$D:$D,'Source 2025'!$B:$B,$A170,'Source 2025'!$A:$A,"Amount (NIS)")+SUMIFS('Source 2025'!$E:$E,'Source 2025'!$B:$B,$A170,'Source 2025'!$A:$A,"Amount (NIS)")+SUMIFS('Source 2025'!$F:$F,'Source 2025'!$B:$B,$A170,'Source 2025'!$A:$A,"Amount (NIS)")+SUMIFS('Source 2025'!$G:$G,'Source 2025'!$B:$B,$A170,'Source 2025'!$A:$A,"Amount (NIS)")+SUMIFS('Source 2025'!$J:$J,'Source 2025'!$B:$B,$A170,'Source 2025'!$A:$A,"Amount (NIS)")+SUMIFS('Source 2025'!$M:$M,'Source 2025'!$B:$B,$A170,'Source 2025'!$A:$A,"Amount (NIS)")</f>
        <v>3639.3</v>
      </c>
      <c r="I170" s="8" t="n">
        <f aca="false">SUMIFS('Source 2026'!$D:$D,'Source 2026'!$B:$B,$A170,'Source 2026'!$A:$A,"Amount (NIS)")+SUMIFS('Source 2026'!$E:$E,'Source 2026'!$B:$B,$A170,'Source 2026'!$A:$A,"Amount (NIS)")+SUMIFS('Source 2026'!$F:$F,'Source 2026'!$B:$B,$A170,'Source 2026'!$A:$A,"Amount (NIS)")+SUMIFS('Source 2026'!$G:$G,'Source 2026'!$B:$B,$A170,'Source 2026'!$A:$A,"Amount (NIS)")+SUMIFS('Source 2026'!$J:$J,'Source 2026'!$B:$B,$A170,'Source 2026'!$A:$A,"Amount (NIS)")+SUMIFS('Source 2026'!$M:$M,'Source 2026'!$B:$B,$A170,'Source 2026'!$A:$A,"Amount (NIS)")</f>
        <v>2134.4</v>
      </c>
      <c r="J170" s="8" t="n">
        <f aca="false">I170*$J$5</f>
        <v>2927.17714285714</v>
      </c>
      <c r="K170" s="8" t="n">
        <f aca="false">J170-H170</f>
        <v>-712.122857142857</v>
      </c>
      <c r="L170" s="9" t="n">
        <f aca="false">IF(AND(H170=0,J170=0),0,IF(H170=0,"New",(J170-H170)/H170))</f>
        <v>-0.195675777523935</v>
      </c>
    </row>
    <row r="171" customFormat="false" ht="15" hidden="false" customHeight="false" outlineLevel="0" collapsed="false">
      <c r="A171" s="7" t="n">
        <v>4413162</v>
      </c>
      <c r="B171" s="7" t="str">
        <f aca="false">IFERROR(INDEX('Source 2026'!$C:$C,MATCH($A171,'Source 2026'!$B:$B,0)),IFERROR(INDEX('Source 2025'!$C:$C,MATCH($A171,'Source 2025'!$B:$B,0)),""))</f>
        <v>34+XL מגן קרסול עקב סגור+רצוע</v>
      </c>
      <c r="C171" s="8" t="n">
        <f aca="false">SUMIFS('Source 2025'!$D:$D,'Source 2025'!$B:$B,$A171,'Source 2025'!$A:$A,"Quantity (units)")+SUMIFS('Source 2025'!$E:$E,'Source 2025'!$B:$B,$A171,'Source 2025'!$A:$A,"Quantity (units)")+SUMIFS('Source 2025'!$F:$F,'Source 2025'!$B:$B,$A171,'Source 2025'!$A:$A,"Quantity (units)")+SUMIFS('Source 2025'!$G:$G,'Source 2025'!$B:$B,$A171,'Source 2025'!$A:$A,"Quantity (units)")+SUMIFS('Source 2025'!$J:$J,'Source 2025'!$B:$B,$A171,'Source 2025'!$A:$A,"Quantity (units)")+SUMIFS('Source 2025'!$M:$M,'Source 2025'!$B:$B,$A171,'Source 2025'!$A:$A,"Quantity (units)")</f>
        <v>46</v>
      </c>
      <c r="D171" s="8" t="n">
        <f aca="false">SUMIFS('Source 2026'!$D:$D,'Source 2026'!$B:$B,$A171,'Source 2026'!$A:$A,"Quantity (units)")+SUMIFS('Source 2026'!$E:$E,'Source 2026'!$B:$B,$A171,'Source 2026'!$A:$A,"Quantity (units)")+SUMIFS('Source 2026'!$F:$F,'Source 2026'!$B:$B,$A171,'Source 2026'!$A:$A,"Quantity (units)")+SUMIFS('Source 2026'!$G:$G,'Source 2026'!$B:$B,$A171,'Source 2026'!$A:$A,"Quantity (units)")+SUMIFS('Source 2026'!$J:$J,'Source 2026'!$B:$B,$A171,'Source 2026'!$A:$A,"Quantity (units)")+SUMIFS('Source 2026'!$M:$M,'Source 2026'!$B:$B,$A171,'Source 2026'!$A:$A,"Quantity (units)")</f>
        <v>24</v>
      </c>
      <c r="E171" s="8" t="n">
        <f aca="false">D171*$J$5</f>
        <v>32.9142857142857</v>
      </c>
      <c r="F171" s="8" t="n">
        <f aca="false">E171-C171</f>
        <v>-13.0857142857143</v>
      </c>
      <c r="G171" s="9" t="n">
        <f aca="false">IF(AND(C171=0,E171=0),0,IF(C171=0,"New",(E171-C171)/C171))</f>
        <v>-0.284472049689441</v>
      </c>
      <c r="H171" s="8" t="n">
        <f aca="false">SUMIFS('Source 2025'!$D:$D,'Source 2025'!$B:$B,$A171,'Source 2025'!$A:$A,"Amount (NIS)")+SUMIFS('Source 2025'!$E:$E,'Source 2025'!$B:$B,$A171,'Source 2025'!$A:$A,"Amount (NIS)")+SUMIFS('Source 2025'!$F:$F,'Source 2025'!$B:$B,$A171,'Source 2025'!$A:$A,"Amount (NIS)")+SUMIFS('Source 2025'!$G:$G,'Source 2025'!$B:$B,$A171,'Source 2025'!$A:$A,"Amount (NIS)")+SUMIFS('Source 2025'!$J:$J,'Source 2025'!$B:$B,$A171,'Source 2025'!$A:$A,"Amount (NIS)")+SUMIFS('Source 2025'!$M:$M,'Source 2025'!$B:$B,$A171,'Source 2025'!$A:$A,"Amount (NIS)")</f>
        <v>3106.1</v>
      </c>
      <c r="I171" s="8" t="n">
        <f aca="false">SUMIFS('Source 2026'!$D:$D,'Source 2026'!$B:$B,$A171,'Source 2026'!$A:$A,"Amount (NIS)")+SUMIFS('Source 2026'!$E:$E,'Source 2026'!$B:$B,$A171,'Source 2026'!$A:$A,"Amount (NIS)")+SUMIFS('Source 2026'!$F:$F,'Source 2026'!$B:$B,$A171,'Source 2026'!$A:$A,"Amount (NIS)")+SUMIFS('Source 2026'!$G:$G,'Source 2026'!$B:$B,$A171,'Source 2026'!$A:$A,"Amount (NIS)")+SUMIFS('Source 2026'!$J:$J,'Source 2026'!$B:$B,$A171,'Source 2026'!$A:$A,"Amount (NIS)")+SUMIFS('Source 2026'!$M:$M,'Source 2026'!$B:$B,$A171,'Source 2026'!$A:$A,"Amount (NIS)")</f>
        <v>1601.9</v>
      </c>
      <c r="J171" s="8" t="n">
        <f aca="false">I171*$J$5</f>
        <v>2196.89142857143</v>
      </c>
      <c r="K171" s="8" t="n">
        <f aca="false">J171-H171</f>
        <v>-909.208571428572</v>
      </c>
      <c r="L171" s="9" t="n">
        <f aca="false">IF(AND(H171=0,J171=0),0,IF(H171=0,"New",(J171-H171)/H171))</f>
        <v>-0.292717095852861</v>
      </c>
    </row>
    <row r="172" customFormat="false" ht="15" hidden="false" customHeight="false" outlineLevel="0" collapsed="false">
      <c r="A172" s="7" t="n">
        <v>4408217</v>
      </c>
      <c r="B172" s="7" t="str">
        <f aca="false">IFERROR(INDEX('Source 2026'!$C:$C,MATCH($A172,'Source 2026'!$B:$B,0)),IFERROR(INDEX('Source 2025'!$C:$C,MATCH($A172,'Source 2025'!$B:$B,0)),""))</f>
        <v>S078 חגורת גב +סגירה כפולה</v>
      </c>
      <c r="C172" s="8" t="n">
        <f aca="false">SUMIFS('Source 2025'!$D:$D,'Source 2025'!$B:$B,$A172,'Source 2025'!$A:$A,"Quantity (units)")+SUMIFS('Source 2025'!$E:$E,'Source 2025'!$B:$B,$A172,'Source 2025'!$A:$A,"Quantity (units)")+SUMIFS('Source 2025'!$F:$F,'Source 2025'!$B:$B,$A172,'Source 2025'!$A:$A,"Quantity (units)")+SUMIFS('Source 2025'!$G:$G,'Source 2025'!$B:$B,$A172,'Source 2025'!$A:$A,"Quantity (units)")+SUMIFS('Source 2025'!$J:$J,'Source 2025'!$B:$B,$A172,'Source 2025'!$A:$A,"Quantity (units)")+SUMIFS('Source 2025'!$M:$M,'Source 2025'!$B:$B,$A172,'Source 2025'!$A:$A,"Quantity (units)")</f>
        <v>21</v>
      </c>
      <c r="D172" s="8" t="n">
        <f aca="false">SUMIFS('Source 2026'!$D:$D,'Source 2026'!$B:$B,$A172,'Source 2026'!$A:$A,"Quantity (units)")+SUMIFS('Source 2026'!$E:$E,'Source 2026'!$B:$B,$A172,'Source 2026'!$A:$A,"Quantity (units)")+SUMIFS('Source 2026'!$F:$F,'Source 2026'!$B:$B,$A172,'Source 2026'!$A:$A,"Quantity (units)")+SUMIFS('Source 2026'!$G:$G,'Source 2026'!$B:$B,$A172,'Source 2026'!$A:$A,"Quantity (units)")+SUMIFS('Source 2026'!$J:$J,'Source 2026'!$B:$B,$A172,'Source 2026'!$A:$A,"Quantity (units)")+SUMIFS('Source 2026'!$M:$M,'Source 2026'!$B:$B,$A172,'Source 2026'!$A:$A,"Quantity (units)")</f>
        <v>8</v>
      </c>
      <c r="E172" s="8" t="n">
        <f aca="false">D172*$J$5</f>
        <v>10.9714285714286</v>
      </c>
      <c r="F172" s="8" t="n">
        <f aca="false">E172-C172</f>
        <v>-10.0285714285714</v>
      </c>
      <c r="G172" s="9" t="n">
        <f aca="false">IF(AND(C172=0,E172=0),0,IF(C172=0,"New",(E172-C172)/C172))</f>
        <v>-0.477551020408163</v>
      </c>
      <c r="H172" s="8" t="n">
        <f aca="false">SUMIFS('Source 2025'!$D:$D,'Source 2025'!$B:$B,$A172,'Source 2025'!$A:$A,"Amount (NIS)")+SUMIFS('Source 2025'!$E:$E,'Source 2025'!$B:$B,$A172,'Source 2025'!$A:$A,"Amount (NIS)")+SUMIFS('Source 2025'!$F:$F,'Source 2025'!$B:$B,$A172,'Source 2025'!$A:$A,"Amount (NIS)")+SUMIFS('Source 2025'!$G:$G,'Source 2025'!$B:$B,$A172,'Source 2025'!$A:$A,"Amount (NIS)")+SUMIFS('Source 2025'!$J:$J,'Source 2025'!$B:$B,$A172,'Source 2025'!$A:$A,"Amount (NIS)")+SUMIFS('Source 2025'!$M:$M,'Source 2025'!$B:$B,$A172,'Source 2025'!$A:$A,"Amount (NIS)")</f>
        <v>2324.2</v>
      </c>
      <c r="I172" s="8" t="n">
        <f aca="false">SUMIFS('Source 2026'!$D:$D,'Source 2026'!$B:$B,$A172,'Source 2026'!$A:$A,"Amount (NIS)")+SUMIFS('Source 2026'!$E:$E,'Source 2026'!$B:$B,$A172,'Source 2026'!$A:$A,"Amount (NIS)")+SUMIFS('Source 2026'!$F:$F,'Source 2026'!$B:$B,$A172,'Source 2026'!$A:$A,"Amount (NIS)")+SUMIFS('Source 2026'!$G:$G,'Source 2026'!$B:$B,$A172,'Source 2026'!$A:$A,"Amount (NIS)")+SUMIFS('Source 2026'!$J:$J,'Source 2026'!$B:$B,$A172,'Source 2026'!$A:$A,"Amount (NIS)")+SUMIFS('Source 2026'!$M:$M,'Source 2026'!$B:$B,$A172,'Source 2026'!$A:$A,"Amount (NIS)")</f>
        <v>858.9</v>
      </c>
      <c r="J172" s="8" t="n">
        <f aca="false">I172*$J$5</f>
        <v>1177.92</v>
      </c>
      <c r="K172" s="8" t="n">
        <f aca="false">J172-H172</f>
        <v>-1146.28</v>
      </c>
      <c r="L172" s="9" t="n">
        <f aca="false">IF(AND(H172=0,J172=0),0,IF(H172=0,"New",(J172-H172)/H172))</f>
        <v>-0.493193356853971</v>
      </c>
    </row>
    <row r="173" customFormat="false" ht="15" hidden="false" customHeight="false" outlineLevel="0" collapsed="false">
      <c r="A173" s="7" t="n">
        <v>4413066</v>
      </c>
      <c r="B173" s="7" t="str">
        <f aca="false">IFERROR(INDEX('Source 2026'!$C:$C,MATCH($A173,'Source 2026'!$B:$B,0)),IFERROR(INDEX('Source 2025'!$C:$C,MATCH($A173,'Source 2025'!$B:$B,0)),""))</f>
        <v>3677S-מד.לשחרור לחץ א.הבוניון</v>
      </c>
      <c r="C173" s="8" t="n">
        <f aca="false">SUMIFS('Source 2025'!$D:$D,'Source 2025'!$B:$B,$A173,'Source 2025'!$A:$A,"Quantity (units)")+SUMIFS('Source 2025'!$E:$E,'Source 2025'!$B:$B,$A173,'Source 2025'!$A:$A,"Quantity (units)")+SUMIFS('Source 2025'!$F:$F,'Source 2025'!$B:$B,$A173,'Source 2025'!$A:$A,"Quantity (units)")+SUMIFS('Source 2025'!$G:$G,'Source 2025'!$B:$B,$A173,'Source 2025'!$A:$A,"Quantity (units)")+SUMIFS('Source 2025'!$J:$J,'Source 2025'!$B:$B,$A173,'Source 2025'!$A:$A,"Quantity (units)")+SUMIFS('Source 2025'!$M:$M,'Source 2025'!$B:$B,$A173,'Source 2025'!$A:$A,"Quantity (units)")</f>
        <v>149</v>
      </c>
      <c r="D173" s="8" t="n">
        <f aca="false">SUMIFS('Source 2026'!$D:$D,'Source 2026'!$B:$B,$A173,'Source 2026'!$A:$A,"Quantity (units)")+SUMIFS('Source 2026'!$E:$E,'Source 2026'!$B:$B,$A173,'Source 2026'!$A:$A,"Quantity (units)")+SUMIFS('Source 2026'!$F:$F,'Source 2026'!$B:$B,$A173,'Source 2026'!$A:$A,"Quantity (units)")+SUMIFS('Source 2026'!$G:$G,'Source 2026'!$B:$B,$A173,'Source 2026'!$A:$A,"Quantity (units)")+SUMIFS('Source 2026'!$J:$J,'Source 2026'!$B:$B,$A173,'Source 2026'!$A:$A,"Quantity (units)")+SUMIFS('Source 2026'!$M:$M,'Source 2026'!$B:$B,$A173,'Source 2026'!$A:$A,"Quantity (units)")</f>
        <v>68</v>
      </c>
      <c r="E173" s="8" t="n">
        <f aca="false">D173*$J$5</f>
        <v>93.2571428571429</v>
      </c>
      <c r="F173" s="8" t="n">
        <f aca="false">E173-C173</f>
        <v>-55.7428571428572</v>
      </c>
      <c r="G173" s="9" t="n">
        <f aca="false">IF(AND(C173=0,E173=0),0,IF(C173=0,"New",(E173-C173)/C173))</f>
        <v>-0.374113135186961</v>
      </c>
      <c r="H173" s="8" t="n">
        <f aca="false">SUMIFS('Source 2025'!$D:$D,'Source 2025'!$B:$B,$A173,'Source 2025'!$A:$A,"Amount (NIS)")+SUMIFS('Source 2025'!$E:$E,'Source 2025'!$B:$B,$A173,'Source 2025'!$A:$A,"Amount (NIS)")+SUMIFS('Source 2025'!$F:$F,'Source 2025'!$B:$B,$A173,'Source 2025'!$A:$A,"Amount (NIS)")+SUMIFS('Source 2025'!$G:$G,'Source 2025'!$B:$B,$A173,'Source 2025'!$A:$A,"Amount (NIS)")+SUMIFS('Source 2025'!$J:$J,'Source 2025'!$B:$B,$A173,'Source 2025'!$A:$A,"Amount (NIS)")+SUMIFS('Source 2025'!$M:$M,'Source 2025'!$B:$B,$A173,'Source 2025'!$A:$A,"Amount (NIS)")</f>
        <v>2810.7</v>
      </c>
      <c r="I173" s="8" t="n">
        <f aca="false">SUMIFS('Source 2026'!$D:$D,'Source 2026'!$B:$B,$A173,'Source 2026'!$A:$A,"Amount (NIS)")+SUMIFS('Source 2026'!$E:$E,'Source 2026'!$B:$B,$A173,'Source 2026'!$A:$A,"Amount (NIS)")+SUMIFS('Source 2026'!$F:$F,'Source 2026'!$B:$B,$A173,'Source 2026'!$A:$A,"Amount (NIS)")+SUMIFS('Source 2026'!$G:$G,'Source 2026'!$B:$B,$A173,'Source 2026'!$A:$A,"Amount (NIS)")+SUMIFS('Source 2026'!$J:$J,'Source 2026'!$B:$B,$A173,'Source 2026'!$A:$A,"Amount (NIS)")+SUMIFS('Source 2026'!$M:$M,'Source 2026'!$B:$B,$A173,'Source 2026'!$A:$A,"Amount (NIS)")</f>
        <v>1349.9</v>
      </c>
      <c r="J173" s="8" t="n">
        <f aca="false">I173*$J$5</f>
        <v>1851.29142857143</v>
      </c>
      <c r="K173" s="8" t="n">
        <f aca="false">J173-H173</f>
        <v>-959.408571428571</v>
      </c>
      <c r="L173" s="9" t="n">
        <f aca="false">IF(AND(H173=0,J173=0),0,IF(H173=0,"New",(J173-H173)/H173))</f>
        <v>-0.341341506183005</v>
      </c>
    </row>
    <row r="174" customFormat="false" ht="15" hidden="false" customHeight="false" outlineLevel="0" collapsed="false">
      <c r="A174" s="7" t="n">
        <v>4413521</v>
      </c>
      <c r="B174" s="7" t="str">
        <f aca="false">IFERROR(INDEX('Source 2026'!$C:$C,MATCH($A174,'Source 2026'!$B:$B,0)),IFERROR(INDEX('Source 2025'!$C:$C,MATCH($A174,'Source 2025'!$B:$B,0)),""))</f>
        <v>מדרסי אפיק ג'ל מולטי ספור39-42</v>
      </c>
      <c r="C174" s="8" t="n">
        <f aca="false">SUMIFS('Source 2025'!$D:$D,'Source 2025'!$B:$B,$A174,'Source 2025'!$A:$A,"Quantity (units)")+SUMIFS('Source 2025'!$E:$E,'Source 2025'!$B:$B,$A174,'Source 2025'!$A:$A,"Quantity (units)")+SUMIFS('Source 2025'!$F:$F,'Source 2025'!$B:$B,$A174,'Source 2025'!$A:$A,"Quantity (units)")+SUMIFS('Source 2025'!$G:$G,'Source 2025'!$B:$B,$A174,'Source 2025'!$A:$A,"Quantity (units)")+SUMIFS('Source 2025'!$J:$J,'Source 2025'!$B:$B,$A174,'Source 2025'!$A:$A,"Quantity (units)")+SUMIFS('Source 2025'!$M:$M,'Source 2025'!$B:$B,$A174,'Source 2025'!$A:$A,"Quantity (units)")</f>
        <v>21</v>
      </c>
      <c r="D174" s="8" t="n">
        <f aca="false">SUMIFS('Source 2026'!$D:$D,'Source 2026'!$B:$B,$A174,'Source 2026'!$A:$A,"Quantity (units)")+SUMIFS('Source 2026'!$E:$E,'Source 2026'!$B:$B,$A174,'Source 2026'!$A:$A,"Quantity (units)")+SUMIFS('Source 2026'!$F:$F,'Source 2026'!$B:$B,$A174,'Source 2026'!$A:$A,"Quantity (units)")+SUMIFS('Source 2026'!$G:$G,'Source 2026'!$B:$B,$A174,'Source 2026'!$A:$A,"Quantity (units)")+SUMIFS('Source 2026'!$J:$J,'Source 2026'!$B:$B,$A174,'Source 2026'!$A:$A,"Quantity (units)")+SUMIFS('Source 2026'!$M:$M,'Source 2026'!$B:$B,$A174,'Source 2026'!$A:$A,"Quantity (units)")</f>
        <v>7</v>
      </c>
      <c r="E174" s="8" t="n">
        <f aca="false">D174*$J$5</f>
        <v>9.6</v>
      </c>
      <c r="F174" s="8" t="n">
        <f aca="false">E174-C174</f>
        <v>-11.4</v>
      </c>
      <c r="G174" s="9" t="n">
        <f aca="false">IF(AND(C174=0,E174=0),0,IF(C174=0,"New",(E174-C174)/C174))</f>
        <v>-0.542857142857143</v>
      </c>
      <c r="H174" s="8" t="n">
        <f aca="false">SUMIFS('Source 2025'!$D:$D,'Source 2025'!$B:$B,$A174,'Source 2025'!$A:$A,"Amount (NIS)")+SUMIFS('Source 2025'!$E:$E,'Source 2025'!$B:$B,$A174,'Source 2025'!$A:$A,"Amount (NIS)")+SUMIFS('Source 2025'!$F:$F,'Source 2025'!$B:$B,$A174,'Source 2025'!$A:$A,"Amount (NIS)")+SUMIFS('Source 2025'!$G:$G,'Source 2025'!$B:$B,$A174,'Source 2025'!$A:$A,"Amount (NIS)")+SUMIFS('Source 2025'!$J:$J,'Source 2025'!$B:$B,$A174,'Source 2025'!$A:$A,"Amount (NIS)")+SUMIFS('Source 2025'!$M:$M,'Source 2025'!$B:$B,$A174,'Source 2025'!$A:$A,"Amount (NIS)")</f>
        <v>2137.3</v>
      </c>
      <c r="I174" s="8" t="n">
        <f aca="false">SUMIFS('Source 2026'!$D:$D,'Source 2026'!$B:$B,$A174,'Source 2026'!$A:$A,"Amount (NIS)")+SUMIFS('Source 2026'!$E:$E,'Source 2026'!$B:$B,$A174,'Source 2026'!$A:$A,"Amount (NIS)")+SUMIFS('Source 2026'!$F:$F,'Source 2026'!$B:$B,$A174,'Source 2026'!$A:$A,"Amount (NIS)")+SUMIFS('Source 2026'!$G:$G,'Source 2026'!$B:$B,$A174,'Source 2026'!$A:$A,"Amount (NIS)")+SUMIFS('Source 2026'!$J:$J,'Source 2026'!$B:$B,$A174,'Source 2026'!$A:$A,"Amount (NIS)")+SUMIFS('Source 2026'!$M:$M,'Source 2026'!$B:$B,$A174,'Source 2026'!$A:$A,"Amount (NIS)")</f>
        <v>678.4</v>
      </c>
      <c r="J174" s="8" t="n">
        <f aca="false">I174*$J$5</f>
        <v>930.377142857143</v>
      </c>
      <c r="K174" s="8" t="n">
        <f aca="false">J174-H174</f>
        <v>-1206.92285714286</v>
      </c>
      <c r="L174" s="9" t="n">
        <f aca="false">IF(AND(H174=0,J174=0),0,IF(H174=0,"New",(J174-H174)/H174))</f>
        <v>-0.564695109316828</v>
      </c>
    </row>
    <row r="175" customFormat="false" ht="15" hidden="false" customHeight="false" outlineLevel="0" collapsed="false">
      <c r="A175" s="7" t="n">
        <v>4413138</v>
      </c>
      <c r="B175" s="7" t="str">
        <f aca="false">IFERROR(INDEX('Source 2026'!$C:$C,MATCH($A175,'Source 2026'!$B:$B,0)),IFERROR(INDEX('Source 2025'!$C:$C,MATCH($A175,'Source 2025'!$B:$B,0)),""))</f>
        <v>85 XL (מתלה ליד )כיס</v>
      </c>
      <c r="C175" s="8" t="n">
        <f aca="false">SUMIFS('Source 2025'!$D:$D,'Source 2025'!$B:$B,$A175,'Source 2025'!$A:$A,"Quantity (units)")+SUMIFS('Source 2025'!$E:$E,'Source 2025'!$B:$B,$A175,'Source 2025'!$A:$A,"Quantity (units)")+SUMIFS('Source 2025'!$F:$F,'Source 2025'!$B:$B,$A175,'Source 2025'!$A:$A,"Quantity (units)")+SUMIFS('Source 2025'!$G:$G,'Source 2025'!$B:$B,$A175,'Source 2025'!$A:$A,"Quantity (units)")+SUMIFS('Source 2025'!$J:$J,'Source 2025'!$B:$B,$A175,'Source 2025'!$A:$A,"Quantity (units)")+SUMIFS('Source 2025'!$M:$M,'Source 2025'!$B:$B,$A175,'Source 2025'!$A:$A,"Quantity (units)")</f>
        <v>93</v>
      </c>
      <c r="D175" s="8" t="n">
        <f aca="false">SUMIFS('Source 2026'!$D:$D,'Source 2026'!$B:$B,$A175,'Source 2026'!$A:$A,"Quantity (units)")+SUMIFS('Source 2026'!$E:$E,'Source 2026'!$B:$B,$A175,'Source 2026'!$A:$A,"Quantity (units)")+SUMIFS('Source 2026'!$F:$F,'Source 2026'!$B:$B,$A175,'Source 2026'!$A:$A,"Quantity (units)")+SUMIFS('Source 2026'!$G:$G,'Source 2026'!$B:$B,$A175,'Source 2026'!$A:$A,"Quantity (units)")+SUMIFS('Source 2026'!$J:$J,'Source 2026'!$B:$B,$A175,'Source 2026'!$A:$A,"Quantity (units)")+SUMIFS('Source 2026'!$M:$M,'Source 2026'!$B:$B,$A175,'Source 2026'!$A:$A,"Quantity (units)")</f>
        <v>66</v>
      </c>
      <c r="E175" s="8" t="n">
        <f aca="false">D175*$J$5</f>
        <v>90.5142857142857</v>
      </c>
      <c r="F175" s="8" t="n">
        <f aca="false">E175-C175</f>
        <v>-2.48571428571428</v>
      </c>
      <c r="G175" s="9" t="n">
        <f aca="false">IF(AND(C175=0,E175=0),0,IF(C175=0,"New",(E175-C175)/C175))</f>
        <v>-0.0267281105990783</v>
      </c>
      <c r="H175" s="8" t="n">
        <f aca="false">SUMIFS('Source 2025'!$D:$D,'Source 2025'!$B:$B,$A175,'Source 2025'!$A:$A,"Amount (NIS)")+SUMIFS('Source 2025'!$E:$E,'Source 2025'!$B:$B,$A175,'Source 2025'!$A:$A,"Amount (NIS)")+SUMIFS('Source 2025'!$F:$F,'Source 2025'!$B:$B,$A175,'Source 2025'!$A:$A,"Amount (NIS)")+SUMIFS('Source 2025'!$G:$G,'Source 2025'!$B:$B,$A175,'Source 2025'!$A:$A,"Amount (NIS)")+SUMIFS('Source 2025'!$J:$J,'Source 2025'!$B:$B,$A175,'Source 2025'!$A:$A,"Amount (NIS)")+SUMIFS('Source 2025'!$M:$M,'Source 2025'!$B:$B,$A175,'Source 2025'!$A:$A,"Amount (NIS)")</f>
        <v>5067.2</v>
      </c>
      <c r="I175" s="8" t="n">
        <f aca="false">SUMIFS('Source 2026'!$D:$D,'Source 2026'!$B:$B,$A175,'Source 2026'!$A:$A,"Amount (NIS)")+SUMIFS('Source 2026'!$E:$E,'Source 2026'!$B:$B,$A175,'Source 2026'!$A:$A,"Amount (NIS)")+SUMIFS('Source 2026'!$F:$F,'Source 2026'!$B:$B,$A175,'Source 2026'!$A:$A,"Amount (NIS)")+SUMIFS('Source 2026'!$G:$G,'Source 2026'!$B:$B,$A175,'Source 2026'!$A:$A,"Amount (NIS)")+SUMIFS('Source 2026'!$J:$J,'Source 2026'!$B:$B,$A175,'Source 2026'!$A:$A,"Amount (NIS)")+SUMIFS('Source 2026'!$M:$M,'Source 2026'!$B:$B,$A175,'Source 2026'!$A:$A,"Amount (NIS)")</f>
        <v>3615.5</v>
      </c>
      <c r="J175" s="8" t="n">
        <f aca="false">I175*$J$5</f>
        <v>4958.4</v>
      </c>
      <c r="K175" s="8" t="n">
        <f aca="false">J175-H175</f>
        <v>-108.8</v>
      </c>
      <c r="L175" s="9" t="n">
        <f aca="false">IF(AND(H175=0,J175=0),0,IF(H175=0,"New",(J175-H175)/H175))</f>
        <v>-0.0214714240606252</v>
      </c>
    </row>
    <row r="176" customFormat="false" ht="15" hidden="false" customHeight="false" outlineLevel="0" collapsed="false">
      <c r="A176" s="7" t="n">
        <v>4413090</v>
      </c>
      <c r="B176" s="7" t="str">
        <f aca="false">IFERROR(INDEX('Source 2026'!$C:$C,MATCH($A176,'Source 2026'!$B:$B,0)),IFERROR(INDEX('Source 2025'!$C:$C,MATCH($A176,'Source 2025'!$B:$B,0)),""))</f>
        <v>422 XLמ.ברך+כרית סיל.סביב לפיק</v>
      </c>
      <c r="C176" s="8" t="n">
        <f aca="false">SUMIFS('Source 2025'!$D:$D,'Source 2025'!$B:$B,$A176,'Source 2025'!$A:$A,"Quantity (units)")+SUMIFS('Source 2025'!$E:$E,'Source 2025'!$B:$B,$A176,'Source 2025'!$A:$A,"Quantity (units)")+SUMIFS('Source 2025'!$F:$F,'Source 2025'!$B:$B,$A176,'Source 2025'!$A:$A,"Quantity (units)")+SUMIFS('Source 2025'!$G:$G,'Source 2025'!$B:$B,$A176,'Source 2025'!$A:$A,"Quantity (units)")+SUMIFS('Source 2025'!$J:$J,'Source 2025'!$B:$B,$A176,'Source 2025'!$A:$A,"Quantity (units)")+SUMIFS('Source 2025'!$M:$M,'Source 2025'!$B:$B,$A176,'Source 2025'!$A:$A,"Quantity (units)")</f>
        <v>8</v>
      </c>
      <c r="D176" s="8" t="n">
        <f aca="false">SUMIFS('Source 2026'!$D:$D,'Source 2026'!$B:$B,$A176,'Source 2026'!$A:$A,"Quantity (units)")+SUMIFS('Source 2026'!$E:$E,'Source 2026'!$B:$B,$A176,'Source 2026'!$A:$A,"Quantity (units)")+SUMIFS('Source 2026'!$F:$F,'Source 2026'!$B:$B,$A176,'Source 2026'!$A:$A,"Quantity (units)")+SUMIFS('Source 2026'!$G:$G,'Source 2026'!$B:$B,$A176,'Source 2026'!$A:$A,"Quantity (units)")+SUMIFS('Source 2026'!$J:$J,'Source 2026'!$B:$B,$A176,'Source 2026'!$A:$A,"Quantity (units)")+SUMIFS('Source 2026'!$M:$M,'Source 2026'!$B:$B,$A176,'Source 2026'!$A:$A,"Quantity (units)")</f>
        <v>0</v>
      </c>
      <c r="E176" s="8" t="n">
        <f aca="false">D176*$J$5</f>
        <v>0</v>
      </c>
      <c r="F176" s="8" t="n">
        <f aca="false">E176-C176</f>
        <v>-8</v>
      </c>
      <c r="G176" s="9" t="n">
        <f aca="false">IF(AND(C176=0,E176=0),0,IF(C176=0,"New",(E176-C176)/C176))</f>
        <v>-1</v>
      </c>
      <c r="H176" s="8" t="n">
        <f aca="false">SUMIFS('Source 2025'!$D:$D,'Source 2025'!$B:$B,$A176,'Source 2025'!$A:$A,"Amount (NIS)")+SUMIFS('Source 2025'!$E:$E,'Source 2025'!$B:$B,$A176,'Source 2025'!$A:$A,"Amount (NIS)")+SUMIFS('Source 2025'!$F:$F,'Source 2025'!$B:$B,$A176,'Source 2025'!$A:$A,"Amount (NIS)")+SUMIFS('Source 2025'!$G:$G,'Source 2025'!$B:$B,$A176,'Source 2025'!$A:$A,"Amount (NIS)")+SUMIFS('Source 2025'!$J:$J,'Source 2025'!$B:$B,$A176,'Source 2025'!$A:$A,"Amount (NIS)")+SUMIFS('Source 2025'!$M:$M,'Source 2025'!$B:$B,$A176,'Source 2025'!$A:$A,"Amount (NIS)")</f>
        <v>1449.2</v>
      </c>
      <c r="I176" s="8" t="n">
        <f aca="false">SUMIFS('Source 2026'!$D:$D,'Source 2026'!$B:$B,$A176,'Source 2026'!$A:$A,"Amount (NIS)")+SUMIFS('Source 2026'!$E:$E,'Source 2026'!$B:$B,$A176,'Source 2026'!$A:$A,"Amount (NIS)")+SUMIFS('Source 2026'!$F:$F,'Source 2026'!$B:$B,$A176,'Source 2026'!$A:$A,"Amount (NIS)")+SUMIFS('Source 2026'!$G:$G,'Source 2026'!$B:$B,$A176,'Source 2026'!$A:$A,"Amount (NIS)")+SUMIFS('Source 2026'!$J:$J,'Source 2026'!$B:$B,$A176,'Source 2026'!$A:$A,"Amount (NIS)")+SUMIFS('Source 2026'!$M:$M,'Source 2026'!$B:$B,$A176,'Source 2026'!$A:$A,"Amount (NIS)")</f>
        <v>0</v>
      </c>
      <c r="J176" s="8" t="n">
        <f aca="false">I176*$J$5</f>
        <v>0</v>
      </c>
      <c r="K176" s="8" t="n">
        <f aca="false">J176-H176</f>
        <v>-1449.2</v>
      </c>
      <c r="L176" s="9" t="n">
        <f aca="false">IF(AND(H176=0,J176=0),0,IF(H176=0,"New",(J176-H176)/H176))</f>
        <v>-1</v>
      </c>
    </row>
    <row r="177" customFormat="false" ht="15" hidden="false" customHeight="false" outlineLevel="0" collapsed="false">
      <c r="A177" s="7" t="n">
        <v>4415008</v>
      </c>
      <c r="B177" s="7" t="str">
        <f aca="false">IFERROR(INDEX('Source 2026'!$C:$C,MATCH($A177,'Source 2026'!$B:$B,0)),IFERROR(INDEX('Source 2025'!$C:$C,MATCH($A177,'Source 2025'!$B:$B,0)),""))</f>
        <v>28 XL סד לאגודל לאחר שבר</v>
      </c>
      <c r="C177" s="8" t="n">
        <f aca="false">SUMIFS('Source 2025'!$D:$D,'Source 2025'!$B:$B,$A177,'Source 2025'!$A:$A,"Quantity (units)")+SUMIFS('Source 2025'!$E:$E,'Source 2025'!$B:$B,$A177,'Source 2025'!$A:$A,"Quantity (units)")+SUMIFS('Source 2025'!$F:$F,'Source 2025'!$B:$B,$A177,'Source 2025'!$A:$A,"Quantity (units)")+SUMIFS('Source 2025'!$G:$G,'Source 2025'!$B:$B,$A177,'Source 2025'!$A:$A,"Quantity (units)")+SUMIFS('Source 2025'!$J:$J,'Source 2025'!$B:$B,$A177,'Source 2025'!$A:$A,"Quantity (units)")+SUMIFS('Source 2025'!$M:$M,'Source 2025'!$B:$B,$A177,'Source 2025'!$A:$A,"Quantity (units)")</f>
        <v>33</v>
      </c>
      <c r="D177" s="8" t="n">
        <f aca="false">SUMIFS('Source 2026'!$D:$D,'Source 2026'!$B:$B,$A177,'Source 2026'!$A:$A,"Quantity (units)")+SUMIFS('Source 2026'!$E:$E,'Source 2026'!$B:$B,$A177,'Source 2026'!$A:$A,"Quantity (units)")+SUMIFS('Source 2026'!$F:$F,'Source 2026'!$B:$B,$A177,'Source 2026'!$A:$A,"Quantity (units)")+SUMIFS('Source 2026'!$G:$G,'Source 2026'!$B:$B,$A177,'Source 2026'!$A:$A,"Quantity (units)")+SUMIFS('Source 2026'!$J:$J,'Source 2026'!$B:$B,$A177,'Source 2026'!$A:$A,"Quantity (units)")+SUMIFS('Source 2026'!$M:$M,'Source 2026'!$B:$B,$A177,'Source 2026'!$A:$A,"Quantity (units)")</f>
        <v>19</v>
      </c>
      <c r="E177" s="8" t="n">
        <f aca="false">D177*$J$5</f>
        <v>26.0571428571429</v>
      </c>
      <c r="F177" s="8" t="n">
        <f aca="false">E177-C177</f>
        <v>-6.94285714285714</v>
      </c>
      <c r="G177" s="9" t="n">
        <f aca="false">IF(AND(C177=0,E177=0),0,IF(C177=0,"New",(E177-C177)/C177))</f>
        <v>-0.21038961038961</v>
      </c>
      <c r="H177" s="8" t="n">
        <f aca="false">SUMIFS('Source 2025'!$D:$D,'Source 2025'!$B:$B,$A177,'Source 2025'!$A:$A,"Amount (NIS)")+SUMIFS('Source 2025'!$E:$E,'Source 2025'!$B:$B,$A177,'Source 2025'!$A:$A,"Amount (NIS)")+SUMIFS('Source 2025'!$F:$F,'Source 2025'!$B:$B,$A177,'Source 2025'!$A:$A,"Amount (NIS)")+SUMIFS('Source 2025'!$G:$G,'Source 2025'!$B:$B,$A177,'Source 2025'!$A:$A,"Amount (NIS)")+SUMIFS('Source 2025'!$J:$J,'Source 2025'!$B:$B,$A177,'Source 2025'!$A:$A,"Amount (NIS)")+SUMIFS('Source 2025'!$M:$M,'Source 2025'!$B:$B,$A177,'Source 2025'!$A:$A,"Amount (NIS)")</f>
        <v>3312.8</v>
      </c>
      <c r="I177" s="8" t="n">
        <f aca="false">SUMIFS('Source 2026'!$D:$D,'Source 2026'!$B:$B,$A177,'Source 2026'!$A:$A,"Amount (NIS)")+SUMIFS('Source 2026'!$E:$E,'Source 2026'!$B:$B,$A177,'Source 2026'!$A:$A,"Amount (NIS)")+SUMIFS('Source 2026'!$F:$F,'Source 2026'!$B:$B,$A177,'Source 2026'!$A:$A,"Amount (NIS)")+SUMIFS('Source 2026'!$G:$G,'Source 2026'!$B:$B,$A177,'Source 2026'!$A:$A,"Amount (NIS)")+SUMIFS('Source 2026'!$J:$J,'Source 2026'!$B:$B,$A177,'Source 2026'!$A:$A,"Amount (NIS)")+SUMIFS('Source 2026'!$M:$M,'Source 2026'!$B:$B,$A177,'Source 2026'!$A:$A,"Amount (NIS)")</f>
        <v>1880.3</v>
      </c>
      <c r="J177" s="8" t="n">
        <f aca="false">I177*$J$5</f>
        <v>2578.69714285714</v>
      </c>
      <c r="K177" s="8" t="n">
        <f aca="false">J177-H177</f>
        <v>-734.102857142857</v>
      </c>
      <c r="L177" s="9" t="n">
        <f aca="false">IF(AND(H177=0,J177=0),0,IF(H177=0,"New",(J177-H177)/H177))</f>
        <v>-0.221595887811778</v>
      </c>
    </row>
    <row r="178" customFormat="false" ht="15" hidden="false" customHeight="false" outlineLevel="0" collapsed="false">
      <c r="A178" s="7" t="n">
        <v>4413155</v>
      </c>
      <c r="B178" s="7" t="str">
        <f aca="false">IFERROR(INDEX('Source 2026'!$C:$C,MATCH($A178,'Source 2026'!$B:$B,0)),IFERROR(INDEX('Source 2025'!$C:$C,MATCH($A178,'Source 2025'!$B:$B,0)),""))</f>
        <v>305GA מדרס אורטופ.מתכוון39-40</v>
      </c>
      <c r="C178" s="8" t="n">
        <f aca="false">SUMIFS('Source 2025'!$D:$D,'Source 2025'!$B:$B,$A178,'Source 2025'!$A:$A,"Quantity (units)")+SUMIFS('Source 2025'!$E:$E,'Source 2025'!$B:$B,$A178,'Source 2025'!$A:$A,"Quantity (units)")+SUMIFS('Source 2025'!$F:$F,'Source 2025'!$B:$B,$A178,'Source 2025'!$A:$A,"Quantity (units)")+SUMIFS('Source 2025'!$G:$G,'Source 2025'!$B:$B,$A178,'Source 2025'!$A:$A,"Quantity (units)")+SUMIFS('Source 2025'!$J:$J,'Source 2025'!$B:$B,$A178,'Source 2025'!$A:$A,"Quantity (units)")+SUMIFS('Source 2025'!$M:$M,'Source 2025'!$B:$B,$A178,'Source 2025'!$A:$A,"Quantity (units)")</f>
        <v>19</v>
      </c>
      <c r="D178" s="8" t="n">
        <f aca="false">SUMIFS('Source 2026'!$D:$D,'Source 2026'!$B:$B,$A178,'Source 2026'!$A:$A,"Quantity (units)")+SUMIFS('Source 2026'!$E:$E,'Source 2026'!$B:$B,$A178,'Source 2026'!$A:$A,"Quantity (units)")+SUMIFS('Source 2026'!$F:$F,'Source 2026'!$B:$B,$A178,'Source 2026'!$A:$A,"Quantity (units)")+SUMIFS('Source 2026'!$G:$G,'Source 2026'!$B:$B,$A178,'Source 2026'!$A:$A,"Quantity (units)")+SUMIFS('Source 2026'!$J:$J,'Source 2026'!$B:$B,$A178,'Source 2026'!$A:$A,"Quantity (units)")+SUMIFS('Source 2026'!$M:$M,'Source 2026'!$B:$B,$A178,'Source 2026'!$A:$A,"Quantity (units)")</f>
        <v>2</v>
      </c>
      <c r="E178" s="8" t="n">
        <f aca="false">D178*$J$5</f>
        <v>2.74285714285714</v>
      </c>
      <c r="F178" s="8" t="n">
        <f aca="false">E178-C178</f>
        <v>-16.2571428571429</v>
      </c>
      <c r="G178" s="9" t="n">
        <f aca="false">IF(AND(C178=0,E178=0),0,IF(C178=0,"New",(E178-C178)/C178))</f>
        <v>-0.855639097744361</v>
      </c>
      <c r="H178" s="8" t="n">
        <f aca="false">SUMIFS('Source 2025'!$D:$D,'Source 2025'!$B:$B,$A178,'Source 2025'!$A:$A,"Amount (NIS)")+SUMIFS('Source 2025'!$E:$E,'Source 2025'!$B:$B,$A178,'Source 2025'!$A:$A,"Amount (NIS)")+SUMIFS('Source 2025'!$F:$F,'Source 2025'!$B:$B,$A178,'Source 2025'!$A:$A,"Amount (NIS)")+SUMIFS('Source 2025'!$G:$G,'Source 2025'!$B:$B,$A178,'Source 2025'!$A:$A,"Amount (NIS)")+SUMIFS('Source 2025'!$J:$J,'Source 2025'!$B:$B,$A178,'Source 2025'!$A:$A,"Amount (NIS)")+SUMIFS('Source 2025'!$M:$M,'Source 2025'!$B:$B,$A178,'Source 2025'!$A:$A,"Amount (NIS)")</f>
        <v>1616.2</v>
      </c>
      <c r="I178" s="8" t="n">
        <f aca="false">SUMIFS('Source 2026'!$D:$D,'Source 2026'!$B:$B,$A178,'Source 2026'!$A:$A,"Amount (NIS)")+SUMIFS('Source 2026'!$E:$E,'Source 2026'!$B:$B,$A178,'Source 2026'!$A:$A,"Amount (NIS)")+SUMIFS('Source 2026'!$F:$F,'Source 2026'!$B:$B,$A178,'Source 2026'!$A:$A,"Amount (NIS)")+SUMIFS('Source 2026'!$G:$G,'Source 2026'!$B:$B,$A178,'Source 2026'!$A:$A,"Amount (NIS)")+SUMIFS('Source 2026'!$J:$J,'Source 2026'!$B:$B,$A178,'Source 2026'!$A:$A,"Amount (NIS)")+SUMIFS('Source 2026'!$M:$M,'Source 2026'!$B:$B,$A178,'Source 2026'!$A:$A,"Amount (NIS)")</f>
        <v>187.4</v>
      </c>
      <c r="J178" s="8" t="n">
        <f aca="false">I178*$J$5</f>
        <v>257.005714285714</v>
      </c>
      <c r="K178" s="8" t="n">
        <f aca="false">J178-H178</f>
        <v>-1359.19428571429</v>
      </c>
      <c r="L178" s="9" t="n">
        <f aca="false">IF(AND(H178=0,J178=0),0,IF(H178=0,"New",(J178-H178)/H178))</f>
        <v>-0.840981490975304</v>
      </c>
    </row>
    <row r="179" customFormat="false" ht="15" hidden="false" customHeight="false" outlineLevel="0" collapsed="false">
      <c r="A179" s="7" t="n">
        <v>4413140</v>
      </c>
      <c r="B179" s="7" t="str">
        <f aca="false">IFERROR(INDEX('Source 2026'!$C:$C,MATCH($A179,'Source 2026'!$B:$B,0)),IFERROR(INDEX('Source 2025'!$C:$C,MATCH($A179,'Source 2025'!$B:$B,0)),""))</f>
        <v>95 M מגן מרפק רגיל לבן</v>
      </c>
      <c r="C179" s="8" t="n">
        <f aca="false">SUMIFS('Source 2025'!$D:$D,'Source 2025'!$B:$B,$A179,'Source 2025'!$A:$A,"Quantity (units)")+SUMIFS('Source 2025'!$E:$E,'Source 2025'!$B:$B,$A179,'Source 2025'!$A:$A,"Quantity (units)")+SUMIFS('Source 2025'!$F:$F,'Source 2025'!$B:$B,$A179,'Source 2025'!$A:$A,"Quantity (units)")+SUMIFS('Source 2025'!$G:$G,'Source 2025'!$B:$B,$A179,'Source 2025'!$A:$A,"Quantity (units)")+SUMIFS('Source 2025'!$J:$J,'Source 2025'!$B:$B,$A179,'Source 2025'!$A:$A,"Quantity (units)")+SUMIFS('Source 2025'!$M:$M,'Source 2025'!$B:$B,$A179,'Source 2025'!$A:$A,"Quantity (units)")</f>
        <v>157</v>
      </c>
      <c r="D179" s="8" t="n">
        <f aca="false">SUMIFS('Source 2026'!$D:$D,'Source 2026'!$B:$B,$A179,'Source 2026'!$A:$A,"Quantity (units)")+SUMIFS('Source 2026'!$E:$E,'Source 2026'!$B:$B,$A179,'Source 2026'!$A:$A,"Quantity (units)")+SUMIFS('Source 2026'!$F:$F,'Source 2026'!$B:$B,$A179,'Source 2026'!$A:$A,"Quantity (units)")+SUMIFS('Source 2026'!$G:$G,'Source 2026'!$B:$B,$A179,'Source 2026'!$A:$A,"Quantity (units)")+SUMIFS('Source 2026'!$J:$J,'Source 2026'!$B:$B,$A179,'Source 2026'!$A:$A,"Quantity (units)")+SUMIFS('Source 2026'!$M:$M,'Source 2026'!$B:$B,$A179,'Source 2026'!$A:$A,"Quantity (units)")</f>
        <v>109</v>
      </c>
      <c r="E179" s="8" t="n">
        <f aca="false">D179*$J$5</f>
        <v>149.485714285714</v>
      </c>
      <c r="F179" s="8" t="n">
        <f aca="false">E179-C179</f>
        <v>-7.51428571428571</v>
      </c>
      <c r="G179" s="9" t="n">
        <f aca="false">IF(AND(C179=0,E179=0),0,IF(C179=0,"New",(E179-C179)/C179))</f>
        <v>-0.0478616924476797</v>
      </c>
      <c r="H179" s="8" t="n">
        <f aca="false">SUMIFS('Source 2025'!$D:$D,'Source 2025'!$B:$B,$A179,'Source 2025'!$A:$A,"Amount (NIS)")+SUMIFS('Source 2025'!$E:$E,'Source 2025'!$B:$B,$A179,'Source 2025'!$A:$A,"Amount (NIS)")+SUMIFS('Source 2025'!$F:$F,'Source 2025'!$B:$B,$A179,'Source 2025'!$A:$A,"Amount (NIS)")+SUMIFS('Source 2025'!$G:$G,'Source 2025'!$B:$B,$A179,'Source 2025'!$A:$A,"Amount (NIS)")+SUMIFS('Source 2025'!$J:$J,'Source 2025'!$B:$B,$A179,'Source 2025'!$A:$A,"Amount (NIS)")+SUMIFS('Source 2025'!$M:$M,'Source 2025'!$B:$B,$A179,'Source 2025'!$A:$A,"Amount (NIS)")</f>
        <v>4651.3</v>
      </c>
      <c r="I179" s="8" t="n">
        <f aca="false">SUMIFS('Source 2026'!$D:$D,'Source 2026'!$B:$B,$A179,'Source 2026'!$A:$A,"Amount (NIS)")+SUMIFS('Source 2026'!$E:$E,'Source 2026'!$B:$B,$A179,'Source 2026'!$A:$A,"Amount (NIS)")+SUMIFS('Source 2026'!$F:$F,'Source 2026'!$B:$B,$A179,'Source 2026'!$A:$A,"Amount (NIS)")+SUMIFS('Source 2026'!$G:$G,'Source 2026'!$B:$B,$A179,'Source 2026'!$A:$A,"Amount (NIS)")+SUMIFS('Source 2026'!$J:$J,'Source 2026'!$B:$B,$A179,'Source 2026'!$A:$A,"Amount (NIS)")+SUMIFS('Source 2026'!$M:$M,'Source 2026'!$B:$B,$A179,'Source 2026'!$A:$A,"Amount (NIS)")</f>
        <v>3234</v>
      </c>
      <c r="J179" s="8" t="n">
        <f aca="false">I179*$J$5</f>
        <v>4435.2</v>
      </c>
      <c r="K179" s="8" t="n">
        <f aca="false">J179-H179</f>
        <v>-216.1</v>
      </c>
      <c r="L179" s="9" t="n">
        <f aca="false">IF(AND(H179=0,J179=0),0,IF(H179=0,"New",(J179-H179)/H179))</f>
        <v>-0.046460129426182</v>
      </c>
    </row>
    <row r="180" customFormat="false" ht="15" hidden="false" customHeight="false" outlineLevel="0" collapsed="false">
      <c r="A180" s="7" t="n">
        <v>4415162</v>
      </c>
      <c r="B180" s="7" t="str">
        <f aca="false">IFERROR(INDEX('Source 2026'!$C:$C,MATCH($A180,'Source 2026'!$B:$B,0)),IFERROR(INDEX('Source 2025'!$C:$C,MATCH($A180,'Source 2025'!$B:$B,0)),""))</f>
        <v>238L סד ליישור אצבע</v>
      </c>
      <c r="C180" s="8" t="n">
        <f aca="false">SUMIFS('Source 2025'!$D:$D,'Source 2025'!$B:$B,$A180,'Source 2025'!$A:$A,"Quantity (units)")+SUMIFS('Source 2025'!$E:$E,'Source 2025'!$B:$B,$A180,'Source 2025'!$A:$A,"Quantity (units)")+SUMIFS('Source 2025'!$F:$F,'Source 2025'!$B:$B,$A180,'Source 2025'!$A:$A,"Quantity (units)")+SUMIFS('Source 2025'!$G:$G,'Source 2025'!$B:$B,$A180,'Source 2025'!$A:$A,"Quantity (units)")+SUMIFS('Source 2025'!$J:$J,'Source 2025'!$B:$B,$A180,'Source 2025'!$A:$A,"Quantity (units)")+SUMIFS('Source 2025'!$M:$M,'Source 2025'!$B:$B,$A180,'Source 2025'!$A:$A,"Quantity (units)")</f>
        <v>382</v>
      </c>
      <c r="D180" s="8" t="n">
        <f aca="false">SUMIFS('Source 2026'!$D:$D,'Source 2026'!$B:$B,$A180,'Source 2026'!$A:$A,"Quantity (units)")+SUMIFS('Source 2026'!$E:$E,'Source 2026'!$B:$B,$A180,'Source 2026'!$A:$A,"Quantity (units)")+SUMIFS('Source 2026'!$F:$F,'Source 2026'!$B:$B,$A180,'Source 2026'!$A:$A,"Quantity (units)")+SUMIFS('Source 2026'!$G:$G,'Source 2026'!$B:$B,$A180,'Source 2026'!$A:$A,"Quantity (units)")+SUMIFS('Source 2026'!$J:$J,'Source 2026'!$B:$B,$A180,'Source 2026'!$A:$A,"Quantity (units)")+SUMIFS('Source 2026'!$M:$M,'Source 2026'!$B:$B,$A180,'Source 2026'!$A:$A,"Quantity (units)")</f>
        <v>301</v>
      </c>
      <c r="E180" s="8" t="n">
        <f aca="false">D180*$J$5</f>
        <v>412.8</v>
      </c>
      <c r="F180" s="8" t="n">
        <f aca="false">E180-C180</f>
        <v>30.8</v>
      </c>
      <c r="G180" s="9" t="n">
        <f aca="false">IF(AND(C180=0,E180=0),0,IF(C180=0,"New",(E180-C180)/C180))</f>
        <v>0.0806282722513089</v>
      </c>
      <c r="H180" s="8" t="n">
        <f aca="false">SUMIFS('Source 2025'!$D:$D,'Source 2025'!$B:$B,$A180,'Source 2025'!$A:$A,"Amount (NIS)")+SUMIFS('Source 2025'!$E:$E,'Source 2025'!$B:$B,$A180,'Source 2025'!$A:$A,"Amount (NIS)")+SUMIFS('Source 2025'!$F:$F,'Source 2025'!$B:$B,$A180,'Source 2025'!$A:$A,"Amount (NIS)")+SUMIFS('Source 2025'!$G:$G,'Source 2025'!$B:$B,$A180,'Source 2025'!$A:$A,"Amount (NIS)")+SUMIFS('Source 2025'!$J:$J,'Source 2025'!$B:$B,$A180,'Source 2025'!$A:$A,"Amount (NIS)")+SUMIFS('Source 2025'!$M:$M,'Source 2025'!$B:$B,$A180,'Source 2025'!$A:$A,"Amount (NIS)")</f>
        <v>7315.8</v>
      </c>
      <c r="I180" s="8" t="n">
        <f aca="false">SUMIFS('Source 2026'!$D:$D,'Source 2026'!$B:$B,$A180,'Source 2026'!$A:$A,"Amount (NIS)")+SUMIFS('Source 2026'!$E:$E,'Source 2026'!$B:$B,$A180,'Source 2026'!$A:$A,"Amount (NIS)")+SUMIFS('Source 2026'!$F:$F,'Source 2026'!$B:$B,$A180,'Source 2026'!$A:$A,"Amount (NIS)")+SUMIFS('Source 2026'!$G:$G,'Source 2026'!$B:$B,$A180,'Source 2026'!$A:$A,"Amount (NIS)")+SUMIFS('Source 2026'!$J:$J,'Source 2026'!$B:$B,$A180,'Source 2026'!$A:$A,"Amount (NIS)")+SUMIFS('Source 2026'!$M:$M,'Source 2026'!$B:$B,$A180,'Source 2026'!$A:$A,"Amount (NIS)")</f>
        <v>5909.1</v>
      </c>
      <c r="J180" s="8" t="n">
        <f aca="false">I180*$J$5</f>
        <v>8103.90857142857</v>
      </c>
      <c r="K180" s="8" t="n">
        <f aca="false">J180-H180</f>
        <v>788.108571428571</v>
      </c>
      <c r="L180" s="9" t="n">
        <f aca="false">IF(AND(H180=0,J180=0),0,IF(H180=0,"New",(J180-H180)/H180))</f>
        <v>0.10772691591194</v>
      </c>
    </row>
    <row r="181" customFormat="false" ht="15" hidden="false" customHeight="false" outlineLevel="0" collapsed="false">
      <c r="A181" s="7" t="n">
        <v>4408097</v>
      </c>
      <c r="B181" s="7" t="str">
        <f aca="false">IFERROR(INDEX('Source 2026'!$C:$C,MATCH($A181,'Source 2026'!$B:$B,0)),IFERROR(INDEX('Source 2025'!$C:$C,MATCH($A181,'Source 2025'!$B:$B,0)),""))</f>
        <v>T20C L-XL חבק יד עם צמדן חום</v>
      </c>
      <c r="C181" s="8" t="n">
        <f aca="false">SUMIFS('Source 2025'!$D:$D,'Source 2025'!$B:$B,$A181,'Source 2025'!$A:$A,"Quantity (units)")+SUMIFS('Source 2025'!$E:$E,'Source 2025'!$B:$B,$A181,'Source 2025'!$A:$A,"Quantity (units)")+SUMIFS('Source 2025'!$F:$F,'Source 2025'!$B:$B,$A181,'Source 2025'!$A:$A,"Quantity (units)")+SUMIFS('Source 2025'!$G:$G,'Source 2025'!$B:$B,$A181,'Source 2025'!$A:$A,"Quantity (units)")+SUMIFS('Source 2025'!$J:$J,'Source 2025'!$B:$B,$A181,'Source 2025'!$A:$A,"Quantity (units)")+SUMIFS('Source 2025'!$M:$M,'Source 2025'!$B:$B,$A181,'Source 2025'!$A:$A,"Quantity (units)")</f>
        <v>77</v>
      </c>
      <c r="D181" s="8" t="n">
        <f aca="false">SUMIFS('Source 2026'!$D:$D,'Source 2026'!$B:$B,$A181,'Source 2026'!$A:$A,"Quantity (units)")+SUMIFS('Source 2026'!$E:$E,'Source 2026'!$B:$B,$A181,'Source 2026'!$A:$A,"Quantity (units)")+SUMIFS('Source 2026'!$F:$F,'Source 2026'!$B:$B,$A181,'Source 2026'!$A:$A,"Quantity (units)")+SUMIFS('Source 2026'!$G:$G,'Source 2026'!$B:$B,$A181,'Source 2026'!$A:$A,"Quantity (units)")+SUMIFS('Source 2026'!$J:$J,'Source 2026'!$B:$B,$A181,'Source 2026'!$A:$A,"Quantity (units)")+SUMIFS('Source 2026'!$M:$M,'Source 2026'!$B:$B,$A181,'Source 2026'!$A:$A,"Quantity (units)")</f>
        <v>37</v>
      </c>
      <c r="E181" s="8" t="n">
        <f aca="false">D181*$J$5</f>
        <v>50.7428571428571</v>
      </c>
      <c r="F181" s="8" t="n">
        <f aca="false">E181-C181</f>
        <v>-26.2571428571429</v>
      </c>
      <c r="G181" s="9" t="n">
        <f aca="false">IF(AND(C181=0,E181=0),0,IF(C181=0,"New",(E181-C181)/C181))</f>
        <v>-0.34100185528757</v>
      </c>
      <c r="H181" s="8" t="n">
        <f aca="false">SUMIFS('Source 2025'!$D:$D,'Source 2025'!$B:$B,$A181,'Source 2025'!$A:$A,"Amount (NIS)")+SUMIFS('Source 2025'!$E:$E,'Source 2025'!$B:$B,$A181,'Source 2025'!$A:$A,"Amount (NIS)")+SUMIFS('Source 2025'!$F:$F,'Source 2025'!$B:$B,$A181,'Source 2025'!$A:$A,"Amount (NIS)")+SUMIFS('Source 2025'!$G:$G,'Source 2025'!$B:$B,$A181,'Source 2025'!$A:$A,"Amount (NIS)")+SUMIFS('Source 2025'!$J:$J,'Source 2025'!$B:$B,$A181,'Source 2025'!$A:$A,"Amount (NIS)")+SUMIFS('Source 2025'!$M:$M,'Source 2025'!$B:$B,$A181,'Source 2025'!$A:$A,"Amount (NIS)")</f>
        <v>2689.7</v>
      </c>
      <c r="I181" s="8" t="n">
        <f aca="false">SUMIFS('Source 2026'!$D:$D,'Source 2026'!$B:$B,$A181,'Source 2026'!$A:$A,"Amount (NIS)")+SUMIFS('Source 2026'!$E:$E,'Source 2026'!$B:$B,$A181,'Source 2026'!$A:$A,"Amount (NIS)")+SUMIFS('Source 2026'!$F:$F,'Source 2026'!$B:$B,$A181,'Source 2026'!$A:$A,"Amount (NIS)")+SUMIFS('Source 2026'!$G:$G,'Source 2026'!$B:$B,$A181,'Source 2026'!$A:$A,"Amount (NIS)")+SUMIFS('Source 2026'!$J:$J,'Source 2026'!$B:$B,$A181,'Source 2026'!$A:$A,"Amount (NIS)")+SUMIFS('Source 2026'!$M:$M,'Source 2026'!$B:$B,$A181,'Source 2026'!$A:$A,"Amount (NIS)")</f>
        <v>1290.3</v>
      </c>
      <c r="J181" s="8" t="n">
        <f aca="false">I181*$J$5</f>
        <v>1769.55428571429</v>
      </c>
      <c r="K181" s="8" t="n">
        <f aca="false">J181-H181</f>
        <v>-920.145714285714</v>
      </c>
      <c r="L181" s="9" t="n">
        <f aca="false">IF(AND(H181=0,J181=0),0,IF(H181=0,"New",(J181-H181)/H181))</f>
        <v>-0.342099756212854</v>
      </c>
    </row>
    <row r="182" customFormat="false" ht="15" hidden="false" customHeight="false" outlineLevel="0" collapsed="false">
      <c r="A182" s="7" t="n">
        <v>4413094</v>
      </c>
      <c r="B182" s="7" t="str">
        <f aca="false">IFERROR(INDEX('Source 2026'!$C:$C,MATCH($A182,'Source 2026'!$B:$B,0)),IFERROR(INDEX('Source 2025'!$C:$C,MATCH($A182,'Source 2025'!$B:$B,0)),""))</f>
        <v>45 S מגן ברך לבן</v>
      </c>
      <c r="C182" s="8" t="n">
        <f aca="false">SUMIFS('Source 2025'!$D:$D,'Source 2025'!$B:$B,$A182,'Source 2025'!$A:$A,"Quantity (units)")+SUMIFS('Source 2025'!$E:$E,'Source 2025'!$B:$B,$A182,'Source 2025'!$A:$A,"Quantity (units)")+SUMIFS('Source 2025'!$F:$F,'Source 2025'!$B:$B,$A182,'Source 2025'!$A:$A,"Quantity (units)")+SUMIFS('Source 2025'!$G:$G,'Source 2025'!$B:$B,$A182,'Source 2025'!$A:$A,"Quantity (units)")+SUMIFS('Source 2025'!$J:$J,'Source 2025'!$B:$B,$A182,'Source 2025'!$A:$A,"Quantity (units)")+SUMIFS('Source 2025'!$M:$M,'Source 2025'!$B:$B,$A182,'Source 2025'!$A:$A,"Quantity (units)")</f>
        <v>120</v>
      </c>
      <c r="D182" s="8" t="n">
        <f aca="false">SUMIFS('Source 2026'!$D:$D,'Source 2026'!$B:$B,$A182,'Source 2026'!$A:$A,"Quantity (units)")+SUMIFS('Source 2026'!$E:$E,'Source 2026'!$B:$B,$A182,'Source 2026'!$A:$A,"Quantity (units)")+SUMIFS('Source 2026'!$F:$F,'Source 2026'!$B:$B,$A182,'Source 2026'!$A:$A,"Quantity (units)")+SUMIFS('Source 2026'!$G:$G,'Source 2026'!$B:$B,$A182,'Source 2026'!$A:$A,"Quantity (units)")+SUMIFS('Source 2026'!$J:$J,'Source 2026'!$B:$B,$A182,'Source 2026'!$A:$A,"Quantity (units)")+SUMIFS('Source 2026'!$M:$M,'Source 2026'!$B:$B,$A182,'Source 2026'!$A:$A,"Quantity (units)")</f>
        <v>72</v>
      </c>
      <c r="E182" s="8" t="n">
        <f aca="false">D182*$J$5</f>
        <v>98.7428571428572</v>
      </c>
      <c r="F182" s="8" t="n">
        <f aca="false">E182-C182</f>
        <v>-21.2571428571429</v>
      </c>
      <c r="G182" s="9" t="n">
        <f aca="false">IF(AND(C182=0,E182=0),0,IF(C182=0,"New",(E182-C182)/C182))</f>
        <v>-0.177142857142857</v>
      </c>
      <c r="H182" s="8" t="n">
        <f aca="false">SUMIFS('Source 2025'!$D:$D,'Source 2025'!$B:$B,$A182,'Source 2025'!$A:$A,"Amount (NIS)")+SUMIFS('Source 2025'!$E:$E,'Source 2025'!$B:$B,$A182,'Source 2025'!$A:$A,"Amount (NIS)")+SUMIFS('Source 2025'!$F:$F,'Source 2025'!$B:$B,$A182,'Source 2025'!$A:$A,"Amount (NIS)")+SUMIFS('Source 2025'!$G:$G,'Source 2025'!$B:$B,$A182,'Source 2025'!$A:$A,"Amount (NIS)")+SUMIFS('Source 2025'!$J:$J,'Source 2025'!$B:$B,$A182,'Source 2025'!$A:$A,"Amount (NIS)")+SUMIFS('Source 2025'!$M:$M,'Source 2025'!$B:$B,$A182,'Source 2025'!$A:$A,"Amount (NIS)")</f>
        <v>3533.1</v>
      </c>
      <c r="I182" s="8" t="n">
        <f aca="false">SUMIFS('Source 2026'!$D:$D,'Source 2026'!$B:$B,$A182,'Source 2026'!$A:$A,"Amount (NIS)")+SUMIFS('Source 2026'!$E:$E,'Source 2026'!$B:$B,$A182,'Source 2026'!$A:$A,"Amount (NIS)")+SUMIFS('Source 2026'!$F:$F,'Source 2026'!$B:$B,$A182,'Source 2026'!$A:$A,"Amount (NIS)")+SUMIFS('Source 2026'!$G:$G,'Source 2026'!$B:$B,$A182,'Source 2026'!$A:$A,"Amount (NIS)")+SUMIFS('Source 2026'!$J:$J,'Source 2026'!$B:$B,$A182,'Source 2026'!$A:$A,"Amount (NIS)")+SUMIFS('Source 2026'!$M:$M,'Source 2026'!$B:$B,$A182,'Source 2026'!$A:$A,"Amount (NIS)")</f>
        <v>2154.1</v>
      </c>
      <c r="J182" s="8" t="n">
        <f aca="false">I182*$J$5</f>
        <v>2954.19428571429</v>
      </c>
      <c r="K182" s="8" t="n">
        <f aca="false">J182-H182</f>
        <v>-578.905714285714</v>
      </c>
      <c r="L182" s="9" t="n">
        <f aca="false">IF(AND(H182=0,J182=0),0,IF(H182=0,"New",(J182-H182)/H182))</f>
        <v>-0.16385206031126</v>
      </c>
    </row>
    <row r="183" customFormat="false" ht="15" hidden="false" customHeight="false" outlineLevel="0" collapsed="false">
      <c r="A183" s="7" t="n">
        <v>4413524</v>
      </c>
      <c r="B183" s="7" t="str">
        <f aca="false">IFERROR(INDEX('Source 2026'!$C:$C,MATCH($A183,'Source 2026'!$B:$B,0)),IFERROR(INDEX('Source 2025'!$C:$C,MATCH($A183,'Source 2025'!$B:$B,0)),""))</f>
        <v>39-42 מדרסי אפיק ג'ל נוחות</v>
      </c>
      <c r="C183" s="8" t="n">
        <f aca="false">SUMIFS('Source 2025'!$D:$D,'Source 2025'!$B:$B,$A183,'Source 2025'!$A:$A,"Quantity (units)")+SUMIFS('Source 2025'!$E:$E,'Source 2025'!$B:$B,$A183,'Source 2025'!$A:$A,"Quantity (units)")+SUMIFS('Source 2025'!$F:$F,'Source 2025'!$B:$B,$A183,'Source 2025'!$A:$A,"Quantity (units)")+SUMIFS('Source 2025'!$G:$G,'Source 2025'!$B:$B,$A183,'Source 2025'!$A:$A,"Quantity (units)")+SUMIFS('Source 2025'!$J:$J,'Source 2025'!$B:$B,$A183,'Source 2025'!$A:$A,"Quantity (units)")+SUMIFS('Source 2025'!$M:$M,'Source 2025'!$B:$B,$A183,'Source 2025'!$A:$A,"Quantity (units)")</f>
        <v>23</v>
      </c>
      <c r="D183" s="8" t="n">
        <f aca="false">SUMIFS('Source 2026'!$D:$D,'Source 2026'!$B:$B,$A183,'Source 2026'!$A:$A,"Quantity (units)")+SUMIFS('Source 2026'!$E:$E,'Source 2026'!$B:$B,$A183,'Source 2026'!$A:$A,"Quantity (units)")+SUMIFS('Source 2026'!$F:$F,'Source 2026'!$B:$B,$A183,'Source 2026'!$A:$A,"Quantity (units)")+SUMIFS('Source 2026'!$G:$G,'Source 2026'!$B:$B,$A183,'Source 2026'!$A:$A,"Quantity (units)")+SUMIFS('Source 2026'!$J:$J,'Source 2026'!$B:$B,$A183,'Source 2026'!$A:$A,"Quantity (units)")+SUMIFS('Source 2026'!$M:$M,'Source 2026'!$B:$B,$A183,'Source 2026'!$A:$A,"Quantity (units)")</f>
        <v>10</v>
      </c>
      <c r="E183" s="8" t="n">
        <f aca="false">D183*$J$5</f>
        <v>13.7142857142857</v>
      </c>
      <c r="F183" s="8" t="n">
        <f aca="false">E183-C183</f>
        <v>-9.28571428571429</v>
      </c>
      <c r="G183" s="9" t="n">
        <f aca="false">IF(AND(C183=0,E183=0),0,IF(C183=0,"New",(E183-C183)/C183))</f>
        <v>-0.403726708074534</v>
      </c>
      <c r="H183" s="8" t="n">
        <f aca="false">SUMIFS('Source 2025'!$D:$D,'Source 2025'!$B:$B,$A183,'Source 2025'!$A:$A,"Amount (NIS)")+SUMIFS('Source 2025'!$E:$E,'Source 2025'!$B:$B,$A183,'Source 2025'!$A:$A,"Amount (NIS)")+SUMIFS('Source 2025'!$F:$F,'Source 2025'!$B:$B,$A183,'Source 2025'!$A:$A,"Amount (NIS)")+SUMIFS('Source 2025'!$G:$G,'Source 2025'!$B:$B,$A183,'Source 2025'!$A:$A,"Amount (NIS)")+SUMIFS('Source 2025'!$J:$J,'Source 2025'!$B:$B,$A183,'Source 2025'!$A:$A,"Amount (NIS)")+SUMIFS('Source 2025'!$M:$M,'Source 2025'!$B:$B,$A183,'Source 2025'!$A:$A,"Amount (NIS)")</f>
        <v>2384.9</v>
      </c>
      <c r="I183" s="8" t="n">
        <f aca="false">SUMIFS('Source 2026'!$D:$D,'Source 2026'!$B:$B,$A183,'Source 2026'!$A:$A,"Amount (NIS)")+SUMIFS('Source 2026'!$E:$E,'Source 2026'!$B:$B,$A183,'Source 2026'!$A:$A,"Amount (NIS)")+SUMIFS('Source 2026'!$F:$F,'Source 2026'!$B:$B,$A183,'Source 2026'!$A:$A,"Amount (NIS)")+SUMIFS('Source 2026'!$G:$G,'Source 2026'!$B:$B,$A183,'Source 2026'!$A:$A,"Amount (NIS)")+SUMIFS('Source 2026'!$J:$J,'Source 2026'!$B:$B,$A183,'Source 2026'!$A:$A,"Amount (NIS)")+SUMIFS('Source 2026'!$M:$M,'Source 2026'!$B:$B,$A183,'Source 2026'!$A:$A,"Amount (NIS)")</f>
        <v>1010.1</v>
      </c>
      <c r="J183" s="8" t="n">
        <f aca="false">I183*$J$5</f>
        <v>1385.28</v>
      </c>
      <c r="K183" s="8" t="n">
        <f aca="false">J183-H183</f>
        <v>-999.62</v>
      </c>
      <c r="L183" s="9" t="n">
        <f aca="false">IF(AND(H183=0,J183=0),0,IF(H183=0,"New",(J183-H183)/H183))</f>
        <v>-0.419145456832572</v>
      </c>
    </row>
    <row r="184" customFormat="false" ht="15" hidden="false" customHeight="false" outlineLevel="0" collapsed="false">
      <c r="A184" s="7" t="n">
        <v>4413051</v>
      </c>
      <c r="B184" s="7" t="str">
        <f aca="false">IFERROR(INDEX('Source 2026'!$C:$C,MATCH($A184,'Source 2026'!$B:$B,0)),IFERROR(INDEX('Source 2025'!$C:$C,MATCH($A184,'Source 2025'!$B:$B,0)),""))</f>
        <v>35 XXL מגן קרסול לבן</v>
      </c>
      <c r="C184" s="8" t="n">
        <f aca="false">SUMIFS('Source 2025'!$D:$D,'Source 2025'!$B:$B,$A184,'Source 2025'!$A:$A,"Quantity (units)")+SUMIFS('Source 2025'!$E:$E,'Source 2025'!$B:$B,$A184,'Source 2025'!$A:$A,"Quantity (units)")+SUMIFS('Source 2025'!$F:$F,'Source 2025'!$B:$B,$A184,'Source 2025'!$A:$A,"Quantity (units)")+SUMIFS('Source 2025'!$G:$G,'Source 2025'!$B:$B,$A184,'Source 2025'!$A:$A,"Quantity (units)")+SUMIFS('Source 2025'!$J:$J,'Source 2025'!$B:$B,$A184,'Source 2025'!$A:$A,"Quantity (units)")+SUMIFS('Source 2025'!$M:$M,'Source 2025'!$B:$B,$A184,'Source 2025'!$A:$A,"Quantity (units)")</f>
        <v>83</v>
      </c>
      <c r="D184" s="8" t="n">
        <f aca="false">SUMIFS('Source 2026'!$D:$D,'Source 2026'!$B:$B,$A184,'Source 2026'!$A:$A,"Quantity (units)")+SUMIFS('Source 2026'!$E:$E,'Source 2026'!$B:$B,$A184,'Source 2026'!$A:$A,"Quantity (units)")+SUMIFS('Source 2026'!$F:$F,'Source 2026'!$B:$B,$A184,'Source 2026'!$A:$A,"Quantity (units)")+SUMIFS('Source 2026'!$G:$G,'Source 2026'!$B:$B,$A184,'Source 2026'!$A:$A,"Quantity (units)")+SUMIFS('Source 2026'!$J:$J,'Source 2026'!$B:$B,$A184,'Source 2026'!$A:$A,"Quantity (units)")+SUMIFS('Source 2026'!$M:$M,'Source 2026'!$B:$B,$A184,'Source 2026'!$A:$A,"Quantity (units)")</f>
        <v>37</v>
      </c>
      <c r="E184" s="8" t="n">
        <f aca="false">D184*$J$5</f>
        <v>50.7428571428571</v>
      </c>
      <c r="F184" s="8" t="n">
        <f aca="false">E184-C184</f>
        <v>-32.2571428571429</v>
      </c>
      <c r="G184" s="9" t="n">
        <f aca="false">IF(AND(C184=0,E184=0),0,IF(C184=0,"New",(E184-C184)/C184))</f>
        <v>-0.388640275387263</v>
      </c>
      <c r="H184" s="8" t="n">
        <f aca="false">SUMIFS('Source 2025'!$D:$D,'Source 2025'!$B:$B,$A184,'Source 2025'!$A:$A,"Amount (NIS)")+SUMIFS('Source 2025'!$E:$E,'Source 2025'!$B:$B,$A184,'Source 2025'!$A:$A,"Amount (NIS)")+SUMIFS('Source 2025'!$F:$F,'Source 2025'!$B:$B,$A184,'Source 2025'!$A:$A,"Amount (NIS)")+SUMIFS('Source 2025'!$G:$G,'Source 2025'!$B:$B,$A184,'Source 2025'!$A:$A,"Amount (NIS)")+SUMIFS('Source 2025'!$J:$J,'Source 2025'!$B:$B,$A184,'Source 2025'!$A:$A,"Amount (NIS)")+SUMIFS('Source 2025'!$M:$M,'Source 2025'!$B:$B,$A184,'Source 2025'!$A:$A,"Amount (NIS)")</f>
        <v>2446.1</v>
      </c>
      <c r="I184" s="8" t="n">
        <f aca="false">SUMIFS('Source 2026'!$D:$D,'Source 2026'!$B:$B,$A184,'Source 2026'!$A:$A,"Amount (NIS)")+SUMIFS('Source 2026'!$E:$E,'Source 2026'!$B:$B,$A184,'Source 2026'!$A:$A,"Amount (NIS)")+SUMIFS('Source 2026'!$F:$F,'Source 2026'!$B:$B,$A184,'Source 2026'!$A:$A,"Amount (NIS)")+SUMIFS('Source 2026'!$G:$G,'Source 2026'!$B:$B,$A184,'Source 2026'!$A:$A,"Amount (NIS)")+SUMIFS('Source 2026'!$J:$J,'Source 2026'!$B:$B,$A184,'Source 2026'!$A:$A,"Amount (NIS)")+SUMIFS('Source 2026'!$M:$M,'Source 2026'!$B:$B,$A184,'Source 2026'!$A:$A,"Amount (NIS)")</f>
        <v>1088.2</v>
      </c>
      <c r="J184" s="8" t="n">
        <f aca="false">I184*$J$5</f>
        <v>1492.38857142857</v>
      </c>
      <c r="K184" s="8" t="n">
        <f aca="false">J184-H184</f>
        <v>-953.711428571428</v>
      </c>
      <c r="L184" s="9" t="n">
        <f aca="false">IF(AND(H184=0,J184=0),0,IF(H184=0,"New",(J184-H184)/H184))</f>
        <v>-0.38989061304584</v>
      </c>
    </row>
    <row r="185" customFormat="false" ht="15" hidden="false" customHeight="false" outlineLevel="0" collapsed="false">
      <c r="A185" s="7" t="n">
        <v>4413534</v>
      </c>
      <c r="B185" s="7" t="str">
        <f aca="false">IFERROR(INDEX('Source 2026'!$C:$C,MATCH($A185,'Source 2026'!$B:$B,0)),IFERROR(INDEX('Source 2025'!$C:$C,MATCH($A185,'Source 2025'!$B:$B,0)),""))</f>
        <v>SH333 מקבע קרסול</v>
      </c>
      <c r="C185" s="8" t="n">
        <f aca="false">SUMIFS('Source 2025'!$D:$D,'Source 2025'!$B:$B,$A185,'Source 2025'!$A:$A,"Quantity (units)")+SUMIFS('Source 2025'!$E:$E,'Source 2025'!$B:$B,$A185,'Source 2025'!$A:$A,"Quantity (units)")+SUMIFS('Source 2025'!$F:$F,'Source 2025'!$B:$B,$A185,'Source 2025'!$A:$A,"Quantity (units)")+SUMIFS('Source 2025'!$G:$G,'Source 2025'!$B:$B,$A185,'Source 2025'!$A:$A,"Quantity (units)")+SUMIFS('Source 2025'!$J:$J,'Source 2025'!$B:$B,$A185,'Source 2025'!$A:$A,"Quantity (units)")+SUMIFS('Source 2025'!$M:$M,'Source 2025'!$B:$B,$A185,'Source 2025'!$A:$A,"Quantity (units)")</f>
        <v>0</v>
      </c>
      <c r="D185" s="8" t="n">
        <f aca="false">SUMIFS('Source 2026'!$D:$D,'Source 2026'!$B:$B,$A185,'Source 2026'!$A:$A,"Quantity (units)")+SUMIFS('Source 2026'!$E:$E,'Source 2026'!$B:$B,$A185,'Source 2026'!$A:$A,"Quantity (units)")+SUMIFS('Source 2026'!$F:$F,'Source 2026'!$B:$B,$A185,'Source 2026'!$A:$A,"Quantity (units)")+SUMIFS('Source 2026'!$G:$G,'Source 2026'!$B:$B,$A185,'Source 2026'!$A:$A,"Quantity (units)")+SUMIFS('Source 2026'!$J:$J,'Source 2026'!$B:$B,$A185,'Source 2026'!$A:$A,"Quantity (units)")+SUMIFS('Source 2026'!$M:$M,'Source 2026'!$B:$B,$A185,'Source 2026'!$A:$A,"Quantity (units)")</f>
        <v>8</v>
      </c>
      <c r="E185" s="8" t="n">
        <f aca="false">D185*$J$5</f>
        <v>10.9714285714286</v>
      </c>
      <c r="F185" s="8" t="n">
        <f aca="false">E185-C185</f>
        <v>10.9714285714286</v>
      </c>
      <c r="G185" s="9" t="str">
        <f aca="false">IF(AND(C185=0,E185=0),0,IF(C185=0,"New",(E185-C185)/C185))</f>
        <v>New</v>
      </c>
      <c r="H185" s="8" t="n">
        <f aca="false">SUMIFS('Source 2025'!$D:$D,'Source 2025'!$B:$B,$A185,'Source 2025'!$A:$A,"Amount (NIS)")+SUMIFS('Source 2025'!$E:$E,'Source 2025'!$B:$B,$A185,'Source 2025'!$A:$A,"Amount (NIS)")+SUMIFS('Source 2025'!$F:$F,'Source 2025'!$B:$B,$A185,'Source 2025'!$A:$A,"Amount (NIS)")+SUMIFS('Source 2025'!$G:$G,'Source 2025'!$B:$B,$A185,'Source 2025'!$A:$A,"Amount (NIS)")+SUMIFS('Source 2025'!$J:$J,'Source 2025'!$B:$B,$A185,'Source 2025'!$A:$A,"Amount (NIS)")+SUMIFS('Source 2025'!$M:$M,'Source 2025'!$B:$B,$A185,'Source 2025'!$A:$A,"Amount (NIS)")</f>
        <v>0</v>
      </c>
      <c r="I185" s="8" t="n">
        <f aca="false">SUMIFS('Source 2026'!$D:$D,'Source 2026'!$B:$B,$A185,'Source 2026'!$A:$A,"Amount (NIS)")+SUMIFS('Source 2026'!$E:$E,'Source 2026'!$B:$B,$A185,'Source 2026'!$A:$A,"Amount (NIS)")+SUMIFS('Source 2026'!$F:$F,'Source 2026'!$B:$B,$A185,'Source 2026'!$A:$A,"Amount (NIS)")+SUMIFS('Source 2026'!$G:$G,'Source 2026'!$B:$B,$A185,'Source 2026'!$A:$A,"Amount (NIS)")+SUMIFS('Source 2026'!$J:$J,'Source 2026'!$B:$B,$A185,'Source 2026'!$A:$A,"Amount (NIS)")+SUMIFS('Source 2026'!$M:$M,'Source 2026'!$B:$B,$A185,'Source 2026'!$A:$A,"Amount (NIS)")</f>
        <v>1301.1</v>
      </c>
      <c r="J185" s="8" t="n">
        <f aca="false">I185*$J$5</f>
        <v>1784.36571428571</v>
      </c>
      <c r="K185" s="8" t="n">
        <f aca="false">J185-H185</f>
        <v>1784.36571428571</v>
      </c>
      <c r="L185" s="9" t="str">
        <f aca="false">IF(AND(H185=0,J185=0),0,IF(H185=0,"New",(J185-H185)/H185))</f>
        <v>New</v>
      </c>
    </row>
    <row r="186" customFormat="false" ht="15" hidden="false" customHeight="false" outlineLevel="0" collapsed="false">
      <c r="A186" s="7" t="n">
        <v>4413518</v>
      </c>
      <c r="B186" s="7" t="str">
        <f aca="false">IFERROR(INDEX('Source 2026'!$C:$C,MATCH($A186,'Source 2026'!$B:$B,0)),IFERROR(INDEX('Source 2025'!$C:$C,MATCH($A186,'Source 2025'!$B:$B,0)),""))</f>
        <v>85B XL מתלה רשת לזרוע שחור</v>
      </c>
      <c r="C186" s="8" t="n">
        <f aca="false">SUMIFS('Source 2025'!$D:$D,'Source 2025'!$B:$B,$A186,'Source 2025'!$A:$A,"Quantity (units)")+SUMIFS('Source 2025'!$E:$E,'Source 2025'!$B:$B,$A186,'Source 2025'!$A:$A,"Quantity (units)")+SUMIFS('Source 2025'!$F:$F,'Source 2025'!$B:$B,$A186,'Source 2025'!$A:$A,"Quantity (units)")+SUMIFS('Source 2025'!$G:$G,'Source 2025'!$B:$B,$A186,'Source 2025'!$A:$A,"Quantity (units)")+SUMIFS('Source 2025'!$J:$J,'Source 2025'!$B:$B,$A186,'Source 2025'!$A:$A,"Quantity (units)")+SUMIFS('Source 2025'!$M:$M,'Source 2025'!$B:$B,$A186,'Source 2025'!$A:$A,"Quantity (units)")</f>
        <v>113</v>
      </c>
      <c r="D186" s="8" t="n">
        <f aca="false">SUMIFS('Source 2026'!$D:$D,'Source 2026'!$B:$B,$A186,'Source 2026'!$A:$A,"Quantity (units)")+SUMIFS('Source 2026'!$E:$E,'Source 2026'!$B:$B,$A186,'Source 2026'!$A:$A,"Quantity (units)")+SUMIFS('Source 2026'!$F:$F,'Source 2026'!$B:$B,$A186,'Source 2026'!$A:$A,"Quantity (units)")+SUMIFS('Source 2026'!$G:$G,'Source 2026'!$B:$B,$A186,'Source 2026'!$A:$A,"Quantity (units)")+SUMIFS('Source 2026'!$J:$J,'Source 2026'!$B:$B,$A186,'Source 2026'!$A:$A,"Quantity (units)")+SUMIFS('Source 2026'!$M:$M,'Source 2026'!$B:$B,$A186,'Source 2026'!$A:$A,"Quantity (units)")</f>
        <v>89</v>
      </c>
      <c r="E186" s="8" t="n">
        <f aca="false">D186*$J$5</f>
        <v>122.057142857143</v>
      </c>
      <c r="F186" s="8" t="n">
        <f aca="false">E186-C186</f>
        <v>9.05714285714286</v>
      </c>
      <c r="G186" s="9" t="n">
        <f aca="false">IF(AND(C186=0,E186=0),0,IF(C186=0,"New",(E186-C186)/C186))</f>
        <v>0.0801517067003793</v>
      </c>
      <c r="H186" s="8" t="n">
        <f aca="false">SUMIFS('Source 2025'!$D:$D,'Source 2025'!$B:$B,$A186,'Source 2025'!$A:$A,"Amount (NIS)")+SUMIFS('Source 2025'!$E:$E,'Source 2025'!$B:$B,$A186,'Source 2025'!$A:$A,"Amount (NIS)")+SUMIFS('Source 2025'!$F:$F,'Source 2025'!$B:$B,$A186,'Source 2025'!$A:$A,"Amount (NIS)")+SUMIFS('Source 2025'!$G:$G,'Source 2025'!$B:$B,$A186,'Source 2025'!$A:$A,"Amount (NIS)")+SUMIFS('Source 2025'!$J:$J,'Source 2025'!$B:$B,$A186,'Source 2025'!$A:$A,"Amount (NIS)")+SUMIFS('Source 2025'!$M:$M,'Source 2025'!$B:$B,$A186,'Source 2025'!$A:$A,"Amount (NIS)")</f>
        <v>6162.7</v>
      </c>
      <c r="I186" s="8" t="n">
        <f aca="false">SUMIFS('Source 2026'!$D:$D,'Source 2026'!$B:$B,$A186,'Source 2026'!$A:$A,"Amount (NIS)")+SUMIFS('Source 2026'!$E:$E,'Source 2026'!$B:$B,$A186,'Source 2026'!$A:$A,"Amount (NIS)")+SUMIFS('Source 2026'!$F:$F,'Source 2026'!$B:$B,$A186,'Source 2026'!$A:$A,"Amount (NIS)")+SUMIFS('Source 2026'!$G:$G,'Source 2026'!$B:$B,$A186,'Source 2026'!$A:$A,"Amount (NIS)")+SUMIFS('Source 2026'!$J:$J,'Source 2026'!$B:$B,$A186,'Source 2026'!$A:$A,"Amount (NIS)")+SUMIFS('Source 2026'!$M:$M,'Source 2026'!$B:$B,$A186,'Source 2026'!$A:$A,"Amount (NIS)")</f>
        <v>4876.5</v>
      </c>
      <c r="J186" s="8" t="n">
        <f aca="false">I186*$J$5</f>
        <v>6687.77142857143</v>
      </c>
      <c r="K186" s="8" t="n">
        <f aca="false">J186-H186</f>
        <v>525.071428571428</v>
      </c>
      <c r="L186" s="9" t="n">
        <f aca="false">IF(AND(H186=0,J186=0),0,IF(H186=0,"New",(J186-H186)/H186))</f>
        <v>0.085201523450992</v>
      </c>
    </row>
    <row r="187" customFormat="false" ht="15" hidden="false" customHeight="false" outlineLevel="0" collapsed="false">
      <c r="A187" s="7" t="n">
        <v>4413132</v>
      </c>
      <c r="B187" s="7" t="str">
        <f aca="false">IFERROR(INDEX('Source 2026'!$C:$C,MATCH($A187,'Source 2026'!$B:$B,0)),IFERROR(INDEX('Source 2025'!$C:$C,MATCH($A187,'Source 2025'!$B:$B,0)),""))</f>
        <v>76 Lמיישר כתף יציב יישור רחב</v>
      </c>
      <c r="C187" s="8" t="n">
        <f aca="false">SUMIFS('Source 2025'!$D:$D,'Source 2025'!$B:$B,$A187,'Source 2025'!$A:$A,"Quantity (units)")+SUMIFS('Source 2025'!$E:$E,'Source 2025'!$B:$B,$A187,'Source 2025'!$A:$A,"Quantity (units)")+SUMIFS('Source 2025'!$F:$F,'Source 2025'!$B:$B,$A187,'Source 2025'!$A:$A,"Quantity (units)")+SUMIFS('Source 2025'!$G:$G,'Source 2025'!$B:$B,$A187,'Source 2025'!$A:$A,"Quantity (units)")+SUMIFS('Source 2025'!$J:$J,'Source 2025'!$B:$B,$A187,'Source 2025'!$A:$A,"Quantity (units)")+SUMIFS('Source 2025'!$M:$M,'Source 2025'!$B:$B,$A187,'Source 2025'!$A:$A,"Quantity (units)")</f>
        <v>27</v>
      </c>
      <c r="D187" s="8" t="n">
        <f aca="false">SUMIFS('Source 2026'!$D:$D,'Source 2026'!$B:$B,$A187,'Source 2026'!$A:$A,"Quantity (units)")+SUMIFS('Source 2026'!$E:$E,'Source 2026'!$B:$B,$A187,'Source 2026'!$A:$A,"Quantity (units)")+SUMIFS('Source 2026'!$F:$F,'Source 2026'!$B:$B,$A187,'Source 2026'!$A:$A,"Quantity (units)")+SUMIFS('Source 2026'!$G:$G,'Source 2026'!$B:$B,$A187,'Source 2026'!$A:$A,"Quantity (units)")+SUMIFS('Source 2026'!$J:$J,'Source 2026'!$B:$B,$A187,'Source 2026'!$A:$A,"Quantity (units)")+SUMIFS('Source 2026'!$M:$M,'Source 2026'!$B:$B,$A187,'Source 2026'!$A:$A,"Quantity (units)")</f>
        <v>20</v>
      </c>
      <c r="E187" s="8" t="n">
        <f aca="false">D187*$J$5</f>
        <v>27.4285714285714</v>
      </c>
      <c r="F187" s="8" t="n">
        <f aca="false">E187-C187</f>
        <v>0.428571428571431</v>
      </c>
      <c r="G187" s="9" t="n">
        <f aca="false">IF(AND(C187=0,E187=0),0,IF(C187=0,"New",(E187-C187)/C187))</f>
        <v>0.015873015873016</v>
      </c>
      <c r="H187" s="8" t="n">
        <f aca="false">SUMIFS('Source 2025'!$D:$D,'Source 2025'!$B:$B,$A187,'Source 2025'!$A:$A,"Amount (NIS)")+SUMIFS('Source 2025'!$E:$E,'Source 2025'!$B:$B,$A187,'Source 2025'!$A:$A,"Amount (NIS)")+SUMIFS('Source 2025'!$F:$F,'Source 2025'!$B:$B,$A187,'Source 2025'!$A:$A,"Amount (NIS)")+SUMIFS('Source 2025'!$G:$G,'Source 2025'!$B:$B,$A187,'Source 2025'!$A:$A,"Amount (NIS)")+SUMIFS('Source 2025'!$J:$J,'Source 2025'!$B:$B,$A187,'Source 2025'!$A:$A,"Amount (NIS)")+SUMIFS('Source 2025'!$M:$M,'Source 2025'!$B:$B,$A187,'Source 2025'!$A:$A,"Amount (NIS)")</f>
        <v>5426.3</v>
      </c>
      <c r="I187" s="8" t="n">
        <f aca="false">SUMIFS('Source 2026'!$D:$D,'Source 2026'!$B:$B,$A187,'Source 2026'!$A:$A,"Amount (NIS)")+SUMIFS('Source 2026'!$E:$E,'Source 2026'!$B:$B,$A187,'Source 2026'!$A:$A,"Amount (NIS)")+SUMIFS('Source 2026'!$F:$F,'Source 2026'!$B:$B,$A187,'Source 2026'!$A:$A,"Amount (NIS)")+SUMIFS('Source 2026'!$G:$G,'Source 2026'!$B:$B,$A187,'Source 2026'!$A:$A,"Amount (NIS)")+SUMIFS('Source 2026'!$J:$J,'Source 2026'!$B:$B,$A187,'Source 2026'!$A:$A,"Amount (NIS)")+SUMIFS('Source 2026'!$M:$M,'Source 2026'!$B:$B,$A187,'Source 2026'!$A:$A,"Amount (NIS)")</f>
        <v>4146.3</v>
      </c>
      <c r="J187" s="8" t="n">
        <f aca="false">I187*$J$5</f>
        <v>5686.35428571429</v>
      </c>
      <c r="K187" s="8" t="n">
        <f aca="false">J187-H187</f>
        <v>260.054285714285</v>
      </c>
      <c r="L187" s="9" t="n">
        <f aca="false">IF(AND(H187=0,J187=0),0,IF(H187=0,"New",(J187-H187)/H187))</f>
        <v>0.0479247895830097</v>
      </c>
    </row>
    <row r="188" customFormat="false" ht="15" hidden="false" customHeight="false" outlineLevel="0" collapsed="false">
      <c r="A188" s="7" t="n">
        <v>4422031</v>
      </c>
      <c r="B188" s="7" t="str">
        <f aca="false">IFERROR(INDEX('Source 2026'!$C:$C,MATCH($A188,'Source 2026'!$B:$B,0)),IFERROR(INDEX('Source 2025'!$C:$C,MATCH($A188,'Source 2025'!$B:$B,0)),""))</f>
        <v>807CB-Cתחבושת נצמדת בז' 20 מ""מ</v>
      </c>
      <c r="C188" s="8" t="n">
        <f aca="false">SUMIFS('Source 2025'!$D:$D,'Source 2025'!$B:$B,$A188,'Source 2025'!$A:$A,"Quantity (units)")+SUMIFS('Source 2025'!$E:$E,'Source 2025'!$B:$B,$A188,'Source 2025'!$A:$A,"Quantity (units)")+SUMIFS('Source 2025'!$F:$F,'Source 2025'!$B:$B,$A188,'Source 2025'!$A:$A,"Quantity (units)")+SUMIFS('Source 2025'!$G:$G,'Source 2025'!$B:$B,$A188,'Source 2025'!$A:$A,"Quantity (units)")+SUMIFS('Source 2025'!$J:$J,'Source 2025'!$B:$B,$A188,'Source 2025'!$A:$A,"Quantity (units)")+SUMIFS('Source 2025'!$M:$M,'Source 2025'!$B:$B,$A188,'Source 2025'!$A:$A,"Quantity (units)")</f>
        <v>702</v>
      </c>
      <c r="D188" s="8" t="n">
        <f aca="false">SUMIFS('Source 2026'!$D:$D,'Source 2026'!$B:$B,$A188,'Source 2026'!$A:$A,"Quantity (units)")+SUMIFS('Source 2026'!$E:$E,'Source 2026'!$B:$B,$A188,'Source 2026'!$A:$A,"Quantity (units)")+SUMIFS('Source 2026'!$F:$F,'Source 2026'!$B:$B,$A188,'Source 2026'!$A:$A,"Quantity (units)")+SUMIFS('Source 2026'!$G:$G,'Source 2026'!$B:$B,$A188,'Source 2026'!$A:$A,"Quantity (units)")+SUMIFS('Source 2026'!$J:$J,'Source 2026'!$B:$B,$A188,'Source 2026'!$A:$A,"Quantity (units)")+SUMIFS('Source 2026'!$M:$M,'Source 2026'!$B:$B,$A188,'Source 2026'!$A:$A,"Quantity (units)")</f>
        <v>745</v>
      </c>
      <c r="E188" s="8" t="n">
        <f aca="false">D188*$J$5</f>
        <v>1021.71428571429</v>
      </c>
      <c r="F188" s="8" t="n">
        <f aca="false">E188-C188</f>
        <v>319.714285714286</v>
      </c>
      <c r="G188" s="9" t="n">
        <f aca="false">IF(AND(C188=0,E188=0),0,IF(C188=0,"New",(E188-C188)/C188))</f>
        <v>0.455433455433456</v>
      </c>
      <c r="H188" s="8" t="n">
        <f aca="false">SUMIFS('Source 2025'!$D:$D,'Source 2025'!$B:$B,$A188,'Source 2025'!$A:$A,"Amount (NIS)")+SUMIFS('Source 2025'!$E:$E,'Source 2025'!$B:$B,$A188,'Source 2025'!$A:$A,"Amount (NIS)")+SUMIFS('Source 2025'!$F:$F,'Source 2025'!$B:$B,$A188,'Source 2025'!$A:$A,"Amount (NIS)")+SUMIFS('Source 2025'!$G:$G,'Source 2025'!$B:$B,$A188,'Source 2025'!$A:$A,"Amount (NIS)")+SUMIFS('Source 2025'!$J:$J,'Source 2025'!$B:$B,$A188,'Source 2025'!$A:$A,"Amount (NIS)")+SUMIFS('Source 2025'!$M:$M,'Source 2025'!$B:$B,$A188,'Source 2025'!$A:$A,"Amount (NIS)")</f>
        <v>7071.1</v>
      </c>
      <c r="I188" s="8" t="n">
        <f aca="false">SUMIFS('Source 2026'!$D:$D,'Source 2026'!$B:$B,$A188,'Source 2026'!$A:$A,"Amount (NIS)")+SUMIFS('Source 2026'!$E:$E,'Source 2026'!$B:$B,$A188,'Source 2026'!$A:$A,"Amount (NIS)")+SUMIFS('Source 2026'!$F:$F,'Source 2026'!$B:$B,$A188,'Source 2026'!$A:$A,"Amount (NIS)")+SUMIFS('Source 2026'!$G:$G,'Source 2026'!$B:$B,$A188,'Source 2026'!$A:$A,"Amount (NIS)")+SUMIFS('Source 2026'!$J:$J,'Source 2026'!$B:$B,$A188,'Source 2026'!$A:$A,"Amount (NIS)")+SUMIFS('Source 2026'!$M:$M,'Source 2026'!$B:$B,$A188,'Source 2026'!$A:$A,"Amount (NIS)")</f>
        <v>8337</v>
      </c>
      <c r="J188" s="8" t="n">
        <f aca="false">I188*$J$5</f>
        <v>11433.6</v>
      </c>
      <c r="K188" s="8" t="n">
        <f aca="false">J188-H188</f>
        <v>4362.5</v>
      </c>
      <c r="L188" s="9" t="n">
        <f aca="false">IF(AND(H188=0,J188=0),0,IF(H188=0,"New",(J188-H188)/H188))</f>
        <v>0.61694785818331</v>
      </c>
    </row>
    <row r="189" customFormat="false" ht="15" hidden="false" customHeight="false" outlineLevel="0" collapsed="false">
      <c r="A189" s="7" t="n">
        <v>4413063</v>
      </c>
      <c r="B189" s="7" t="str">
        <f aca="false">IFERROR(INDEX('Source 2026'!$C:$C,MATCH($A189,'Source 2026'!$B:$B,0)),IFERROR(INDEX('Source 2025'!$C:$C,MATCH($A189,'Source 2025'!$B:$B,0)),""))</f>
        <v>366S-'מדבק.לשחרור לחץ מיבלת2יח</v>
      </c>
      <c r="C189" s="8" t="n">
        <f aca="false">SUMIFS('Source 2025'!$D:$D,'Source 2025'!$B:$B,$A189,'Source 2025'!$A:$A,"Quantity (units)")+SUMIFS('Source 2025'!$E:$E,'Source 2025'!$B:$B,$A189,'Source 2025'!$A:$A,"Quantity (units)")+SUMIFS('Source 2025'!$F:$F,'Source 2025'!$B:$B,$A189,'Source 2025'!$A:$A,"Quantity (units)")+SUMIFS('Source 2025'!$G:$G,'Source 2025'!$B:$B,$A189,'Source 2025'!$A:$A,"Quantity (units)")+SUMIFS('Source 2025'!$J:$J,'Source 2025'!$B:$B,$A189,'Source 2025'!$A:$A,"Quantity (units)")+SUMIFS('Source 2025'!$M:$M,'Source 2025'!$B:$B,$A189,'Source 2025'!$A:$A,"Quantity (units)")</f>
        <v>260</v>
      </c>
      <c r="D189" s="8" t="n">
        <f aca="false">SUMIFS('Source 2026'!$D:$D,'Source 2026'!$B:$B,$A189,'Source 2026'!$A:$A,"Quantity (units)")+SUMIFS('Source 2026'!$E:$E,'Source 2026'!$B:$B,$A189,'Source 2026'!$A:$A,"Quantity (units)")+SUMIFS('Source 2026'!$F:$F,'Source 2026'!$B:$B,$A189,'Source 2026'!$A:$A,"Quantity (units)")+SUMIFS('Source 2026'!$G:$G,'Source 2026'!$B:$B,$A189,'Source 2026'!$A:$A,"Quantity (units)")+SUMIFS('Source 2026'!$J:$J,'Source 2026'!$B:$B,$A189,'Source 2026'!$A:$A,"Quantity (units)")+SUMIFS('Source 2026'!$M:$M,'Source 2026'!$B:$B,$A189,'Source 2026'!$A:$A,"Quantity (units)")</f>
        <v>185</v>
      </c>
      <c r="E189" s="8" t="n">
        <f aca="false">D189*$J$5</f>
        <v>253.714285714286</v>
      </c>
      <c r="F189" s="8" t="n">
        <f aca="false">E189-C189</f>
        <v>-6.28571428571428</v>
      </c>
      <c r="G189" s="9" t="n">
        <f aca="false">IF(AND(C189=0,E189=0),0,IF(C189=0,"New",(E189-C189)/C189))</f>
        <v>-0.0241758241758241</v>
      </c>
      <c r="H189" s="8" t="n">
        <f aca="false">SUMIFS('Source 2025'!$D:$D,'Source 2025'!$B:$B,$A189,'Source 2025'!$A:$A,"Amount (NIS)")+SUMIFS('Source 2025'!$E:$E,'Source 2025'!$B:$B,$A189,'Source 2025'!$A:$A,"Amount (NIS)")+SUMIFS('Source 2025'!$F:$F,'Source 2025'!$B:$B,$A189,'Source 2025'!$A:$A,"Amount (NIS)")+SUMIFS('Source 2025'!$G:$G,'Source 2025'!$B:$B,$A189,'Source 2025'!$A:$A,"Amount (NIS)")+SUMIFS('Source 2025'!$J:$J,'Source 2025'!$B:$B,$A189,'Source 2025'!$A:$A,"Amount (NIS)")+SUMIFS('Source 2025'!$M:$M,'Source 2025'!$B:$B,$A189,'Source 2025'!$A:$A,"Amount (NIS)")</f>
        <v>4077.9</v>
      </c>
      <c r="I189" s="8" t="n">
        <f aca="false">SUMIFS('Source 2026'!$D:$D,'Source 2026'!$B:$B,$A189,'Source 2026'!$A:$A,"Amount (NIS)")+SUMIFS('Source 2026'!$E:$E,'Source 2026'!$B:$B,$A189,'Source 2026'!$A:$A,"Amount (NIS)")+SUMIFS('Source 2026'!$F:$F,'Source 2026'!$B:$B,$A189,'Source 2026'!$A:$A,"Amount (NIS)")+SUMIFS('Source 2026'!$G:$G,'Source 2026'!$B:$B,$A189,'Source 2026'!$A:$A,"Amount (NIS)")+SUMIFS('Source 2026'!$J:$J,'Source 2026'!$B:$B,$A189,'Source 2026'!$A:$A,"Amount (NIS)")+SUMIFS('Source 2026'!$M:$M,'Source 2026'!$B:$B,$A189,'Source 2026'!$A:$A,"Amount (NIS)")</f>
        <v>2821.7</v>
      </c>
      <c r="J189" s="8" t="n">
        <f aca="false">I189*$J$5</f>
        <v>3869.76</v>
      </c>
      <c r="K189" s="8" t="n">
        <f aca="false">J189-H189</f>
        <v>-208.139999999999</v>
      </c>
      <c r="L189" s="9" t="n">
        <f aca="false">IF(AND(H189=0,J189=0),0,IF(H189=0,"New",(J189-H189)/H189))</f>
        <v>-0.0510409769734421</v>
      </c>
    </row>
    <row r="190" customFormat="false" ht="15" hidden="false" customHeight="false" outlineLevel="0" collapsed="false">
      <c r="A190" s="7" t="n">
        <v>4415163</v>
      </c>
      <c r="B190" s="7" t="str">
        <f aca="false">IFERROR(INDEX('Source 2026'!$C:$C,MATCH($A190,'Source 2026'!$B:$B,0)),IFERROR(INDEX('Source 2025'!$C:$C,MATCH($A190,'Source 2025'!$B:$B,0)),""))</f>
        <v>238XL סד ליישור אצבע</v>
      </c>
      <c r="C190" s="8" t="n">
        <f aca="false">SUMIFS('Source 2025'!$D:$D,'Source 2025'!$B:$B,$A190,'Source 2025'!$A:$A,"Quantity (units)")+SUMIFS('Source 2025'!$E:$E,'Source 2025'!$B:$B,$A190,'Source 2025'!$A:$A,"Quantity (units)")+SUMIFS('Source 2025'!$F:$F,'Source 2025'!$B:$B,$A190,'Source 2025'!$A:$A,"Quantity (units)")+SUMIFS('Source 2025'!$G:$G,'Source 2025'!$B:$B,$A190,'Source 2025'!$A:$A,"Quantity (units)")+SUMIFS('Source 2025'!$J:$J,'Source 2025'!$B:$B,$A190,'Source 2025'!$A:$A,"Quantity (units)")+SUMIFS('Source 2025'!$M:$M,'Source 2025'!$B:$B,$A190,'Source 2025'!$A:$A,"Quantity (units)")</f>
        <v>222</v>
      </c>
      <c r="D190" s="8" t="n">
        <f aca="false">SUMIFS('Source 2026'!$D:$D,'Source 2026'!$B:$B,$A190,'Source 2026'!$A:$A,"Quantity (units)")+SUMIFS('Source 2026'!$E:$E,'Source 2026'!$B:$B,$A190,'Source 2026'!$A:$A,"Quantity (units)")+SUMIFS('Source 2026'!$F:$F,'Source 2026'!$B:$B,$A190,'Source 2026'!$A:$A,"Quantity (units)")+SUMIFS('Source 2026'!$G:$G,'Source 2026'!$B:$B,$A190,'Source 2026'!$A:$A,"Quantity (units)")+SUMIFS('Source 2026'!$J:$J,'Source 2026'!$B:$B,$A190,'Source 2026'!$A:$A,"Quantity (units)")+SUMIFS('Source 2026'!$M:$M,'Source 2026'!$B:$B,$A190,'Source 2026'!$A:$A,"Quantity (units)")</f>
        <v>154</v>
      </c>
      <c r="E190" s="8" t="n">
        <f aca="false">D190*$J$5</f>
        <v>211.2</v>
      </c>
      <c r="F190" s="8" t="n">
        <f aca="false">E190-C190</f>
        <v>-10.8</v>
      </c>
      <c r="G190" s="9" t="n">
        <f aca="false">IF(AND(C190=0,E190=0),0,IF(C190=0,"New",(E190-C190)/C190))</f>
        <v>-0.0486486486486487</v>
      </c>
      <c r="H190" s="8" t="n">
        <f aca="false">SUMIFS('Source 2025'!$D:$D,'Source 2025'!$B:$B,$A190,'Source 2025'!$A:$A,"Amount (NIS)")+SUMIFS('Source 2025'!$E:$E,'Source 2025'!$B:$B,$A190,'Source 2025'!$A:$A,"Amount (NIS)")+SUMIFS('Source 2025'!$F:$F,'Source 2025'!$B:$B,$A190,'Source 2025'!$A:$A,"Amount (NIS)")+SUMIFS('Source 2025'!$G:$G,'Source 2025'!$B:$B,$A190,'Source 2025'!$A:$A,"Amount (NIS)")+SUMIFS('Source 2025'!$J:$J,'Source 2025'!$B:$B,$A190,'Source 2025'!$A:$A,"Amount (NIS)")+SUMIFS('Source 2025'!$M:$M,'Source 2025'!$B:$B,$A190,'Source 2025'!$A:$A,"Amount (NIS)")</f>
        <v>4293</v>
      </c>
      <c r="I190" s="8" t="n">
        <f aca="false">SUMIFS('Source 2026'!$D:$D,'Source 2026'!$B:$B,$A190,'Source 2026'!$A:$A,"Amount (NIS)")+SUMIFS('Source 2026'!$E:$E,'Source 2026'!$B:$B,$A190,'Source 2026'!$A:$A,"Amount (NIS)")+SUMIFS('Source 2026'!$F:$F,'Source 2026'!$B:$B,$A190,'Source 2026'!$A:$A,"Amount (NIS)")+SUMIFS('Source 2026'!$G:$G,'Source 2026'!$B:$B,$A190,'Source 2026'!$A:$A,"Amount (NIS)")+SUMIFS('Source 2026'!$J:$J,'Source 2026'!$B:$B,$A190,'Source 2026'!$A:$A,"Amount (NIS)")+SUMIFS('Source 2026'!$M:$M,'Source 2026'!$B:$B,$A190,'Source 2026'!$A:$A,"Amount (NIS)")</f>
        <v>3046.2</v>
      </c>
      <c r="J190" s="8" t="n">
        <f aca="false">I190*$J$5</f>
        <v>4177.64571428571</v>
      </c>
      <c r="K190" s="8" t="n">
        <f aca="false">J190-H190</f>
        <v>-115.354285714286</v>
      </c>
      <c r="L190" s="9" t="n">
        <f aca="false">IF(AND(H190=0,J190=0),0,IF(H190=0,"New",(J190-H190)/H190))</f>
        <v>-0.0268703204552261</v>
      </c>
    </row>
    <row r="191" customFormat="false" ht="15" hidden="false" customHeight="false" outlineLevel="0" collapsed="false">
      <c r="A191" s="7" t="n">
        <v>4420036</v>
      </c>
      <c r="B191" s="7" t="str">
        <f aca="false">IFERROR(INDEX('Source 2026'!$C:$C,MATCH($A191,'Source 2026'!$B:$B,0)),IFERROR(INDEX('Source 2025'!$C:$C,MATCH($A191,'Source 2025'!$B:$B,0)),""))</f>
        <v>301CM 41-45 'רפידת ג'ל בז</v>
      </c>
      <c r="C191" s="8" t="n">
        <f aca="false">SUMIFS('Source 2025'!$D:$D,'Source 2025'!$B:$B,$A191,'Source 2025'!$A:$A,"Quantity (units)")+SUMIFS('Source 2025'!$E:$E,'Source 2025'!$B:$B,$A191,'Source 2025'!$A:$A,"Quantity (units)")+SUMIFS('Source 2025'!$F:$F,'Source 2025'!$B:$B,$A191,'Source 2025'!$A:$A,"Quantity (units)")+SUMIFS('Source 2025'!$G:$G,'Source 2025'!$B:$B,$A191,'Source 2025'!$A:$A,"Quantity (units)")+SUMIFS('Source 2025'!$J:$J,'Source 2025'!$B:$B,$A191,'Source 2025'!$A:$A,"Quantity (units)")+SUMIFS('Source 2025'!$M:$M,'Source 2025'!$B:$B,$A191,'Source 2025'!$A:$A,"Quantity (units)")</f>
        <v>28</v>
      </c>
      <c r="D191" s="8" t="n">
        <f aca="false">SUMIFS('Source 2026'!$D:$D,'Source 2026'!$B:$B,$A191,'Source 2026'!$A:$A,"Quantity (units)")+SUMIFS('Source 2026'!$E:$E,'Source 2026'!$B:$B,$A191,'Source 2026'!$A:$A,"Quantity (units)")+SUMIFS('Source 2026'!$F:$F,'Source 2026'!$B:$B,$A191,'Source 2026'!$A:$A,"Quantity (units)")+SUMIFS('Source 2026'!$G:$G,'Source 2026'!$B:$B,$A191,'Source 2026'!$A:$A,"Quantity (units)")+SUMIFS('Source 2026'!$J:$J,'Source 2026'!$B:$B,$A191,'Source 2026'!$A:$A,"Quantity (units)")+SUMIFS('Source 2026'!$M:$M,'Source 2026'!$B:$B,$A191,'Source 2026'!$A:$A,"Quantity (units)")</f>
        <v>3</v>
      </c>
      <c r="E191" s="8" t="n">
        <f aca="false">D191*$J$5</f>
        <v>4.11428571428571</v>
      </c>
      <c r="F191" s="8" t="n">
        <f aca="false">E191-C191</f>
        <v>-23.8857142857143</v>
      </c>
      <c r="G191" s="9" t="n">
        <f aca="false">IF(AND(C191=0,E191=0),0,IF(C191=0,"New",(E191-C191)/C191))</f>
        <v>-0.853061224489796</v>
      </c>
      <c r="H191" s="8" t="n">
        <f aca="false">SUMIFS('Source 2025'!$D:$D,'Source 2025'!$B:$B,$A191,'Source 2025'!$A:$A,"Amount (NIS)")+SUMIFS('Source 2025'!$E:$E,'Source 2025'!$B:$B,$A191,'Source 2025'!$A:$A,"Amount (NIS)")+SUMIFS('Source 2025'!$F:$F,'Source 2025'!$B:$B,$A191,'Source 2025'!$A:$A,"Amount (NIS)")+SUMIFS('Source 2025'!$G:$G,'Source 2025'!$B:$B,$A191,'Source 2025'!$A:$A,"Amount (NIS)")+SUMIFS('Source 2025'!$J:$J,'Source 2025'!$B:$B,$A191,'Source 2025'!$A:$A,"Amount (NIS)")+SUMIFS('Source 2025'!$M:$M,'Source 2025'!$B:$B,$A191,'Source 2025'!$A:$A,"Amount (NIS)")</f>
        <v>1431.1</v>
      </c>
      <c r="I191" s="8" t="n">
        <f aca="false">SUMIFS('Source 2026'!$D:$D,'Source 2026'!$B:$B,$A191,'Source 2026'!$A:$A,"Amount (NIS)")+SUMIFS('Source 2026'!$E:$E,'Source 2026'!$B:$B,$A191,'Source 2026'!$A:$A,"Amount (NIS)")+SUMIFS('Source 2026'!$F:$F,'Source 2026'!$B:$B,$A191,'Source 2026'!$A:$A,"Amount (NIS)")+SUMIFS('Source 2026'!$G:$G,'Source 2026'!$B:$B,$A191,'Source 2026'!$A:$A,"Amount (NIS)")+SUMIFS('Source 2026'!$J:$J,'Source 2026'!$B:$B,$A191,'Source 2026'!$A:$A,"Amount (NIS)")+SUMIFS('Source 2026'!$M:$M,'Source 2026'!$B:$B,$A191,'Source 2026'!$A:$A,"Amount (NIS)")</f>
        <v>185.1</v>
      </c>
      <c r="J191" s="8" t="n">
        <f aca="false">I191*$J$5</f>
        <v>253.851428571429</v>
      </c>
      <c r="K191" s="8" t="n">
        <f aca="false">J191-H191</f>
        <v>-1177.24857142857</v>
      </c>
      <c r="L191" s="9" t="n">
        <f aca="false">IF(AND(H191=0,J191=0),0,IF(H191=0,"New",(J191-H191)/H191))</f>
        <v>-0.822617966199826</v>
      </c>
    </row>
    <row r="192" customFormat="false" ht="15" hidden="false" customHeight="false" outlineLevel="0" collapsed="false">
      <c r="A192" s="7" t="n">
        <v>4413096</v>
      </c>
      <c r="B192" s="7" t="str">
        <f aca="false">IFERROR(INDEX('Source 2026'!$C:$C,MATCH($A192,'Source 2026'!$B:$B,0)),IFERROR(INDEX('Source 2025'!$C:$C,MATCH($A192,'Source 2025'!$B:$B,0)),""))</f>
        <v>45 XXL מגן ברך לבן</v>
      </c>
      <c r="C192" s="8" t="n">
        <f aca="false">SUMIFS('Source 2025'!$D:$D,'Source 2025'!$B:$B,$A192,'Source 2025'!$A:$A,"Quantity (units)")+SUMIFS('Source 2025'!$E:$E,'Source 2025'!$B:$B,$A192,'Source 2025'!$A:$A,"Quantity (units)")+SUMIFS('Source 2025'!$F:$F,'Source 2025'!$B:$B,$A192,'Source 2025'!$A:$A,"Quantity (units)")+SUMIFS('Source 2025'!$G:$G,'Source 2025'!$B:$B,$A192,'Source 2025'!$A:$A,"Quantity (units)")+SUMIFS('Source 2025'!$J:$J,'Source 2025'!$B:$B,$A192,'Source 2025'!$A:$A,"Quantity (units)")+SUMIFS('Source 2025'!$M:$M,'Source 2025'!$B:$B,$A192,'Source 2025'!$A:$A,"Quantity (units)")</f>
        <v>121</v>
      </c>
      <c r="D192" s="8" t="n">
        <f aca="false">SUMIFS('Source 2026'!$D:$D,'Source 2026'!$B:$B,$A192,'Source 2026'!$A:$A,"Quantity (units)")+SUMIFS('Source 2026'!$E:$E,'Source 2026'!$B:$B,$A192,'Source 2026'!$A:$A,"Quantity (units)")+SUMIFS('Source 2026'!$F:$F,'Source 2026'!$B:$B,$A192,'Source 2026'!$A:$A,"Quantity (units)")+SUMIFS('Source 2026'!$G:$G,'Source 2026'!$B:$B,$A192,'Source 2026'!$A:$A,"Quantity (units)")+SUMIFS('Source 2026'!$J:$J,'Source 2026'!$B:$B,$A192,'Source 2026'!$A:$A,"Quantity (units)")+SUMIFS('Source 2026'!$M:$M,'Source 2026'!$B:$B,$A192,'Source 2026'!$A:$A,"Quantity (units)")</f>
        <v>81</v>
      </c>
      <c r="E192" s="8" t="n">
        <f aca="false">D192*$J$5</f>
        <v>111.085714285714</v>
      </c>
      <c r="F192" s="8" t="n">
        <f aca="false">E192-C192</f>
        <v>-9.91428571428571</v>
      </c>
      <c r="G192" s="9" t="n">
        <f aca="false">IF(AND(C192=0,E192=0),0,IF(C192=0,"New",(E192-C192)/C192))</f>
        <v>-0.0819362455726092</v>
      </c>
      <c r="H192" s="8" t="n">
        <f aca="false">SUMIFS('Source 2025'!$D:$D,'Source 2025'!$B:$B,$A192,'Source 2025'!$A:$A,"Amount (NIS)")+SUMIFS('Source 2025'!$E:$E,'Source 2025'!$B:$B,$A192,'Source 2025'!$A:$A,"Amount (NIS)")+SUMIFS('Source 2025'!$F:$F,'Source 2025'!$B:$B,$A192,'Source 2025'!$A:$A,"Amount (NIS)")+SUMIFS('Source 2025'!$G:$G,'Source 2025'!$B:$B,$A192,'Source 2025'!$A:$A,"Amount (NIS)")+SUMIFS('Source 2025'!$J:$J,'Source 2025'!$B:$B,$A192,'Source 2025'!$A:$A,"Amount (NIS)")+SUMIFS('Source 2025'!$M:$M,'Source 2025'!$B:$B,$A192,'Source 2025'!$A:$A,"Amount (NIS)")</f>
        <v>3635.4</v>
      </c>
      <c r="I192" s="8" t="n">
        <f aca="false">SUMIFS('Source 2026'!$D:$D,'Source 2026'!$B:$B,$A192,'Source 2026'!$A:$A,"Amount (NIS)")+SUMIFS('Source 2026'!$E:$E,'Source 2026'!$B:$B,$A192,'Source 2026'!$A:$A,"Amount (NIS)")+SUMIFS('Source 2026'!$F:$F,'Source 2026'!$B:$B,$A192,'Source 2026'!$A:$A,"Amount (NIS)")+SUMIFS('Source 2026'!$G:$G,'Source 2026'!$B:$B,$A192,'Source 2026'!$A:$A,"Amount (NIS)")+SUMIFS('Source 2026'!$J:$J,'Source 2026'!$B:$B,$A192,'Source 2026'!$A:$A,"Amount (NIS)")+SUMIFS('Source 2026'!$M:$M,'Source 2026'!$B:$B,$A192,'Source 2026'!$A:$A,"Amount (NIS)")</f>
        <v>2415.6</v>
      </c>
      <c r="J192" s="8" t="n">
        <f aca="false">I192*$J$5</f>
        <v>3312.82285714286</v>
      </c>
      <c r="K192" s="8" t="n">
        <f aca="false">J192-H192</f>
        <v>-322.577142857143</v>
      </c>
      <c r="L192" s="9" t="n">
        <f aca="false">IF(AND(H192=0,J192=0),0,IF(H192=0,"New",(J192-H192)/H192))</f>
        <v>-0.0887322283262208</v>
      </c>
    </row>
    <row r="193" customFormat="false" ht="15" hidden="false" customHeight="false" outlineLevel="0" collapsed="false">
      <c r="A193" s="7" t="n">
        <v>4413034</v>
      </c>
      <c r="B193" s="7" t="str">
        <f aca="false">IFERROR(INDEX('Source 2026'!$C:$C,MATCH($A193,'Source 2026'!$B:$B,0)),IFERROR(INDEX('Source 2025'!$C:$C,MATCH($A193,'Source 2025'!$B:$B,0)),""))</f>
        <v>312 9 מ""ס להתאמהX5 מדבקה גדולה</v>
      </c>
      <c r="C193" s="8" t="n">
        <f aca="false">SUMIFS('Source 2025'!$D:$D,'Source 2025'!$B:$B,$A193,'Source 2025'!$A:$A,"Quantity (units)")+SUMIFS('Source 2025'!$E:$E,'Source 2025'!$B:$B,$A193,'Source 2025'!$A:$A,"Quantity (units)")+SUMIFS('Source 2025'!$F:$F,'Source 2025'!$B:$B,$A193,'Source 2025'!$A:$A,"Quantity (units)")+SUMIFS('Source 2025'!$G:$G,'Source 2025'!$B:$B,$A193,'Source 2025'!$A:$A,"Quantity (units)")+SUMIFS('Source 2025'!$J:$J,'Source 2025'!$B:$B,$A193,'Source 2025'!$A:$A,"Quantity (units)")+SUMIFS('Source 2025'!$M:$M,'Source 2025'!$B:$B,$A193,'Source 2025'!$A:$A,"Quantity (units)")</f>
        <v>116</v>
      </c>
      <c r="D193" s="8" t="n">
        <f aca="false">SUMIFS('Source 2026'!$D:$D,'Source 2026'!$B:$B,$A193,'Source 2026'!$A:$A,"Quantity (units)")+SUMIFS('Source 2026'!$E:$E,'Source 2026'!$B:$B,$A193,'Source 2026'!$A:$A,"Quantity (units)")+SUMIFS('Source 2026'!$F:$F,'Source 2026'!$B:$B,$A193,'Source 2026'!$A:$A,"Quantity (units)")+SUMIFS('Source 2026'!$G:$G,'Source 2026'!$B:$B,$A193,'Source 2026'!$A:$A,"Quantity (units)")+SUMIFS('Source 2026'!$J:$J,'Source 2026'!$B:$B,$A193,'Source 2026'!$A:$A,"Quantity (units)")+SUMIFS('Source 2026'!$M:$M,'Source 2026'!$B:$B,$A193,'Source 2026'!$A:$A,"Quantity (units)")</f>
        <v>59</v>
      </c>
      <c r="E193" s="8" t="n">
        <f aca="false">D193*$J$5</f>
        <v>80.9142857142857</v>
      </c>
      <c r="F193" s="8" t="n">
        <f aca="false">E193-C193</f>
        <v>-35.0857142857143</v>
      </c>
      <c r="G193" s="9" t="n">
        <f aca="false">IF(AND(C193=0,E193=0),0,IF(C193=0,"New",(E193-C193)/C193))</f>
        <v>-0.302463054187192</v>
      </c>
      <c r="H193" s="8" t="n">
        <f aca="false">SUMIFS('Source 2025'!$D:$D,'Source 2025'!$B:$B,$A193,'Source 2025'!$A:$A,"Amount (NIS)")+SUMIFS('Source 2025'!$E:$E,'Source 2025'!$B:$B,$A193,'Source 2025'!$A:$A,"Amount (NIS)")+SUMIFS('Source 2025'!$F:$F,'Source 2025'!$B:$B,$A193,'Source 2025'!$A:$A,"Amount (NIS)")+SUMIFS('Source 2025'!$G:$G,'Source 2025'!$B:$B,$A193,'Source 2025'!$A:$A,"Amount (NIS)")+SUMIFS('Source 2025'!$J:$J,'Source 2025'!$B:$B,$A193,'Source 2025'!$A:$A,"Amount (NIS)")+SUMIFS('Source 2025'!$M:$M,'Source 2025'!$B:$B,$A193,'Source 2025'!$A:$A,"Amount (NIS)")</f>
        <v>2425</v>
      </c>
      <c r="I193" s="8" t="n">
        <f aca="false">SUMIFS('Source 2026'!$D:$D,'Source 2026'!$B:$B,$A193,'Source 2026'!$A:$A,"Amount (NIS)")+SUMIFS('Source 2026'!$E:$E,'Source 2026'!$B:$B,$A193,'Source 2026'!$A:$A,"Amount (NIS)")+SUMIFS('Source 2026'!$F:$F,'Source 2026'!$B:$B,$A193,'Source 2026'!$A:$A,"Amount (NIS)")+SUMIFS('Source 2026'!$G:$G,'Source 2026'!$B:$B,$A193,'Source 2026'!$A:$A,"Amount (NIS)")+SUMIFS('Source 2026'!$J:$J,'Source 2026'!$B:$B,$A193,'Source 2026'!$A:$A,"Amount (NIS)")+SUMIFS('Source 2026'!$M:$M,'Source 2026'!$B:$B,$A193,'Source 2026'!$A:$A,"Amount (NIS)")</f>
        <v>1206.8</v>
      </c>
      <c r="J193" s="8" t="n">
        <f aca="false">I193*$J$5</f>
        <v>1655.04</v>
      </c>
      <c r="K193" s="8" t="n">
        <f aca="false">J193-H193</f>
        <v>-769.96</v>
      </c>
      <c r="L193" s="9" t="n">
        <f aca="false">IF(AND(H193=0,J193=0),0,IF(H193=0,"New",(J193-H193)/H193))</f>
        <v>-0.317509278350515</v>
      </c>
    </row>
    <row r="194" customFormat="false" ht="15" hidden="false" customHeight="false" outlineLevel="0" collapsed="false">
      <c r="A194" s="7" t="n">
        <v>4413439</v>
      </c>
      <c r="B194" s="7" t="str">
        <f aca="false">IFERROR(INDEX('Source 2026'!$C:$C,MATCH($A194,'Source 2026'!$B:$B,0)),IFERROR(INDEX('Source 2025'!$C:$C,MATCH($A194,'Source 2025'!$B:$B,0)),""))</f>
        <v>SC422  M מגן ברך</v>
      </c>
      <c r="C194" s="8" t="n">
        <f aca="false">SUMIFS('Source 2025'!$D:$D,'Source 2025'!$B:$B,$A194,'Source 2025'!$A:$A,"Quantity (units)")+SUMIFS('Source 2025'!$E:$E,'Source 2025'!$B:$B,$A194,'Source 2025'!$A:$A,"Quantity (units)")+SUMIFS('Source 2025'!$F:$F,'Source 2025'!$B:$B,$A194,'Source 2025'!$A:$A,"Quantity (units)")+SUMIFS('Source 2025'!$G:$G,'Source 2025'!$B:$B,$A194,'Source 2025'!$A:$A,"Quantity (units)")+SUMIFS('Source 2025'!$J:$J,'Source 2025'!$B:$B,$A194,'Source 2025'!$A:$A,"Quantity (units)")+SUMIFS('Source 2025'!$M:$M,'Source 2025'!$B:$B,$A194,'Source 2025'!$A:$A,"Quantity (units)")</f>
        <v>11</v>
      </c>
      <c r="D194" s="8" t="n">
        <f aca="false">SUMIFS('Source 2026'!$D:$D,'Source 2026'!$B:$B,$A194,'Source 2026'!$A:$A,"Quantity (units)")+SUMIFS('Source 2026'!$E:$E,'Source 2026'!$B:$B,$A194,'Source 2026'!$A:$A,"Quantity (units)")+SUMIFS('Source 2026'!$F:$F,'Source 2026'!$B:$B,$A194,'Source 2026'!$A:$A,"Quantity (units)")+SUMIFS('Source 2026'!$G:$G,'Source 2026'!$B:$B,$A194,'Source 2026'!$A:$A,"Quantity (units)")+SUMIFS('Source 2026'!$J:$J,'Source 2026'!$B:$B,$A194,'Source 2026'!$A:$A,"Quantity (units)")+SUMIFS('Source 2026'!$M:$M,'Source 2026'!$B:$B,$A194,'Source 2026'!$A:$A,"Quantity (units)")</f>
        <v>20</v>
      </c>
      <c r="E194" s="8" t="n">
        <f aca="false">D194*$J$5</f>
        <v>27.4285714285714</v>
      </c>
      <c r="F194" s="8" t="n">
        <f aca="false">E194-C194</f>
        <v>16.4285714285714</v>
      </c>
      <c r="G194" s="9" t="n">
        <f aca="false">IF(AND(C194=0,E194=0),0,IF(C194=0,"New",(E194-C194)/C194))</f>
        <v>1.49350649350649</v>
      </c>
      <c r="H194" s="8" t="n">
        <f aca="false">SUMIFS('Source 2025'!$D:$D,'Source 2025'!$B:$B,$A194,'Source 2025'!$A:$A,"Amount (NIS)")+SUMIFS('Source 2025'!$E:$E,'Source 2025'!$B:$B,$A194,'Source 2025'!$A:$A,"Amount (NIS)")+SUMIFS('Source 2025'!$F:$F,'Source 2025'!$B:$B,$A194,'Source 2025'!$A:$A,"Amount (NIS)")+SUMIFS('Source 2025'!$G:$G,'Source 2025'!$B:$B,$A194,'Source 2025'!$A:$A,"Amount (NIS)")+SUMIFS('Source 2025'!$J:$J,'Source 2025'!$B:$B,$A194,'Source 2025'!$A:$A,"Amount (NIS)")+SUMIFS('Source 2025'!$M:$M,'Source 2025'!$B:$B,$A194,'Source 2025'!$A:$A,"Amount (NIS)")</f>
        <v>1474.1</v>
      </c>
      <c r="I194" s="8" t="n">
        <f aca="false">SUMIFS('Source 2026'!$D:$D,'Source 2026'!$B:$B,$A194,'Source 2026'!$A:$A,"Amount (NIS)")+SUMIFS('Source 2026'!$E:$E,'Source 2026'!$B:$B,$A194,'Source 2026'!$A:$A,"Amount (NIS)")+SUMIFS('Source 2026'!$F:$F,'Source 2026'!$B:$B,$A194,'Source 2026'!$A:$A,"Amount (NIS)")+SUMIFS('Source 2026'!$G:$G,'Source 2026'!$B:$B,$A194,'Source 2026'!$A:$A,"Amount (NIS)")+SUMIFS('Source 2026'!$J:$J,'Source 2026'!$B:$B,$A194,'Source 2026'!$A:$A,"Amount (NIS)")+SUMIFS('Source 2026'!$M:$M,'Source 2026'!$B:$B,$A194,'Source 2026'!$A:$A,"Amount (NIS)")</f>
        <v>2689.6</v>
      </c>
      <c r="J194" s="8" t="n">
        <f aca="false">I194*$J$5</f>
        <v>3688.59428571429</v>
      </c>
      <c r="K194" s="8" t="n">
        <f aca="false">J194-H194</f>
        <v>2214.49428571429</v>
      </c>
      <c r="L194" s="9" t="n">
        <f aca="false">IF(AND(H194=0,J194=0),0,IF(H194=0,"New",(J194-H194)/H194))</f>
        <v>1.50226869663814</v>
      </c>
    </row>
    <row r="195" customFormat="false" ht="15" hidden="false" customHeight="false" outlineLevel="0" collapsed="false">
      <c r="A195" s="7" t="n">
        <v>4413503</v>
      </c>
      <c r="B195" s="7" t="str">
        <f aca="false">IFERROR(INDEX('Source 2026'!$C:$C,MATCH($A195,'Source 2026'!$B:$B,0)),IFERROR(INDEX('Source 2025'!$C:$C,MATCH($A195,'Source 2025'!$B:$B,0)),""))</f>
        <v>95B XL מגן מרפק שחור</v>
      </c>
      <c r="C195" s="8" t="n">
        <f aca="false">SUMIFS('Source 2025'!$D:$D,'Source 2025'!$B:$B,$A195,'Source 2025'!$A:$A,"Quantity (units)")+SUMIFS('Source 2025'!$E:$E,'Source 2025'!$B:$B,$A195,'Source 2025'!$A:$A,"Quantity (units)")+SUMIFS('Source 2025'!$F:$F,'Source 2025'!$B:$B,$A195,'Source 2025'!$A:$A,"Quantity (units)")+SUMIFS('Source 2025'!$G:$G,'Source 2025'!$B:$B,$A195,'Source 2025'!$A:$A,"Quantity (units)")+SUMIFS('Source 2025'!$J:$J,'Source 2025'!$B:$B,$A195,'Source 2025'!$A:$A,"Quantity (units)")+SUMIFS('Source 2025'!$M:$M,'Source 2025'!$B:$B,$A195,'Source 2025'!$A:$A,"Quantity (units)")</f>
        <v>92</v>
      </c>
      <c r="D195" s="8" t="n">
        <f aca="false">SUMIFS('Source 2026'!$D:$D,'Source 2026'!$B:$B,$A195,'Source 2026'!$A:$A,"Quantity (units)")+SUMIFS('Source 2026'!$E:$E,'Source 2026'!$B:$B,$A195,'Source 2026'!$A:$A,"Quantity (units)")+SUMIFS('Source 2026'!$F:$F,'Source 2026'!$B:$B,$A195,'Source 2026'!$A:$A,"Quantity (units)")+SUMIFS('Source 2026'!$G:$G,'Source 2026'!$B:$B,$A195,'Source 2026'!$A:$A,"Quantity (units)")+SUMIFS('Source 2026'!$J:$J,'Source 2026'!$B:$B,$A195,'Source 2026'!$A:$A,"Quantity (units)")+SUMIFS('Source 2026'!$M:$M,'Source 2026'!$B:$B,$A195,'Source 2026'!$A:$A,"Quantity (units)")</f>
        <v>49</v>
      </c>
      <c r="E195" s="8" t="n">
        <f aca="false">D195*$J$5</f>
        <v>67.2</v>
      </c>
      <c r="F195" s="8" t="n">
        <f aca="false">E195-C195</f>
        <v>-24.8</v>
      </c>
      <c r="G195" s="9" t="n">
        <f aca="false">IF(AND(C195=0,E195=0),0,IF(C195=0,"New",(E195-C195)/C195))</f>
        <v>-0.269565217391304</v>
      </c>
      <c r="H195" s="8" t="n">
        <f aca="false">SUMIFS('Source 2025'!$D:$D,'Source 2025'!$B:$B,$A195,'Source 2025'!$A:$A,"Amount (NIS)")+SUMIFS('Source 2025'!$E:$E,'Source 2025'!$B:$B,$A195,'Source 2025'!$A:$A,"Amount (NIS)")+SUMIFS('Source 2025'!$F:$F,'Source 2025'!$B:$B,$A195,'Source 2025'!$A:$A,"Amount (NIS)")+SUMIFS('Source 2025'!$G:$G,'Source 2025'!$B:$B,$A195,'Source 2025'!$A:$A,"Amount (NIS)")+SUMIFS('Source 2025'!$J:$J,'Source 2025'!$B:$B,$A195,'Source 2025'!$A:$A,"Amount (NIS)")+SUMIFS('Source 2025'!$M:$M,'Source 2025'!$B:$B,$A195,'Source 2025'!$A:$A,"Amount (NIS)")</f>
        <v>2705.5</v>
      </c>
      <c r="I195" s="8" t="n">
        <f aca="false">SUMIFS('Source 2026'!$D:$D,'Source 2026'!$B:$B,$A195,'Source 2026'!$A:$A,"Amount (NIS)")+SUMIFS('Source 2026'!$E:$E,'Source 2026'!$B:$B,$A195,'Source 2026'!$A:$A,"Amount (NIS)")+SUMIFS('Source 2026'!$F:$F,'Source 2026'!$B:$B,$A195,'Source 2026'!$A:$A,"Amount (NIS)")+SUMIFS('Source 2026'!$G:$G,'Source 2026'!$B:$B,$A195,'Source 2026'!$A:$A,"Amount (NIS)")+SUMIFS('Source 2026'!$J:$J,'Source 2026'!$B:$B,$A195,'Source 2026'!$A:$A,"Amount (NIS)")+SUMIFS('Source 2026'!$M:$M,'Source 2026'!$B:$B,$A195,'Source 2026'!$A:$A,"Amount (NIS)")</f>
        <v>1495.1</v>
      </c>
      <c r="J195" s="8" t="n">
        <f aca="false">I195*$J$5</f>
        <v>2050.42285714286</v>
      </c>
      <c r="K195" s="8" t="n">
        <f aca="false">J195-H195</f>
        <v>-655.077142857143</v>
      </c>
      <c r="L195" s="9" t="n">
        <f aca="false">IF(AND(H195=0,J195=0),0,IF(H195=0,"New",(J195-H195)/H195))</f>
        <v>-0.242127940438789</v>
      </c>
    </row>
    <row r="196" customFormat="false" ht="15" hidden="false" customHeight="false" outlineLevel="0" collapsed="false">
      <c r="A196" s="7" t="n">
        <v>4413021</v>
      </c>
      <c r="B196" s="7" t="str">
        <f aca="false">IFERROR(INDEX('Source 2026'!$C:$C,MATCH($A196,'Source 2026'!$B:$B,0)),IFERROR(INDEX('Source 2025'!$C:$C,MATCH($A196,'Source 2025'!$B:$B,0)),""))</f>
        <v>303 43-44 מדרסי סיליק.לח.סכרת</v>
      </c>
      <c r="C196" s="8" t="n">
        <f aca="false">SUMIFS('Source 2025'!$D:$D,'Source 2025'!$B:$B,$A196,'Source 2025'!$A:$A,"Quantity (units)")+SUMIFS('Source 2025'!$E:$E,'Source 2025'!$B:$B,$A196,'Source 2025'!$A:$A,"Quantity (units)")+SUMIFS('Source 2025'!$F:$F,'Source 2025'!$B:$B,$A196,'Source 2025'!$A:$A,"Quantity (units)")+SUMIFS('Source 2025'!$G:$G,'Source 2025'!$B:$B,$A196,'Source 2025'!$A:$A,"Quantity (units)")+SUMIFS('Source 2025'!$J:$J,'Source 2025'!$B:$B,$A196,'Source 2025'!$A:$A,"Quantity (units)")+SUMIFS('Source 2025'!$M:$M,'Source 2025'!$B:$B,$A196,'Source 2025'!$A:$A,"Quantity (units)")</f>
        <v>10</v>
      </c>
      <c r="D196" s="8" t="n">
        <f aca="false">SUMIFS('Source 2026'!$D:$D,'Source 2026'!$B:$B,$A196,'Source 2026'!$A:$A,"Quantity (units)")+SUMIFS('Source 2026'!$E:$E,'Source 2026'!$B:$B,$A196,'Source 2026'!$A:$A,"Quantity (units)")+SUMIFS('Source 2026'!$F:$F,'Source 2026'!$B:$B,$A196,'Source 2026'!$A:$A,"Quantity (units)")+SUMIFS('Source 2026'!$G:$G,'Source 2026'!$B:$B,$A196,'Source 2026'!$A:$A,"Quantity (units)")+SUMIFS('Source 2026'!$J:$J,'Source 2026'!$B:$B,$A196,'Source 2026'!$A:$A,"Quantity (units)")+SUMIFS('Source 2026'!$M:$M,'Source 2026'!$B:$B,$A196,'Source 2026'!$A:$A,"Quantity (units)")</f>
        <v>-1</v>
      </c>
      <c r="E196" s="8" t="n">
        <f aca="false">D196*$J$5</f>
        <v>-1.37142857142857</v>
      </c>
      <c r="F196" s="8" t="n">
        <f aca="false">E196-C196</f>
        <v>-11.3714285714286</v>
      </c>
      <c r="G196" s="9" t="n">
        <f aca="false">IF(AND(C196=0,E196=0),0,IF(C196=0,"New",(E196-C196)/C196))</f>
        <v>-1.13714285714286</v>
      </c>
      <c r="H196" s="8" t="n">
        <f aca="false">SUMIFS('Source 2025'!$D:$D,'Source 2025'!$B:$B,$A196,'Source 2025'!$A:$A,"Amount (NIS)")+SUMIFS('Source 2025'!$E:$E,'Source 2025'!$B:$B,$A196,'Source 2025'!$A:$A,"Amount (NIS)")+SUMIFS('Source 2025'!$F:$F,'Source 2025'!$B:$B,$A196,'Source 2025'!$A:$A,"Amount (NIS)")+SUMIFS('Source 2025'!$G:$G,'Source 2025'!$B:$B,$A196,'Source 2025'!$A:$A,"Amount (NIS)")+SUMIFS('Source 2025'!$J:$J,'Source 2025'!$B:$B,$A196,'Source 2025'!$A:$A,"Amount (NIS)")+SUMIFS('Source 2025'!$M:$M,'Source 2025'!$B:$B,$A196,'Source 2025'!$A:$A,"Amount (NIS)")</f>
        <v>1109</v>
      </c>
      <c r="I196" s="8" t="n">
        <f aca="false">SUMIFS('Source 2026'!$D:$D,'Source 2026'!$B:$B,$A196,'Source 2026'!$A:$A,"Amount (NIS)")+SUMIFS('Source 2026'!$E:$E,'Source 2026'!$B:$B,$A196,'Source 2026'!$A:$A,"Amount (NIS)")+SUMIFS('Source 2026'!$F:$F,'Source 2026'!$B:$B,$A196,'Source 2026'!$A:$A,"Amount (NIS)")+SUMIFS('Source 2026'!$G:$G,'Source 2026'!$B:$B,$A196,'Source 2026'!$A:$A,"Amount (NIS)")+SUMIFS('Source 2026'!$J:$J,'Source 2026'!$B:$B,$A196,'Source 2026'!$A:$A,"Amount (NIS)")+SUMIFS('Source 2026'!$M:$M,'Source 2026'!$B:$B,$A196,'Source 2026'!$A:$A,"Amount (NIS)")</f>
        <v>-94.8</v>
      </c>
      <c r="J196" s="8" t="n">
        <f aca="false">I196*$J$5</f>
        <v>-130.011428571429</v>
      </c>
      <c r="K196" s="8" t="n">
        <f aca="false">J196-H196</f>
        <v>-1239.01142857143</v>
      </c>
      <c r="L196" s="9" t="n">
        <f aca="false">IF(AND(H196=0,J196=0),0,IF(H196=0,"New",(J196-H196)/H196))</f>
        <v>-1.11723302846838</v>
      </c>
    </row>
    <row r="197" customFormat="false" ht="15" hidden="false" customHeight="false" outlineLevel="0" collapsed="false">
      <c r="A197" s="7" t="n">
        <v>4413042</v>
      </c>
      <c r="B197" s="7" t="str">
        <f aca="false">IFERROR(INDEX('Source 2026'!$C:$C,MATCH($A197,'Source 2026'!$B:$B,0)),IFERROR(INDEX('Source 2025'!$C:$C,MATCH($A197,'Source 2025'!$B:$B,0)),""))</f>
        <v>34  S מגן קרסול עקב סגור</v>
      </c>
      <c r="C197" s="8" t="n">
        <f aca="false">SUMIFS('Source 2025'!$D:$D,'Source 2025'!$B:$B,$A197,'Source 2025'!$A:$A,"Quantity (units)")+SUMIFS('Source 2025'!$E:$E,'Source 2025'!$B:$B,$A197,'Source 2025'!$A:$A,"Quantity (units)")+SUMIFS('Source 2025'!$F:$F,'Source 2025'!$B:$B,$A197,'Source 2025'!$A:$A,"Quantity (units)")+SUMIFS('Source 2025'!$G:$G,'Source 2025'!$B:$B,$A197,'Source 2025'!$A:$A,"Quantity (units)")+SUMIFS('Source 2025'!$J:$J,'Source 2025'!$B:$B,$A197,'Source 2025'!$A:$A,"Quantity (units)")+SUMIFS('Source 2025'!$M:$M,'Source 2025'!$B:$B,$A197,'Source 2025'!$A:$A,"Quantity (units)")</f>
        <v>79</v>
      </c>
      <c r="D197" s="8" t="n">
        <f aca="false">SUMIFS('Source 2026'!$D:$D,'Source 2026'!$B:$B,$A197,'Source 2026'!$A:$A,"Quantity (units)")+SUMIFS('Source 2026'!$E:$E,'Source 2026'!$B:$B,$A197,'Source 2026'!$A:$A,"Quantity (units)")+SUMIFS('Source 2026'!$F:$F,'Source 2026'!$B:$B,$A197,'Source 2026'!$A:$A,"Quantity (units)")+SUMIFS('Source 2026'!$G:$G,'Source 2026'!$B:$B,$A197,'Source 2026'!$A:$A,"Quantity (units)")+SUMIFS('Source 2026'!$J:$J,'Source 2026'!$B:$B,$A197,'Source 2026'!$A:$A,"Quantity (units)")+SUMIFS('Source 2026'!$M:$M,'Source 2026'!$B:$B,$A197,'Source 2026'!$A:$A,"Quantity (units)")</f>
        <v>49</v>
      </c>
      <c r="E197" s="8" t="n">
        <f aca="false">D197*$J$5</f>
        <v>67.2</v>
      </c>
      <c r="F197" s="8" t="n">
        <f aca="false">E197-C197</f>
        <v>-11.8</v>
      </c>
      <c r="G197" s="9" t="n">
        <f aca="false">IF(AND(C197=0,E197=0),0,IF(C197=0,"New",(E197-C197)/C197))</f>
        <v>-0.149367088607595</v>
      </c>
      <c r="H197" s="8" t="n">
        <f aca="false">SUMIFS('Source 2025'!$D:$D,'Source 2025'!$B:$B,$A197,'Source 2025'!$A:$A,"Amount (NIS)")+SUMIFS('Source 2025'!$E:$E,'Source 2025'!$B:$B,$A197,'Source 2025'!$A:$A,"Amount (NIS)")+SUMIFS('Source 2025'!$F:$F,'Source 2025'!$B:$B,$A197,'Source 2025'!$A:$A,"Amount (NIS)")+SUMIFS('Source 2025'!$G:$G,'Source 2025'!$B:$B,$A197,'Source 2025'!$A:$A,"Amount (NIS)")+SUMIFS('Source 2025'!$J:$J,'Source 2025'!$B:$B,$A197,'Source 2025'!$A:$A,"Amount (NIS)")+SUMIFS('Source 2025'!$M:$M,'Source 2025'!$B:$B,$A197,'Source 2025'!$A:$A,"Amount (NIS)")</f>
        <v>3456.2</v>
      </c>
      <c r="I197" s="8" t="n">
        <f aca="false">SUMIFS('Source 2026'!$D:$D,'Source 2026'!$B:$B,$A197,'Source 2026'!$A:$A,"Amount (NIS)")+SUMIFS('Source 2026'!$E:$E,'Source 2026'!$B:$B,$A197,'Source 2026'!$A:$A,"Amount (NIS)")+SUMIFS('Source 2026'!$F:$F,'Source 2026'!$B:$B,$A197,'Source 2026'!$A:$A,"Amount (NIS)")+SUMIFS('Source 2026'!$G:$G,'Source 2026'!$B:$B,$A197,'Source 2026'!$A:$A,"Amount (NIS)")+SUMIFS('Source 2026'!$J:$J,'Source 2026'!$B:$B,$A197,'Source 2026'!$A:$A,"Amount (NIS)")+SUMIFS('Source 2026'!$M:$M,'Source 2026'!$B:$B,$A197,'Source 2026'!$A:$A,"Amount (NIS)")</f>
        <v>2253.6</v>
      </c>
      <c r="J197" s="8" t="n">
        <f aca="false">I197*$J$5</f>
        <v>3090.65142857143</v>
      </c>
      <c r="K197" s="8" t="n">
        <f aca="false">J197-H197</f>
        <v>-365.548571428571</v>
      </c>
      <c r="L197" s="9" t="n">
        <f aca="false">IF(AND(H197=0,J197=0),0,IF(H197=0,"New",(J197-H197)/H197))</f>
        <v>-0.105766035365017</v>
      </c>
    </row>
    <row r="198" customFormat="false" ht="15" hidden="false" customHeight="false" outlineLevel="0" collapsed="false">
      <c r="A198" s="7" t="n">
        <v>4420003</v>
      </c>
      <c r="B198" s="7" t="str">
        <f aca="false">IFERROR(INDEX('Source 2026'!$C:$C,MATCH($A198,'Source 2026'!$B:$B,0)),IFERROR(INDEX('Source 2025'!$C:$C,MATCH($A198,'Source 2025'!$B:$B,0)),""))</f>
        <v>374 רפידת בולמת זעזועים -זוג</v>
      </c>
      <c r="C198" s="8" t="n">
        <f aca="false">SUMIFS('Source 2025'!$D:$D,'Source 2025'!$B:$B,$A198,'Source 2025'!$A:$A,"Quantity (units)")+SUMIFS('Source 2025'!$E:$E,'Source 2025'!$B:$B,$A198,'Source 2025'!$A:$A,"Quantity (units)")+SUMIFS('Source 2025'!$F:$F,'Source 2025'!$B:$B,$A198,'Source 2025'!$A:$A,"Quantity (units)")+SUMIFS('Source 2025'!$G:$G,'Source 2025'!$B:$B,$A198,'Source 2025'!$A:$A,"Quantity (units)")+SUMIFS('Source 2025'!$J:$J,'Source 2025'!$B:$B,$A198,'Source 2025'!$A:$A,"Quantity (units)")+SUMIFS('Source 2025'!$M:$M,'Source 2025'!$B:$B,$A198,'Source 2025'!$A:$A,"Quantity (units)")</f>
        <v>304</v>
      </c>
      <c r="D198" s="8" t="n">
        <f aca="false">SUMIFS('Source 2026'!$D:$D,'Source 2026'!$B:$B,$A198,'Source 2026'!$A:$A,"Quantity (units)")+SUMIFS('Source 2026'!$E:$E,'Source 2026'!$B:$B,$A198,'Source 2026'!$A:$A,"Quantity (units)")+SUMIFS('Source 2026'!$F:$F,'Source 2026'!$B:$B,$A198,'Source 2026'!$A:$A,"Quantity (units)")+SUMIFS('Source 2026'!$G:$G,'Source 2026'!$B:$B,$A198,'Source 2026'!$A:$A,"Quantity (units)")+SUMIFS('Source 2026'!$J:$J,'Source 2026'!$B:$B,$A198,'Source 2026'!$A:$A,"Quantity (units)")+SUMIFS('Source 2026'!$M:$M,'Source 2026'!$B:$B,$A198,'Source 2026'!$A:$A,"Quantity (units)")</f>
        <v>208</v>
      </c>
      <c r="E198" s="8" t="n">
        <f aca="false">D198*$J$5</f>
        <v>285.257142857143</v>
      </c>
      <c r="F198" s="8" t="n">
        <f aca="false">E198-C198</f>
        <v>-18.7428571428571</v>
      </c>
      <c r="G198" s="9" t="n">
        <f aca="false">IF(AND(C198=0,E198=0),0,IF(C198=0,"New",(E198-C198)/C198))</f>
        <v>-0.0616541353383458</v>
      </c>
      <c r="H198" s="8" t="n">
        <f aca="false">SUMIFS('Source 2025'!$D:$D,'Source 2025'!$B:$B,$A198,'Source 2025'!$A:$A,"Amount (NIS)")+SUMIFS('Source 2025'!$E:$E,'Source 2025'!$B:$B,$A198,'Source 2025'!$A:$A,"Amount (NIS)")+SUMIFS('Source 2025'!$F:$F,'Source 2025'!$B:$B,$A198,'Source 2025'!$A:$A,"Amount (NIS)")+SUMIFS('Source 2025'!$G:$G,'Source 2025'!$B:$B,$A198,'Source 2025'!$A:$A,"Amount (NIS)")+SUMIFS('Source 2025'!$J:$J,'Source 2025'!$B:$B,$A198,'Source 2025'!$A:$A,"Amount (NIS)")+SUMIFS('Source 2025'!$M:$M,'Source 2025'!$B:$B,$A198,'Source 2025'!$A:$A,"Amount (NIS)")</f>
        <v>4153.2</v>
      </c>
      <c r="I198" s="8" t="n">
        <f aca="false">SUMIFS('Source 2026'!$D:$D,'Source 2026'!$B:$B,$A198,'Source 2026'!$A:$A,"Amount (NIS)")+SUMIFS('Source 2026'!$E:$E,'Source 2026'!$B:$B,$A198,'Source 2026'!$A:$A,"Amount (NIS)")+SUMIFS('Source 2026'!$F:$F,'Source 2026'!$B:$B,$A198,'Source 2026'!$A:$A,"Amount (NIS)")+SUMIFS('Source 2026'!$G:$G,'Source 2026'!$B:$B,$A198,'Source 2026'!$A:$A,"Amount (NIS)")+SUMIFS('Source 2026'!$J:$J,'Source 2026'!$B:$B,$A198,'Source 2026'!$A:$A,"Amount (NIS)")+SUMIFS('Source 2026'!$M:$M,'Source 2026'!$B:$B,$A198,'Source 2026'!$A:$A,"Amount (NIS)")</f>
        <v>2953.3</v>
      </c>
      <c r="J198" s="8" t="n">
        <f aca="false">I198*$J$5</f>
        <v>4050.24</v>
      </c>
      <c r="K198" s="8" t="n">
        <f aca="false">J198-H198</f>
        <v>-102.96</v>
      </c>
      <c r="L198" s="9" t="n">
        <f aca="false">IF(AND(H198=0,J198=0),0,IF(H198=0,"New",(J198-H198)/H198))</f>
        <v>-0.0247905229702398</v>
      </c>
    </row>
    <row r="199" customFormat="false" ht="15" hidden="false" customHeight="false" outlineLevel="0" collapsed="false">
      <c r="A199" s="7" t="n">
        <v>4413159</v>
      </c>
      <c r="B199" s="7" t="str">
        <f aca="false">IFERROR(INDEX('Source 2026'!$C:$C,MATCH($A199,'Source 2026'!$B:$B,0)),IFERROR(INDEX('Source 2025'!$C:$C,MATCH($A199,'Source 2025'!$B:$B,0)),""))</f>
        <v>34+ S מגן קרסול עקב סגור+רצוע</v>
      </c>
      <c r="C199" s="8" t="n">
        <f aca="false">SUMIFS('Source 2025'!$D:$D,'Source 2025'!$B:$B,$A199,'Source 2025'!$A:$A,"Quantity (units)")+SUMIFS('Source 2025'!$E:$E,'Source 2025'!$B:$B,$A199,'Source 2025'!$A:$A,"Quantity (units)")+SUMIFS('Source 2025'!$F:$F,'Source 2025'!$B:$B,$A199,'Source 2025'!$A:$A,"Quantity (units)")+SUMIFS('Source 2025'!$G:$G,'Source 2025'!$B:$B,$A199,'Source 2025'!$A:$A,"Quantity (units)")+SUMIFS('Source 2025'!$J:$J,'Source 2025'!$B:$B,$A199,'Source 2025'!$A:$A,"Quantity (units)")+SUMIFS('Source 2025'!$M:$M,'Source 2025'!$B:$B,$A199,'Source 2025'!$A:$A,"Quantity (units)")</f>
        <v>29</v>
      </c>
      <c r="D199" s="8" t="n">
        <f aca="false">SUMIFS('Source 2026'!$D:$D,'Source 2026'!$B:$B,$A199,'Source 2026'!$A:$A,"Quantity (units)")+SUMIFS('Source 2026'!$E:$E,'Source 2026'!$B:$B,$A199,'Source 2026'!$A:$A,"Quantity (units)")+SUMIFS('Source 2026'!$F:$F,'Source 2026'!$B:$B,$A199,'Source 2026'!$A:$A,"Quantity (units)")+SUMIFS('Source 2026'!$G:$G,'Source 2026'!$B:$B,$A199,'Source 2026'!$A:$A,"Quantity (units)")+SUMIFS('Source 2026'!$J:$J,'Source 2026'!$B:$B,$A199,'Source 2026'!$A:$A,"Quantity (units)")+SUMIFS('Source 2026'!$M:$M,'Source 2026'!$B:$B,$A199,'Source 2026'!$A:$A,"Quantity (units)")</f>
        <v>12</v>
      </c>
      <c r="E199" s="8" t="n">
        <f aca="false">D199*$J$5</f>
        <v>16.4571428571429</v>
      </c>
      <c r="F199" s="8" t="n">
        <f aca="false">E199-C199</f>
        <v>-12.5428571428571</v>
      </c>
      <c r="G199" s="9" t="n">
        <f aca="false">IF(AND(C199=0,E199=0),0,IF(C199=0,"New",(E199-C199)/C199))</f>
        <v>-0.432512315270936</v>
      </c>
      <c r="H199" s="8" t="n">
        <f aca="false">SUMIFS('Source 2025'!$D:$D,'Source 2025'!$B:$B,$A199,'Source 2025'!$A:$A,"Amount (NIS)")+SUMIFS('Source 2025'!$E:$E,'Source 2025'!$B:$B,$A199,'Source 2025'!$A:$A,"Amount (NIS)")+SUMIFS('Source 2025'!$F:$F,'Source 2025'!$B:$B,$A199,'Source 2025'!$A:$A,"Amount (NIS)")+SUMIFS('Source 2025'!$G:$G,'Source 2025'!$B:$B,$A199,'Source 2025'!$A:$A,"Amount (NIS)")+SUMIFS('Source 2025'!$J:$J,'Source 2025'!$B:$B,$A199,'Source 2025'!$A:$A,"Amount (NIS)")+SUMIFS('Source 2025'!$M:$M,'Source 2025'!$B:$B,$A199,'Source 2025'!$A:$A,"Amount (NIS)")</f>
        <v>1987.6</v>
      </c>
      <c r="I199" s="8" t="n">
        <f aca="false">SUMIFS('Source 2026'!$D:$D,'Source 2026'!$B:$B,$A199,'Source 2026'!$A:$A,"Amount (NIS)")+SUMIFS('Source 2026'!$E:$E,'Source 2026'!$B:$B,$A199,'Source 2026'!$A:$A,"Amount (NIS)")+SUMIFS('Source 2026'!$F:$F,'Source 2026'!$B:$B,$A199,'Source 2026'!$A:$A,"Amount (NIS)")+SUMIFS('Source 2026'!$G:$G,'Source 2026'!$B:$B,$A199,'Source 2026'!$A:$A,"Amount (NIS)")+SUMIFS('Source 2026'!$J:$J,'Source 2026'!$B:$B,$A199,'Source 2026'!$A:$A,"Amount (NIS)")+SUMIFS('Source 2026'!$M:$M,'Source 2026'!$B:$B,$A199,'Source 2026'!$A:$A,"Amount (NIS)")</f>
        <v>796.2</v>
      </c>
      <c r="J199" s="8" t="n">
        <f aca="false">I199*$J$5</f>
        <v>1091.93142857143</v>
      </c>
      <c r="K199" s="8" t="n">
        <f aca="false">J199-H199</f>
        <v>-895.668571428571</v>
      </c>
      <c r="L199" s="9" t="n">
        <f aca="false">IF(AND(H199=0,J199=0),0,IF(H199=0,"New",(J199-H199)/H199))</f>
        <v>-0.45062818043297</v>
      </c>
    </row>
    <row r="200" customFormat="false" ht="15" hidden="false" customHeight="false" outlineLevel="0" collapsed="false">
      <c r="A200" s="7" t="n">
        <v>4422034</v>
      </c>
      <c r="B200" s="7" t="str">
        <f aca="false">IFERROR(INDEX('Source 2026'!$C:$C,MATCH($A200,'Source 2026'!$B:$B,0)),IFERROR(INDEX('Source 2025'!$C:$C,MATCH($A200,'Source 2025'!$B:$B,0)),""))</f>
        <v>807CB-P תחבושת נצמדת ורוד 20ממ</v>
      </c>
      <c r="C200" s="8" t="n">
        <f aca="false">SUMIFS('Source 2025'!$D:$D,'Source 2025'!$B:$B,$A200,'Source 2025'!$A:$A,"Quantity (units)")+SUMIFS('Source 2025'!$E:$E,'Source 2025'!$B:$B,$A200,'Source 2025'!$A:$A,"Quantity (units)")+SUMIFS('Source 2025'!$F:$F,'Source 2025'!$B:$B,$A200,'Source 2025'!$A:$A,"Quantity (units)")+SUMIFS('Source 2025'!$G:$G,'Source 2025'!$B:$B,$A200,'Source 2025'!$A:$A,"Quantity (units)")+SUMIFS('Source 2025'!$J:$J,'Source 2025'!$B:$B,$A200,'Source 2025'!$A:$A,"Quantity (units)")+SUMIFS('Source 2025'!$M:$M,'Source 2025'!$B:$B,$A200,'Source 2025'!$A:$A,"Quantity (units)")</f>
        <v>201</v>
      </c>
      <c r="D200" s="8" t="n">
        <f aca="false">SUMIFS('Source 2026'!$D:$D,'Source 2026'!$B:$B,$A200,'Source 2026'!$A:$A,"Quantity (units)")+SUMIFS('Source 2026'!$E:$E,'Source 2026'!$B:$B,$A200,'Source 2026'!$A:$A,"Quantity (units)")+SUMIFS('Source 2026'!$F:$F,'Source 2026'!$B:$B,$A200,'Source 2026'!$A:$A,"Quantity (units)")+SUMIFS('Source 2026'!$G:$G,'Source 2026'!$B:$B,$A200,'Source 2026'!$A:$A,"Quantity (units)")+SUMIFS('Source 2026'!$J:$J,'Source 2026'!$B:$B,$A200,'Source 2026'!$A:$A,"Quantity (units)")+SUMIFS('Source 2026'!$M:$M,'Source 2026'!$B:$B,$A200,'Source 2026'!$A:$A,"Quantity (units)")</f>
        <v>64</v>
      </c>
      <c r="E200" s="8" t="n">
        <f aca="false">D200*$J$5</f>
        <v>87.7714285714286</v>
      </c>
      <c r="F200" s="8" t="n">
        <f aca="false">E200-C200</f>
        <v>-113.228571428571</v>
      </c>
      <c r="G200" s="9" t="n">
        <f aca="false">IF(AND(C200=0,E200=0),0,IF(C200=0,"New",(E200-C200)/C200))</f>
        <v>-0.563326226012793</v>
      </c>
      <c r="H200" s="8" t="n">
        <f aca="false">SUMIFS('Source 2025'!$D:$D,'Source 2025'!$B:$B,$A200,'Source 2025'!$A:$A,"Amount (NIS)")+SUMIFS('Source 2025'!$E:$E,'Source 2025'!$B:$B,$A200,'Source 2025'!$A:$A,"Amount (NIS)")+SUMIFS('Source 2025'!$F:$F,'Source 2025'!$B:$B,$A200,'Source 2025'!$A:$A,"Amount (NIS)")+SUMIFS('Source 2025'!$G:$G,'Source 2025'!$B:$B,$A200,'Source 2025'!$A:$A,"Amount (NIS)")+SUMIFS('Source 2025'!$J:$J,'Source 2025'!$B:$B,$A200,'Source 2025'!$A:$A,"Amount (NIS)")+SUMIFS('Source 2025'!$M:$M,'Source 2025'!$B:$B,$A200,'Source 2025'!$A:$A,"Amount (NIS)")</f>
        <v>1926.5</v>
      </c>
      <c r="I200" s="8" t="n">
        <f aca="false">SUMIFS('Source 2026'!$D:$D,'Source 2026'!$B:$B,$A200,'Source 2026'!$A:$A,"Amount (NIS)")+SUMIFS('Source 2026'!$E:$E,'Source 2026'!$B:$B,$A200,'Source 2026'!$A:$A,"Amount (NIS)")+SUMIFS('Source 2026'!$F:$F,'Source 2026'!$B:$B,$A200,'Source 2026'!$A:$A,"Amount (NIS)")+SUMIFS('Source 2026'!$G:$G,'Source 2026'!$B:$B,$A200,'Source 2026'!$A:$A,"Amount (NIS)")+SUMIFS('Source 2026'!$J:$J,'Source 2026'!$B:$B,$A200,'Source 2026'!$A:$A,"Amount (NIS)")+SUMIFS('Source 2026'!$M:$M,'Source 2026'!$B:$B,$A200,'Source 2026'!$A:$A,"Amount (NIS)")</f>
        <v>748.7</v>
      </c>
      <c r="J200" s="8" t="n">
        <f aca="false">I200*$J$5</f>
        <v>1026.78857142857</v>
      </c>
      <c r="K200" s="8" t="n">
        <f aca="false">J200-H200</f>
        <v>-899.711428571429</v>
      </c>
      <c r="L200" s="9" t="n">
        <f aca="false">IF(AND(H200=0,J200=0),0,IF(H200=0,"New",(J200-H200)/H200))</f>
        <v>-0.467018649660747</v>
      </c>
    </row>
    <row r="201" customFormat="false" ht="15" hidden="false" customHeight="false" outlineLevel="0" collapsed="false">
      <c r="A201" s="7" t="n">
        <v>4413525</v>
      </c>
      <c r="B201" s="7" t="str">
        <f aca="false">IFERROR(INDEX('Source 2026'!$C:$C,MATCH($A201,'Source 2026'!$B:$B,0)),IFERROR(INDEX('Source 2025'!$C:$C,MATCH($A201,'Source 2025'!$B:$B,0)),""))</f>
        <v>43-47 מדרסי אפיק ג'ל נוחות</v>
      </c>
      <c r="C201" s="8" t="n">
        <f aca="false">SUMIFS('Source 2025'!$D:$D,'Source 2025'!$B:$B,$A201,'Source 2025'!$A:$A,"Quantity (units)")+SUMIFS('Source 2025'!$E:$E,'Source 2025'!$B:$B,$A201,'Source 2025'!$A:$A,"Quantity (units)")+SUMIFS('Source 2025'!$F:$F,'Source 2025'!$B:$B,$A201,'Source 2025'!$A:$A,"Quantity (units)")+SUMIFS('Source 2025'!$G:$G,'Source 2025'!$B:$B,$A201,'Source 2025'!$A:$A,"Quantity (units)")+SUMIFS('Source 2025'!$J:$J,'Source 2025'!$B:$B,$A201,'Source 2025'!$A:$A,"Quantity (units)")+SUMIFS('Source 2025'!$M:$M,'Source 2025'!$B:$B,$A201,'Source 2025'!$A:$A,"Quantity (units)")</f>
        <v>20</v>
      </c>
      <c r="D201" s="8" t="n">
        <f aca="false">SUMIFS('Source 2026'!$D:$D,'Source 2026'!$B:$B,$A201,'Source 2026'!$A:$A,"Quantity (units)")+SUMIFS('Source 2026'!$E:$E,'Source 2026'!$B:$B,$A201,'Source 2026'!$A:$A,"Quantity (units)")+SUMIFS('Source 2026'!$F:$F,'Source 2026'!$B:$B,$A201,'Source 2026'!$A:$A,"Quantity (units)")+SUMIFS('Source 2026'!$G:$G,'Source 2026'!$B:$B,$A201,'Source 2026'!$A:$A,"Quantity (units)")+SUMIFS('Source 2026'!$J:$J,'Source 2026'!$B:$B,$A201,'Source 2026'!$A:$A,"Quantity (units)")+SUMIFS('Source 2026'!$M:$M,'Source 2026'!$B:$B,$A201,'Source 2026'!$A:$A,"Quantity (units)")</f>
        <v>9</v>
      </c>
      <c r="E201" s="8" t="n">
        <f aca="false">D201*$J$5</f>
        <v>12.3428571428571</v>
      </c>
      <c r="F201" s="8" t="n">
        <f aca="false">E201-C201</f>
        <v>-7.65714285714286</v>
      </c>
      <c r="G201" s="9" t="n">
        <f aca="false">IF(AND(C201=0,E201=0),0,IF(C201=0,"New",(E201-C201)/C201))</f>
        <v>-0.382857142857143</v>
      </c>
      <c r="H201" s="8" t="n">
        <f aca="false">SUMIFS('Source 2025'!$D:$D,'Source 2025'!$B:$B,$A201,'Source 2025'!$A:$A,"Amount (NIS)")+SUMIFS('Source 2025'!$E:$E,'Source 2025'!$B:$B,$A201,'Source 2025'!$A:$A,"Amount (NIS)")+SUMIFS('Source 2025'!$F:$F,'Source 2025'!$B:$B,$A201,'Source 2025'!$A:$A,"Amount (NIS)")+SUMIFS('Source 2025'!$G:$G,'Source 2025'!$B:$B,$A201,'Source 2025'!$A:$A,"Amount (NIS)")+SUMIFS('Source 2025'!$J:$J,'Source 2025'!$B:$B,$A201,'Source 2025'!$A:$A,"Amount (NIS)")+SUMIFS('Source 2025'!$M:$M,'Source 2025'!$B:$B,$A201,'Source 2025'!$A:$A,"Amount (NIS)")</f>
        <v>2114</v>
      </c>
      <c r="I201" s="8" t="n">
        <f aca="false">SUMIFS('Source 2026'!$D:$D,'Source 2026'!$B:$B,$A201,'Source 2026'!$A:$A,"Amount (NIS)")+SUMIFS('Source 2026'!$E:$E,'Source 2026'!$B:$B,$A201,'Source 2026'!$A:$A,"Amount (NIS)")+SUMIFS('Source 2026'!$F:$F,'Source 2026'!$B:$B,$A201,'Source 2026'!$A:$A,"Amount (NIS)")+SUMIFS('Source 2026'!$G:$G,'Source 2026'!$B:$B,$A201,'Source 2026'!$A:$A,"Amount (NIS)")+SUMIFS('Source 2026'!$J:$J,'Source 2026'!$B:$B,$A201,'Source 2026'!$A:$A,"Amount (NIS)")+SUMIFS('Source 2026'!$M:$M,'Source 2026'!$B:$B,$A201,'Source 2026'!$A:$A,"Amount (NIS)")</f>
        <v>953.9</v>
      </c>
      <c r="J201" s="8" t="n">
        <f aca="false">I201*$J$5</f>
        <v>1308.20571428571</v>
      </c>
      <c r="K201" s="8" t="n">
        <f aca="false">J201-H201</f>
        <v>-805.794285714286</v>
      </c>
      <c r="L201" s="9" t="n">
        <f aca="false">IF(AND(H201=0,J201=0),0,IF(H201=0,"New",(J201-H201)/H201))</f>
        <v>-0.381170428436275</v>
      </c>
    </row>
    <row r="202" customFormat="false" ht="15" hidden="false" customHeight="false" outlineLevel="0" collapsed="false">
      <c r="A202" s="7" t="n">
        <v>4408231</v>
      </c>
      <c r="B202" s="7" t="str">
        <f aca="false">IFERROR(INDEX('Source 2026'!$C:$C,MATCH($A202,'Source 2026'!$B:$B,0)),IFERROR(INDEX('Source 2025'!$C:$C,MATCH($A202,'Source 2025'!$B:$B,0)),""))</f>
        <v>16 S-M חגורת הריון</v>
      </c>
      <c r="C202" s="8" t="n">
        <f aca="false">SUMIFS('Source 2025'!$D:$D,'Source 2025'!$B:$B,$A202,'Source 2025'!$A:$A,"Quantity (units)")+SUMIFS('Source 2025'!$E:$E,'Source 2025'!$B:$B,$A202,'Source 2025'!$A:$A,"Quantity (units)")+SUMIFS('Source 2025'!$F:$F,'Source 2025'!$B:$B,$A202,'Source 2025'!$A:$A,"Quantity (units)")+SUMIFS('Source 2025'!$G:$G,'Source 2025'!$B:$B,$A202,'Source 2025'!$A:$A,"Quantity (units)")+SUMIFS('Source 2025'!$J:$J,'Source 2025'!$B:$B,$A202,'Source 2025'!$A:$A,"Quantity (units)")+SUMIFS('Source 2025'!$M:$M,'Source 2025'!$B:$B,$A202,'Source 2025'!$A:$A,"Quantity (units)")</f>
        <v>3</v>
      </c>
      <c r="D202" s="8" t="n">
        <f aca="false">SUMIFS('Source 2026'!$D:$D,'Source 2026'!$B:$B,$A202,'Source 2026'!$A:$A,"Quantity (units)")+SUMIFS('Source 2026'!$E:$E,'Source 2026'!$B:$B,$A202,'Source 2026'!$A:$A,"Quantity (units)")+SUMIFS('Source 2026'!$F:$F,'Source 2026'!$B:$B,$A202,'Source 2026'!$A:$A,"Quantity (units)")+SUMIFS('Source 2026'!$G:$G,'Source 2026'!$B:$B,$A202,'Source 2026'!$A:$A,"Quantity (units)")+SUMIFS('Source 2026'!$J:$J,'Source 2026'!$B:$B,$A202,'Source 2026'!$A:$A,"Quantity (units)")+SUMIFS('Source 2026'!$M:$M,'Source 2026'!$B:$B,$A202,'Source 2026'!$A:$A,"Quantity (units)")</f>
        <v>12</v>
      </c>
      <c r="E202" s="8" t="n">
        <f aca="false">D202*$J$5</f>
        <v>16.4571428571429</v>
      </c>
      <c r="F202" s="8" t="n">
        <f aca="false">E202-C202</f>
        <v>13.4571428571429</v>
      </c>
      <c r="G202" s="9" t="n">
        <f aca="false">IF(AND(C202=0,E202=0),0,IF(C202=0,"New",(E202-C202)/C202))</f>
        <v>4.48571428571429</v>
      </c>
      <c r="H202" s="8" t="n">
        <f aca="false">SUMIFS('Source 2025'!$D:$D,'Source 2025'!$B:$B,$A202,'Source 2025'!$A:$A,"Amount (NIS)")+SUMIFS('Source 2025'!$E:$E,'Source 2025'!$B:$B,$A202,'Source 2025'!$A:$A,"Amount (NIS)")+SUMIFS('Source 2025'!$F:$F,'Source 2025'!$B:$B,$A202,'Source 2025'!$A:$A,"Amount (NIS)")+SUMIFS('Source 2025'!$G:$G,'Source 2025'!$B:$B,$A202,'Source 2025'!$A:$A,"Amount (NIS)")+SUMIFS('Source 2025'!$J:$J,'Source 2025'!$B:$B,$A202,'Source 2025'!$A:$A,"Amount (NIS)")+SUMIFS('Source 2025'!$M:$M,'Source 2025'!$B:$B,$A202,'Source 2025'!$A:$A,"Amount (NIS)")</f>
        <v>339.6</v>
      </c>
      <c r="I202" s="8" t="n">
        <f aca="false">SUMIFS('Source 2026'!$D:$D,'Source 2026'!$B:$B,$A202,'Source 2026'!$A:$A,"Amount (NIS)")+SUMIFS('Source 2026'!$E:$E,'Source 2026'!$B:$B,$A202,'Source 2026'!$A:$A,"Amount (NIS)")+SUMIFS('Source 2026'!$F:$F,'Source 2026'!$B:$B,$A202,'Source 2026'!$A:$A,"Amount (NIS)")+SUMIFS('Source 2026'!$G:$G,'Source 2026'!$B:$B,$A202,'Source 2026'!$A:$A,"Amount (NIS)")+SUMIFS('Source 2026'!$J:$J,'Source 2026'!$B:$B,$A202,'Source 2026'!$A:$A,"Amount (NIS)")+SUMIFS('Source 2026'!$M:$M,'Source 2026'!$B:$B,$A202,'Source 2026'!$A:$A,"Amount (NIS)")</f>
        <v>1475.9</v>
      </c>
      <c r="J202" s="8" t="n">
        <f aca="false">I202*$J$5</f>
        <v>2024.09142857143</v>
      </c>
      <c r="K202" s="8" t="n">
        <f aca="false">J202-H202</f>
        <v>1684.49142857143</v>
      </c>
      <c r="L202" s="9" t="n">
        <f aca="false">IF(AND(H202=0,J202=0),0,IF(H202=0,"New",(J202-H202)/H202))</f>
        <v>4.96022211004543</v>
      </c>
    </row>
    <row r="203" customFormat="false" ht="15" hidden="false" customHeight="false" outlineLevel="0" collapsed="false">
      <c r="A203" s="7" t="n">
        <v>4413060</v>
      </c>
      <c r="B203" s="7" t="str">
        <f aca="false">IFERROR(INDEX('Source 2026'!$C:$C,MATCH($A203,'Source 2026'!$B:$B,0)),IFERROR(INDEX('Source 2025'!$C:$C,MATCH($A203,'Source 2025'!$B:$B,0)),""))</f>
        <v>364 XLמפריד אצבע סיליקון ליבלת</v>
      </c>
      <c r="C203" s="8" t="n">
        <f aca="false">SUMIFS('Source 2025'!$D:$D,'Source 2025'!$B:$B,$A203,'Source 2025'!$A:$A,"Quantity (units)")+SUMIFS('Source 2025'!$E:$E,'Source 2025'!$B:$B,$A203,'Source 2025'!$A:$A,"Quantity (units)")+SUMIFS('Source 2025'!$F:$F,'Source 2025'!$B:$B,$A203,'Source 2025'!$A:$A,"Quantity (units)")+SUMIFS('Source 2025'!$G:$G,'Source 2025'!$B:$B,$A203,'Source 2025'!$A:$A,"Quantity (units)")+SUMIFS('Source 2025'!$J:$J,'Source 2025'!$B:$B,$A203,'Source 2025'!$A:$A,"Quantity (units)")+SUMIFS('Source 2025'!$M:$M,'Source 2025'!$B:$B,$A203,'Source 2025'!$A:$A,"Quantity (units)")</f>
        <v>521</v>
      </c>
      <c r="D203" s="8" t="n">
        <f aca="false">SUMIFS('Source 2026'!$D:$D,'Source 2026'!$B:$B,$A203,'Source 2026'!$A:$A,"Quantity (units)")+SUMIFS('Source 2026'!$E:$E,'Source 2026'!$B:$B,$A203,'Source 2026'!$A:$A,"Quantity (units)")+SUMIFS('Source 2026'!$F:$F,'Source 2026'!$B:$B,$A203,'Source 2026'!$A:$A,"Quantity (units)")+SUMIFS('Source 2026'!$G:$G,'Source 2026'!$B:$B,$A203,'Source 2026'!$A:$A,"Quantity (units)")+SUMIFS('Source 2026'!$J:$J,'Source 2026'!$B:$B,$A203,'Source 2026'!$A:$A,"Quantity (units)")+SUMIFS('Source 2026'!$M:$M,'Source 2026'!$B:$B,$A203,'Source 2026'!$A:$A,"Quantity (units)")</f>
        <v>438</v>
      </c>
      <c r="E203" s="8" t="n">
        <f aca="false">D203*$J$5</f>
        <v>600.685714285714</v>
      </c>
      <c r="F203" s="8" t="n">
        <f aca="false">E203-C203</f>
        <v>79.6857142857143</v>
      </c>
      <c r="G203" s="9" t="n">
        <f aca="false">IF(AND(C203=0,E203=0),0,IF(C203=0,"New",(E203-C203)/C203))</f>
        <v>0.152947628187551</v>
      </c>
      <c r="H203" s="8" t="n">
        <f aca="false">SUMIFS('Source 2025'!$D:$D,'Source 2025'!$B:$B,$A203,'Source 2025'!$A:$A,"Amount (NIS)")+SUMIFS('Source 2025'!$E:$E,'Source 2025'!$B:$B,$A203,'Source 2025'!$A:$A,"Amount (NIS)")+SUMIFS('Source 2025'!$F:$F,'Source 2025'!$B:$B,$A203,'Source 2025'!$A:$A,"Amount (NIS)")+SUMIFS('Source 2025'!$G:$G,'Source 2025'!$B:$B,$A203,'Source 2025'!$A:$A,"Amount (NIS)")+SUMIFS('Source 2025'!$J:$J,'Source 2025'!$B:$B,$A203,'Source 2025'!$A:$A,"Amount (NIS)")+SUMIFS('Source 2025'!$M:$M,'Source 2025'!$B:$B,$A203,'Source 2025'!$A:$A,"Amount (NIS)")</f>
        <v>7118.4</v>
      </c>
      <c r="I203" s="8" t="n">
        <f aca="false">SUMIFS('Source 2026'!$D:$D,'Source 2026'!$B:$B,$A203,'Source 2026'!$A:$A,"Amount (NIS)")+SUMIFS('Source 2026'!$E:$E,'Source 2026'!$B:$B,$A203,'Source 2026'!$A:$A,"Amount (NIS)")+SUMIFS('Source 2026'!$F:$F,'Source 2026'!$B:$B,$A203,'Source 2026'!$A:$A,"Amount (NIS)")+SUMIFS('Source 2026'!$G:$G,'Source 2026'!$B:$B,$A203,'Source 2026'!$A:$A,"Amount (NIS)")+SUMIFS('Source 2026'!$J:$J,'Source 2026'!$B:$B,$A203,'Source 2026'!$A:$A,"Amount (NIS)")+SUMIFS('Source 2026'!$M:$M,'Source 2026'!$B:$B,$A203,'Source 2026'!$A:$A,"Amount (NIS)")</f>
        <v>5988.1</v>
      </c>
      <c r="J203" s="8" t="n">
        <f aca="false">I203*$J$5</f>
        <v>8212.25142857143</v>
      </c>
      <c r="K203" s="8" t="n">
        <f aca="false">J203-H203</f>
        <v>1093.85142857143</v>
      </c>
      <c r="L203" s="9" t="n">
        <f aca="false">IF(AND(H203=0,J203=0),0,IF(H203=0,"New",(J203-H203)/H203))</f>
        <v>0.153665350158944</v>
      </c>
    </row>
    <row r="204" customFormat="false" ht="15" hidden="false" customHeight="false" outlineLevel="0" collapsed="false">
      <c r="A204" s="7" t="n">
        <v>4420000</v>
      </c>
      <c r="B204" s="7" t="str">
        <f aca="false">IFERROR(INDEX('Source 2026'!$C:$C,MATCH($A204,'Source 2026'!$B:$B,0)),IFERROR(INDEX('Source 2025'!$C:$C,MATCH($A204,'Source 2025'!$B:$B,0)),""))</f>
        <v>370  רפידת נוחות-זוג</v>
      </c>
      <c r="C204" s="8" t="n">
        <f aca="false">SUMIFS('Source 2025'!$D:$D,'Source 2025'!$B:$B,$A204,'Source 2025'!$A:$A,"Quantity (units)")+SUMIFS('Source 2025'!$E:$E,'Source 2025'!$B:$B,$A204,'Source 2025'!$A:$A,"Quantity (units)")+SUMIFS('Source 2025'!$F:$F,'Source 2025'!$B:$B,$A204,'Source 2025'!$A:$A,"Quantity (units)")+SUMIFS('Source 2025'!$G:$G,'Source 2025'!$B:$B,$A204,'Source 2025'!$A:$A,"Quantity (units)")+SUMIFS('Source 2025'!$J:$J,'Source 2025'!$B:$B,$A204,'Source 2025'!$A:$A,"Quantity (units)")+SUMIFS('Source 2025'!$M:$M,'Source 2025'!$B:$B,$A204,'Source 2025'!$A:$A,"Quantity (units)")</f>
        <v>428</v>
      </c>
      <c r="D204" s="8" t="n">
        <f aca="false">SUMIFS('Source 2026'!$D:$D,'Source 2026'!$B:$B,$A204,'Source 2026'!$A:$A,"Quantity (units)")+SUMIFS('Source 2026'!$E:$E,'Source 2026'!$B:$B,$A204,'Source 2026'!$A:$A,"Quantity (units)")+SUMIFS('Source 2026'!$F:$F,'Source 2026'!$B:$B,$A204,'Source 2026'!$A:$A,"Quantity (units)")+SUMIFS('Source 2026'!$G:$G,'Source 2026'!$B:$B,$A204,'Source 2026'!$A:$A,"Quantity (units)")+SUMIFS('Source 2026'!$J:$J,'Source 2026'!$B:$B,$A204,'Source 2026'!$A:$A,"Quantity (units)")+SUMIFS('Source 2026'!$M:$M,'Source 2026'!$B:$B,$A204,'Source 2026'!$A:$A,"Quantity (units)")</f>
        <v>319</v>
      </c>
      <c r="E204" s="8" t="n">
        <f aca="false">D204*$J$5</f>
        <v>437.485714285714</v>
      </c>
      <c r="F204" s="8" t="n">
        <f aca="false">E204-C204</f>
        <v>9.48571428571427</v>
      </c>
      <c r="G204" s="9" t="n">
        <f aca="false">IF(AND(C204=0,E204=0),0,IF(C204=0,"New",(E204-C204)/C204))</f>
        <v>0.0221628838451268</v>
      </c>
      <c r="H204" s="8" t="n">
        <f aca="false">SUMIFS('Source 2025'!$D:$D,'Source 2025'!$B:$B,$A204,'Source 2025'!$A:$A,"Amount (NIS)")+SUMIFS('Source 2025'!$E:$E,'Source 2025'!$B:$B,$A204,'Source 2025'!$A:$A,"Amount (NIS)")+SUMIFS('Source 2025'!$F:$F,'Source 2025'!$B:$B,$A204,'Source 2025'!$A:$A,"Amount (NIS)")+SUMIFS('Source 2025'!$G:$G,'Source 2025'!$B:$B,$A204,'Source 2025'!$A:$A,"Amount (NIS)")+SUMIFS('Source 2025'!$J:$J,'Source 2025'!$B:$B,$A204,'Source 2025'!$A:$A,"Amount (NIS)")+SUMIFS('Source 2025'!$M:$M,'Source 2025'!$B:$B,$A204,'Source 2025'!$A:$A,"Amount (NIS)")</f>
        <v>5019.7</v>
      </c>
      <c r="I204" s="8" t="n">
        <f aca="false">SUMIFS('Source 2026'!$D:$D,'Source 2026'!$B:$B,$A204,'Source 2026'!$A:$A,"Amount (NIS)")+SUMIFS('Source 2026'!$E:$E,'Source 2026'!$B:$B,$A204,'Source 2026'!$A:$A,"Amount (NIS)")+SUMIFS('Source 2026'!$F:$F,'Source 2026'!$B:$B,$A204,'Source 2026'!$A:$A,"Amount (NIS)")+SUMIFS('Source 2026'!$G:$G,'Source 2026'!$B:$B,$A204,'Source 2026'!$A:$A,"Amount (NIS)")+SUMIFS('Source 2026'!$J:$J,'Source 2026'!$B:$B,$A204,'Source 2026'!$A:$A,"Amount (NIS)")+SUMIFS('Source 2026'!$M:$M,'Source 2026'!$B:$B,$A204,'Source 2026'!$A:$A,"Amount (NIS)")</f>
        <v>3921.1</v>
      </c>
      <c r="J204" s="8" t="n">
        <f aca="false">I204*$J$5</f>
        <v>5377.50857142857</v>
      </c>
      <c r="K204" s="8" t="n">
        <f aca="false">J204-H204</f>
        <v>357.808571428572</v>
      </c>
      <c r="L204" s="9" t="n">
        <f aca="false">IF(AND(H204=0,J204=0),0,IF(H204=0,"New",(J204-H204)/H204))</f>
        <v>0.0712808676671059</v>
      </c>
    </row>
    <row r="205" customFormat="false" ht="15" hidden="false" customHeight="false" outlineLevel="0" collapsed="false">
      <c r="A205" s="7" t="n">
        <v>4408088</v>
      </c>
      <c r="B205" s="7" t="str">
        <f aca="false">IFERROR(INDEX('Source 2026'!$C:$C,MATCH($A205,'Source 2026'!$B:$B,0)),IFERROR(INDEX('Source 2025'!$C:$C,MATCH($A205,'Source 2025'!$B:$B,0)),""))</f>
        <v>91  חבק ""טניס אלבו רצועה</v>
      </c>
      <c r="C205" s="8" t="n">
        <f aca="false">SUMIFS('Source 2025'!$D:$D,'Source 2025'!$B:$B,$A205,'Source 2025'!$A:$A,"Quantity (units)")+SUMIFS('Source 2025'!$E:$E,'Source 2025'!$B:$B,$A205,'Source 2025'!$A:$A,"Quantity (units)")+SUMIFS('Source 2025'!$F:$F,'Source 2025'!$B:$B,$A205,'Source 2025'!$A:$A,"Quantity (units)")+SUMIFS('Source 2025'!$G:$G,'Source 2025'!$B:$B,$A205,'Source 2025'!$A:$A,"Quantity (units)")+SUMIFS('Source 2025'!$J:$J,'Source 2025'!$B:$B,$A205,'Source 2025'!$A:$A,"Quantity (units)")+SUMIFS('Source 2025'!$M:$M,'Source 2025'!$B:$B,$A205,'Source 2025'!$A:$A,"Quantity (units)")</f>
        <v>25</v>
      </c>
      <c r="D205" s="8" t="n">
        <f aca="false">SUMIFS('Source 2026'!$D:$D,'Source 2026'!$B:$B,$A205,'Source 2026'!$A:$A,"Quantity (units)")+SUMIFS('Source 2026'!$E:$E,'Source 2026'!$B:$B,$A205,'Source 2026'!$A:$A,"Quantity (units)")+SUMIFS('Source 2026'!$F:$F,'Source 2026'!$B:$B,$A205,'Source 2026'!$A:$A,"Quantity (units)")+SUMIFS('Source 2026'!$G:$G,'Source 2026'!$B:$B,$A205,'Source 2026'!$A:$A,"Quantity (units)")+SUMIFS('Source 2026'!$J:$J,'Source 2026'!$B:$B,$A205,'Source 2026'!$A:$A,"Quantity (units)")+SUMIFS('Source 2026'!$M:$M,'Source 2026'!$B:$B,$A205,'Source 2026'!$A:$A,"Quantity (units)")</f>
        <v>11</v>
      </c>
      <c r="E205" s="8" t="n">
        <f aca="false">D205*$J$5</f>
        <v>15.0857142857143</v>
      </c>
      <c r="F205" s="8" t="n">
        <f aca="false">E205-C205</f>
        <v>-9.91428571428572</v>
      </c>
      <c r="G205" s="9" t="n">
        <f aca="false">IF(AND(C205=0,E205=0),0,IF(C205=0,"New",(E205-C205)/C205))</f>
        <v>-0.396571428571429</v>
      </c>
      <c r="H205" s="8" t="n">
        <f aca="false">SUMIFS('Source 2025'!$D:$D,'Source 2025'!$B:$B,$A205,'Source 2025'!$A:$A,"Amount (NIS)")+SUMIFS('Source 2025'!$E:$E,'Source 2025'!$B:$B,$A205,'Source 2025'!$A:$A,"Amount (NIS)")+SUMIFS('Source 2025'!$F:$F,'Source 2025'!$B:$B,$A205,'Source 2025'!$A:$A,"Amount (NIS)")+SUMIFS('Source 2025'!$G:$G,'Source 2025'!$B:$B,$A205,'Source 2025'!$A:$A,"Amount (NIS)")+SUMIFS('Source 2025'!$J:$J,'Source 2025'!$B:$B,$A205,'Source 2025'!$A:$A,"Amount (NIS)")+SUMIFS('Source 2025'!$M:$M,'Source 2025'!$B:$B,$A205,'Source 2025'!$A:$A,"Amount (NIS)")</f>
        <v>1952.8</v>
      </c>
      <c r="I205" s="8" t="n">
        <f aca="false">SUMIFS('Source 2026'!$D:$D,'Source 2026'!$B:$B,$A205,'Source 2026'!$A:$A,"Amount (NIS)")+SUMIFS('Source 2026'!$E:$E,'Source 2026'!$B:$B,$A205,'Source 2026'!$A:$A,"Amount (NIS)")+SUMIFS('Source 2026'!$F:$F,'Source 2026'!$B:$B,$A205,'Source 2026'!$A:$A,"Amount (NIS)")+SUMIFS('Source 2026'!$G:$G,'Source 2026'!$B:$B,$A205,'Source 2026'!$A:$A,"Amount (NIS)")+SUMIFS('Source 2026'!$J:$J,'Source 2026'!$B:$B,$A205,'Source 2026'!$A:$A,"Amount (NIS)")+SUMIFS('Source 2026'!$M:$M,'Source 2026'!$B:$B,$A205,'Source 2026'!$A:$A,"Amount (NIS)")</f>
        <v>859.4</v>
      </c>
      <c r="J205" s="8" t="n">
        <f aca="false">I205*$J$5</f>
        <v>1178.60571428571</v>
      </c>
      <c r="K205" s="8" t="n">
        <f aca="false">J205-H205</f>
        <v>-774.194285714286</v>
      </c>
      <c r="L205" s="9" t="n">
        <f aca="false">IF(AND(H205=0,J205=0),0,IF(H205=0,"New",(J205-H205)/H205))</f>
        <v>-0.396453444138819</v>
      </c>
    </row>
    <row r="206" customFormat="false" ht="15" hidden="false" customHeight="false" outlineLevel="0" collapsed="false">
      <c r="A206" s="7" t="n">
        <v>4422004</v>
      </c>
      <c r="B206" s="7" t="str">
        <f aca="false">IFERROR(INDEX('Source 2026'!$C:$C,MATCH($A206,'Source 2026'!$B:$B,0)),IFERROR(INDEX('Source 2025'!$C:$C,MATCH($A206,'Source 2025'!$B:$B,0)),""))</f>
        <v>T78 S תומך זרוע וכתף</v>
      </c>
      <c r="C206" s="8" t="n">
        <f aca="false">SUMIFS('Source 2025'!$D:$D,'Source 2025'!$B:$B,$A206,'Source 2025'!$A:$A,"Quantity (units)")+SUMIFS('Source 2025'!$E:$E,'Source 2025'!$B:$B,$A206,'Source 2025'!$A:$A,"Quantity (units)")+SUMIFS('Source 2025'!$F:$F,'Source 2025'!$B:$B,$A206,'Source 2025'!$A:$A,"Quantity (units)")+SUMIFS('Source 2025'!$G:$G,'Source 2025'!$B:$B,$A206,'Source 2025'!$A:$A,"Quantity (units)")+SUMIFS('Source 2025'!$J:$J,'Source 2025'!$B:$B,$A206,'Source 2025'!$A:$A,"Quantity (units)")+SUMIFS('Source 2025'!$M:$M,'Source 2025'!$B:$B,$A206,'Source 2025'!$A:$A,"Quantity (units)")</f>
        <v>11</v>
      </c>
      <c r="D206" s="8" t="n">
        <f aca="false">SUMIFS('Source 2026'!$D:$D,'Source 2026'!$B:$B,$A206,'Source 2026'!$A:$A,"Quantity (units)")+SUMIFS('Source 2026'!$E:$E,'Source 2026'!$B:$B,$A206,'Source 2026'!$A:$A,"Quantity (units)")+SUMIFS('Source 2026'!$F:$F,'Source 2026'!$B:$B,$A206,'Source 2026'!$A:$A,"Quantity (units)")+SUMIFS('Source 2026'!$G:$G,'Source 2026'!$B:$B,$A206,'Source 2026'!$A:$A,"Quantity (units)")+SUMIFS('Source 2026'!$J:$J,'Source 2026'!$B:$B,$A206,'Source 2026'!$A:$A,"Quantity (units)")+SUMIFS('Source 2026'!$M:$M,'Source 2026'!$B:$B,$A206,'Source 2026'!$A:$A,"Quantity (units)")</f>
        <v>5</v>
      </c>
      <c r="E206" s="8" t="n">
        <f aca="false">D206*$J$5</f>
        <v>6.85714285714286</v>
      </c>
      <c r="F206" s="8" t="n">
        <f aca="false">E206-C206</f>
        <v>-4.14285714285714</v>
      </c>
      <c r="G206" s="9" t="n">
        <f aca="false">IF(AND(C206=0,E206=0),0,IF(C206=0,"New",(E206-C206)/C206))</f>
        <v>-0.376623376623377</v>
      </c>
      <c r="H206" s="8" t="n">
        <f aca="false">SUMIFS('Source 2025'!$D:$D,'Source 2025'!$B:$B,$A206,'Source 2025'!$A:$A,"Amount (NIS)")+SUMIFS('Source 2025'!$E:$E,'Source 2025'!$B:$B,$A206,'Source 2025'!$A:$A,"Amount (NIS)")+SUMIFS('Source 2025'!$F:$F,'Source 2025'!$B:$B,$A206,'Source 2025'!$A:$A,"Amount (NIS)")+SUMIFS('Source 2025'!$G:$G,'Source 2025'!$B:$B,$A206,'Source 2025'!$A:$A,"Amount (NIS)")+SUMIFS('Source 2025'!$J:$J,'Source 2025'!$B:$B,$A206,'Source 2025'!$A:$A,"Amount (NIS)")+SUMIFS('Source 2025'!$M:$M,'Source 2025'!$B:$B,$A206,'Source 2025'!$A:$A,"Amount (NIS)")</f>
        <v>2043.8</v>
      </c>
      <c r="I206" s="8" t="n">
        <f aca="false">SUMIFS('Source 2026'!$D:$D,'Source 2026'!$B:$B,$A206,'Source 2026'!$A:$A,"Amount (NIS)")+SUMIFS('Source 2026'!$E:$E,'Source 2026'!$B:$B,$A206,'Source 2026'!$A:$A,"Amount (NIS)")+SUMIFS('Source 2026'!$F:$F,'Source 2026'!$B:$B,$A206,'Source 2026'!$A:$A,"Amount (NIS)")+SUMIFS('Source 2026'!$G:$G,'Source 2026'!$B:$B,$A206,'Source 2026'!$A:$A,"Amount (NIS)")+SUMIFS('Source 2026'!$J:$J,'Source 2026'!$B:$B,$A206,'Source 2026'!$A:$A,"Amount (NIS)")+SUMIFS('Source 2026'!$M:$M,'Source 2026'!$B:$B,$A206,'Source 2026'!$A:$A,"Amount (NIS)")</f>
        <v>959.2</v>
      </c>
      <c r="J206" s="8" t="n">
        <f aca="false">I206*$J$5</f>
        <v>1315.47428571429</v>
      </c>
      <c r="K206" s="8" t="n">
        <f aca="false">J206-H206</f>
        <v>-728.325714285714</v>
      </c>
      <c r="L206" s="9" t="n">
        <f aca="false">IF(AND(H206=0,J206=0),0,IF(H206=0,"New",(J206-H206)/H206))</f>
        <v>-0.356358603721359</v>
      </c>
    </row>
    <row r="207" customFormat="false" ht="15" hidden="false" customHeight="false" outlineLevel="0" collapsed="false">
      <c r="A207" s="7" t="n">
        <v>4420017</v>
      </c>
      <c r="B207" s="7" t="str">
        <f aca="false">IFERROR(INDEX('Source 2026'!$C:$C,MATCH($A207,'Source 2026'!$B:$B,0)),IFERROR(INDEX('Source 2025'!$C:$C,MATCH($A207,'Source 2025'!$B:$B,0)),""))</f>
        <v>4022 רצועת ""פיקה""+כרית</v>
      </c>
      <c r="C207" s="8" t="n">
        <f aca="false">SUMIFS('Source 2025'!$D:$D,'Source 2025'!$B:$B,$A207,'Source 2025'!$A:$A,"Quantity (units)")+SUMIFS('Source 2025'!$E:$E,'Source 2025'!$B:$B,$A207,'Source 2025'!$A:$A,"Quantity (units)")+SUMIFS('Source 2025'!$F:$F,'Source 2025'!$B:$B,$A207,'Source 2025'!$A:$A,"Quantity (units)")+SUMIFS('Source 2025'!$G:$G,'Source 2025'!$B:$B,$A207,'Source 2025'!$A:$A,"Quantity (units)")+SUMIFS('Source 2025'!$J:$J,'Source 2025'!$B:$B,$A207,'Source 2025'!$A:$A,"Quantity (units)")+SUMIFS('Source 2025'!$M:$M,'Source 2025'!$B:$B,$A207,'Source 2025'!$A:$A,"Quantity (units)")</f>
        <v>35</v>
      </c>
      <c r="D207" s="8" t="n">
        <f aca="false">SUMIFS('Source 2026'!$D:$D,'Source 2026'!$B:$B,$A207,'Source 2026'!$A:$A,"Quantity (units)")+SUMIFS('Source 2026'!$E:$E,'Source 2026'!$B:$B,$A207,'Source 2026'!$A:$A,"Quantity (units)")+SUMIFS('Source 2026'!$F:$F,'Source 2026'!$B:$B,$A207,'Source 2026'!$A:$A,"Quantity (units)")+SUMIFS('Source 2026'!$G:$G,'Source 2026'!$B:$B,$A207,'Source 2026'!$A:$A,"Quantity (units)")+SUMIFS('Source 2026'!$J:$J,'Source 2026'!$B:$B,$A207,'Source 2026'!$A:$A,"Quantity (units)")+SUMIFS('Source 2026'!$M:$M,'Source 2026'!$B:$B,$A207,'Source 2026'!$A:$A,"Quantity (units)")</f>
        <v>23</v>
      </c>
      <c r="E207" s="8" t="n">
        <f aca="false">D207*$J$5</f>
        <v>31.5428571428571</v>
      </c>
      <c r="F207" s="8" t="n">
        <f aca="false">E207-C207</f>
        <v>-3.45714285714286</v>
      </c>
      <c r="G207" s="9" t="n">
        <f aca="false">IF(AND(C207=0,E207=0),0,IF(C207=0,"New",(E207-C207)/C207))</f>
        <v>-0.0987755102040816</v>
      </c>
      <c r="H207" s="8" t="n">
        <f aca="false">SUMIFS('Source 2025'!$D:$D,'Source 2025'!$B:$B,$A207,'Source 2025'!$A:$A,"Amount (NIS)")+SUMIFS('Source 2025'!$E:$E,'Source 2025'!$B:$B,$A207,'Source 2025'!$A:$A,"Amount (NIS)")+SUMIFS('Source 2025'!$F:$F,'Source 2025'!$B:$B,$A207,'Source 2025'!$A:$A,"Amount (NIS)")+SUMIFS('Source 2025'!$G:$G,'Source 2025'!$B:$B,$A207,'Source 2025'!$A:$A,"Amount (NIS)")+SUMIFS('Source 2025'!$J:$J,'Source 2025'!$B:$B,$A207,'Source 2025'!$A:$A,"Amount (NIS)")+SUMIFS('Source 2025'!$M:$M,'Source 2025'!$B:$B,$A207,'Source 2025'!$A:$A,"Amount (NIS)")</f>
        <v>3191.1</v>
      </c>
      <c r="I207" s="8" t="n">
        <f aca="false">SUMIFS('Source 2026'!$D:$D,'Source 2026'!$B:$B,$A207,'Source 2026'!$A:$A,"Amount (NIS)")+SUMIFS('Source 2026'!$E:$E,'Source 2026'!$B:$B,$A207,'Source 2026'!$A:$A,"Amount (NIS)")+SUMIFS('Source 2026'!$F:$F,'Source 2026'!$B:$B,$A207,'Source 2026'!$A:$A,"Amount (NIS)")+SUMIFS('Source 2026'!$G:$G,'Source 2026'!$B:$B,$A207,'Source 2026'!$A:$A,"Amount (NIS)")+SUMIFS('Source 2026'!$J:$J,'Source 2026'!$B:$B,$A207,'Source 2026'!$A:$A,"Amount (NIS)")+SUMIFS('Source 2026'!$M:$M,'Source 2026'!$B:$B,$A207,'Source 2026'!$A:$A,"Amount (NIS)")</f>
        <v>2107.1</v>
      </c>
      <c r="J207" s="8" t="n">
        <f aca="false">I207*$J$5</f>
        <v>2889.73714285714</v>
      </c>
      <c r="K207" s="8" t="n">
        <f aca="false">J207-H207</f>
        <v>-301.362857142857</v>
      </c>
      <c r="L207" s="9" t="n">
        <f aca="false">IF(AND(H207=0,J207=0),0,IF(H207=0,"New",(J207-H207)/H207))</f>
        <v>-0.0944385500745377</v>
      </c>
    </row>
    <row r="208" customFormat="false" ht="15" hidden="false" customHeight="false" outlineLevel="0" collapsed="false">
      <c r="A208" s="7" t="n">
        <v>4413158</v>
      </c>
      <c r="B208" s="7" t="str">
        <f aca="false">IFERROR(INDEX('Source 2026'!$C:$C,MATCH($A208,'Source 2026'!$B:$B,0)),IFERROR(INDEX('Source 2025'!$C:$C,MATCH($A208,'Source 2025'!$B:$B,0)),""))</f>
        <v>305GA מדרס אורטופ.מתכוון45-46</v>
      </c>
      <c r="C208" s="8" t="n">
        <f aca="false">SUMIFS('Source 2025'!$D:$D,'Source 2025'!$B:$B,$A208,'Source 2025'!$A:$A,"Quantity (units)")+SUMIFS('Source 2025'!$E:$E,'Source 2025'!$B:$B,$A208,'Source 2025'!$A:$A,"Quantity (units)")+SUMIFS('Source 2025'!$F:$F,'Source 2025'!$B:$B,$A208,'Source 2025'!$A:$A,"Quantity (units)")+SUMIFS('Source 2025'!$G:$G,'Source 2025'!$B:$B,$A208,'Source 2025'!$A:$A,"Quantity (units)")+SUMIFS('Source 2025'!$J:$J,'Source 2025'!$B:$B,$A208,'Source 2025'!$A:$A,"Quantity (units)")+SUMIFS('Source 2025'!$M:$M,'Source 2025'!$B:$B,$A208,'Source 2025'!$A:$A,"Quantity (units)")</f>
        <v>33</v>
      </c>
      <c r="D208" s="8" t="n">
        <f aca="false">SUMIFS('Source 2026'!$D:$D,'Source 2026'!$B:$B,$A208,'Source 2026'!$A:$A,"Quantity (units)")+SUMIFS('Source 2026'!$E:$E,'Source 2026'!$B:$B,$A208,'Source 2026'!$A:$A,"Quantity (units)")+SUMIFS('Source 2026'!$F:$F,'Source 2026'!$B:$B,$A208,'Source 2026'!$A:$A,"Quantity (units)")+SUMIFS('Source 2026'!$G:$G,'Source 2026'!$B:$B,$A208,'Source 2026'!$A:$A,"Quantity (units)")+SUMIFS('Source 2026'!$J:$J,'Source 2026'!$B:$B,$A208,'Source 2026'!$A:$A,"Quantity (units)")+SUMIFS('Source 2026'!$M:$M,'Source 2026'!$B:$B,$A208,'Source 2026'!$A:$A,"Quantity (units)")</f>
        <v>19</v>
      </c>
      <c r="E208" s="8" t="n">
        <f aca="false">D208*$J$5</f>
        <v>26.0571428571429</v>
      </c>
      <c r="F208" s="8" t="n">
        <f aca="false">E208-C208</f>
        <v>-6.94285714285714</v>
      </c>
      <c r="G208" s="9" t="n">
        <f aca="false">IF(AND(C208=0,E208=0),0,IF(C208=0,"New",(E208-C208)/C208))</f>
        <v>-0.21038961038961</v>
      </c>
      <c r="H208" s="8" t="n">
        <f aca="false">SUMIFS('Source 2025'!$D:$D,'Source 2025'!$B:$B,$A208,'Source 2025'!$A:$A,"Amount (NIS)")+SUMIFS('Source 2025'!$E:$E,'Source 2025'!$B:$B,$A208,'Source 2025'!$A:$A,"Amount (NIS)")+SUMIFS('Source 2025'!$F:$F,'Source 2025'!$B:$B,$A208,'Source 2025'!$A:$A,"Amount (NIS)")+SUMIFS('Source 2025'!$G:$G,'Source 2025'!$B:$B,$A208,'Source 2025'!$A:$A,"Amount (NIS)")+SUMIFS('Source 2025'!$J:$J,'Source 2025'!$B:$B,$A208,'Source 2025'!$A:$A,"Amount (NIS)")+SUMIFS('Source 2025'!$M:$M,'Source 2025'!$B:$B,$A208,'Source 2025'!$A:$A,"Amount (NIS)")</f>
        <v>2838.9</v>
      </c>
      <c r="I208" s="8" t="n">
        <f aca="false">SUMIFS('Source 2026'!$D:$D,'Source 2026'!$B:$B,$A208,'Source 2026'!$A:$A,"Amount (NIS)")+SUMIFS('Source 2026'!$E:$E,'Source 2026'!$B:$B,$A208,'Source 2026'!$A:$A,"Amount (NIS)")+SUMIFS('Source 2026'!$F:$F,'Source 2026'!$B:$B,$A208,'Source 2026'!$A:$A,"Amount (NIS)")+SUMIFS('Source 2026'!$G:$G,'Source 2026'!$B:$B,$A208,'Source 2026'!$A:$A,"Amount (NIS)")+SUMIFS('Source 2026'!$J:$J,'Source 2026'!$B:$B,$A208,'Source 2026'!$A:$A,"Amount (NIS)")+SUMIFS('Source 2026'!$M:$M,'Source 2026'!$B:$B,$A208,'Source 2026'!$A:$A,"Amount (NIS)")</f>
        <v>1761.4</v>
      </c>
      <c r="J208" s="8" t="n">
        <f aca="false">I208*$J$5</f>
        <v>2415.63428571429</v>
      </c>
      <c r="K208" s="8" t="n">
        <f aca="false">J208-H208</f>
        <v>-423.265714285714</v>
      </c>
      <c r="L208" s="9" t="n">
        <f aca="false">IF(AND(H208=0,J208=0),0,IF(H208=0,"New",(J208-H208)/H208))</f>
        <v>-0.14909497139234</v>
      </c>
    </row>
    <row r="209" customFormat="false" ht="15" hidden="false" customHeight="false" outlineLevel="0" collapsed="false">
      <c r="A209" s="7" t="n">
        <v>4408275</v>
      </c>
      <c r="B209" s="7" t="str">
        <f aca="false">IFERROR(INDEX('Source 2026'!$C:$C,MATCH($A209,'Source 2026'!$B:$B,0)),IFERROR(INDEX('Source 2025'!$C:$C,MATCH($A209,'Source 2025'!$B:$B,0)),""))</f>
        <v>202  ONE SIZE חבק יד</v>
      </c>
      <c r="C209" s="8" t="n">
        <f aca="false">SUMIFS('Source 2025'!$D:$D,'Source 2025'!$B:$B,$A209,'Source 2025'!$A:$A,"Quantity (units)")+SUMIFS('Source 2025'!$E:$E,'Source 2025'!$B:$B,$A209,'Source 2025'!$A:$A,"Quantity (units)")+SUMIFS('Source 2025'!$F:$F,'Source 2025'!$B:$B,$A209,'Source 2025'!$A:$A,"Quantity (units)")+SUMIFS('Source 2025'!$G:$G,'Source 2025'!$B:$B,$A209,'Source 2025'!$A:$A,"Quantity (units)")+SUMIFS('Source 2025'!$J:$J,'Source 2025'!$B:$B,$A209,'Source 2025'!$A:$A,"Quantity (units)")+SUMIFS('Source 2025'!$M:$M,'Source 2025'!$B:$B,$A209,'Source 2025'!$A:$A,"Quantity (units)")</f>
        <v>0</v>
      </c>
      <c r="D209" s="8" t="n">
        <f aca="false">SUMIFS('Source 2026'!$D:$D,'Source 2026'!$B:$B,$A209,'Source 2026'!$A:$A,"Quantity (units)")+SUMIFS('Source 2026'!$E:$E,'Source 2026'!$B:$B,$A209,'Source 2026'!$A:$A,"Quantity (units)")+SUMIFS('Source 2026'!$F:$F,'Source 2026'!$B:$B,$A209,'Source 2026'!$A:$A,"Quantity (units)")+SUMIFS('Source 2026'!$G:$G,'Source 2026'!$B:$B,$A209,'Source 2026'!$A:$A,"Quantity (units)")+SUMIFS('Source 2026'!$J:$J,'Source 2026'!$B:$B,$A209,'Source 2026'!$A:$A,"Quantity (units)")+SUMIFS('Source 2026'!$M:$M,'Source 2026'!$B:$B,$A209,'Source 2026'!$A:$A,"Quantity (units)")</f>
        <v>22</v>
      </c>
      <c r="E209" s="8" t="n">
        <f aca="false">D209*$J$5</f>
        <v>30.1714285714286</v>
      </c>
      <c r="F209" s="8" t="n">
        <f aca="false">E209-C209</f>
        <v>30.1714285714286</v>
      </c>
      <c r="G209" s="9" t="str">
        <f aca="false">IF(AND(C209=0,E209=0),0,IF(C209=0,"New",(E209-C209)/C209))</f>
        <v>New</v>
      </c>
      <c r="H209" s="8" t="n">
        <f aca="false">SUMIFS('Source 2025'!$D:$D,'Source 2025'!$B:$B,$A209,'Source 2025'!$A:$A,"Amount (NIS)")+SUMIFS('Source 2025'!$E:$E,'Source 2025'!$B:$B,$A209,'Source 2025'!$A:$A,"Amount (NIS)")+SUMIFS('Source 2025'!$F:$F,'Source 2025'!$B:$B,$A209,'Source 2025'!$A:$A,"Amount (NIS)")+SUMIFS('Source 2025'!$G:$G,'Source 2025'!$B:$B,$A209,'Source 2025'!$A:$A,"Amount (NIS)")+SUMIFS('Source 2025'!$J:$J,'Source 2025'!$B:$B,$A209,'Source 2025'!$A:$A,"Amount (NIS)")+SUMIFS('Source 2025'!$M:$M,'Source 2025'!$B:$B,$A209,'Source 2025'!$A:$A,"Amount (NIS)")</f>
        <v>0</v>
      </c>
      <c r="I209" s="8" t="n">
        <f aca="false">SUMIFS('Source 2026'!$D:$D,'Source 2026'!$B:$B,$A209,'Source 2026'!$A:$A,"Amount (NIS)")+SUMIFS('Source 2026'!$E:$E,'Source 2026'!$B:$B,$A209,'Source 2026'!$A:$A,"Amount (NIS)")+SUMIFS('Source 2026'!$F:$F,'Source 2026'!$B:$B,$A209,'Source 2026'!$A:$A,"Amount (NIS)")+SUMIFS('Source 2026'!$G:$G,'Source 2026'!$B:$B,$A209,'Source 2026'!$A:$A,"Amount (NIS)")+SUMIFS('Source 2026'!$J:$J,'Source 2026'!$B:$B,$A209,'Source 2026'!$A:$A,"Amount (NIS)")+SUMIFS('Source 2026'!$M:$M,'Source 2026'!$B:$B,$A209,'Source 2026'!$A:$A,"Amount (NIS)")</f>
        <v>1035.8</v>
      </c>
      <c r="J209" s="8" t="n">
        <f aca="false">I209*$J$5</f>
        <v>1420.52571428571</v>
      </c>
      <c r="K209" s="8" t="n">
        <f aca="false">J209-H209</f>
        <v>1420.52571428571</v>
      </c>
      <c r="L209" s="9" t="str">
        <f aca="false">IF(AND(H209=0,J209=0),0,IF(H209=0,"New",(J209-H209)/H209))</f>
        <v>New</v>
      </c>
    </row>
    <row r="210" customFormat="false" ht="15" hidden="false" customHeight="false" outlineLevel="0" collapsed="false">
      <c r="A210" s="7" t="n">
        <v>4413204</v>
      </c>
      <c r="B210" s="7" t="str">
        <f aca="false">IFERROR(INDEX('Source 2026'!$C:$C,MATCH($A210,'Source 2026'!$B:$B,0)),IFERROR(INDEX('Source 2025'!$C:$C,MATCH($A210,'Source 2025'!$B:$B,0)),""))</f>
        <v>87 XXL מקבע כתף ויד</v>
      </c>
      <c r="C210" s="8" t="n">
        <f aca="false">SUMIFS('Source 2025'!$D:$D,'Source 2025'!$B:$B,$A210,'Source 2025'!$A:$A,"Quantity (units)")+SUMIFS('Source 2025'!$E:$E,'Source 2025'!$B:$B,$A210,'Source 2025'!$A:$A,"Quantity (units)")+SUMIFS('Source 2025'!$F:$F,'Source 2025'!$B:$B,$A210,'Source 2025'!$A:$A,"Quantity (units)")+SUMIFS('Source 2025'!$G:$G,'Source 2025'!$B:$B,$A210,'Source 2025'!$A:$A,"Quantity (units)")+SUMIFS('Source 2025'!$J:$J,'Source 2025'!$B:$B,$A210,'Source 2025'!$A:$A,"Quantity (units)")+SUMIFS('Source 2025'!$M:$M,'Source 2025'!$B:$B,$A210,'Source 2025'!$A:$A,"Quantity (units)")</f>
        <v>2</v>
      </c>
      <c r="D210" s="8" t="n">
        <f aca="false">SUMIFS('Source 2026'!$D:$D,'Source 2026'!$B:$B,$A210,'Source 2026'!$A:$A,"Quantity (units)")+SUMIFS('Source 2026'!$E:$E,'Source 2026'!$B:$B,$A210,'Source 2026'!$A:$A,"Quantity (units)")+SUMIFS('Source 2026'!$F:$F,'Source 2026'!$B:$B,$A210,'Source 2026'!$A:$A,"Quantity (units)")+SUMIFS('Source 2026'!$G:$G,'Source 2026'!$B:$B,$A210,'Source 2026'!$A:$A,"Quantity (units)")+SUMIFS('Source 2026'!$J:$J,'Source 2026'!$B:$B,$A210,'Source 2026'!$A:$A,"Quantity (units)")+SUMIFS('Source 2026'!$M:$M,'Source 2026'!$B:$B,$A210,'Source 2026'!$A:$A,"Quantity (units)")</f>
        <v>7</v>
      </c>
      <c r="E210" s="8" t="n">
        <f aca="false">D210*$J$5</f>
        <v>9.6</v>
      </c>
      <c r="F210" s="8" t="n">
        <f aca="false">E210-C210</f>
        <v>7.6</v>
      </c>
      <c r="G210" s="9" t="n">
        <f aca="false">IF(AND(C210=0,E210=0),0,IF(C210=0,"New",(E210-C210)/C210))</f>
        <v>3.8</v>
      </c>
      <c r="H210" s="8" t="n">
        <f aca="false">SUMIFS('Source 2025'!$D:$D,'Source 2025'!$B:$B,$A210,'Source 2025'!$A:$A,"Amount (NIS)")+SUMIFS('Source 2025'!$E:$E,'Source 2025'!$B:$B,$A210,'Source 2025'!$A:$A,"Amount (NIS)")+SUMIFS('Source 2025'!$F:$F,'Source 2025'!$B:$B,$A210,'Source 2025'!$A:$A,"Amount (NIS)")+SUMIFS('Source 2025'!$G:$G,'Source 2025'!$B:$B,$A210,'Source 2025'!$A:$A,"Amount (NIS)")+SUMIFS('Source 2025'!$J:$J,'Source 2025'!$B:$B,$A210,'Source 2025'!$A:$A,"Amount (NIS)")+SUMIFS('Source 2025'!$M:$M,'Source 2025'!$B:$B,$A210,'Source 2025'!$A:$A,"Amount (NIS)")</f>
        <v>403</v>
      </c>
      <c r="I210" s="8" t="n">
        <f aca="false">SUMIFS('Source 2026'!$D:$D,'Source 2026'!$B:$B,$A210,'Source 2026'!$A:$A,"Amount (NIS)")+SUMIFS('Source 2026'!$E:$E,'Source 2026'!$B:$B,$A210,'Source 2026'!$A:$A,"Amount (NIS)")+SUMIFS('Source 2026'!$F:$F,'Source 2026'!$B:$B,$A210,'Source 2026'!$A:$A,"Amount (NIS)")+SUMIFS('Source 2026'!$G:$G,'Source 2026'!$B:$B,$A210,'Source 2026'!$A:$A,"Amount (NIS)")+SUMIFS('Source 2026'!$J:$J,'Source 2026'!$B:$B,$A210,'Source 2026'!$A:$A,"Amount (NIS)")+SUMIFS('Source 2026'!$M:$M,'Source 2026'!$B:$B,$A210,'Source 2026'!$A:$A,"Amount (NIS)")</f>
        <v>1410.5</v>
      </c>
      <c r="J210" s="8" t="n">
        <f aca="false">I210*$J$5</f>
        <v>1934.4</v>
      </c>
      <c r="K210" s="8" t="n">
        <f aca="false">J210-H210</f>
        <v>1531.4</v>
      </c>
      <c r="L210" s="9" t="n">
        <f aca="false">IF(AND(H210=0,J210=0),0,IF(H210=0,"New",(J210-H210)/H210))</f>
        <v>3.8</v>
      </c>
    </row>
    <row r="211" customFormat="false" ht="15" hidden="false" customHeight="false" outlineLevel="0" collapsed="false">
      <c r="A211" s="7" t="n">
        <v>4413130</v>
      </c>
      <c r="B211" s="7" t="str">
        <f aca="false">IFERROR(INDEX('Source 2026'!$C:$C,MATCH($A211,'Source 2026'!$B:$B,0)),IFERROR(INDEX('Source 2025'!$C:$C,MATCH($A211,'Source 2025'!$B:$B,0)),""))</f>
        <v>75  XXL מיישר כתף יציב ישור צר</v>
      </c>
      <c r="C211" s="8" t="n">
        <f aca="false">SUMIFS('Source 2025'!$D:$D,'Source 2025'!$B:$B,$A211,'Source 2025'!$A:$A,"Quantity (units)")+SUMIFS('Source 2025'!$E:$E,'Source 2025'!$B:$B,$A211,'Source 2025'!$A:$A,"Quantity (units)")+SUMIFS('Source 2025'!$F:$F,'Source 2025'!$B:$B,$A211,'Source 2025'!$A:$A,"Quantity (units)")+SUMIFS('Source 2025'!$G:$G,'Source 2025'!$B:$B,$A211,'Source 2025'!$A:$A,"Quantity (units)")+SUMIFS('Source 2025'!$J:$J,'Source 2025'!$B:$B,$A211,'Source 2025'!$A:$A,"Quantity (units)")+SUMIFS('Source 2025'!$M:$M,'Source 2025'!$B:$B,$A211,'Source 2025'!$A:$A,"Quantity (units)")</f>
        <v>9</v>
      </c>
      <c r="D211" s="8" t="n">
        <f aca="false">SUMIFS('Source 2026'!$D:$D,'Source 2026'!$B:$B,$A211,'Source 2026'!$A:$A,"Quantity (units)")+SUMIFS('Source 2026'!$E:$E,'Source 2026'!$B:$B,$A211,'Source 2026'!$A:$A,"Quantity (units)")+SUMIFS('Source 2026'!$F:$F,'Source 2026'!$B:$B,$A211,'Source 2026'!$A:$A,"Quantity (units)")+SUMIFS('Source 2026'!$G:$G,'Source 2026'!$B:$B,$A211,'Source 2026'!$A:$A,"Quantity (units)")+SUMIFS('Source 2026'!$J:$J,'Source 2026'!$B:$B,$A211,'Source 2026'!$A:$A,"Quantity (units)")+SUMIFS('Source 2026'!$M:$M,'Source 2026'!$B:$B,$A211,'Source 2026'!$A:$A,"Quantity (units)")</f>
        <v>2</v>
      </c>
      <c r="E211" s="8" t="n">
        <f aca="false">D211*$J$5</f>
        <v>2.74285714285714</v>
      </c>
      <c r="F211" s="8" t="n">
        <f aca="false">E211-C211</f>
        <v>-6.25714285714286</v>
      </c>
      <c r="G211" s="9" t="n">
        <f aca="false">IF(AND(C211=0,E211=0),0,IF(C211=0,"New",(E211-C211)/C211))</f>
        <v>-0.695238095238095</v>
      </c>
      <c r="H211" s="8" t="n">
        <f aca="false">SUMIFS('Source 2025'!$D:$D,'Source 2025'!$B:$B,$A211,'Source 2025'!$A:$A,"Amount (NIS)")+SUMIFS('Source 2025'!$E:$E,'Source 2025'!$B:$B,$A211,'Source 2025'!$A:$A,"Amount (NIS)")+SUMIFS('Source 2025'!$F:$F,'Source 2025'!$B:$B,$A211,'Source 2025'!$A:$A,"Amount (NIS)")+SUMIFS('Source 2025'!$G:$G,'Source 2025'!$B:$B,$A211,'Source 2025'!$A:$A,"Amount (NIS)")+SUMIFS('Source 2025'!$J:$J,'Source 2025'!$B:$B,$A211,'Source 2025'!$A:$A,"Amount (NIS)")+SUMIFS('Source 2025'!$M:$M,'Source 2025'!$B:$B,$A211,'Source 2025'!$A:$A,"Amount (NIS)")</f>
        <v>1366.5</v>
      </c>
      <c r="I211" s="8" t="n">
        <f aca="false">SUMIFS('Source 2026'!$D:$D,'Source 2026'!$B:$B,$A211,'Source 2026'!$A:$A,"Amount (NIS)")+SUMIFS('Source 2026'!$E:$E,'Source 2026'!$B:$B,$A211,'Source 2026'!$A:$A,"Amount (NIS)")+SUMIFS('Source 2026'!$F:$F,'Source 2026'!$B:$B,$A211,'Source 2026'!$A:$A,"Amount (NIS)")+SUMIFS('Source 2026'!$G:$G,'Source 2026'!$B:$B,$A211,'Source 2026'!$A:$A,"Amount (NIS)")+SUMIFS('Source 2026'!$J:$J,'Source 2026'!$B:$B,$A211,'Source 2026'!$A:$A,"Amount (NIS)")+SUMIFS('Source 2026'!$M:$M,'Source 2026'!$B:$B,$A211,'Source 2026'!$A:$A,"Amount (NIS)")</f>
        <v>371.8</v>
      </c>
      <c r="J211" s="8" t="n">
        <f aca="false">I211*$J$5</f>
        <v>509.897142857143</v>
      </c>
      <c r="K211" s="8" t="n">
        <f aca="false">J211-H211</f>
        <v>-856.602857142857</v>
      </c>
      <c r="L211" s="9" t="n">
        <f aca="false">IF(AND(H211=0,J211=0),0,IF(H211=0,"New",(J211-H211)/H211))</f>
        <v>-0.626859024619727</v>
      </c>
    </row>
    <row r="212" customFormat="false" ht="15" hidden="false" customHeight="false" outlineLevel="0" collapsed="false">
      <c r="A212" s="7" t="n">
        <v>4413498</v>
      </c>
      <c r="B212" s="7" t="str">
        <f aca="false">IFERROR(INDEX('Source 2026'!$C:$C,MATCH($A212,'Source 2026'!$B:$B,0)),IFERROR(INDEX('Source 2025'!$C:$C,MATCH($A212,'Source 2025'!$B:$B,0)),""))</f>
        <v>45B S מגן ברך שחור</v>
      </c>
      <c r="C212" s="8" t="n">
        <f aca="false">SUMIFS('Source 2025'!$D:$D,'Source 2025'!$B:$B,$A212,'Source 2025'!$A:$A,"Quantity (units)")+SUMIFS('Source 2025'!$E:$E,'Source 2025'!$B:$B,$A212,'Source 2025'!$A:$A,"Quantity (units)")+SUMIFS('Source 2025'!$F:$F,'Source 2025'!$B:$B,$A212,'Source 2025'!$A:$A,"Quantity (units)")+SUMIFS('Source 2025'!$G:$G,'Source 2025'!$B:$B,$A212,'Source 2025'!$A:$A,"Quantity (units)")+SUMIFS('Source 2025'!$J:$J,'Source 2025'!$B:$B,$A212,'Source 2025'!$A:$A,"Quantity (units)")+SUMIFS('Source 2025'!$M:$M,'Source 2025'!$B:$B,$A212,'Source 2025'!$A:$A,"Quantity (units)")</f>
        <v>122</v>
      </c>
      <c r="D212" s="8" t="n">
        <f aca="false">SUMIFS('Source 2026'!$D:$D,'Source 2026'!$B:$B,$A212,'Source 2026'!$A:$A,"Quantity (units)")+SUMIFS('Source 2026'!$E:$E,'Source 2026'!$B:$B,$A212,'Source 2026'!$A:$A,"Quantity (units)")+SUMIFS('Source 2026'!$F:$F,'Source 2026'!$B:$B,$A212,'Source 2026'!$A:$A,"Quantity (units)")+SUMIFS('Source 2026'!$G:$G,'Source 2026'!$B:$B,$A212,'Source 2026'!$A:$A,"Quantity (units)")+SUMIFS('Source 2026'!$J:$J,'Source 2026'!$B:$B,$A212,'Source 2026'!$A:$A,"Quantity (units)")+SUMIFS('Source 2026'!$M:$M,'Source 2026'!$B:$B,$A212,'Source 2026'!$A:$A,"Quantity (units)")</f>
        <v>89</v>
      </c>
      <c r="E212" s="8" t="n">
        <f aca="false">D212*$J$5</f>
        <v>122.057142857143</v>
      </c>
      <c r="F212" s="8" t="n">
        <f aca="false">E212-C212</f>
        <v>0.057142857142864</v>
      </c>
      <c r="G212" s="9" t="n">
        <f aca="false">IF(AND(C212=0,E212=0),0,IF(C212=0,"New",(E212-C212)/C212))</f>
        <v>0.000468384074941509</v>
      </c>
      <c r="H212" s="8" t="n">
        <f aca="false">SUMIFS('Source 2025'!$D:$D,'Source 2025'!$B:$B,$A212,'Source 2025'!$A:$A,"Amount (NIS)")+SUMIFS('Source 2025'!$E:$E,'Source 2025'!$B:$B,$A212,'Source 2025'!$A:$A,"Amount (NIS)")+SUMIFS('Source 2025'!$F:$F,'Source 2025'!$B:$B,$A212,'Source 2025'!$A:$A,"Amount (NIS)")+SUMIFS('Source 2025'!$G:$G,'Source 2025'!$B:$B,$A212,'Source 2025'!$A:$A,"Amount (NIS)")+SUMIFS('Source 2025'!$J:$J,'Source 2025'!$B:$B,$A212,'Source 2025'!$A:$A,"Amount (NIS)")+SUMIFS('Source 2025'!$M:$M,'Source 2025'!$B:$B,$A212,'Source 2025'!$A:$A,"Amount (NIS)")</f>
        <v>3701.5</v>
      </c>
      <c r="I212" s="8" t="n">
        <f aca="false">SUMIFS('Source 2026'!$D:$D,'Source 2026'!$B:$B,$A212,'Source 2026'!$A:$A,"Amount (NIS)")+SUMIFS('Source 2026'!$E:$E,'Source 2026'!$B:$B,$A212,'Source 2026'!$A:$A,"Amount (NIS)")+SUMIFS('Source 2026'!$F:$F,'Source 2026'!$B:$B,$A212,'Source 2026'!$A:$A,"Amount (NIS)")+SUMIFS('Source 2026'!$G:$G,'Source 2026'!$B:$B,$A212,'Source 2026'!$A:$A,"Amount (NIS)")+SUMIFS('Source 2026'!$J:$J,'Source 2026'!$B:$B,$A212,'Source 2026'!$A:$A,"Amount (NIS)")+SUMIFS('Source 2026'!$M:$M,'Source 2026'!$B:$B,$A212,'Source 2026'!$A:$A,"Amount (NIS)")</f>
        <v>2712.2</v>
      </c>
      <c r="J212" s="8" t="n">
        <f aca="false">I212*$J$5</f>
        <v>3719.58857142857</v>
      </c>
      <c r="K212" s="8" t="n">
        <f aca="false">J212-H212</f>
        <v>18.0885714285719</v>
      </c>
      <c r="L212" s="9" t="n">
        <f aca="false">IF(AND(H212=0,J212=0),0,IF(H212=0,"New",(J212-H212)/H212))</f>
        <v>0.00488682194477154</v>
      </c>
    </row>
    <row r="213" customFormat="false" ht="15" hidden="false" customHeight="false" outlineLevel="0" collapsed="false">
      <c r="A213" s="7" t="n">
        <v>4413502</v>
      </c>
      <c r="B213" s="7" t="str">
        <f aca="false">IFERROR(INDEX('Source 2026'!$C:$C,MATCH($A213,'Source 2026'!$B:$B,0)),IFERROR(INDEX('Source 2025'!$C:$C,MATCH($A213,'Source 2025'!$B:$B,0)),""))</f>
        <v>95B S מגן מרפק שחור</v>
      </c>
      <c r="C213" s="8" t="n">
        <f aca="false">SUMIFS('Source 2025'!$D:$D,'Source 2025'!$B:$B,$A213,'Source 2025'!$A:$A,"Quantity (units)")+SUMIFS('Source 2025'!$E:$E,'Source 2025'!$B:$B,$A213,'Source 2025'!$A:$A,"Quantity (units)")+SUMIFS('Source 2025'!$F:$F,'Source 2025'!$B:$B,$A213,'Source 2025'!$A:$A,"Quantity (units)")+SUMIFS('Source 2025'!$G:$G,'Source 2025'!$B:$B,$A213,'Source 2025'!$A:$A,"Quantity (units)")+SUMIFS('Source 2025'!$J:$J,'Source 2025'!$B:$B,$A213,'Source 2025'!$A:$A,"Quantity (units)")+SUMIFS('Source 2025'!$M:$M,'Source 2025'!$B:$B,$A213,'Source 2025'!$A:$A,"Quantity (units)")</f>
        <v>119</v>
      </c>
      <c r="D213" s="8" t="n">
        <f aca="false">SUMIFS('Source 2026'!$D:$D,'Source 2026'!$B:$B,$A213,'Source 2026'!$A:$A,"Quantity (units)")+SUMIFS('Source 2026'!$E:$E,'Source 2026'!$B:$B,$A213,'Source 2026'!$A:$A,"Quantity (units)")+SUMIFS('Source 2026'!$F:$F,'Source 2026'!$B:$B,$A213,'Source 2026'!$A:$A,"Quantity (units)")+SUMIFS('Source 2026'!$G:$G,'Source 2026'!$B:$B,$A213,'Source 2026'!$A:$A,"Quantity (units)")+SUMIFS('Source 2026'!$J:$J,'Source 2026'!$B:$B,$A213,'Source 2026'!$A:$A,"Quantity (units)")+SUMIFS('Source 2026'!$M:$M,'Source 2026'!$B:$B,$A213,'Source 2026'!$A:$A,"Quantity (units)")</f>
        <v>85</v>
      </c>
      <c r="E213" s="8" t="n">
        <f aca="false">D213*$J$5</f>
        <v>116.571428571429</v>
      </c>
      <c r="F213" s="8" t="n">
        <f aca="false">E213-C213</f>
        <v>-2.42857142857143</v>
      </c>
      <c r="G213" s="9" t="n">
        <f aca="false">IF(AND(C213=0,E213=0),0,IF(C213=0,"New",(E213-C213)/C213))</f>
        <v>-0.0204081632653061</v>
      </c>
      <c r="H213" s="8" t="n">
        <f aca="false">SUMIFS('Source 2025'!$D:$D,'Source 2025'!$B:$B,$A213,'Source 2025'!$A:$A,"Amount (NIS)")+SUMIFS('Source 2025'!$E:$E,'Source 2025'!$B:$B,$A213,'Source 2025'!$A:$A,"Amount (NIS)")+SUMIFS('Source 2025'!$F:$F,'Source 2025'!$B:$B,$A213,'Source 2025'!$A:$A,"Amount (NIS)")+SUMIFS('Source 2025'!$G:$G,'Source 2025'!$B:$B,$A213,'Source 2025'!$A:$A,"Amount (NIS)")+SUMIFS('Source 2025'!$J:$J,'Source 2025'!$B:$B,$A213,'Source 2025'!$A:$A,"Amount (NIS)")+SUMIFS('Source 2025'!$M:$M,'Source 2025'!$B:$B,$A213,'Source 2025'!$A:$A,"Amount (NIS)")</f>
        <v>3561.2</v>
      </c>
      <c r="I213" s="8" t="n">
        <f aca="false">SUMIFS('Source 2026'!$D:$D,'Source 2026'!$B:$B,$A213,'Source 2026'!$A:$A,"Amount (NIS)")+SUMIFS('Source 2026'!$E:$E,'Source 2026'!$B:$B,$A213,'Source 2026'!$A:$A,"Amount (NIS)")+SUMIFS('Source 2026'!$F:$F,'Source 2026'!$B:$B,$A213,'Source 2026'!$A:$A,"Amount (NIS)")+SUMIFS('Source 2026'!$G:$G,'Source 2026'!$B:$B,$A213,'Source 2026'!$A:$A,"Amount (NIS)")+SUMIFS('Source 2026'!$J:$J,'Source 2026'!$B:$B,$A213,'Source 2026'!$A:$A,"Amount (NIS)")+SUMIFS('Source 2026'!$M:$M,'Source 2026'!$B:$B,$A213,'Source 2026'!$A:$A,"Amount (NIS)")</f>
        <v>2586.5</v>
      </c>
      <c r="J213" s="8" t="n">
        <f aca="false">I213*$J$5</f>
        <v>3547.2</v>
      </c>
      <c r="K213" s="8" t="n">
        <f aca="false">J213-H213</f>
        <v>-14</v>
      </c>
      <c r="L213" s="9" t="n">
        <f aca="false">IF(AND(H213=0,J213=0),0,IF(H213=0,"New",(J213-H213)/H213))</f>
        <v>-0.00393125912613726</v>
      </c>
    </row>
    <row r="214" customFormat="false" ht="15" hidden="false" customHeight="false" outlineLevel="0" collapsed="false">
      <c r="A214" s="7" t="n">
        <v>4408266</v>
      </c>
      <c r="B214" s="7" t="str">
        <f aca="false">IFERROR(INDEX('Source 2026'!$C:$C,MATCH($A214,'Source 2026'!$B:$B,0)),IFERROR(INDEX('Source 2025'!$C:$C,MATCH($A214,'Source 2025'!$B:$B,0)),""))</f>
        <v>91B חבק טניס אלבו</v>
      </c>
      <c r="C214" s="8" t="n">
        <f aca="false">SUMIFS('Source 2025'!$D:$D,'Source 2025'!$B:$B,$A214,'Source 2025'!$A:$A,"Quantity (units)")+SUMIFS('Source 2025'!$E:$E,'Source 2025'!$B:$B,$A214,'Source 2025'!$A:$A,"Quantity (units)")+SUMIFS('Source 2025'!$F:$F,'Source 2025'!$B:$B,$A214,'Source 2025'!$A:$A,"Quantity (units)")+SUMIFS('Source 2025'!$G:$G,'Source 2025'!$B:$B,$A214,'Source 2025'!$A:$A,"Quantity (units)")+SUMIFS('Source 2025'!$J:$J,'Source 2025'!$B:$B,$A214,'Source 2025'!$A:$A,"Quantity (units)")+SUMIFS('Source 2025'!$M:$M,'Source 2025'!$B:$B,$A214,'Source 2025'!$A:$A,"Quantity (units)")</f>
        <v>79</v>
      </c>
      <c r="D214" s="8" t="n">
        <f aca="false">SUMIFS('Source 2026'!$D:$D,'Source 2026'!$B:$B,$A214,'Source 2026'!$A:$A,"Quantity (units)")+SUMIFS('Source 2026'!$E:$E,'Source 2026'!$B:$B,$A214,'Source 2026'!$A:$A,"Quantity (units)")+SUMIFS('Source 2026'!$F:$F,'Source 2026'!$B:$B,$A214,'Source 2026'!$A:$A,"Quantity (units)")+SUMIFS('Source 2026'!$G:$G,'Source 2026'!$B:$B,$A214,'Source 2026'!$A:$A,"Quantity (units)")+SUMIFS('Source 2026'!$J:$J,'Source 2026'!$B:$B,$A214,'Source 2026'!$A:$A,"Quantity (units)")+SUMIFS('Source 2026'!$M:$M,'Source 2026'!$B:$B,$A214,'Source 2026'!$A:$A,"Quantity (units)")</f>
        <v>67</v>
      </c>
      <c r="E214" s="8" t="n">
        <f aca="false">D214*$J$5</f>
        <v>91.8857142857143</v>
      </c>
      <c r="F214" s="8" t="n">
        <f aca="false">E214-C214</f>
        <v>12.8857142857143</v>
      </c>
      <c r="G214" s="9" t="n">
        <f aca="false">IF(AND(C214=0,E214=0),0,IF(C214=0,"New",(E214-C214)/C214))</f>
        <v>0.163110307414105</v>
      </c>
      <c r="H214" s="8" t="n">
        <f aca="false">SUMIFS('Source 2025'!$D:$D,'Source 2025'!$B:$B,$A214,'Source 2025'!$A:$A,"Amount (NIS)")+SUMIFS('Source 2025'!$E:$E,'Source 2025'!$B:$B,$A214,'Source 2025'!$A:$A,"Amount (NIS)")+SUMIFS('Source 2025'!$F:$F,'Source 2025'!$B:$B,$A214,'Source 2025'!$A:$A,"Amount (NIS)")+SUMIFS('Source 2025'!$G:$G,'Source 2025'!$B:$B,$A214,'Source 2025'!$A:$A,"Amount (NIS)")+SUMIFS('Source 2025'!$J:$J,'Source 2025'!$B:$B,$A214,'Source 2025'!$A:$A,"Amount (NIS)")+SUMIFS('Source 2025'!$M:$M,'Source 2025'!$B:$B,$A214,'Source 2025'!$A:$A,"Amount (NIS)")</f>
        <v>6503.9</v>
      </c>
      <c r="I214" s="8" t="n">
        <f aca="false">SUMIFS('Source 2026'!$D:$D,'Source 2026'!$B:$B,$A214,'Source 2026'!$A:$A,"Amount (NIS)")+SUMIFS('Source 2026'!$E:$E,'Source 2026'!$B:$B,$A214,'Source 2026'!$A:$A,"Amount (NIS)")+SUMIFS('Source 2026'!$F:$F,'Source 2026'!$B:$B,$A214,'Source 2026'!$A:$A,"Amount (NIS)")+SUMIFS('Source 2026'!$G:$G,'Source 2026'!$B:$B,$A214,'Source 2026'!$A:$A,"Amount (NIS)")+SUMIFS('Source 2026'!$J:$J,'Source 2026'!$B:$B,$A214,'Source 2026'!$A:$A,"Amount (NIS)")+SUMIFS('Source 2026'!$M:$M,'Source 2026'!$B:$B,$A214,'Source 2026'!$A:$A,"Amount (NIS)")</f>
        <v>5537</v>
      </c>
      <c r="J214" s="8" t="n">
        <f aca="false">I214*$J$5</f>
        <v>7593.6</v>
      </c>
      <c r="K214" s="8" t="n">
        <f aca="false">J214-H214</f>
        <v>1089.7</v>
      </c>
      <c r="L214" s="9" t="n">
        <f aca="false">IF(AND(H214=0,J214=0),0,IF(H214=0,"New",(J214-H214)/H214))</f>
        <v>0.167545626470272</v>
      </c>
    </row>
    <row r="215" customFormat="false" ht="15" hidden="false" customHeight="false" outlineLevel="0" collapsed="false">
      <c r="A215" s="7" t="n">
        <v>4415160</v>
      </c>
      <c r="B215" s="7" t="str">
        <f aca="false">IFERROR(INDEX('Source 2026'!$C:$C,MATCH($A215,'Source 2026'!$B:$B,0)),IFERROR(INDEX('Source 2025'!$C:$C,MATCH($A215,'Source 2025'!$B:$B,0)),""))</f>
        <v>238S סד ליישור אצבע</v>
      </c>
      <c r="C215" s="8" t="n">
        <f aca="false">SUMIFS('Source 2025'!$D:$D,'Source 2025'!$B:$B,$A215,'Source 2025'!$A:$A,"Quantity (units)")+SUMIFS('Source 2025'!$E:$E,'Source 2025'!$B:$B,$A215,'Source 2025'!$A:$A,"Quantity (units)")+SUMIFS('Source 2025'!$F:$F,'Source 2025'!$B:$B,$A215,'Source 2025'!$A:$A,"Quantity (units)")+SUMIFS('Source 2025'!$G:$G,'Source 2025'!$B:$B,$A215,'Source 2025'!$A:$A,"Quantity (units)")+SUMIFS('Source 2025'!$J:$J,'Source 2025'!$B:$B,$A215,'Source 2025'!$A:$A,"Quantity (units)")+SUMIFS('Source 2025'!$M:$M,'Source 2025'!$B:$B,$A215,'Source 2025'!$A:$A,"Quantity (units)")</f>
        <v>278</v>
      </c>
      <c r="D215" s="8" t="n">
        <f aca="false">SUMIFS('Source 2026'!$D:$D,'Source 2026'!$B:$B,$A215,'Source 2026'!$A:$A,"Quantity (units)")+SUMIFS('Source 2026'!$E:$E,'Source 2026'!$B:$B,$A215,'Source 2026'!$A:$A,"Quantity (units)")+SUMIFS('Source 2026'!$F:$F,'Source 2026'!$B:$B,$A215,'Source 2026'!$A:$A,"Quantity (units)")+SUMIFS('Source 2026'!$G:$G,'Source 2026'!$B:$B,$A215,'Source 2026'!$A:$A,"Quantity (units)")+SUMIFS('Source 2026'!$J:$J,'Source 2026'!$B:$B,$A215,'Source 2026'!$A:$A,"Quantity (units)")+SUMIFS('Source 2026'!$M:$M,'Source 2026'!$B:$B,$A215,'Source 2026'!$A:$A,"Quantity (units)")</f>
        <v>221</v>
      </c>
      <c r="E215" s="8" t="n">
        <f aca="false">D215*$J$5</f>
        <v>303.085714285714</v>
      </c>
      <c r="F215" s="8" t="n">
        <f aca="false">E215-C215</f>
        <v>25.0857142857143</v>
      </c>
      <c r="G215" s="9" t="n">
        <f aca="false">IF(AND(C215=0,E215=0),0,IF(C215=0,"New",(E215-C215)/C215))</f>
        <v>0.0902363823227133</v>
      </c>
      <c r="H215" s="8" t="n">
        <f aca="false">SUMIFS('Source 2025'!$D:$D,'Source 2025'!$B:$B,$A215,'Source 2025'!$A:$A,"Amount (NIS)")+SUMIFS('Source 2025'!$E:$E,'Source 2025'!$B:$B,$A215,'Source 2025'!$A:$A,"Amount (NIS)")+SUMIFS('Source 2025'!$F:$F,'Source 2025'!$B:$B,$A215,'Source 2025'!$A:$A,"Amount (NIS)")+SUMIFS('Source 2025'!$G:$G,'Source 2025'!$B:$B,$A215,'Source 2025'!$A:$A,"Amount (NIS)")+SUMIFS('Source 2025'!$J:$J,'Source 2025'!$B:$B,$A215,'Source 2025'!$A:$A,"Amount (NIS)")+SUMIFS('Source 2025'!$M:$M,'Source 2025'!$B:$B,$A215,'Source 2025'!$A:$A,"Amount (NIS)")</f>
        <v>5307.5</v>
      </c>
      <c r="I215" s="8" t="n">
        <f aca="false">SUMIFS('Source 2026'!$D:$D,'Source 2026'!$B:$B,$A215,'Source 2026'!$A:$A,"Amount (NIS)")+SUMIFS('Source 2026'!$E:$E,'Source 2026'!$B:$B,$A215,'Source 2026'!$A:$A,"Amount (NIS)")+SUMIFS('Source 2026'!$F:$F,'Source 2026'!$B:$B,$A215,'Source 2026'!$A:$A,"Amount (NIS)")+SUMIFS('Source 2026'!$G:$G,'Source 2026'!$B:$B,$A215,'Source 2026'!$A:$A,"Amount (NIS)")+SUMIFS('Source 2026'!$J:$J,'Source 2026'!$B:$B,$A215,'Source 2026'!$A:$A,"Amount (NIS)")+SUMIFS('Source 2026'!$M:$M,'Source 2026'!$B:$B,$A215,'Source 2026'!$A:$A,"Amount (NIS)")</f>
        <v>4346.2</v>
      </c>
      <c r="J215" s="8" t="n">
        <f aca="false">I215*$J$5</f>
        <v>5960.50285714286</v>
      </c>
      <c r="K215" s="8" t="n">
        <f aca="false">J215-H215</f>
        <v>653.002857142857</v>
      </c>
      <c r="L215" s="9" t="n">
        <f aca="false">IF(AND(H215=0,J215=0),0,IF(H215=0,"New",(J215-H215)/H215))</f>
        <v>0.123033981562479</v>
      </c>
    </row>
    <row r="216" customFormat="false" ht="15" hidden="false" customHeight="false" outlineLevel="0" collapsed="false">
      <c r="A216" s="7" t="n">
        <v>4413056</v>
      </c>
      <c r="B216" s="7" t="str">
        <f aca="false">IFERROR(INDEX('Source 2026'!$C:$C,MATCH($A216,'Source 2026'!$B:$B,0)),IFERROR(INDEX('Source 2025'!$C:$C,MATCH($A216,'Source 2025'!$B:$B,0)),""))</f>
        <v>LF360 מדרס מטטרזלי לנעלי עקב</v>
      </c>
      <c r="C216" s="8" t="n">
        <f aca="false">SUMIFS('Source 2025'!$D:$D,'Source 2025'!$B:$B,$A216,'Source 2025'!$A:$A,"Quantity (units)")+SUMIFS('Source 2025'!$E:$E,'Source 2025'!$B:$B,$A216,'Source 2025'!$A:$A,"Quantity (units)")+SUMIFS('Source 2025'!$F:$F,'Source 2025'!$B:$B,$A216,'Source 2025'!$A:$A,"Quantity (units)")+SUMIFS('Source 2025'!$G:$G,'Source 2025'!$B:$B,$A216,'Source 2025'!$A:$A,"Quantity (units)")+SUMIFS('Source 2025'!$J:$J,'Source 2025'!$B:$B,$A216,'Source 2025'!$A:$A,"Quantity (units)")+SUMIFS('Source 2025'!$M:$M,'Source 2025'!$B:$B,$A216,'Source 2025'!$A:$A,"Quantity (units)")</f>
        <v>78</v>
      </c>
      <c r="D216" s="8" t="n">
        <f aca="false">SUMIFS('Source 2026'!$D:$D,'Source 2026'!$B:$B,$A216,'Source 2026'!$A:$A,"Quantity (units)")+SUMIFS('Source 2026'!$E:$E,'Source 2026'!$B:$B,$A216,'Source 2026'!$A:$A,"Quantity (units)")+SUMIFS('Source 2026'!$F:$F,'Source 2026'!$B:$B,$A216,'Source 2026'!$A:$A,"Quantity (units)")+SUMIFS('Source 2026'!$G:$G,'Source 2026'!$B:$B,$A216,'Source 2026'!$A:$A,"Quantity (units)")+SUMIFS('Source 2026'!$J:$J,'Source 2026'!$B:$B,$A216,'Source 2026'!$A:$A,"Quantity (units)")+SUMIFS('Source 2026'!$M:$M,'Source 2026'!$B:$B,$A216,'Source 2026'!$A:$A,"Quantity (units)")</f>
        <v>35</v>
      </c>
      <c r="E216" s="8" t="n">
        <f aca="false">D216*$J$5</f>
        <v>48</v>
      </c>
      <c r="F216" s="8" t="n">
        <f aca="false">E216-C216</f>
        <v>-30</v>
      </c>
      <c r="G216" s="9" t="n">
        <f aca="false">IF(AND(C216=0,E216=0),0,IF(C216=0,"New",(E216-C216)/C216))</f>
        <v>-0.384615384615385</v>
      </c>
      <c r="H216" s="8" t="n">
        <f aca="false">SUMIFS('Source 2025'!$D:$D,'Source 2025'!$B:$B,$A216,'Source 2025'!$A:$A,"Amount (NIS)")+SUMIFS('Source 2025'!$E:$E,'Source 2025'!$B:$B,$A216,'Source 2025'!$A:$A,"Amount (NIS)")+SUMIFS('Source 2025'!$F:$F,'Source 2025'!$B:$B,$A216,'Source 2025'!$A:$A,"Amount (NIS)")+SUMIFS('Source 2025'!$G:$G,'Source 2025'!$B:$B,$A216,'Source 2025'!$A:$A,"Amount (NIS)")+SUMIFS('Source 2025'!$J:$J,'Source 2025'!$B:$B,$A216,'Source 2025'!$A:$A,"Amount (NIS)")+SUMIFS('Source 2025'!$M:$M,'Source 2025'!$B:$B,$A216,'Source 2025'!$A:$A,"Amount (NIS)")</f>
        <v>1748.1</v>
      </c>
      <c r="I216" s="8" t="n">
        <f aca="false">SUMIFS('Source 2026'!$D:$D,'Source 2026'!$B:$B,$A216,'Source 2026'!$A:$A,"Amount (NIS)")+SUMIFS('Source 2026'!$E:$E,'Source 2026'!$B:$B,$A216,'Source 2026'!$A:$A,"Amount (NIS)")+SUMIFS('Source 2026'!$F:$F,'Source 2026'!$B:$B,$A216,'Source 2026'!$A:$A,"Amount (NIS)")+SUMIFS('Source 2026'!$G:$G,'Source 2026'!$B:$B,$A216,'Source 2026'!$A:$A,"Amount (NIS)")+SUMIFS('Source 2026'!$J:$J,'Source 2026'!$B:$B,$A216,'Source 2026'!$A:$A,"Amount (NIS)")+SUMIFS('Source 2026'!$M:$M,'Source 2026'!$B:$B,$A216,'Source 2026'!$A:$A,"Amount (NIS)")</f>
        <v>788.8</v>
      </c>
      <c r="J216" s="8" t="n">
        <f aca="false">I216*$J$5</f>
        <v>1081.78285714286</v>
      </c>
      <c r="K216" s="8" t="n">
        <f aca="false">J216-H216</f>
        <v>-666.317142857143</v>
      </c>
      <c r="L216" s="9" t="n">
        <f aca="false">IF(AND(H216=0,J216=0),0,IF(H216=0,"New",(J216-H216)/H216))</f>
        <v>-0.381166490965702</v>
      </c>
    </row>
    <row r="217" customFormat="false" ht="15" hidden="false" customHeight="false" outlineLevel="0" collapsed="false">
      <c r="A217" s="7" t="n">
        <v>4408028</v>
      </c>
      <c r="B217" s="7" t="str">
        <f aca="false">IFERROR(INDEX('Source 2026'!$C:$C,MATCH($A217,'Source 2026'!$B:$B,0)),IFERROR(INDEX('Source 2025'!$C:$C,MATCH($A217,'Source 2025'!$B:$B,0)),""))</f>
        <v>10 M ""חגורת גב ""לומבו</v>
      </c>
      <c r="C217" s="8" t="n">
        <f aca="false">SUMIFS('Source 2025'!$D:$D,'Source 2025'!$B:$B,$A217,'Source 2025'!$A:$A,"Quantity (units)")+SUMIFS('Source 2025'!$E:$E,'Source 2025'!$B:$B,$A217,'Source 2025'!$A:$A,"Quantity (units)")+SUMIFS('Source 2025'!$F:$F,'Source 2025'!$B:$B,$A217,'Source 2025'!$A:$A,"Quantity (units)")+SUMIFS('Source 2025'!$G:$G,'Source 2025'!$B:$B,$A217,'Source 2025'!$A:$A,"Quantity (units)")+SUMIFS('Source 2025'!$J:$J,'Source 2025'!$B:$B,$A217,'Source 2025'!$A:$A,"Quantity (units)")+SUMIFS('Source 2025'!$M:$M,'Source 2025'!$B:$B,$A217,'Source 2025'!$A:$A,"Quantity (units)")</f>
        <v>15</v>
      </c>
      <c r="D217" s="8" t="n">
        <f aca="false">SUMIFS('Source 2026'!$D:$D,'Source 2026'!$B:$B,$A217,'Source 2026'!$A:$A,"Quantity (units)")+SUMIFS('Source 2026'!$E:$E,'Source 2026'!$B:$B,$A217,'Source 2026'!$A:$A,"Quantity (units)")+SUMIFS('Source 2026'!$F:$F,'Source 2026'!$B:$B,$A217,'Source 2026'!$A:$A,"Quantity (units)")+SUMIFS('Source 2026'!$G:$G,'Source 2026'!$B:$B,$A217,'Source 2026'!$A:$A,"Quantity (units)")+SUMIFS('Source 2026'!$J:$J,'Source 2026'!$B:$B,$A217,'Source 2026'!$A:$A,"Quantity (units)")+SUMIFS('Source 2026'!$M:$M,'Source 2026'!$B:$B,$A217,'Source 2026'!$A:$A,"Quantity (units)")</f>
        <v>8</v>
      </c>
      <c r="E217" s="8" t="n">
        <f aca="false">D217*$J$5</f>
        <v>10.9714285714286</v>
      </c>
      <c r="F217" s="8" t="n">
        <f aca="false">E217-C217</f>
        <v>-4.02857142857143</v>
      </c>
      <c r="G217" s="9" t="n">
        <f aca="false">IF(AND(C217=0,E217=0),0,IF(C217=0,"New",(E217-C217)/C217))</f>
        <v>-0.268571428571429</v>
      </c>
      <c r="H217" s="8" t="n">
        <f aca="false">SUMIFS('Source 2025'!$D:$D,'Source 2025'!$B:$B,$A217,'Source 2025'!$A:$A,"Amount (NIS)")+SUMIFS('Source 2025'!$E:$E,'Source 2025'!$B:$B,$A217,'Source 2025'!$A:$A,"Amount (NIS)")+SUMIFS('Source 2025'!$F:$F,'Source 2025'!$B:$B,$A217,'Source 2025'!$A:$A,"Amount (NIS)")+SUMIFS('Source 2025'!$G:$G,'Source 2025'!$B:$B,$A217,'Source 2025'!$A:$A,"Amount (NIS)")+SUMIFS('Source 2025'!$J:$J,'Source 2025'!$B:$B,$A217,'Source 2025'!$A:$A,"Amount (NIS)")+SUMIFS('Source 2025'!$M:$M,'Source 2025'!$B:$B,$A217,'Source 2025'!$A:$A,"Amount (NIS)")</f>
        <v>2114.2</v>
      </c>
      <c r="I217" s="8" t="n">
        <f aca="false">SUMIFS('Source 2026'!$D:$D,'Source 2026'!$B:$B,$A217,'Source 2026'!$A:$A,"Amount (NIS)")+SUMIFS('Source 2026'!$E:$E,'Source 2026'!$B:$B,$A217,'Source 2026'!$A:$A,"Amount (NIS)")+SUMIFS('Source 2026'!$F:$F,'Source 2026'!$B:$B,$A217,'Source 2026'!$A:$A,"Amount (NIS)")+SUMIFS('Source 2026'!$G:$G,'Source 2026'!$B:$B,$A217,'Source 2026'!$A:$A,"Amount (NIS)")+SUMIFS('Source 2026'!$J:$J,'Source 2026'!$B:$B,$A217,'Source 2026'!$A:$A,"Amount (NIS)")+SUMIFS('Source 2026'!$M:$M,'Source 2026'!$B:$B,$A217,'Source 2026'!$A:$A,"Amount (NIS)")</f>
        <v>1158</v>
      </c>
      <c r="J217" s="8" t="n">
        <f aca="false">I217*$J$5</f>
        <v>1588.11428571429</v>
      </c>
      <c r="K217" s="8" t="n">
        <f aca="false">J217-H217</f>
        <v>-526.085714285714</v>
      </c>
      <c r="L217" s="9" t="n">
        <f aca="false">IF(AND(H217=0,J217=0),0,IF(H217=0,"New",(J217-H217)/H217))</f>
        <v>-0.2488344122059</v>
      </c>
    </row>
    <row r="218" customFormat="false" ht="15" hidden="false" customHeight="false" outlineLevel="0" collapsed="false">
      <c r="A218" s="7" t="n">
        <v>4413058</v>
      </c>
      <c r="B218" s="7" t="str">
        <f aca="false">IFERROR(INDEX('Source 2026'!$C:$C,MATCH($A218,'Source 2026'!$B:$B,0)),IFERROR(INDEX('Source 2025'!$C:$C,MATCH($A218,'Source 2025'!$B:$B,0)),""))</f>
        <v>3622S מדבקה לשחרור לחץ 2 יח</v>
      </c>
      <c r="C218" s="8" t="n">
        <f aca="false">SUMIFS('Source 2025'!$D:$D,'Source 2025'!$B:$B,$A218,'Source 2025'!$A:$A,"Quantity (units)")+SUMIFS('Source 2025'!$E:$E,'Source 2025'!$B:$B,$A218,'Source 2025'!$A:$A,"Quantity (units)")+SUMIFS('Source 2025'!$F:$F,'Source 2025'!$B:$B,$A218,'Source 2025'!$A:$A,"Quantity (units)")+SUMIFS('Source 2025'!$G:$G,'Source 2025'!$B:$B,$A218,'Source 2025'!$A:$A,"Quantity (units)")+SUMIFS('Source 2025'!$J:$J,'Source 2025'!$B:$B,$A218,'Source 2025'!$A:$A,"Quantity (units)")+SUMIFS('Source 2025'!$M:$M,'Source 2025'!$B:$B,$A218,'Source 2025'!$A:$A,"Quantity (units)")</f>
        <v>113</v>
      </c>
      <c r="D218" s="8" t="n">
        <f aca="false">SUMIFS('Source 2026'!$D:$D,'Source 2026'!$B:$B,$A218,'Source 2026'!$A:$A,"Quantity (units)")+SUMIFS('Source 2026'!$E:$E,'Source 2026'!$B:$B,$A218,'Source 2026'!$A:$A,"Quantity (units)")+SUMIFS('Source 2026'!$F:$F,'Source 2026'!$B:$B,$A218,'Source 2026'!$A:$A,"Quantity (units)")+SUMIFS('Source 2026'!$G:$G,'Source 2026'!$B:$B,$A218,'Source 2026'!$A:$A,"Quantity (units)")+SUMIFS('Source 2026'!$J:$J,'Source 2026'!$B:$B,$A218,'Source 2026'!$A:$A,"Quantity (units)")+SUMIFS('Source 2026'!$M:$M,'Source 2026'!$B:$B,$A218,'Source 2026'!$A:$A,"Quantity (units)")</f>
        <v>83</v>
      </c>
      <c r="E218" s="8" t="n">
        <f aca="false">D218*$J$5</f>
        <v>113.828571428571</v>
      </c>
      <c r="F218" s="8" t="n">
        <f aca="false">E218-C218</f>
        <v>0.828571428571436</v>
      </c>
      <c r="G218" s="9" t="n">
        <f aca="false">IF(AND(C218=0,E218=0),0,IF(C218=0,"New",(E218-C218)/C218))</f>
        <v>0.00733249051833129</v>
      </c>
      <c r="H218" s="8" t="n">
        <f aca="false">SUMIFS('Source 2025'!$D:$D,'Source 2025'!$B:$B,$A218,'Source 2025'!$A:$A,"Amount (NIS)")+SUMIFS('Source 2025'!$E:$E,'Source 2025'!$B:$B,$A218,'Source 2025'!$A:$A,"Amount (NIS)")+SUMIFS('Source 2025'!$F:$F,'Source 2025'!$B:$B,$A218,'Source 2025'!$A:$A,"Amount (NIS)")+SUMIFS('Source 2025'!$G:$G,'Source 2025'!$B:$B,$A218,'Source 2025'!$A:$A,"Amount (NIS)")+SUMIFS('Source 2025'!$J:$J,'Source 2025'!$B:$B,$A218,'Source 2025'!$A:$A,"Amount (NIS)")+SUMIFS('Source 2025'!$M:$M,'Source 2025'!$B:$B,$A218,'Source 2025'!$A:$A,"Amount (NIS)")</f>
        <v>3446.7</v>
      </c>
      <c r="I218" s="8" t="n">
        <f aca="false">SUMIFS('Source 2026'!$D:$D,'Source 2026'!$B:$B,$A218,'Source 2026'!$A:$A,"Amount (NIS)")+SUMIFS('Source 2026'!$E:$E,'Source 2026'!$B:$B,$A218,'Source 2026'!$A:$A,"Amount (NIS)")+SUMIFS('Source 2026'!$F:$F,'Source 2026'!$B:$B,$A218,'Source 2026'!$A:$A,"Amount (NIS)")+SUMIFS('Source 2026'!$G:$G,'Source 2026'!$B:$B,$A218,'Source 2026'!$A:$A,"Amount (NIS)")+SUMIFS('Source 2026'!$J:$J,'Source 2026'!$B:$B,$A218,'Source 2026'!$A:$A,"Amount (NIS)")+SUMIFS('Source 2026'!$M:$M,'Source 2026'!$B:$B,$A218,'Source 2026'!$A:$A,"Amount (NIS)")</f>
        <v>2495.4</v>
      </c>
      <c r="J218" s="8" t="n">
        <f aca="false">I218*$J$5</f>
        <v>3422.26285714286</v>
      </c>
      <c r="K218" s="8" t="n">
        <f aca="false">J218-H218</f>
        <v>-24.437142857143</v>
      </c>
      <c r="L218" s="9" t="n">
        <f aca="false">IF(AND(H218=0,J218=0),0,IF(H218=0,"New",(J218-H218)/H218))</f>
        <v>-0.00709001156385616</v>
      </c>
    </row>
    <row r="219" customFormat="false" ht="15" hidden="false" customHeight="false" outlineLevel="0" collapsed="false">
      <c r="A219" s="7" t="n">
        <v>4409000</v>
      </c>
      <c r="B219" s="7" t="str">
        <f aca="false">IFERROR(INDEX('Source 2026'!$C:$C,MATCH($A219,'Source 2026'!$B:$B,0)),IFERROR(INDEX('Source 2025'!$C:$C,MATCH($A219,'Source 2025'!$B:$B,0)),""))</f>
        <v>365 S-Lטבעת אלסטית מסיליקון</v>
      </c>
      <c r="C219" s="8" t="n">
        <f aca="false">SUMIFS('Source 2025'!$D:$D,'Source 2025'!$B:$B,$A219,'Source 2025'!$A:$A,"Quantity (units)")+SUMIFS('Source 2025'!$E:$E,'Source 2025'!$B:$B,$A219,'Source 2025'!$A:$A,"Quantity (units)")+SUMIFS('Source 2025'!$F:$F,'Source 2025'!$B:$B,$A219,'Source 2025'!$A:$A,"Quantity (units)")+SUMIFS('Source 2025'!$G:$G,'Source 2025'!$B:$B,$A219,'Source 2025'!$A:$A,"Quantity (units)")+SUMIFS('Source 2025'!$J:$J,'Source 2025'!$B:$B,$A219,'Source 2025'!$A:$A,"Quantity (units)")+SUMIFS('Source 2025'!$M:$M,'Source 2025'!$B:$B,$A219,'Source 2025'!$A:$A,"Quantity (units)")</f>
        <v>407</v>
      </c>
      <c r="D219" s="8" t="n">
        <f aca="false">SUMIFS('Source 2026'!$D:$D,'Source 2026'!$B:$B,$A219,'Source 2026'!$A:$A,"Quantity (units)")+SUMIFS('Source 2026'!$E:$E,'Source 2026'!$B:$B,$A219,'Source 2026'!$A:$A,"Quantity (units)")+SUMIFS('Source 2026'!$F:$F,'Source 2026'!$B:$B,$A219,'Source 2026'!$A:$A,"Quantity (units)")+SUMIFS('Source 2026'!$G:$G,'Source 2026'!$B:$B,$A219,'Source 2026'!$A:$A,"Quantity (units)")+SUMIFS('Source 2026'!$J:$J,'Source 2026'!$B:$B,$A219,'Source 2026'!$A:$A,"Quantity (units)")+SUMIFS('Source 2026'!$M:$M,'Source 2026'!$B:$B,$A219,'Source 2026'!$A:$A,"Quantity (units)")</f>
        <v>337</v>
      </c>
      <c r="E219" s="8" t="n">
        <f aca="false">D219*$J$5</f>
        <v>462.171428571429</v>
      </c>
      <c r="F219" s="8" t="n">
        <f aca="false">E219-C219</f>
        <v>55.1714285714286</v>
      </c>
      <c r="G219" s="9" t="n">
        <f aca="false">IF(AND(C219=0,E219=0),0,IF(C219=0,"New",(E219-C219)/C219))</f>
        <v>0.135556335556336</v>
      </c>
      <c r="H219" s="8" t="n">
        <f aca="false">SUMIFS('Source 2025'!$D:$D,'Source 2025'!$B:$B,$A219,'Source 2025'!$A:$A,"Amount (NIS)")+SUMIFS('Source 2025'!$E:$E,'Source 2025'!$B:$B,$A219,'Source 2025'!$A:$A,"Amount (NIS)")+SUMIFS('Source 2025'!$F:$F,'Source 2025'!$B:$B,$A219,'Source 2025'!$A:$A,"Amount (NIS)")+SUMIFS('Source 2025'!$G:$G,'Source 2025'!$B:$B,$A219,'Source 2025'!$A:$A,"Amount (NIS)")+SUMIFS('Source 2025'!$J:$J,'Source 2025'!$B:$B,$A219,'Source 2025'!$A:$A,"Amount (NIS)")+SUMIFS('Source 2025'!$M:$M,'Source 2025'!$B:$B,$A219,'Source 2025'!$A:$A,"Amount (NIS)")</f>
        <v>5513.6</v>
      </c>
      <c r="I219" s="8" t="n">
        <f aca="false">SUMIFS('Source 2026'!$D:$D,'Source 2026'!$B:$B,$A219,'Source 2026'!$A:$A,"Amount (NIS)")+SUMIFS('Source 2026'!$E:$E,'Source 2026'!$B:$B,$A219,'Source 2026'!$A:$A,"Amount (NIS)")+SUMIFS('Source 2026'!$F:$F,'Source 2026'!$B:$B,$A219,'Source 2026'!$A:$A,"Amount (NIS)")+SUMIFS('Source 2026'!$G:$G,'Source 2026'!$B:$B,$A219,'Source 2026'!$A:$A,"Amount (NIS)")+SUMIFS('Source 2026'!$J:$J,'Source 2026'!$B:$B,$A219,'Source 2026'!$A:$A,"Amount (NIS)")+SUMIFS('Source 2026'!$M:$M,'Source 2026'!$B:$B,$A219,'Source 2026'!$A:$A,"Amount (NIS)")</f>
        <v>4572.7</v>
      </c>
      <c r="J219" s="8" t="n">
        <f aca="false">I219*$J$5</f>
        <v>6271.13142857143</v>
      </c>
      <c r="K219" s="8" t="n">
        <f aca="false">J219-H219</f>
        <v>757.531428571428</v>
      </c>
      <c r="L219" s="9" t="n">
        <f aca="false">IF(AND(H219=0,J219=0),0,IF(H219=0,"New",(J219-H219)/H219))</f>
        <v>0.137393250974214</v>
      </c>
    </row>
    <row r="220" customFormat="false" ht="15" hidden="false" customHeight="false" outlineLevel="0" collapsed="false">
      <c r="A220" s="7" t="n">
        <v>4403022</v>
      </c>
      <c r="B220" s="7" t="str">
        <f aca="false">IFERROR(INDEX('Source 2026'!$C:$C,MATCH($A220,'Source 2026'!$B:$B,0)),IFERROR(INDEX('Source 2025'!$C:$C,MATCH($A220,'Source 2025'!$B:$B,0)),""))</f>
        <v>394G גרב.כסף לסכרתים אפור43-46</v>
      </c>
      <c r="C220" s="8" t="n">
        <f aca="false">SUMIFS('Source 2025'!$D:$D,'Source 2025'!$B:$B,$A220,'Source 2025'!$A:$A,"Quantity (units)")+SUMIFS('Source 2025'!$E:$E,'Source 2025'!$B:$B,$A220,'Source 2025'!$A:$A,"Quantity (units)")+SUMIFS('Source 2025'!$F:$F,'Source 2025'!$B:$B,$A220,'Source 2025'!$A:$A,"Quantity (units)")+SUMIFS('Source 2025'!$G:$G,'Source 2025'!$B:$B,$A220,'Source 2025'!$A:$A,"Quantity (units)")+SUMIFS('Source 2025'!$J:$J,'Source 2025'!$B:$B,$A220,'Source 2025'!$A:$A,"Quantity (units)")+SUMIFS('Source 2025'!$M:$M,'Source 2025'!$B:$B,$A220,'Source 2025'!$A:$A,"Quantity (units)")</f>
        <v>37</v>
      </c>
      <c r="D220" s="8" t="n">
        <f aca="false">SUMIFS('Source 2026'!$D:$D,'Source 2026'!$B:$B,$A220,'Source 2026'!$A:$A,"Quantity (units)")+SUMIFS('Source 2026'!$E:$E,'Source 2026'!$B:$B,$A220,'Source 2026'!$A:$A,"Quantity (units)")+SUMIFS('Source 2026'!$F:$F,'Source 2026'!$B:$B,$A220,'Source 2026'!$A:$A,"Quantity (units)")+SUMIFS('Source 2026'!$G:$G,'Source 2026'!$B:$B,$A220,'Source 2026'!$A:$A,"Quantity (units)")+SUMIFS('Source 2026'!$J:$J,'Source 2026'!$B:$B,$A220,'Source 2026'!$A:$A,"Quantity (units)")+SUMIFS('Source 2026'!$M:$M,'Source 2026'!$B:$B,$A220,'Source 2026'!$A:$A,"Quantity (units)")</f>
        <v>0</v>
      </c>
      <c r="E220" s="8" t="n">
        <f aca="false">D220*$J$5</f>
        <v>0</v>
      </c>
      <c r="F220" s="8" t="n">
        <f aca="false">E220-C220</f>
        <v>-37</v>
      </c>
      <c r="G220" s="9" t="n">
        <f aca="false">IF(AND(C220=0,E220=0),0,IF(C220=0,"New",(E220-C220)/C220))</f>
        <v>-1</v>
      </c>
      <c r="H220" s="8" t="n">
        <f aca="false">SUMIFS('Source 2025'!$D:$D,'Source 2025'!$B:$B,$A220,'Source 2025'!$A:$A,"Amount (NIS)")+SUMIFS('Source 2025'!$E:$E,'Source 2025'!$B:$B,$A220,'Source 2025'!$A:$A,"Amount (NIS)")+SUMIFS('Source 2025'!$F:$F,'Source 2025'!$B:$B,$A220,'Source 2025'!$A:$A,"Amount (NIS)")+SUMIFS('Source 2025'!$G:$G,'Source 2025'!$B:$B,$A220,'Source 2025'!$A:$A,"Amount (NIS)")+SUMIFS('Source 2025'!$J:$J,'Source 2025'!$B:$B,$A220,'Source 2025'!$A:$A,"Amount (NIS)")+SUMIFS('Source 2025'!$M:$M,'Source 2025'!$B:$B,$A220,'Source 2025'!$A:$A,"Amount (NIS)")</f>
        <v>940.8</v>
      </c>
      <c r="I220" s="8" t="n">
        <f aca="false">SUMIFS('Source 2026'!$D:$D,'Source 2026'!$B:$B,$A220,'Source 2026'!$A:$A,"Amount (NIS)")+SUMIFS('Source 2026'!$E:$E,'Source 2026'!$B:$B,$A220,'Source 2026'!$A:$A,"Amount (NIS)")+SUMIFS('Source 2026'!$F:$F,'Source 2026'!$B:$B,$A220,'Source 2026'!$A:$A,"Amount (NIS)")+SUMIFS('Source 2026'!$G:$G,'Source 2026'!$B:$B,$A220,'Source 2026'!$A:$A,"Amount (NIS)")+SUMIFS('Source 2026'!$J:$J,'Source 2026'!$B:$B,$A220,'Source 2026'!$A:$A,"Amount (NIS)")+SUMIFS('Source 2026'!$M:$M,'Source 2026'!$B:$B,$A220,'Source 2026'!$A:$A,"Amount (NIS)")</f>
        <v>0</v>
      </c>
      <c r="J220" s="8" t="n">
        <f aca="false">I220*$J$5</f>
        <v>0</v>
      </c>
      <c r="K220" s="8" t="n">
        <f aca="false">J220-H220</f>
        <v>-940.8</v>
      </c>
      <c r="L220" s="9" t="n">
        <f aca="false">IF(AND(H220=0,J220=0),0,IF(H220=0,"New",(J220-H220)/H220))</f>
        <v>-1</v>
      </c>
    </row>
    <row r="221" customFormat="false" ht="15" hidden="false" customHeight="false" outlineLevel="0" collapsed="false">
      <c r="A221" s="7" t="n">
        <v>4408249</v>
      </c>
      <c r="B221" s="7" t="str">
        <f aca="false">IFERROR(INDEX('Source 2026'!$C:$C,MATCH($A221,'Source 2026'!$B:$B,0)),IFERROR(INDEX('Source 2025'!$C:$C,MATCH($A221,'Source 2025'!$B:$B,0)),""))</f>
        <v>SC25  L חבק יד</v>
      </c>
      <c r="C221" s="8" t="n">
        <f aca="false">SUMIFS('Source 2025'!$D:$D,'Source 2025'!$B:$B,$A221,'Source 2025'!$A:$A,"Quantity (units)")+SUMIFS('Source 2025'!$E:$E,'Source 2025'!$B:$B,$A221,'Source 2025'!$A:$A,"Quantity (units)")+SUMIFS('Source 2025'!$F:$F,'Source 2025'!$B:$B,$A221,'Source 2025'!$A:$A,"Quantity (units)")+SUMIFS('Source 2025'!$G:$G,'Source 2025'!$B:$B,$A221,'Source 2025'!$A:$A,"Quantity (units)")+SUMIFS('Source 2025'!$J:$J,'Source 2025'!$B:$B,$A221,'Source 2025'!$A:$A,"Quantity (units)")+SUMIFS('Source 2025'!$M:$M,'Source 2025'!$B:$B,$A221,'Source 2025'!$A:$A,"Quantity (units)")</f>
        <v>10</v>
      </c>
      <c r="D221" s="8" t="n">
        <f aca="false">SUMIFS('Source 2026'!$D:$D,'Source 2026'!$B:$B,$A221,'Source 2026'!$A:$A,"Quantity (units)")+SUMIFS('Source 2026'!$E:$E,'Source 2026'!$B:$B,$A221,'Source 2026'!$A:$A,"Quantity (units)")+SUMIFS('Source 2026'!$F:$F,'Source 2026'!$B:$B,$A221,'Source 2026'!$A:$A,"Quantity (units)")+SUMIFS('Source 2026'!$G:$G,'Source 2026'!$B:$B,$A221,'Source 2026'!$A:$A,"Quantity (units)")+SUMIFS('Source 2026'!$J:$J,'Source 2026'!$B:$B,$A221,'Source 2026'!$A:$A,"Quantity (units)")+SUMIFS('Source 2026'!$M:$M,'Source 2026'!$B:$B,$A221,'Source 2026'!$A:$A,"Quantity (units)")</f>
        <v>19</v>
      </c>
      <c r="E221" s="8" t="n">
        <f aca="false">D221*$J$5</f>
        <v>26.0571428571429</v>
      </c>
      <c r="F221" s="8" t="n">
        <f aca="false">E221-C221</f>
        <v>16.0571428571429</v>
      </c>
      <c r="G221" s="9" t="n">
        <f aca="false">IF(AND(C221=0,E221=0),0,IF(C221=0,"New",(E221-C221)/C221))</f>
        <v>1.60571428571429</v>
      </c>
      <c r="H221" s="8" t="n">
        <f aca="false">SUMIFS('Source 2025'!$D:$D,'Source 2025'!$B:$B,$A221,'Source 2025'!$A:$A,"Amount (NIS)")+SUMIFS('Source 2025'!$E:$E,'Source 2025'!$B:$B,$A221,'Source 2025'!$A:$A,"Amount (NIS)")+SUMIFS('Source 2025'!$F:$F,'Source 2025'!$B:$B,$A221,'Source 2025'!$A:$A,"Amount (NIS)")+SUMIFS('Source 2025'!$G:$G,'Source 2025'!$B:$B,$A221,'Source 2025'!$A:$A,"Amount (NIS)")+SUMIFS('Source 2025'!$J:$J,'Source 2025'!$B:$B,$A221,'Source 2025'!$A:$A,"Amount (NIS)")+SUMIFS('Source 2025'!$M:$M,'Source 2025'!$B:$B,$A221,'Source 2025'!$A:$A,"Amount (NIS)")</f>
        <v>806</v>
      </c>
      <c r="I221" s="8" t="n">
        <f aca="false">SUMIFS('Source 2026'!$D:$D,'Source 2026'!$B:$B,$A221,'Source 2026'!$A:$A,"Amount (NIS)")+SUMIFS('Source 2026'!$E:$E,'Source 2026'!$B:$B,$A221,'Source 2026'!$A:$A,"Amount (NIS)")+SUMIFS('Source 2026'!$F:$F,'Source 2026'!$B:$B,$A221,'Source 2026'!$A:$A,"Amount (NIS)")+SUMIFS('Source 2026'!$G:$G,'Source 2026'!$B:$B,$A221,'Source 2026'!$A:$A,"Amount (NIS)")+SUMIFS('Source 2026'!$J:$J,'Source 2026'!$B:$B,$A221,'Source 2026'!$A:$A,"Amount (NIS)")+SUMIFS('Source 2026'!$M:$M,'Source 2026'!$B:$B,$A221,'Source 2026'!$A:$A,"Amount (NIS)")</f>
        <v>1740</v>
      </c>
      <c r="J221" s="8" t="n">
        <f aca="false">I221*$J$5</f>
        <v>2386.28571428571</v>
      </c>
      <c r="K221" s="8" t="n">
        <f aca="false">J221-H221</f>
        <v>1580.28571428571</v>
      </c>
      <c r="L221" s="9" t="n">
        <f aca="false">IF(AND(H221=0,J221=0),0,IF(H221=0,"New",(J221-H221)/H221))</f>
        <v>1.96065225097483</v>
      </c>
    </row>
    <row r="222" customFormat="false" ht="15" hidden="false" customHeight="false" outlineLevel="0" collapsed="false">
      <c r="A222" s="7" t="n">
        <v>4408247</v>
      </c>
      <c r="B222" s="7" t="str">
        <f aca="false">IFERROR(INDEX('Source 2026'!$C:$C,MATCH($A222,'Source 2026'!$B:$B,0)),IFERROR(INDEX('Source 2025'!$C:$C,MATCH($A222,'Source 2025'!$B:$B,0)),""))</f>
        <v>SC25  S חבק יד</v>
      </c>
      <c r="C222" s="8" t="n">
        <f aca="false">SUMIFS('Source 2025'!$D:$D,'Source 2025'!$B:$B,$A222,'Source 2025'!$A:$A,"Quantity (units)")+SUMIFS('Source 2025'!$E:$E,'Source 2025'!$B:$B,$A222,'Source 2025'!$A:$A,"Quantity (units)")+SUMIFS('Source 2025'!$F:$F,'Source 2025'!$B:$B,$A222,'Source 2025'!$A:$A,"Quantity (units)")+SUMIFS('Source 2025'!$G:$G,'Source 2025'!$B:$B,$A222,'Source 2025'!$A:$A,"Quantity (units)")+SUMIFS('Source 2025'!$J:$J,'Source 2025'!$B:$B,$A222,'Source 2025'!$A:$A,"Quantity (units)")+SUMIFS('Source 2025'!$M:$M,'Source 2025'!$B:$B,$A222,'Source 2025'!$A:$A,"Quantity (units)")</f>
        <v>3</v>
      </c>
      <c r="D222" s="8" t="n">
        <f aca="false">SUMIFS('Source 2026'!$D:$D,'Source 2026'!$B:$B,$A222,'Source 2026'!$A:$A,"Quantity (units)")+SUMIFS('Source 2026'!$E:$E,'Source 2026'!$B:$B,$A222,'Source 2026'!$A:$A,"Quantity (units)")+SUMIFS('Source 2026'!$F:$F,'Source 2026'!$B:$B,$A222,'Source 2026'!$A:$A,"Quantity (units)")+SUMIFS('Source 2026'!$G:$G,'Source 2026'!$B:$B,$A222,'Source 2026'!$A:$A,"Quantity (units)")+SUMIFS('Source 2026'!$J:$J,'Source 2026'!$B:$B,$A222,'Source 2026'!$A:$A,"Quantity (units)")+SUMIFS('Source 2026'!$M:$M,'Source 2026'!$B:$B,$A222,'Source 2026'!$A:$A,"Quantity (units)")</f>
        <v>13</v>
      </c>
      <c r="E222" s="8" t="n">
        <f aca="false">D222*$J$5</f>
        <v>17.8285714285714</v>
      </c>
      <c r="F222" s="8" t="n">
        <f aca="false">E222-C222</f>
        <v>14.8285714285714</v>
      </c>
      <c r="G222" s="9" t="n">
        <f aca="false">IF(AND(C222=0,E222=0),0,IF(C222=0,"New",(E222-C222)/C222))</f>
        <v>4.94285714285714</v>
      </c>
      <c r="H222" s="8" t="n">
        <f aca="false">SUMIFS('Source 2025'!$D:$D,'Source 2025'!$B:$B,$A222,'Source 2025'!$A:$A,"Amount (NIS)")+SUMIFS('Source 2025'!$E:$E,'Source 2025'!$B:$B,$A222,'Source 2025'!$A:$A,"Amount (NIS)")+SUMIFS('Source 2025'!$F:$F,'Source 2025'!$B:$B,$A222,'Source 2025'!$A:$A,"Amount (NIS)")+SUMIFS('Source 2025'!$G:$G,'Source 2025'!$B:$B,$A222,'Source 2025'!$A:$A,"Amount (NIS)")+SUMIFS('Source 2025'!$J:$J,'Source 2025'!$B:$B,$A222,'Source 2025'!$A:$A,"Amount (NIS)")+SUMIFS('Source 2025'!$M:$M,'Source 2025'!$B:$B,$A222,'Source 2025'!$A:$A,"Amount (NIS)")</f>
        <v>248.3</v>
      </c>
      <c r="I222" s="8" t="n">
        <f aca="false">SUMIFS('Source 2026'!$D:$D,'Source 2026'!$B:$B,$A222,'Source 2026'!$A:$A,"Amount (NIS)")+SUMIFS('Source 2026'!$E:$E,'Source 2026'!$B:$B,$A222,'Source 2026'!$A:$A,"Amount (NIS)")+SUMIFS('Source 2026'!$F:$F,'Source 2026'!$B:$B,$A222,'Source 2026'!$A:$A,"Amount (NIS)")+SUMIFS('Source 2026'!$G:$G,'Source 2026'!$B:$B,$A222,'Source 2026'!$A:$A,"Amount (NIS)")+SUMIFS('Source 2026'!$J:$J,'Source 2026'!$B:$B,$A222,'Source 2026'!$A:$A,"Amount (NIS)")+SUMIFS('Source 2026'!$M:$M,'Source 2026'!$B:$B,$A222,'Source 2026'!$A:$A,"Amount (NIS)")</f>
        <v>1167.8</v>
      </c>
      <c r="J222" s="8" t="n">
        <f aca="false">I222*$J$5</f>
        <v>1601.55428571429</v>
      </c>
      <c r="K222" s="8" t="n">
        <f aca="false">J222-H222</f>
        <v>1353.25428571429</v>
      </c>
      <c r="L222" s="9" t="n">
        <f aca="false">IF(AND(H222=0,J222=0),0,IF(H222=0,"New",(J222-H222)/H222))</f>
        <v>5.45007767102008</v>
      </c>
    </row>
    <row r="223" customFormat="false" ht="15" hidden="false" customHeight="false" outlineLevel="0" collapsed="false">
      <c r="A223" s="7" t="n">
        <v>4413002</v>
      </c>
      <c r="B223" s="7" t="str">
        <f aca="false">IFERROR(INDEX('Source 2026'!$C:$C,MATCH($A223,'Source 2026'!$B:$B,0)),IFERROR(INDEX('Source 2025'!$C:$C,MATCH($A223,'Source 2025'!$B:$B,0)),""))</f>
        <v>30 L מגן קרסול מתכוון עם סקוטש</v>
      </c>
      <c r="C223" s="8" t="n">
        <f aca="false">SUMIFS('Source 2025'!$D:$D,'Source 2025'!$B:$B,$A223,'Source 2025'!$A:$A,"Quantity (units)")+SUMIFS('Source 2025'!$E:$E,'Source 2025'!$B:$B,$A223,'Source 2025'!$A:$A,"Quantity (units)")+SUMIFS('Source 2025'!$F:$F,'Source 2025'!$B:$B,$A223,'Source 2025'!$A:$A,"Quantity (units)")+SUMIFS('Source 2025'!$G:$G,'Source 2025'!$B:$B,$A223,'Source 2025'!$A:$A,"Quantity (units)")+SUMIFS('Source 2025'!$J:$J,'Source 2025'!$B:$B,$A223,'Source 2025'!$A:$A,"Quantity (units)")+SUMIFS('Source 2025'!$M:$M,'Source 2025'!$B:$B,$A223,'Source 2025'!$A:$A,"Quantity (units)")</f>
        <v>14</v>
      </c>
      <c r="D223" s="8" t="n">
        <f aca="false">SUMIFS('Source 2026'!$D:$D,'Source 2026'!$B:$B,$A223,'Source 2026'!$A:$A,"Quantity (units)")+SUMIFS('Source 2026'!$E:$E,'Source 2026'!$B:$B,$A223,'Source 2026'!$A:$A,"Quantity (units)")+SUMIFS('Source 2026'!$F:$F,'Source 2026'!$B:$B,$A223,'Source 2026'!$A:$A,"Quantity (units)")+SUMIFS('Source 2026'!$G:$G,'Source 2026'!$B:$B,$A223,'Source 2026'!$A:$A,"Quantity (units)")+SUMIFS('Source 2026'!$J:$J,'Source 2026'!$B:$B,$A223,'Source 2026'!$A:$A,"Quantity (units)")+SUMIFS('Source 2026'!$M:$M,'Source 2026'!$B:$B,$A223,'Source 2026'!$A:$A,"Quantity (units)")</f>
        <v>0</v>
      </c>
      <c r="E223" s="8" t="n">
        <f aca="false">D223*$J$5</f>
        <v>0</v>
      </c>
      <c r="F223" s="8" t="n">
        <f aca="false">E223-C223</f>
        <v>-14</v>
      </c>
      <c r="G223" s="9" t="n">
        <f aca="false">IF(AND(C223=0,E223=0),0,IF(C223=0,"New",(E223-C223)/C223))</f>
        <v>-1</v>
      </c>
      <c r="H223" s="8" t="n">
        <f aca="false">SUMIFS('Source 2025'!$D:$D,'Source 2025'!$B:$B,$A223,'Source 2025'!$A:$A,"Amount (NIS)")+SUMIFS('Source 2025'!$E:$E,'Source 2025'!$B:$B,$A223,'Source 2025'!$A:$A,"Amount (NIS)")+SUMIFS('Source 2025'!$F:$F,'Source 2025'!$B:$B,$A223,'Source 2025'!$A:$A,"Amount (NIS)")+SUMIFS('Source 2025'!$G:$G,'Source 2025'!$B:$B,$A223,'Source 2025'!$A:$A,"Amount (NIS)")+SUMIFS('Source 2025'!$J:$J,'Source 2025'!$B:$B,$A223,'Source 2025'!$A:$A,"Amount (NIS)")+SUMIFS('Source 2025'!$M:$M,'Source 2025'!$B:$B,$A223,'Source 2025'!$A:$A,"Amount (NIS)")</f>
        <v>917</v>
      </c>
      <c r="I223" s="8" t="n">
        <f aca="false">SUMIFS('Source 2026'!$D:$D,'Source 2026'!$B:$B,$A223,'Source 2026'!$A:$A,"Amount (NIS)")+SUMIFS('Source 2026'!$E:$E,'Source 2026'!$B:$B,$A223,'Source 2026'!$A:$A,"Amount (NIS)")+SUMIFS('Source 2026'!$F:$F,'Source 2026'!$B:$B,$A223,'Source 2026'!$A:$A,"Amount (NIS)")+SUMIFS('Source 2026'!$G:$G,'Source 2026'!$B:$B,$A223,'Source 2026'!$A:$A,"Amount (NIS)")+SUMIFS('Source 2026'!$J:$J,'Source 2026'!$B:$B,$A223,'Source 2026'!$A:$A,"Amount (NIS)")+SUMIFS('Source 2026'!$M:$M,'Source 2026'!$B:$B,$A223,'Source 2026'!$A:$A,"Amount (NIS)")</f>
        <v>0</v>
      </c>
      <c r="J223" s="8" t="n">
        <f aca="false">I223*$J$5</f>
        <v>0</v>
      </c>
      <c r="K223" s="8" t="n">
        <f aca="false">J223-H223</f>
        <v>-917</v>
      </c>
      <c r="L223" s="9" t="n">
        <f aca="false">IF(AND(H223=0,J223=0),0,IF(H223=0,"New",(J223-H223)/H223))</f>
        <v>-1</v>
      </c>
    </row>
    <row r="224" customFormat="false" ht="15" hidden="false" customHeight="false" outlineLevel="0" collapsed="false">
      <c r="A224" s="7" t="n">
        <v>4413161</v>
      </c>
      <c r="B224" s="7" t="str">
        <f aca="false">IFERROR(INDEX('Source 2026'!$C:$C,MATCH($A224,'Source 2026'!$B:$B,0)),IFERROR(INDEX('Source 2025'!$C:$C,MATCH($A224,'Source 2025'!$B:$B,0)),""))</f>
        <v>34+ L מגן קרסול עקב סגור+רצוע</v>
      </c>
      <c r="C224" s="8" t="n">
        <f aca="false">SUMIFS('Source 2025'!$D:$D,'Source 2025'!$B:$B,$A224,'Source 2025'!$A:$A,"Quantity (units)")+SUMIFS('Source 2025'!$E:$E,'Source 2025'!$B:$B,$A224,'Source 2025'!$A:$A,"Quantity (units)")+SUMIFS('Source 2025'!$F:$F,'Source 2025'!$B:$B,$A224,'Source 2025'!$A:$A,"Quantity (units)")+SUMIFS('Source 2025'!$G:$G,'Source 2025'!$B:$B,$A224,'Source 2025'!$A:$A,"Quantity (units)")+SUMIFS('Source 2025'!$J:$J,'Source 2025'!$B:$B,$A224,'Source 2025'!$A:$A,"Quantity (units)")+SUMIFS('Source 2025'!$M:$M,'Source 2025'!$B:$B,$A224,'Source 2025'!$A:$A,"Quantity (units)")</f>
        <v>73</v>
      </c>
      <c r="D224" s="8" t="n">
        <f aca="false">SUMIFS('Source 2026'!$D:$D,'Source 2026'!$B:$B,$A224,'Source 2026'!$A:$A,"Quantity (units)")+SUMIFS('Source 2026'!$E:$E,'Source 2026'!$B:$B,$A224,'Source 2026'!$A:$A,"Quantity (units)")+SUMIFS('Source 2026'!$F:$F,'Source 2026'!$B:$B,$A224,'Source 2026'!$A:$A,"Quantity (units)")+SUMIFS('Source 2026'!$G:$G,'Source 2026'!$B:$B,$A224,'Source 2026'!$A:$A,"Quantity (units)")+SUMIFS('Source 2026'!$J:$J,'Source 2026'!$B:$B,$A224,'Source 2026'!$A:$A,"Quantity (units)")+SUMIFS('Source 2026'!$M:$M,'Source 2026'!$B:$B,$A224,'Source 2026'!$A:$A,"Quantity (units)")</f>
        <v>59</v>
      </c>
      <c r="E224" s="8" t="n">
        <f aca="false">D224*$J$5</f>
        <v>80.9142857142857</v>
      </c>
      <c r="F224" s="8" t="n">
        <f aca="false">E224-C224</f>
        <v>7.91428571428571</v>
      </c>
      <c r="G224" s="9" t="n">
        <f aca="false">IF(AND(C224=0,E224=0),0,IF(C224=0,"New",(E224-C224)/C224))</f>
        <v>0.108414872798434</v>
      </c>
      <c r="H224" s="8" t="n">
        <f aca="false">SUMIFS('Source 2025'!$D:$D,'Source 2025'!$B:$B,$A224,'Source 2025'!$A:$A,"Amount (NIS)")+SUMIFS('Source 2025'!$E:$E,'Source 2025'!$B:$B,$A224,'Source 2025'!$A:$A,"Amount (NIS)")+SUMIFS('Source 2025'!$F:$F,'Source 2025'!$B:$B,$A224,'Source 2025'!$A:$A,"Amount (NIS)")+SUMIFS('Source 2025'!$G:$G,'Source 2025'!$B:$B,$A224,'Source 2025'!$A:$A,"Amount (NIS)")+SUMIFS('Source 2025'!$J:$J,'Source 2025'!$B:$B,$A224,'Source 2025'!$A:$A,"Amount (NIS)")+SUMIFS('Source 2025'!$M:$M,'Source 2025'!$B:$B,$A224,'Source 2025'!$A:$A,"Amount (NIS)")</f>
        <v>4770.5</v>
      </c>
      <c r="I224" s="8" t="n">
        <f aca="false">SUMIFS('Source 2026'!$D:$D,'Source 2026'!$B:$B,$A224,'Source 2026'!$A:$A,"Amount (NIS)")+SUMIFS('Source 2026'!$E:$E,'Source 2026'!$B:$B,$A224,'Source 2026'!$A:$A,"Amount (NIS)")+SUMIFS('Source 2026'!$F:$F,'Source 2026'!$B:$B,$A224,'Source 2026'!$A:$A,"Amount (NIS)")+SUMIFS('Source 2026'!$G:$G,'Source 2026'!$B:$B,$A224,'Source 2026'!$A:$A,"Amount (NIS)")+SUMIFS('Source 2026'!$J:$J,'Source 2026'!$B:$B,$A224,'Source 2026'!$A:$A,"Amount (NIS)")+SUMIFS('Source 2026'!$M:$M,'Source 2026'!$B:$B,$A224,'Source 2026'!$A:$A,"Amount (NIS)")</f>
        <v>3859.5</v>
      </c>
      <c r="J224" s="8" t="n">
        <f aca="false">I224*$J$5</f>
        <v>5293.02857142857</v>
      </c>
      <c r="K224" s="8" t="n">
        <f aca="false">J224-H224</f>
        <v>522.528571428572</v>
      </c>
      <c r="L224" s="9" t="n">
        <f aca="false">IF(AND(H224=0,J224=0),0,IF(H224=0,"New",(J224-H224)/H224))</f>
        <v>0.109533292407205</v>
      </c>
    </row>
    <row r="225" customFormat="false" ht="15" hidden="false" customHeight="false" outlineLevel="0" collapsed="false">
      <c r="A225" s="7" t="n">
        <v>4413087</v>
      </c>
      <c r="B225" s="7" t="str">
        <f aca="false">IFERROR(INDEX('Source 2026'!$C:$C,MATCH($A225,'Source 2026'!$B:$B,0)),IFERROR(INDEX('Source 2025'!$C:$C,MATCH($A225,'Source 2025'!$B:$B,0)),""))</f>
        <v>422 Lמ.ברך+כרית סיל.סביב לפיקה</v>
      </c>
      <c r="C225" s="8" t="n">
        <f aca="false">SUMIFS('Source 2025'!$D:$D,'Source 2025'!$B:$B,$A225,'Source 2025'!$A:$A,"Quantity (units)")+SUMIFS('Source 2025'!$E:$E,'Source 2025'!$B:$B,$A225,'Source 2025'!$A:$A,"Quantity (units)")+SUMIFS('Source 2025'!$F:$F,'Source 2025'!$B:$B,$A225,'Source 2025'!$A:$A,"Quantity (units)")+SUMIFS('Source 2025'!$G:$G,'Source 2025'!$B:$B,$A225,'Source 2025'!$A:$A,"Quantity (units)")+SUMIFS('Source 2025'!$J:$J,'Source 2025'!$B:$B,$A225,'Source 2025'!$A:$A,"Quantity (units)")+SUMIFS('Source 2025'!$M:$M,'Source 2025'!$B:$B,$A225,'Source 2025'!$A:$A,"Quantity (units)")</f>
        <v>5</v>
      </c>
      <c r="D225" s="8" t="n">
        <f aca="false">SUMIFS('Source 2026'!$D:$D,'Source 2026'!$B:$B,$A225,'Source 2026'!$A:$A,"Quantity (units)")+SUMIFS('Source 2026'!$E:$E,'Source 2026'!$B:$B,$A225,'Source 2026'!$A:$A,"Quantity (units)")+SUMIFS('Source 2026'!$F:$F,'Source 2026'!$B:$B,$A225,'Source 2026'!$A:$A,"Quantity (units)")+SUMIFS('Source 2026'!$G:$G,'Source 2026'!$B:$B,$A225,'Source 2026'!$A:$A,"Quantity (units)")+SUMIFS('Source 2026'!$J:$J,'Source 2026'!$B:$B,$A225,'Source 2026'!$A:$A,"Quantity (units)")+SUMIFS('Source 2026'!$M:$M,'Source 2026'!$B:$B,$A225,'Source 2026'!$A:$A,"Quantity (units)")</f>
        <v>0</v>
      </c>
      <c r="E225" s="8" t="n">
        <f aca="false">D225*$J$5</f>
        <v>0</v>
      </c>
      <c r="F225" s="8" t="n">
        <f aca="false">E225-C225</f>
        <v>-5</v>
      </c>
      <c r="G225" s="9" t="n">
        <f aca="false">IF(AND(C225=0,E225=0),0,IF(C225=0,"New",(E225-C225)/C225))</f>
        <v>-1</v>
      </c>
      <c r="H225" s="8" t="n">
        <f aca="false">SUMIFS('Source 2025'!$D:$D,'Source 2025'!$B:$B,$A225,'Source 2025'!$A:$A,"Amount (NIS)")+SUMIFS('Source 2025'!$E:$E,'Source 2025'!$B:$B,$A225,'Source 2025'!$A:$A,"Amount (NIS)")+SUMIFS('Source 2025'!$F:$F,'Source 2025'!$B:$B,$A225,'Source 2025'!$A:$A,"Amount (NIS)")+SUMIFS('Source 2025'!$G:$G,'Source 2025'!$B:$B,$A225,'Source 2025'!$A:$A,"Amount (NIS)")+SUMIFS('Source 2025'!$J:$J,'Source 2025'!$B:$B,$A225,'Source 2025'!$A:$A,"Amount (NIS)")+SUMIFS('Source 2025'!$M:$M,'Source 2025'!$B:$B,$A225,'Source 2025'!$A:$A,"Amount (NIS)")</f>
        <v>899.5</v>
      </c>
      <c r="I225" s="8" t="n">
        <f aca="false">SUMIFS('Source 2026'!$D:$D,'Source 2026'!$B:$B,$A225,'Source 2026'!$A:$A,"Amount (NIS)")+SUMIFS('Source 2026'!$E:$E,'Source 2026'!$B:$B,$A225,'Source 2026'!$A:$A,"Amount (NIS)")+SUMIFS('Source 2026'!$F:$F,'Source 2026'!$B:$B,$A225,'Source 2026'!$A:$A,"Amount (NIS)")+SUMIFS('Source 2026'!$G:$G,'Source 2026'!$B:$B,$A225,'Source 2026'!$A:$A,"Amount (NIS)")+SUMIFS('Source 2026'!$J:$J,'Source 2026'!$B:$B,$A225,'Source 2026'!$A:$A,"Amount (NIS)")+SUMIFS('Source 2026'!$M:$M,'Source 2026'!$B:$B,$A225,'Source 2026'!$A:$A,"Amount (NIS)")</f>
        <v>0</v>
      </c>
      <c r="J225" s="8" t="n">
        <f aca="false">I225*$J$5</f>
        <v>0</v>
      </c>
      <c r="K225" s="8" t="n">
        <f aca="false">J225-H225</f>
        <v>-899.5</v>
      </c>
      <c r="L225" s="9" t="n">
        <f aca="false">IF(AND(H225=0,J225=0),0,IF(H225=0,"New",(J225-H225)/H225))</f>
        <v>-1</v>
      </c>
    </row>
    <row r="226" customFormat="false" ht="15" hidden="false" customHeight="false" outlineLevel="0" collapsed="false">
      <c r="A226" s="7" t="n">
        <v>4421007</v>
      </c>
      <c r="B226" s="7" t="str">
        <f aca="false">IFERROR(INDEX('Source 2026'!$C:$C,MATCH($A226,'Source 2026'!$B:$B,0)),IFERROR(INDEX('Source 2025'!$C:$C,MATCH($A226,'Source 2025'!$B:$B,0)),""))</f>
        <v>שרוול לגבס קצר רגל</v>
      </c>
      <c r="C226" s="8" t="n">
        <f aca="false">SUMIFS('Source 2025'!$D:$D,'Source 2025'!$B:$B,$A226,'Source 2025'!$A:$A,"Quantity (units)")+SUMIFS('Source 2025'!$E:$E,'Source 2025'!$B:$B,$A226,'Source 2025'!$A:$A,"Quantity (units)")+SUMIFS('Source 2025'!$F:$F,'Source 2025'!$B:$B,$A226,'Source 2025'!$A:$A,"Quantity (units)")+SUMIFS('Source 2025'!$G:$G,'Source 2025'!$B:$B,$A226,'Source 2025'!$A:$A,"Quantity (units)")+SUMIFS('Source 2025'!$J:$J,'Source 2025'!$B:$B,$A226,'Source 2025'!$A:$A,"Quantity (units)")+SUMIFS('Source 2025'!$M:$M,'Source 2025'!$B:$B,$A226,'Source 2025'!$A:$A,"Quantity (units)")</f>
        <v>80</v>
      </c>
      <c r="D226" s="8" t="n">
        <f aca="false">SUMIFS('Source 2026'!$D:$D,'Source 2026'!$B:$B,$A226,'Source 2026'!$A:$A,"Quantity (units)")+SUMIFS('Source 2026'!$E:$E,'Source 2026'!$B:$B,$A226,'Source 2026'!$A:$A,"Quantity (units)")+SUMIFS('Source 2026'!$F:$F,'Source 2026'!$B:$B,$A226,'Source 2026'!$A:$A,"Quantity (units)")+SUMIFS('Source 2026'!$G:$G,'Source 2026'!$B:$B,$A226,'Source 2026'!$A:$A,"Quantity (units)")+SUMIFS('Source 2026'!$J:$J,'Source 2026'!$B:$B,$A226,'Source 2026'!$A:$A,"Quantity (units)")+SUMIFS('Source 2026'!$M:$M,'Source 2026'!$B:$B,$A226,'Source 2026'!$A:$A,"Quantity (units)")</f>
        <v>59</v>
      </c>
      <c r="E226" s="8" t="n">
        <f aca="false">D226*$J$5</f>
        <v>80.9142857142857</v>
      </c>
      <c r="F226" s="8" t="n">
        <f aca="false">E226-C226</f>
        <v>0.914285714285711</v>
      </c>
      <c r="G226" s="9" t="n">
        <f aca="false">IF(AND(C226=0,E226=0),0,IF(C226=0,"New",(E226-C226)/C226))</f>
        <v>0.0114285714285714</v>
      </c>
      <c r="H226" s="8" t="n">
        <f aca="false">SUMIFS('Source 2025'!$D:$D,'Source 2025'!$B:$B,$A226,'Source 2025'!$A:$A,"Amount (NIS)")+SUMIFS('Source 2025'!$E:$E,'Source 2025'!$B:$B,$A226,'Source 2025'!$A:$A,"Amount (NIS)")+SUMIFS('Source 2025'!$F:$F,'Source 2025'!$B:$B,$A226,'Source 2025'!$A:$A,"Amount (NIS)")+SUMIFS('Source 2025'!$G:$G,'Source 2025'!$B:$B,$A226,'Source 2025'!$A:$A,"Amount (NIS)")+SUMIFS('Source 2025'!$J:$J,'Source 2025'!$B:$B,$A226,'Source 2025'!$A:$A,"Amount (NIS)")+SUMIFS('Source 2025'!$M:$M,'Source 2025'!$B:$B,$A226,'Source 2025'!$A:$A,"Amount (NIS)")</f>
        <v>3457.6</v>
      </c>
      <c r="I226" s="8" t="n">
        <f aca="false">SUMIFS('Source 2026'!$D:$D,'Source 2026'!$B:$B,$A226,'Source 2026'!$A:$A,"Amount (NIS)")+SUMIFS('Source 2026'!$E:$E,'Source 2026'!$B:$B,$A226,'Source 2026'!$A:$A,"Amount (NIS)")+SUMIFS('Source 2026'!$F:$F,'Source 2026'!$B:$B,$A226,'Source 2026'!$A:$A,"Amount (NIS)")+SUMIFS('Source 2026'!$G:$G,'Source 2026'!$B:$B,$A226,'Source 2026'!$A:$A,"Amount (NIS)")+SUMIFS('Source 2026'!$J:$J,'Source 2026'!$B:$B,$A226,'Source 2026'!$A:$A,"Amount (NIS)")+SUMIFS('Source 2026'!$M:$M,'Source 2026'!$B:$B,$A226,'Source 2026'!$A:$A,"Amount (NIS)")</f>
        <v>2570.8</v>
      </c>
      <c r="J226" s="8" t="n">
        <f aca="false">I226*$J$5</f>
        <v>3525.66857142857</v>
      </c>
      <c r="K226" s="8" t="n">
        <f aca="false">J226-H226</f>
        <v>68.0685714285719</v>
      </c>
      <c r="L226" s="9" t="n">
        <f aca="false">IF(AND(H226=0,J226=0),0,IF(H226=0,"New",(J226-H226)/H226))</f>
        <v>0.0196866530045615</v>
      </c>
    </row>
    <row r="227" customFormat="false" ht="15" hidden="false" customHeight="false" outlineLevel="0" collapsed="false">
      <c r="A227" s="7" t="n">
        <v>4408115</v>
      </c>
      <c r="B227" s="7" t="str">
        <f aca="false">IFERROR(INDEX('Source 2026'!$C:$C,MATCH($A227,'Source 2026'!$B:$B,0)),IFERROR(INDEX('Source 2025'!$C:$C,MATCH($A227,'Source 2025'!$B:$B,0)),""))</f>
        <v>11EU L ח.בטן לאחר ניתוח</v>
      </c>
      <c r="C227" s="8" t="n">
        <f aca="false">SUMIFS('Source 2025'!$D:$D,'Source 2025'!$B:$B,$A227,'Source 2025'!$A:$A,"Quantity (units)")+SUMIFS('Source 2025'!$E:$E,'Source 2025'!$B:$B,$A227,'Source 2025'!$A:$A,"Quantity (units)")+SUMIFS('Source 2025'!$F:$F,'Source 2025'!$B:$B,$A227,'Source 2025'!$A:$A,"Quantity (units)")+SUMIFS('Source 2025'!$G:$G,'Source 2025'!$B:$B,$A227,'Source 2025'!$A:$A,"Quantity (units)")+SUMIFS('Source 2025'!$J:$J,'Source 2025'!$B:$B,$A227,'Source 2025'!$A:$A,"Quantity (units)")+SUMIFS('Source 2025'!$M:$M,'Source 2025'!$B:$B,$A227,'Source 2025'!$A:$A,"Quantity (units)")</f>
        <v>19</v>
      </c>
      <c r="D227" s="8" t="n">
        <f aca="false">SUMIFS('Source 2026'!$D:$D,'Source 2026'!$B:$B,$A227,'Source 2026'!$A:$A,"Quantity (units)")+SUMIFS('Source 2026'!$E:$E,'Source 2026'!$B:$B,$A227,'Source 2026'!$A:$A,"Quantity (units)")+SUMIFS('Source 2026'!$F:$F,'Source 2026'!$B:$B,$A227,'Source 2026'!$A:$A,"Quantity (units)")+SUMIFS('Source 2026'!$G:$G,'Source 2026'!$B:$B,$A227,'Source 2026'!$A:$A,"Quantity (units)")+SUMIFS('Source 2026'!$J:$J,'Source 2026'!$B:$B,$A227,'Source 2026'!$A:$A,"Quantity (units)")+SUMIFS('Source 2026'!$M:$M,'Source 2026'!$B:$B,$A227,'Source 2026'!$A:$A,"Quantity (units)")</f>
        <v>10</v>
      </c>
      <c r="E227" s="8" t="n">
        <f aca="false">D227*$J$5</f>
        <v>13.7142857142857</v>
      </c>
      <c r="F227" s="8" t="n">
        <f aca="false">E227-C227</f>
        <v>-5.28571428571429</v>
      </c>
      <c r="G227" s="9" t="n">
        <f aca="false">IF(AND(C227=0,E227=0),0,IF(C227=0,"New",(E227-C227)/C227))</f>
        <v>-0.278195488721804</v>
      </c>
      <c r="H227" s="8" t="n">
        <f aca="false">SUMIFS('Source 2025'!$D:$D,'Source 2025'!$B:$B,$A227,'Source 2025'!$A:$A,"Amount (NIS)")+SUMIFS('Source 2025'!$E:$E,'Source 2025'!$B:$B,$A227,'Source 2025'!$A:$A,"Amount (NIS)")+SUMIFS('Source 2025'!$F:$F,'Source 2025'!$B:$B,$A227,'Source 2025'!$A:$A,"Amount (NIS)")+SUMIFS('Source 2025'!$G:$G,'Source 2025'!$B:$B,$A227,'Source 2025'!$A:$A,"Amount (NIS)")+SUMIFS('Source 2025'!$J:$J,'Source 2025'!$B:$B,$A227,'Source 2025'!$A:$A,"Amount (NIS)")+SUMIFS('Source 2025'!$M:$M,'Source 2025'!$B:$B,$A227,'Source 2025'!$A:$A,"Amount (NIS)")</f>
        <v>1981.6</v>
      </c>
      <c r="I227" s="8" t="n">
        <f aca="false">SUMIFS('Source 2026'!$D:$D,'Source 2026'!$B:$B,$A227,'Source 2026'!$A:$A,"Amount (NIS)")+SUMIFS('Source 2026'!$E:$E,'Source 2026'!$B:$B,$A227,'Source 2026'!$A:$A,"Amount (NIS)")+SUMIFS('Source 2026'!$F:$F,'Source 2026'!$B:$B,$A227,'Source 2026'!$A:$A,"Amount (NIS)")+SUMIFS('Source 2026'!$G:$G,'Source 2026'!$B:$B,$A227,'Source 2026'!$A:$A,"Amount (NIS)")+SUMIFS('Source 2026'!$J:$J,'Source 2026'!$B:$B,$A227,'Source 2026'!$A:$A,"Amount (NIS)")+SUMIFS('Source 2026'!$M:$M,'Source 2026'!$B:$B,$A227,'Source 2026'!$A:$A,"Amount (NIS)")</f>
        <v>1108.4</v>
      </c>
      <c r="J227" s="8" t="n">
        <f aca="false">I227*$J$5</f>
        <v>1520.09142857143</v>
      </c>
      <c r="K227" s="8" t="n">
        <f aca="false">J227-H227</f>
        <v>-461.508571428571</v>
      </c>
      <c r="L227" s="9" t="n">
        <f aca="false">IF(AND(H227=0,J227=0),0,IF(H227=0,"New",(J227-H227)/H227))</f>
        <v>-0.23289693753965</v>
      </c>
    </row>
    <row r="228" customFormat="false" ht="15" hidden="false" customHeight="false" outlineLevel="0" collapsed="false">
      <c r="A228" s="7" t="n">
        <v>4403017</v>
      </c>
      <c r="B228" s="7" t="str">
        <f aca="false">IFERROR(INDEX('Source 2026'!$C:$C,MATCH($A228,'Source 2026'!$B:$B,0)),IFERROR(INDEX('Source 2025'!$C:$C,MATCH($A228,'Source 2025'!$B:$B,0)),""))</f>
        <v>394B גרב.כסף לסכרתים שחור35-38</v>
      </c>
      <c r="C228" s="8" t="n">
        <f aca="false">SUMIFS('Source 2025'!$D:$D,'Source 2025'!$B:$B,$A228,'Source 2025'!$A:$A,"Quantity (units)")+SUMIFS('Source 2025'!$E:$E,'Source 2025'!$B:$B,$A228,'Source 2025'!$A:$A,"Quantity (units)")+SUMIFS('Source 2025'!$F:$F,'Source 2025'!$B:$B,$A228,'Source 2025'!$A:$A,"Quantity (units)")+SUMIFS('Source 2025'!$G:$G,'Source 2025'!$B:$B,$A228,'Source 2025'!$A:$A,"Quantity (units)")+SUMIFS('Source 2025'!$J:$J,'Source 2025'!$B:$B,$A228,'Source 2025'!$A:$A,"Quantity (units)")+SUMIFS('Source 2025'!$M:$M,'Source 2025'!$B:$B,$A228,'Source 2025'!$A:$A,"Quantity (units)")</f>
        <v>62</v>
      </c>
      <c r="D228" s="8" t="n">
        <f aca="false">SUMIFS('Source 2026'!$D:$D,'Source 2026'!$B:$B,$A228,'Source 2026'!$A:$A,"Quantity (units)")+SUMIFS('Source 2026'!$E:$E,'Source 2026'!$B:$B,$A228,'Source 2026'!$A:$A,"Quantity (units)")+SUMIFS('Source 2026'!$F:$F,'Source 2026'!$B:$B,$A228,'Source 2026'!$A:$A,"Quantity (units)")+SUMIFS('Source 2026'!$G:$G,'Source 2026'!$B:$B,$A228,'Source 2026'!$A:$A,"Quantity (units)")+SUMIFS('Source 2026'!$J:$J,'Source 2026'!$B:$B,$A228,'Source 2026'!$A:$A,"Quantity (units)")+SUMIFS('Source 2026'!$M:$M,'Source 2026'!$B:$B,$A228,'Source 2026'!$A:$A,"Quantity (units)")</f>
        <v>27</v>
      </c>
      <c r="E228" s="8" t="n">
        <f aca="false">D228*$J$5</f>
        <v>37.0285714285714</v>
      </c>
      <c r="F228" s="8" t="n">
        <f aca="false">E228-C228</f>
        <v>-24.9714285714286</v>
      </c>
      <c r="G228" s="9" t="n">
        <f aca="false">IF(AND(C228=0,E228=0),0,IF(C228=0,"New",(E228-C228)/C228))</f>
        <v>-0.402764976958525</v>
      </c>
      <c r="H228" s="8" t="n">
        <f aca="false">SUMIFS('Source 2025'!$D:$D,'Source 2025'!$B:$B,$A228,'Source 2025'!$A:$A,"Amount (NIS)")+SUMIFS('Source 2025'!$E:$E,'Source 2025'!$B:$B,$A228,'Source 2025'!$A:$A,"Amount (NIS)")+SUMIFS('Source 2025'!$F:$F,'Source 2025'!$B:$B,$A228,'Source 2025'!$A:$A,"Amount (NIS)")+SUMIFS('Source 2025'!$G:$G,'Source 2025'!$B:$B,$A228,'Source 2025'!$A:$A,"Amount (NIS)")+SUMIFS('Source 2025'!$J:$J,'Source 2025'!$B:$B,$A228,'Source 2025'!$A:$A,"Amount (NIS)")+SUMIFS('Source 2025'!$M:$M,'Source 2025'!$B:$B,$A228,'Source 2025'!$A:$A,"Amount (NIS)")</f>
        <v>1588.5</v>
      </c>
      <c r="I228" s="8" t="n">
        <f aca="false">SUMIFS('Source 2026'!$D:$D,'Source 2026'!$B:$B,$A228,'Source 2026'!$A:$A,"Amount (NIS)")+SUMIFS('Source 2026'!$E:$E,'Source 2026'!$B:$B,$A228,'Source 2026'!$A:$A,"Amount (NIS)")+SUMIFS('Source 2026'!$F:$F,'Source 2026'!$B:$B,$A228,'Source 2026'!$A:$A,"Amount (NIS)")+SUMIFS('Source 2026'!$G:$G,'Source 2026'!$B:$B,$A228,'Source 2026'!$A:$A,"Amount (NIS)")+SUMIFS('Source 2026'!$J:$J,'Source 2026'!$B:$B,$A228,'Source 2026'!$A:$A,"Amount (NIS)")+SUMIFS('Source 2026'!$M:$M,'Source 2026'!$B:$B,$A228,'Source 2026'!$A:$A,"Amount (NIS)")</f>
        <v>741.3</v>
      </c>
      <c r="J228" s="8" t="n">
        <f aca="false">I228*$J$5</f>
        <v>1016.64</v>
      </c>
      <c r="K228" s="8" t="n">
        <f aca="false">J228-H228</f>
        <v>-571.86</v>
      </c>
      <c r="L228" s="9" t="n">
        <f aca="false">IF(AND(H228=0,J228=0),0,IF(H228=0,"New",(J228-H228)/H228))</f>
        <v>-0.36</v>
      </c>
    </row>
    <row r="229" customFormat="false" ht="15" hidden="false" customHeight="false" outlineLevel="0" collapsed="false">
      <c r="A229" s="7" t="n">
        <v>4413396</v>
      </c>
      <c r="B229" s="7" t="str">
        <f aca="false">IFERROR(INDEX('Source 2026'!$C:$C,MATCH($A229,'Source 2026'!$B:$B,0)),IFERROR(INDEX('Source 2025'!$C:$C,MATCH($A229,'Source 2025'!$B:$B,0)),""))</f>
        <v>45EC L 'מגן ברך ארוך בז</v>
      </c>
      <c r="C229" s="8" t="n">
        <f aca="false">SUMIFS('Source 2025'!$D:$D,'Source 2025'!$B:$B,$A229,'Source 2025'!$A:$A,"Quantity (units)")+SUMIFS('Source 2025'!$E:$E,'Source 2025'!$B:$B,$A229,'Source 2025'!$A:$A,"Quantity (units)")+SUMIFS('Source 2025'!$F:$F,'Source 2025'!$B:$B,$A229,'Source 2025'!$A:$A,"Quantity (units)")+SUMIFS('Source 2025'!$G:$G,'Source 2025'!$B:$B,$A229,'Source 2025'!$A:$A,"Quantity (units)")+SUMIFS('Source 2025'!$J:$J,'Source 2025'!$B:$B,$A229,'Source 2025'!$A:$A,"Quantity (units)")+SUMIFS('Source 2025'!$M:$M,'Source 2025'!$B:$B,$A229,'Source 2025'!$A:$A,"Quantity (units)")</f>
        <v>100</v>
      </c>
      <c r="D229" s="8" t="n">
        <f aca="false">SUMIFS('Source 2026'!$D:$D,'Source 2026'!$B:$B,$A229,'Source 2026'!$A:$A,"Quantity (units)")+SUMIFS('Source 2026'!$E:$E,'Source 2026'!$B:$B,$A229,'Source 2026'!$A:$A,"Quantity (units)")+SUMIFS('Source 2026'!$F:$F,'Source 2026'!$B:$B,$A229,'Source 2026'!$A:$A,"Quantity (units)")+SUMIFS('Source 2026'!$G:$G,'Source 2026'!$B:$B,$A229,'Source 2026'!$A:$A,"Quantity (units)")+SUMIFS('Source 2026'!$J:$J,'Source 2026'!$B:$B,$A229,'Source 2026'!$A:$A,"Quantity (units)")+SUMIFS('Source 2026'!$M:$M,'Source 2026'!$B:$B,$A229,'Source 2026'!$A:$A,"Quantity (units)")</f>
        <v>120</v>
      </c>
      <c r="E229" s="8" t="n">
        <f aca="false">D229*$J$5</f>
        <v>164.571428571429</v>
      </c>
      <c r="F229" s="8" t="n">
        <f aca="false">E229-C229</f>
        <v>64.5714285714286</v>
      </c>
      <c r="G229" s="9" t="n">
        <f aca="false">IF(AND(C229=0,E229=0),0,IF(C229=0,"New",(E229-C229)/C229))</f>
        <v>0.645714285714286</v>
      </c>
      <c r="H229" s="8" t="n">
        <f aca="false">SUMIFS('Source 2025'!$D:$D,'Source 2025'!$B:$B,$A229,'Source 2025'!$A:$A,"Amount (NIS)")+SUMIFS('Source 2025'!$E:$E,'Source 2025'!$B:$B,$A229,'Source 2025'!$A:$A,"Amount (NIS)")+SUMIFS('Source 2025'!$F:$F,'Source 2025'!$B:$B,$A229,'Source 2025'!$A:$A,"Amount (NIS)")+SUMIFS('Source 2025'!$G:$G,'Source 2025'!$B:$B,$A229,'Source 2025'!$A:$A,"Amount (NIS)")+SUMIFS('Source 2025'!$J:$J,'Source 2025'!$B:$B,$A229,'Source 2025'!$A:$A,"Amount (NIS)")+SUMIFS('Source 2025'!$M:$M,'Source 2025'!$B:$B,$A229,'Source 2025'!$A:$A,"Amount (NIS)")</f>
        <v>3606.2</v>
      </c>
      <c r="I229" s="8" t="n">
        <f aca="false">SUMIFS('Source 2026'!$D:$D,'Source 2026'!$B:$B,$A229,'Source 2026'!$A:$A,"Amount (NIS)")+SUMIFS('Source 2026'!$E:$E,'Source 2026'!$B:$B,$A229,'Source 2026'!$A:$A,"Amount (NIS)")+SUMIFS('Source 2026'!$F:$F,'Source 2026'!$B:$B,$A229,'Source 2026'!$A:$A,"Amount (NIS)")+SUMIFS('Source 2026'!$G:$G,'Source 2026'!$B:$B,$A229,'Source 2026'!$A:$A,"Amount (NIS)")+SUMIFS('Source 2026'!$J:$J,'Source 2026'!$B:$B,$A229,'Source 2026'!$A:$A,"Amount (NIS)")+SUMIFS('Source 2026'!$M:$M,'Source 2026'!$B:$B,$A229,'Source 2026'!$A:$A,"Amount (NIS)")</f>
        <v>4398.4</v>
      </c>
      <c r="J229" s="8" t="n">
        <f aca="false">I229*$J$5</f>
        <v>6032.09142857143</v>
      </c>
      <c r="K229" s="8" t="n">
        <f aca="false">J229-H229</f>
        <v>2425.89142857143</v>
      </c>
      <c r="L229" s="9" t="n">
        <f aca="false">IF(AND(H229=0,J229=0),0,IF(H229=0,"New",(J229-H229)/H229))</f>
        <v>0.672700190940998</v>
      </c>
    </row>
    <row r="230" customFormat="false" ht="15" hidden="false" customHeight="false" outlineLevel="0" collapsed="false">
      <c r="A230" s="7" t="n">
        <v>4408027</v>
      </c>
      <c r="B230" s="7" t="str">
        <f aca="false">IFERROR(INDEX('Source 2026'!$C:$C,MATCH($A230,'Source 2026'!$B:$B,0)),IFERROR(INDEX('Source 2025'!$C:$C,MATCH($A230,'Source 2025'!$B:$B,0)),""))</f>
        <v>10 L ""חגורת גב ""לומבו</v>
      </c>
      <c r="C230" s="8" t="n">
        <f aca="false">SUMIFS('Source 2025'!$D:$D,'Source 2025'!$B:$B,$A230,'Source 2025'!$A:$A,"Quantity (units)")+SUMIFS('Source 2025'!$E:$E,'Source 2025'!$B:$B,$A230,'Source 2025'!$A:$A,"Quantity (units)")+SUMIFS('Source 2025'!$F:$F,'Source 2025'!$B:$B,$A230,'Source 2025'!$A:$A,"Quantity (units)")+SUMIFS('Source 2025'!$G:$G,'Source 2025'!$B:$B,$A230,'Source 2025'!$A:$A,"Quantity (units)")+SUMIFS('Source 2025'!$J:$J,'Source 2025'!$B:$B,$A230,'Source 2025'!$A:$A,"Quantity (units)")+SUMIFS('Source 2025'!$M:$M,'Source 2025'!$B:$B,$A230,'Source 2025'!$A:$A,"Quantity (units)")</f>
        <v>12</v>
      </c>
      <c r="D230" s="8" t="n">
        <f aca="false">SUMIFS('Source 2026'!$D:$D,'Source 2026'!$B:$B,$A230,'Source 2026'!$A:$A,"Quantity (units)")+SUMIFS('Source 2026'!$E:$E,'Source 2026'!$B:$B,$A230,'Source 2026'!$A:$A,"Quantity (units)")+SUMIFS('Source 2026'!$F:$F,'Source 2026'!$B:$B,$A230,'Source 2026'!$A:$A,"Quantity (units)")+SUMIFS('Source 2026'!$G:$G,'Source 2026'!$B:$B,$A230,'Source 2026'!$A:$A,"Quantity (units)")+SUMIFS('Source 2026'!$J:$J,'Source 2026'!$B:$B,$A230,'Source 2026'!$A:$A,"Quantity (units)")+SUMIFS('Source 2026'!$M:$M,'Source 2026'!$B:$B,$A230,'Source 2026'!$A:$A,"Quantity (units)")</f>
        <v>17</v>
      </c>
      <c r="E230" s="8" t="n">
        <f aca="false">D230*$J$5</f>
        <v>23.3142857142857</v>
      </c>
      <c r="F230" s="8" t="n">
        <f aca="false">E230-C230</f>
        <v>11.3142857142857</v>
      </c>
      <c r="G230" s="9" t="n">
        <f aca="false">IF(AND(C230=0,E230=0),0,IF(C230=0,"New",(E230-C230)/C230))</f>
        <v>0.942857142857143</v>
      </c>
      <c r="H230" s="8" t="n">
        <f aca="false">SUMIFS('Source 2025'!$D:$D,'Source 2025'!$B:$B,$A230,'Source 2025'!$A:$A,"Amount (NIS)")+SUMIFS('Source 2025'!$E:$E,'Source 2025'!$B:$B,$A230,'Source 2025'!$A:$A,"Amount (NIS)")+SUMIFS('Source 2025'!$F:$F,'Source 2025'!$B:$B,$A230,'Source 2025'!$A:$A,"Amount (NIS)")+SUMIFS('Source 2025'!$G:$G,'Source 2025'!$B:$B,$A230,'Source 2025'!$A:$A,"Amount (NIS)")+SUMIFS('Source 2025'!$J:$J,'Source 2025'!$B:$B,$A230,'Source 2025'!$A:$A,"Amount (NIS)")+SUMIFS('Source 2025'!$M:$M,'Source 2025'!$B:$B,$A230,'Source 2025'!$A:$A,"Amount (NIS)")</f>
        <v>1742.7</v>
      </c>
      <c r="I230" s="8" t="n">
        <f aca="false">SUMIFS('Source 2026'!$D:$D,'Source 2026'!$B:$B,$A230,'Source 2026'!$A:$A,"Amount (NIS)")+SUMIFS('Source 2026'!$E:$E,'Source 2026'!$B:$B,$A230,'Source 2026'!$A:$A,"Amount (NIS)")+SUMIFS('Source 2026'!$F:$F,'Source 2026'!$B:$B,$A230,'Source 2026'!$A:$A,"Amount (NIS)")+SUMIFS('Source 2026'!$G:$G,'Source 2026'!$B:$B,$A230,'Source 2026'!$A:$A,"Amount (NIS)")+SUMIFS('Source 2026'!$J:$J,'Source 2026'!$B:$B,$A230,'Source 2026'!$A:$A,"Amount (NIS)")+SUMIFS('Source 2026'!$M:$M,'Source 2026'!$B:$B,$A230,'Source 2026'!$A:$A,"Amount (NIS)")</f>
        <v>2529.7</v>
      </c>
      <c r="J230" s="8" t="n">
        <f aca="false">I230*$J$5</f>
        <v>3469.30285714286</v>
      </c>
      <c r="K230" s="8" t="n">
        <f aca="false">J230-H230</f>
        <v>1726.60285714286</v>
      </c>
      <c r="L230" s="9" t="n">
        <f aca="false">IF(AND(H230=0,J230=0),0,IF(H230=0,"New",(J230-H230)/H230))</f>
        <v>0.990763101591127</v>
      </c>
    </row>
    <row r="231" customFormat="false" ht="15" hidden="false" customHeight="false" outlineLevel="0" collapsed="false">
      <c r="A231" s="7" t="n">
        <v>4403021</v>
      </c>
      <c r="B231" s="7" t="str">
        <f aca="false">IFERROR(INDEX('Source 2026'!$C:$C,MATCH($A231,'Source 2026'!$B:$B,0)),IFERROR(INDEX('Source 2025'!$C:$C,MATCH($A231,'Source 2025'!$B:$B,0)),""))</f>
        <v>394G גרב.כסף לסכרתים אפור39-42</v>
      </c>
      <c r="C231" s="8" t="n">
        <f aca="false">SUMIFS('Source 2025'!$D:$D,'Source 2025'!$B:$B,$A231,'Source 2025'!$A:$A,"Quantity (units)")+SUMIFS('Source 2025'!$E:$E,'Source 2025'!$B:$B,$A231,'Source 2025'!$A:$A,"Quantity (units)")+SUMIFS('Source 2025'!$F:$F,'Source 2025'!$B:$B,$A231,'Source 2025'!$A:$A,"Quantity (units)")+SUMIFS('Source 2025'!$G:$G,'Source 2025'!$B:$B,$A231,'Source 2025'!$A:$A,"Quantity (units)")+SUMIFS('Source 2025'!$J:$J,'Source 2025'!$B:$B,$A231,'Source 2025'!$A:$A,"Quantity (units)")+SUMIFS('Source 2025'!$M:$M,'Source 2025'!$B:$B,$A231,'Source 2025'!$A:$A,"Quantity (units)")</f>
        <v>30</v>
      </c>
      <c r="D231" s="8" t="n">
        <f aca="false">SUMIFS('Source 2026'!$D:$D,'Source 2026'!$B:$B,$A231,'Source 2026'!$A:$A,"Quantity (units)")+SUMIFS('Source 2026'!$E:$E,'Source 2026'!$B:$B,$A231,'Source 2026'!$A:$A,"Quantity (units)")+SUMIFS('Source 2026'!$F:$F,'Source 2026'!$B:$B,$A231,'Source 2026'!$A:$A,"Quantity (units)")+SUMIFS('Source 2026'!$G:$G,'Source 2026'!$B:$B,$A231,'Source 2026'!$A:$A,"Quantity (units)")+SUMIFS('Source 2026'!$J:$J,'Source 2026'!$B:$B,$A231,'Source 2026'!$A:$A,"Quantity (units)")+SUMIFS('Source 2026'!$M:$M,'Source 2026'!$B:$B,$A231,'Source 2026'!$A:$A,"Quantity (units)")</f>
        <v>0</v>
      </c>
      <c r="E231" s="8" t="n">
        <f aca="false">D231*$J$5</f>
        <v>0</v>
      </c>
      <c r="F231" s="8" t="n">
        <f aca="false">E231-C231</f>
        <v>-30</v>
      </c>
      <c r="G231" s="9" t="n">
        <f aca="false">IF(AND(C231=0,E231=0),0,IF(C231=0,"New",(E231-C231)/C231))</f>
        <v>-1</v>
      </c>
      <c r="H231" s="8" t="n">
        <f aca="false">SUMIFS('Source 2025'!$D:$D,'Source 2025'!$B:$B,$A231,'Source 2025'!$A:$A,"Amount (NIS)")+SUMIFS('Source 2025'!$E:$E,'Source 2025'!$B:$B,$A231,'Source 2025'!$A:$A,"Amount (NIS)")+SUMIFS('Source 2025'!$F:$F,'Source 2025'!$B:$B,$A231,'Source 2025'!$A:$A,"Amount (NIS)")+SUMIFS('Source 2025'!$G:$G,'Source 2025'!$B:$B,$A231,'Source 2025'!$A:$A,"Amount (NIS)")+SUMIFS('Source 2025'!$J:$J,'Source 2025'!$B:$B,$A231,'Source 2025'!$A:$A,"Amount (NIS)")+SUMIFS('Source 2025'!$M:$M,'Source 2025'!$B:$B,$A231,'Source 2025'!$A:$A,"Amount (NIS)")</f>
        <v>780.5</v>
      </c>
      <c r="I231" s="8" t="n">
        <f aca="false">SUMIFS('Source 2026'!$D:$D,'Source 2026'!$B:$B,$A231,'Source 2026'!$A:$A,"Amount (NIS)")+SUMIFS('Source 2026'!$E:$E,'Source 2026'!$B:$B,$A231,'Source 2026'!$A:$A,"Amount (NIS)")+SUMIFS('Source 2026'!$F:$F,'Source 2026'!$B:$B,$A231,'Source 2026'!$A:$A,"Amount (NIS)")+SUMIFS('Source 2026'!$G:$G,'Source 2026'!$B:$B,$A231,'Source 2026'!$A:$A,"Amount (NIS)")+SUMIFS('Source 2026'!$J:$J,'Source 2026'!$B:$B,$A231,'Source 2026'!$A:$A,"Amount (NIS)")+SUMIFS('Source 2026'!$M:$M,'Source 2026'!$B:$B,$A231,'Source 2026'!$A:$A,"Amount (NIS)")</f>
        <v>0</v>
      </c>
      <c r="J231" s="8" t="n">
        <f aca="false">I231*$J$5</f>
        <v>0</v>
      </c>
      <c r="K231" s="8" t="n">
        <f aca="false">J231-H231</f>
        <v>-780.5</v>
      </c>
      <c r="L231" s="9" t="n">
        <f aca="false">IF(AND(H231=0,J231=0),0,IF(H231=0,"New",(J231-H231)/H231))</f>
        <v>-1</v>
      </c>
    </row>
    <row r="232" customFormat="false" ht="15" hidden="false" customHeight="false" outlineLevel="0" collapsed="false">
      <c r="A232" s="7" t="n">
        <v>4413114</v>
      </c>
      <c r="B232" s="7" t="str">
        <f aca="false">IFERROR(INDEX('Source 2026'!$C:$C,MATCH($A232,'Source 2026'!$B:$B,0)),IFERROR(INDEX('Source 2025'!$C:$C,MATCH($A232,'Source 2025'!$B:$B,0)),""))</f>
        <v>49 XL מגן ירך</v>
      </c>
      <c r="C232" s="8" t="n">
        <f aca="false">SUMIFS('Source 2025'!$D:$D,'Source 2025'!$B:$B,$A232,'Source 2025'!$A:$A,"Quantity (units)")+SUMIFS('Source 2025'!$E:$E,'Source 2025'!$B:$B,$A232,'Source 2025'!$A:$A,"Quantity (units)")+SUMIFS('Source 2025'!$F:$F,'Source 2025'!$B:$B,$A232,'Source 2025'!$A:$A,"Quantity (units)")+SUMIFS('Source 2025'!$G:$G,'Source 2025'!$B:$B,$A232,'Source 2025'!$A:$A,"Quantity (units)")+SUMIFS('Source 2025'!$J:$J,'Source 2025'!$B:$B,$A232,'Source 2025'!$A:$A,"Quantity (units)")+SUMIFS('Source 2025'!$M:$M,'Source 2025'!$B:$B,$A232,'Source 2025'!$A:$A,"Quantity (units)")</f>
        <v>36</v>
      </c>
      <c r="D232" s="8" t="n">
        <f aca="false">SUMIFS('Source 2026'!$D:$D,'Source 2026'!$B:$B,$A232,'Source 2026'!$A:$A,"Quantity (units)")+SUMIFS('Source 2026'!$E:$E,'Source 2026'!$B:$B,$A232,'Source 2026'!$A:$A,"Quantity (units)")+SUMIFS('Source 2026'!$F:$F,'Source 2026'!$B:$B,$A232,'Source 2026'!$A:$A,"Quantity (units)")+SUMIFS('Source 2026'!$G:$G,'Source 2026'!$B:$B,$A232,'Source 2026'!$A:$A,"Quantity (units)")+SUMIFS('Source 2026'!$J:$J,'Source 2026'!$B:$B,$A232,'Source 2026'!$A:$A,"Quantity (units)")+SUMIFS('Source 2026'!$M:$M,'Source 2026'!$B:$B,$A232,'Source 2026'!$A:$A,"Quantity (units)")</f>
        <v>12</v>
      </c>
      <c r="E232" s="8" t="n">
        <f aca="false">D232*$J$5</f>
        <v>16.4571428571429</v>
      </c>
      <c r="F232" s="8" t="n">
        <f aca="false">E232-C232</f>
        <v>-19.5428571428571</v>
      </c>
      <c r="G232" s="9" t="n">
        <f aca="false">IF(AND(C232=0,E232=0),0,IF(C232=0,"New",(E232-C232)/C232))</f>
        <v>-0.542857142857143</v>
      </c>
      <c r="H232" s="8" t="n">
        <f aca="false">SUMIFS('Source 2025'!$D:$D,'Source 2025'!$B:$B,$A232,'Source 2025'!$A:$A,"Amount (NIS)")+SUMIFS('Source 2025'!$E:$E,'Source 2025'!$B:$B,$A232,'Source 2025'!$A:$A,"Amount (NIS)")+SUMIFS('Source 2025'!$F:$F,'Source 2025'!$B:$B,$A232,'Source 2025'!$A:$A,"Amount (NIS)")+SUMIFS('Source 2025'!$G:$G,'Source 2025'!$B:$B,$A232,'Source 2025'!$A:$A,"Amount (NIS)")+SUMIFS('Source 2025'!$J:$J,'Source 2025'!$B:$B,$A232,'Source 2025'!$A:$A,"Amount (NIS)")+SUMIFS('Source 2025'!$M:$M,'Source 2025'!$B:$B,$A232,'Source 2025'!$A:$A,"Amount (NIS)")</f>
        <v>1195.3</v>
      </c>
      <c r="I232" s="8" t="n">
        <f aca="false">SUMIFS('Source 2026'!$D:$D,'Source 2026'!$B:$B,$A232,'Source 2026'!$A:$A,"Amount (NIS)")+SUMIFS('Source 2026'!$E:$E,'Source 2026'!$B:$B,$A232,'Source 2026'!$A:$A,"Amount (NIS)")+SUMIFS('Source 2026'!$F:$F,'Source 2026'!$B:$B,$A232,'Source 2026'!$A:$A,"Amount (NIS)")+SUMIFS('Source 2026'!$G:$G,'Source 2026'!$B:$B,$A232,'Source 2026'!$A:$A,"Amount (NIS)")+SUMIFS('Source 2026'!$J:$J,'Source 2026'!$B:$B,$A232,'Source 2026'!$A:$A,"Amount (NIS)")+SUMIFS('Source 2026'!$M:$M,'Source 2026'!$B:$B,$A232,'Source 2026'!$A:$A,"Amount (NIS)")</f>
        <v>416.9</v>
      </c>
      <c r="J232" s="8" t="n">
        <f aca="false">I232*$J$5</f>
        <v>571.748571428571</v>
      </c>
      <c r="K232" s="8" t="n">
        <f aca="false">J232-H232</f>
        <v>-623.551428571429</v>
      </c>
      <c r="L232" s="9" t="n">
        <f aca="false">IF(AND(H232=0,J232=0),0,IF(H232=0,"New",(J232-H232)/H232))</f>
        <v>-0.521669395608992</v>
      </c>
    </row>
    <row r="233" customFormat="false" ht="15" hidden="false" customHeight="false" outlineLevel="0" collapsed="false">
      <c r="A233" s="7" t="n">
        <v>4403001</v>
      </c>
      <c r="B233" s="7" t="str">
        <f aca="false">IFERROR(INDEX('Source 2026'!$C:$C,MATCH($A233,'Source 2026'!$B:$B,0)),IFERROR(INDEX('Source 2025'!$C:$C,MATCH($A233,'Source 2025'!$B:$B,0)),""))</f>
        <v>390B 39-42.גרב.כסף לסכרתיים שח</v>
      </c>
      <c r="C233" s="8" t="n">
        <f aca="false">SUMIFS('Source 2025'!$D:$D,'Source 2025'!$B:$B,$A233,'Source 2025'!$A:$A,"Quantity (units)")+SUMIFS('Source 2025'!$E:$E,'Source 2025'!$B:$B,$A233,'Source 2025'!$A:$A,"Quantity (units)")+SUMIFS('Source 2025'!$F:$F,'Source 2025'!$B:$B,$A233,'Source 2025'!$A:$A,"Quantity (units)")+SUMIFS('Source 2025'!$G:$G,'Source 2025'!$B:$B,$A233,'Source 2025'!$A:$A,"Quantity (units)")+SUMIFS('Source 2025'!$J:$J,'Source 2025'!$B:$B,$A233,'Source 2025'!$A:$A,"Quantity (units)")+SUMIFS('Source 2025'!$M:$M,'Source 2025'!$B:$B,$A233,'Source 2025'!$A:$A,"Quantity (units)")</f>
        <v>42</v>
      </c>
      <c r="D233" s="8" t="n">
        <f aca="false">SUMIFS('Source 2026'!$D:$D,'Source 2026'!$B:$B,$A233,'Source 2026'!$A:$A,"Quantity (units)")+SUMIFS('Source 2026'!$E:$E,'Source 2026'!$B:$B,$A233,'Source 2026'!$A:$A,"Quantity (units)")+SUMIFS('Source 2026'!$F:$F,'Source 2026'!$B:$B,$A233,'Source 2026'!$A:$A,"Quantity (units)")+SUMIFS('Source 2026'!$G:$G,'Source 2026'!$B:$B,$A233,'Source 2026'!$A:$A,"Quantity (units)")+SUMIFS('Source 2026'!$J:$J,'Source 2026'!$B:$B,$A233,'Source 2026'!$A:$A,"Quantity (units)")+SUMIFS('Source 2026'!$M:$M,'Source 2026'!$B:$B,$A233,'Source 2026'!$A:$A,"Quantity (units)")</f>
        <v>15</v>
      </c>
      <c r="E233" s="8" t="n">
        <f aca="false">D233*$J$5</f>
        <v>20.5714285714286</v>
      </c>
      <c r="F233" s="8" t="n">
        <f aca="false">E233-C233</f>
        <v>-21.4285714285714</v>
      </c>
      <c r="G233" s="9" t="n">
        <f aca="false">IF(AND(C233=0,E233=0),0,IF(C233=0,"New",(E233-C233)/C233))</f>
        <v>-0.510204081632653</v>
      </c>
      <c r="H233" s="8" t="n">
        <f aca="false">SUMIFS('Source 2025'!$D:$D,'Source 2025'!$B:$B,$A233,'Source 2025'!$A:$A,"Amount (NIS)")+SUMIFS('Source 2025'!$E:$E,'Source 2025'!$B:$B,$A233,'Source 2025'!$A:$A,"Amount (NIS)")+SUMIFS('Source 2025'!$F:$F,'Source 2025'!$B:$B,$A233,'Source 2025'!$A:$A,"Amount (NIS)")+SUMIFS('Source 2025'!$G:$G,'Source 2025'!$B:$B,$A233,'Source 2025'!$A:$A,"Amount (NIS)")+SUMIFS('Source 2025'!$J:$J,'Source 2025'!$B:$B,$A233,'Source 2025'!$A:$A,"Amount (NIS)")+SUMIFS('Source 2025'!$M:$M,'Source 2025'!$B:$B,$A233,'Source 2025'!$A:$A,"Amount (NIS)")</f>
        <v>1277.4</v>
      </c>
      <c r="I233" s="8" t="n">
        <f aca="false">SUMIFS('Source 2026'!$D:$D,'Source 2026'!$B:$B,$A233,'Source 2026'!$A:$A,"Amount (NIS)")+SUMIFS('Source 2026'!$E:$E,'Source 2026'!$B:$B,$A233,'Source 2026'!$A:$A,"Amount (NIS)")+SUMIFS('Source 2026'!$F:$F,'Source 2026'!$B:$B,$A233,'Source 2026'!$A:$A,"Amount (NIS)")+SUMIFS('Source 2026'!$G:$G,'Source 2026'!$B:$B,$A233,'Source 2026'!$A:$A,"Amount (NIS)")+SUMIFS('Source 2026'!$J:$J,'Source 2026'!$B:$B,$A233,'Source 2026'!$A:$A,"Amount (NIS)")+SUMIFS('Source 2026'!$M:$M,'Source 2026'!$B:$B,$A233,'Source 2026'!$A:$A,"Amount (NIS)")</f>
        <v>507.9</v>
      </c>
      <c r="J233" s="8" t="n">
        <f aca="false">I233*$J$5</f>
        <v>696.548571428571</v>
      </c>
      <c r="K233" s="8" t="n">
        <f aca="false">J233-H233</f>
        <v>-580.851428571429</v>
      </c>
      <c r="L233" s="9" t="n">
        <f aca="false">IF(AND(H233=0,J233=0),0,IF(H233=0,"New",(J233-H233)/H233))</f>
        <v>-0.454713816010199</v>
      </c>
    </row>
    <row r="234" customFormat="false" ht="15" hidden="false" customHeight="false" outlineLevel="0" collapsed="false">
      <c r="A234" s="7" t="n">
        <v>4420025</v>
      </c>
      <c r="B234" s="7" t="str">
        <f aca="false">IFERROR(INDEX('Source 2026'!$C:$C,MATCH($A234,'Source 2026'!$B:$B,0)),IFERROR(INDEX('Source 2025'!$C:$C,MATCH($A234,'Source 2025'!$B:$B,0)),""))</f>
        <v>LF374 ריפוד סיליק.לעקב תחתון</v>
      </c>
      <c r="C234" s="8" t="n">
        <f aca="false">SUMIFS('Source 2025'!$D:$D,'Source 2025'!$B:$B,$A234,'Source 2025'!$A:$A,"Quantity (units)")+SUMIFS('Source 2025'!$E:$E,'Source 2025'!$B:$B,$A234,'Source 2025'!$A:$A,"Quantity (units)")+SUMIFS('Source 2025'!$F:$F,'Source 2025'!$B:$B,$A234,'Source 2025'!$A:$A,"Quantity (units)")+SUMIFS('Source 2025'!$G:$G,'Source 2025'!$B:$B,$A234,'Source 2025'!$A:$A,"Quantity (units)")+SUMIFS('Source 2025'!$J:$J,'Source 2025'!$B:$B,$A234,'Source 2025'!$A:$A,"Quantity (units)")+SUMIFS('Source 2025'!$M:$M,'Source 2025'!$B:$B,$A234,'Source 2025'!$A:$A,"Quantity (units)")</f>
        <v>45</v>
      </c>
      <c r="D234" s="8" t="n">
        <f aca="false">SUMIFS('Source 2026'!$D:$D,'Source 2026'!$B:$B,$A234,'Source 2026'!$A:$A,"Quantity (units)")+SUMIFS('Source 2026'!$E:$E,'Source 2026'!$B:$B,$A234,'Source 2026'!$A:$A,"Quantity (units)")+SUMIFS('Source 2026'!$F:$F,'Source 2026'!$B:$B,$A234,'Source 2026'!$A:$A,"Quantity (units)")+SUMIFS('Source 2026'!$G:$G,'Source 2026'!$B:$B,$A234,'Source 2026'!$A:$A,"Quantity (units)")+SUMIFS('Source 2026'!$J:$J,'Source 2026'!$B:$B,$A234,'Source 2026'!$A:$A,"Quantity (units)")+SUMIFS('Source 2026'!$M:$M,'Source 2026'!$B:$B,$A234,'Source 2026'!$A:$A,"Quantity (units)")</f>
        <v>11</v>
      </c>
      <c r="E234" s="8" t="n">
        <f aca="false">D234*$J$5</f>
        <v>15.0857142857143</v>
      </c>
      <c r="F234" s="8" t="n">
        <f aca="false">E234-C234</f>
        <v>-29.9142857142857</v>
      </c>
      <c r="G234" s="9" t="n">
        <f aca="false">IF(AND(C234=0,E234=0),0,IF(C234=0,"New",(E234-C234)/C234))</f>
        <v>-0.664761904761905</v>
      </c>
      <c r="H234" s="8" t="n">
        <f aca="false">SUMIFS('Source 2025'!$D:$D,'Source 2025'!$B:$B,$A234,'Source 2025'!$A:$A,"Amount (NIS)")+SUMIFS('Source 2025'!$E:$E,'Source 2025'!$B:$B,$A234,'Source 2025'!$A:$A,"Amount (NIS)")+SUMIFS('Source 2025'!$F:$F,'Source 2025'!$B:$B,$A234,'Source 2025'!$A:$A,"Amount (NIS)")+SUMIFS('Source 2025'!$G:$G,'Source 2025'!$B:$B,$A234,'Source 2025'!$A:$A,"Amount (NIS)")+SUMIFS('Source 2025'!$J:$J,'Source 2025'!$B:$B,$A234,'Source 2025'!$A:$A,"Amount (NIS)")+SUMIFS('Source 2025'!$M:$M,'Source 2025'!$B:$B,$A234,'Source 2025'!$A:$A,"Amount (NIS)")</f>
        <v>1008</v>
      </c>
      <c r="I234" s="8" t="n">
        <f aca="false">SUMIFS('Source 2026'!$D:$D,'Source 2026'!$B:$B,$A234,'Source 2026'!$A:$A,"Amount (NIS)")+SUMIFS('Source 2026'!$E:$E,'Source 2026'!$B:$B,$A234,'Source 2026'!$A:$A,"Amount (NIS)")+SUMIFS('Source 2026'!$F:$F,'Source 2026'!$B:$B,$A234,'Source 2026'!$A:$A,"Amount (NIS)")+SUMIFS('Source 2026'!$G:$G,'Source 2026'!$B:$B,$A234,'Source 2026'!$A:$A,"Amount (NIS)")+SUMIFS('Source 2026'!$J:$J,'Source 2026'!$B:$B,$A234,'Source 2026'!$A:$A,"Amount (NIS)")+SUMIFS('Source 2026'!$M:$M,'Source 2026'!$B:$B,$A234,'Source 2026'!$A:$A,"Amount (NIS)")</f>
        <v>243.3</v>
      </c>
      <c r="J234" s="8" t="n">
        <f aca="false">I234*$J$5</f>
        <v>333.668571428571</v>
      </c>
      <c r="K234" s="8" t="n">
        <f aca="false">J234-H234</f>
        <v>-674.331428571429</v>
      </c>
      <c r="L234" s="9" t="n">
        <f aca="false">IF(AND(H234=0,J234=0),0,IF(H234=0,"New",(J234-H234)/H234))</f>
        <v>-0.668979591836735</v>
      </c>
    </row>
    <row r="235" customFormat="false" ht="15" hidden="false" customHeight="false" outlineLevel="0" collapsed="false">
      <c r="A235" s="7" t="n">
        <v>4413528</v>
      </c>
      <c r="B235" s="7" t="str">
        <f aca="false">IFERROR(INDEX('Source 2026'!$C:$C,MATCH($A235,'Source 2026'!$B:$B,0)),IFERROR(INDEX('Source 2025'!$C:$C,MATCH($A235,'Source 2025'!$B:$B,0)),""))</f>
        <v>39-42 מדרסי אפיק ג'ל עבודה</v>
      </c>
      <c r="C235" s="8" t="n">
        <f aca="false">SUMIFS('Source 2025'!$D:$D,'Source 2025'!$B:$B,$A235,'Source 2025'!$A:$A,"Quantity (units)")+SUMIFS('Source 2025'!$E:$E,'Source 2025'!$B:$B,$A235,'Source 2025'!$A:$A,"Quantity (units)")+SUMIFS('Source 2025'!$F:$F,'Source 2025'!$B:$B,$A235,'Source 2025'!$A:$A,"Quantity (units)")+SUMIFS('Source 2025'!$G:$G,'Source 2025'!$B:$B,$A235,'Source 2025'!$A:$A,"Quantity (units)")+SUMIFS('Source 2025'!$J:$J,'Source 2025'!$B:$B,$A235,'Source 2025'!$A:$A,"Quantity (units)")+SUMIFS('Source 2025'!$M:$M,'Source 2025'!$B:$B,$A235,'Source 2025'!$A:$A,"Quantity (units)")</f>
        <v>23</v>
      </c>
      <c r="D235" s="8" t="n">
        <f aca="false">SUMIFS('Source 2026'!$D:$D,'Source 2026'!$B:$B,$A235,'Source 2026'!$A:$A,"Quantity (units)")+SUMIFS('Source 2026'!$E:$E,'Source 2026'!$B:$B,$A235,'Source 2026'!$A:$A,"Quantity (units)")+SUMIFS('Source 2026'!$F:$F,'Source 2026'!$B:$B,$A235,'Source 2026'!$A:$A,"Quantity (units)")+SUMIFS('Source 2026'!$G:$G,'Source 2026'!$B:$B,$A235,'Source 2026'!$A:$A,"Quantity (units)")+SUMIFS('Source 2026'!$J:$J,'Source 2026'!$B:$B,$A235,'Source 2026'!$A:$A,"Quantity (units)")+SUMIFS('Source 2026'!$M:$M,'Source 2026'!$B:$B,$A235,'Source 2026'!$A:$A,"Quantity (units)")</f>
        <v>15</v>
      </c>
      <c r="E235" s="8" t="n">
        <f aca="false">D235*$J$5</f>
        <v>20.5714285714286</v>
      </c>
      <c r="F235" s="8" t="n">
        <f aca="false">E235-C235</f>
        <v>-2.42857142857143</v>
      </c>
      <c r="G235" s="9" t="n">
        <f aca="false">IF(AND(C235=0,E235=0),0,IF(C235=0,"New",(E235-C235)/C235))</f>
        <v>-0.105590062111801</v>
      </c>
      <c r="H235" s="8" t="n">
        <f aca="false">SUMIFS('Source 2025'!$D:$D,'Source 2025'!$B:$B,$A235,'Source 2025'!$A:$A,"Amount (NIS)")+SUMIFS('Source 2025'!$E:$E,'Source 2025'!$B:$B,$A235,'Source 2025'!$A:$A,"Amount (NIS)")+SUMIFS('Source 2025'!$F:$F,'Source 2025'!$B:$B,$A235,'Source 2025'!$A:$A,"Amount (NIS)")+SUMIFS('Source 2025'!$G:$G,'Source 2025'!$B:$B,$A235,'Source 2025'!$A:$A,"Amount (NIS)")+SUMIFS('Source 2025'!$J:$J,'Source 2025'!$B:$B,$A235,'Source 2025'!$A:$A,"Amount (NIS)")+SUMIFS('Source 2025'!$M:$M,'Source 2025'!$B:$B,$A235,'Source 2025'!$A:$A,"Amount (NIS)")</f>
        <v>2358.5</v>
      </c>
      <c r="I235" s="8" t="n">
        <f aca="false">SUMIFS('Source 2026'!$D:$D,'Source 2026'!$B:$B,$A235,'Source 2026'!$A:$A,"Amount (NIS)")+SUMIFS('Source 2026'!$E:$E,'Source 2026'!$B:$B,$A235,'Source 2026'!$A:$A,"Amount (NIS)")+SUMIFS('Source 2026'!$F:$F,'Source 2026'!$B:$B,$A235,'Source 2026'!$A:$A,"Amount (NIS)")+SUMIFS('Source 2026'!$G:$G,'Source 2026'!$B:$B,$A235,'Source 2026'!$A:$A,"Amount (NIS)")+SUMIFS('Source 2026'!$J:$J,'Source 2026'!$B:$B,$A235,'Source 2026'!$A:$A,"Amount (NIS)")+SUMIFS('Source 2026'!$M:$M,'Source 2026'!$B:$B,$A235,'Source 2026'!$A:$A,"Amount (NIS)")</f>
        <v>1609.5</v>
      </c>
      <c r="J235" s="8" t="n">
        <f aca="false">I235*$J$5</f>
        <v>2207.31428571429</v>
      </c>
      <c r="K235" s="8" t="n">
        <f aca="false">J235-H235</f>
        <v>-151.185714285714</v>
      </c>
      <c r="L235" s="9" t="n">
        <f aca="false">IF(AND(H235=0,J235=0),0,IF(H235=0,"New",(J235-H235)/H235))</f>
        <v>-0.0641024864471971</v>
      </c>
    </row>
    <row r="236" customFormat="false" ht="15" hidden="false" customHeight="false" outlineLevel="0" collapsed="false">
      <c r="A236" s="7" t="n">
        <v>4415072</v>
      </c>
      <c r="B236" s="7" t="str">
        <f aca="false">IFERROR(INDEX('Source 2026'!$C:$C,MATCH($A236,'Source 2026'!$B:$B,0)),IFERROR(INDEX('Source 2025'!$C:$C,MATCH($A236,'Source 2025'!$B:$B,0)),""))</f>
        <v>T28A S-M סד לאגודל</v>
      </c>
      <c r="C236" s="8" t="n">
        <f aca="false">SUMIFS('Source 2025'!$D:$D,'Source 2025'!$B:$B,$A236,'Source 2025'!$A:$A,"Quantity (units)")+SUMIFS('Source 2025'!$E:$E,'Source 2025'!$B:$B,$A236,'Source 2025'!$A:$A,"Quantity (units)")+SUMIFS('Source 2025'!$F:$F,'Source 2025'!$B:$B,$A236,'Source 2025'!$A:$A,"Quantity (units)")+SUMIFS('Source 2025'!$G:$G,'Source 2025'!$B:$B,$A236,'Source 2025'!$A:$A,"Quantity (units)")+SUMIFS('Source 2025'!$J:$J,'Source 2025'!$B:$B,$A236,'Source 2025'!$A:$A,"Quantity (units)")+SUMIFS('Source 2025'!$M:$M,'Source 2025'!$B:$B,$A236,'Source 2025'!$A:$A,"Quantity (units)")</f>
        <v>47</v>
      </c>
      <c r="D236" s="8" t="n">
        <f aca="false">SUMIFS('Source 2026'!$D:$D,'Source 2026'!$B:$B,$A236,'Source 2026'!$A:$A,"Quantity (units)")+SUMIFS('Source 2026'!$E:$E,'Source 2026'!$B:$B,$A236,'Source 2026'!$A:$A,"Quantity (units)")+SUMIFS('Source 2026'!$F:$F,'Source 2026'!$B:$B,$A236,'Source 2026'!$A:$A,"Quantity (units)")+SUMIFS('Source 2026'!$G:$G,'Source 2026'!$B:$B,$A236,'Source 2026'!$A:$A,"Quantity (units)")+SUMIFS('Source 2026'!$J:$J,'Source 2026'!$B:$B,$A236,'Source 2026'!$A:$A,"Quantity (units)")+SUMIFS('Source 2026'!$M:$M,'Source 2026'!$B:$B,$A236,'Source 2026'!$A:$A,"Quantity (units)")</f>
        <v>36</v>
      </c>
      <c r="E236" s="8" t="n">
        <f aca="false">D236*$J$5</f>
        <v>49.3714285714286</v>
      </c>
      <c r="F236" s="8" t="n">
        <f aca="false">E236-C236</f>
        <v>2.37142857142857</v>
      </c>
      <c r="G236" s="9" t="n">
        <f aca="false">IF(AND(C236=0,E236=0),0,IF(C236=0,"New",(E236-C236)/C236))</f>
        <v>0.0504559270516718</v>
      </c>
      <c r="H236" s="8" t="n">
        <f aca="false">SUMIFS('Source 2025'!$D:$D,'Source 2025'!$B:$B,$A236,'Source 2025'!$A:$A,"Amount (NIS)")+SUMIFS('Source 2025'!$E:$E,'Source 2025'!$B:$B,$A236,'Source 2025'!$A:$A,"Amount (NIS)")+SUMIFS('Source 2025'!$F:$F,'Source 2025'!$B:$B,$A236,'Source 2025'!$A:$A,"Amount (NIS)")+SUMIFS('Source 2025'!$G:$G,'Source 2025'!$B:$B,$A236,'Source 2025'!$A:$A,"Amount (NIS)")+SUMIFS('Source 2025'!$J:$J,'Source 2025'!$B:$B,$A236,'Source 2025'!$A:$A,"Amount (NIS)")+SUMIFS('Source 2025'!$M:$M,'Source 2025'!$B:$B,$A236,'Source 2025'!$A:$A,"Amount (NIS)")</f>
        <v>3144.3</v>
      </c>
      <c r="I236" s="8" t="n">
        <f aca="false">SUMIFS('Source 2026'!$D:$D,'Source 2026'!$B:$B,$A236,'Source 2026'!$A:$A,"Amount (NIS)")+SUMIFS('Source 2026'!$E:$E,'Source 2026'!$B:$B,$A236,'Source 2026'!$A:$A,"Amount (NIS)")+SUMIFS('Source 2026'!$F:$F,'Source 2026'!$B:$B,$A236,'Source 2026'!$A:$A,"Amount (NIS)")+SUMIFS('Source 2026'!$G:$G,'Source 2026'!$B:$B,$A236,'Source 2026'!$A:$A,"Amount (NIS)")+SUMIFS('Source 2026'!$J:$J,'Source 2026'!$B:$B,$A236,'Source 2026'!$A:$A,"Amount (NIS)")+SUMIFS('Source 2026'!$M:$M,'Source 2026'!$B:$B,$A236,'Source 2026'!$A:$A,"Amount (NIS)")</f>
        <v>2425.4</v>
      </c>
      <c r="J236" s="8" t="n">
        <f aca="false">I236*$J$5</f>
        <v>3326.26285714286</v>
      </c>
      <c r="K236" s="8" t="n">
        <f aca="false">J236-H236</f>
        <v>181.962857142857</v>
      </c>
      <c r="L236" s="9" t="n">
        <f aca="false">IF(AND(H236=0,J236=0),0,IF(H236=0,"New",(J236-H236)/H236))</f>
        <v>0.0578707048127905</v>
      </c>
    </row>
    <row r="237" customFormat="false" ht="15" hidden="false" customHeight="false" outlineLevel="0" collapsed="false">
      <c r="A237" s="7" t="n">
        <v>4413150</v>
      </c>
      <c r="B237" s="7" t="str">
        <f aca="false">IFERROR(INDEX('Source 2026'!$C:$C,MATCH($A237,'Source 2026'!$B:$B,0)),IFERROR(INDEX('Source 2025'!$C:$C,MATCH($A237,'Source 2025'!$B:$B,0)),""))</f>
        <v>PD341-מקצוע להסרת עור קשה</v>
      </c>
      <c r="C237" s="8" t="n">
        <f aca="false">SUMIFS('Source 2025'!$D:$D,'Source 2025'!$B:$B,$A237,'Source 2025'!$A:$A,"Quantity (units)")+SUMIFS('Source 2025'!$E:$E,'Source 2025'!$B:$B,$A237,'Source 2025'!$A:$A,"Quantity (units)")+SUMIFS('Source 2025'!$F:$F,'Source 2025'!$B:$B,$A237,'Source 2025'!$A:$A,"Quantity (units)")+SUMIFS('Source 2025'!$G:$G,'Source 2025'!$B:$B,$A237,'Source 2025'!$A:$A,"Quantity (units)")+SUMIFS('Source 2025'!$J:$J,'Source 2025'!$B:$B,$A237,'Source 2025'!$A:$A,"Quantity (units)")+SUMIFS('Source 2025'!$M:$M,'Source 2025'!$B:$B,$A237,'Source 2025'!$A:$A,"Quantity (units)")</f>
        <v>49</v>
      </c>
      <c r="D237" s="8" t="n">
        <f aca="false">SUMIFS('Source 2026'!$D:$D,'Source 2026'!$B:$B,$A237,'Source 2026'!$A:$A,"Quantity (units)")+SUMIFS('Source 2026'!$E:$E,'Source 2026'!$B:$B,$A237,'Source 2026'!$A:$A,"Quantity (units)")+SUMIFS('Source 2026'!$F:$F,'Source 2026'!$B:$B,$A237,'Source 2026'!$A:$A,"Quantity (units)")+SUMIFS('Source 2026'!$G:$G,'Source 2026'!$B:$B,$A237,'Source 2026'!$A:$A,"Quantity (units)")+SUMIFS('Source 2026'!$J:$J,'Source 2026'!$B:$B,$A237,'Source 2026'!$A:$A,"Quantity (units)")+SUMIFS('Source 2026'!$M:$M,'Source 2026'!$B:$B,$A237,'Source 2026'!$A:$A,"Quantity (units)")</f>
        <v>73</v>
      </c>
      <c r="E237" s="8" t="n">
        <f aca="false">D237*$J$5</f>
        <v>100.114285714286</v>
      </c>
      <c r="F237" s="8" t="n">
        <f aca="false">E237-C237</f>
        <v>51.1142857142857</v>
      </c>
      <c r="G237" s="9" t="n">
        <f aca="false">IF(AND(C237=0,E237=0),0,IF(C237=0,"New",(E237-C237)/C237))</f>
        <v>1.04314868804665</v>
      </c>
      <c r="H237" s="8" t="n">
        <f aca="false">SUMIFS('Source 2025'!$D:$D,'Source 2025'!$B:$B,$A237,'Source 2025'!$A:$A,"Amount (NIS)")+SUMIFS('Source 2025'!$E:$E,'Source 2025'!$B:$B,$A237,'Source 2025'!$A:$A,"Amount (NIS)")+SUMIFS('Source 2025'!$F:$F,'Source 2025'!$B:$B,$A237,'Source 2025'!$A:$A,"Amount (NIS)")+SUMIFS('Source 2025'!$G:$G,'Source 2025'!$B:$B,$A237,'Source 2025'!$A:$A,"Amount (NIS)")+SUMIFS('Source 2025'!$J:$J,'Source 2025'!$B:$B,$A237,'Source 2025'!$A:$A,"Amount (NIS)")+SUMIFS('Source 2025'!$M:$M,'Source 2025'!$B:$B,$A237,'Source 2025'!$A:$A,"Amount (NIS)")</f>
        <v>1383.8</v>
      </c>
      <c r="I237" s="8" t="n">
        <f aca="false">SUMIFS('Source 2026'!$D:$D,'Source 2026'!$B:$B,$A237,'Source 2026'!$A:$A,"Amount (NIS)")+SUMIFS('Source 2026'!$E:$E,'Source 2026'!$B:$B,$A237,'Source 2026'!$A:$A,"Amount (NIS)")+SUMIFS('Source 2026'!$F:$F,'Source 2026'!$B:$B,$A237,'Source 2026'!$A:$A,"Amount (NIS)")+SUMIFS('Source 2026'!$G:$G,'Source 2026'!$B:$B,$A237,'Source 2026'!$A:$A,"Amount (NIS)")+SUMIFS('Source 2026'!$J:$J,'Source 2026'!$B:$B,$A237,'Source 2026'!$A:$A,"Amount (NIS)")+SUMIFS('Source 2026'!$M:$M,'Source 2026'!$B:$B,$A237,'Source 2026'!$A:$A,"Amount (NIS)")</f>
        <v>2097.1</v>
      </c>
      <c r="J237" s="8" t="n">
        <f aca="false">I237*$J$5</f>
        <v>2876.02285714286</v>
      </c>
      <c r="K237" s="8" t="n">
        <f aca="false">J237-H237</f>
        <v>1492.22285714286</v>
      </c>
      <c r="L237" s="9" t="n">
        <f aca="false">IF(AND(H237=0,J237=0),0,IF(H237=0,"New",(J237-H237)/H237))</f>
        <v>1.07835153717507</v>
      </c>
    </row>
    <row r="238" customFormat="false" ht="15" hidden="false" customHeight="false" outlineLevel="0" collapsed="false">
      <c r="A238" s="7" t="n">
        <v>4413004</v>
      </c>
      <c r="B238" s="7" t="str">
        <f aca="false">IFERROR(INDEX('Source 2026'!$C:$C,MATCH($A238,'Source 2026'!$B:$B,0)),IFERROR(INDEX('Source 2025'!$C:$C,MATCH($A238,'Source 2025'!$B:$B,0)),""))</f>
        <v>30 XL מגן קרסול מתכוון סקוטש</v>
      </c>
      <c r="C238" s="8" t="n">
        <f aca="false">SUMIFS('Source 2025'!$D:$D,'Source 2025'!$B:$B,$A238,'Source 2025'!$A:$A,"Quantity (units)")+SUMIFS('Source 2025'!$E:$E,'Source 2025'!$B:$B,$A238,'Source 2025'!$A:$A,"Quantity (units)")+SUMIFS('Source 2025'!$F:$F,'Source 2025'!$B:$B,$A238,'Source 2025'!$A:$A,"Quantity (units)")+SUMIFS('Source 2025'!$G:$G,'Source 2025'!$B:$B,$A238,'Source 2025'!$A:$A,"Quantity (units)")+SUMIFS('Source 2025'!$J:$J,'Source 2025'!$B:$B,$A238,'Source 2025'!$A:$A,"Quantity (units)")+SUMIFS('Source 2025'!$M:$M,'Source 2025'!$B:$B,$A238,'Source 2025'!$A:$A,"Quantity (units)")</f>
        <v>11</v>
      </c>
      <c r="D238" s="8" t="n">
        <f aca="false">SUMIFS('Source 2026'!$D:$D,'Source 2026'!$B:$B,$A238,'Source 2026'!$A:$A,"Quantity (units)")+SUMIFS('Source 2026'!$E:$E,'Source 2026'!$B:$B,$A238,'Source 2026'!$A:$A,"Quantity (units)")+SUMIFS('Source 2026'!$F:$F,'Source 2026'!$B:$B,$A238,'Source 2026'!$A:$A,"Quantity (units)")+SUMIFS('Source 2026'!$G:$G,'Source 2026'!$B:$B,$A238,'Source 2026'!$A:$A,"Quantity (units)")+SUMIFS('Source 2026'!$J:$J,'Source 2026'!$B:$B,$A238,'Source 2026'!$A:$A,"Quantity (units)")+SUMIFS('Source 2026'!$M:$M,'Source 2026'!$B:$B,$A238,'Source 2026'!$A:$A,"Quantity (units)")</f>
        <v>0</v>
      </c>
      <c r="E238" s="8" t="n">
        <f aca="false">D238*$J$5</f>
        <v>0</v>
      </c>
      <c r="F238" s="8" t="n">
        <f aca="false">E238-C238</f>
        <v>-11</v>
      </c>
      <c r="G238" s="9" t="n">
        <f aca="false">IF(AND(C238=0,E238=0),0,IF(C238=0,"New",(E238-C238)/C238))</f>
        <v>-1</v>
      </c>
      <c r="H238" s="8" t="n">
        <f aca="false">SUMIFS('Source 2025'!$D:$D,'Source 2025'!$B:$B,$A238,'Source 2025'!$A:$A,"Amount (NIS)")+SUMIFS('Source 2025'!$E:$E,'Source 2025'!$B:$B,$A238,'Source 2025'!$A:$A,"Amount (NIS)")+SUMIFS('Source 2025'!$F:$F,'Source 2025'!$B:$B,$A238,'Source 2025'!$A:$A,"Amount (NIS)")+SUMIFS('Source 2025'!$G:$G,'Source 2025'!$B:$B,$A238,'Source 2025'!$A:$A,"Amount (NIS)")+SUMIFS('Source 2025'!$J:$J,'Source 2025'!$B:$B,$A238,'Source 2025'!$A:$A,"Amount (NIS)")+SUMIFS('Source 2025'!$M:$M,'Source 2025'!$B:$B,$A238,'Source 2025'!$A:$A,"Amount (NIS)")</f>
        <v>711.5</v>
      </c>
      <c r="I238" s="8" t="n">
        <f aca="false">SUMIFS('Source 2026'!$D:$D,'Source 2026'!$B:$B,$A238,'Source 2026'!$A:$A,"Amount (NIS)")+SUMIFS('Source 2026'!$E:$E,'Source 2026'!$B:$B,$A238,'Source 2026'!$A:$A,"Amount (NIS)")+SUMIFS('Source 2026'!$F:$F,'Source 2026'!$B:$B,$A238,'Source 2026'!$A:$A,"Amount (NIS)")+SUMIFS('Source 2026'!$G:$G,'Source 2026'!$B:$B,$A238,'Source 2026'!$A:$A,"Amount (NIS)")+SUMIFS('Source 2026'!$J:$J,'Source 2026'!$B:$B,$A238,'Source 2026'!$A:$A,"Amount (NIS)")+SUMIFS('Source 2026'!$M:$M,'Source 2026'!$B:$B,$A238,'Source 2026'!$A:$A,"Amount (NIS)")</f>
        <v>0</v>
      </c>
      <c r="J238" s="8" t="n">
        <f aca="false">I238*$J$5</f>
        <v>0</v>
      </c>
      <c r="K238" s="8" t="n">
        <f aca="false">J238-H238</f>
        <v>-711.5</v>
      </c>
      <c r="L238" s="9" t="n">
        <f aca="false">IF(AND(H238=0,J238=0),0,IF(H238=0,"New",(J238-H238)/H238))</f>
        <v>-1</v>
      </c>
    </row>
    <row r="239" customFormat="false" ht="15" hidden="false" customHeight="false" outlineLevel="0" collapsed="false">
      <c r="A239" s="7" t="n">
        <v>4403025</v>
      </c>
      <c r="B239" s="7" t="str">
        <f aca="false">IFERROR(INDEX('Source 2026'!$C:$C,MATCH($A239,'Source 2026'!$B:$B,0)),IFERROR(INDEX('Source 2025'!$C:$C,MATCH($A239,'Source 2025'!$B:$B,0)),""))</f>
        <v>394W 43-46 גרב.כסף לסכרתים לבן</v>
      </c>
      <c r="C239" s="8" t="n">
        <f aca="false">SUMIFS('Source 2025'!$D:$D,'Source 2025'!$B:$B,$A239,'Source 2025'!$A:$A,"Quantity (units)")+SUMIFS('Source 2025'!$E:$E,'Source 2025'!$B:$B,$A239,'Source 2025'!$A:$A,"Quantity (units)")+SUMIFS('Source 2025'!$F:$F,'Source 2025'!$B:$B,$A239,'Source 2025'!$A:$A,"Quantity (units)")+SUMIFS('Source 2025'!$G:$G,'Source 2025'!$B:$B,$A239,'Source 2025'!$A:$A,"Quantity (units)")+SUMIFS('Source 2025'!$J:$J,'Source 2025'!$B:$B,$A239,'Source 2025'!$A:$A,"Quantity (units)")+SUMIFS('Source 2025'!$M:$M,'Source 2025'!$B:$B,$A239,'Source 2025'!$A:$A,"Quantity (units)")</f>
        <v>78</v>
      </c>
      <c r="D239" s="8" t="n">
        <f aca="false">SUMIFS('Source 2026'!$D:$D,'Source 2026'!$B:$B,$A239,'Source 2026'!$A:$A,"Quantity (units)")+SUMIFS('Source 2026'!$E:$E,'Source 2026'!$B:$B,$A239,'Source 2026'!$A:$A,"Quantity (units)")+SUMIFS('Source 2026'!$F:$F,'Source 2026'!$B:$B,$A239,'Source 2026'!$A:$A,"Quantity (units)")+SUMIFS('Source 2026'!$G:$G,'Source 2026'!$B:$B,$A239,'Source 2026'!$A:$A,"Quantity (units)")+SUMIFS('Source 2026'!$J:$J,'Source 2026'!$B:$B,$A239,'Source 2026'!$A:$A,"Quantity (units)")+SUMIFS('Source 2026'!$M:$M,'Source 2026'!$B:$B,$A239,'Source 2026'!$A:$A,"Quantity (units)")</f>
        <v>45</v>
      </c>
      <c r="E239" s="8" t="n">
        <f aca="false">D239*$J$5</f>
        <v>61.7142857142857</v>
      </c>
      <c r="F239" s="8" t="n">
        <f aca="false">E239-C239</f>
        <v>-16.2857142857143</v>
      </c>
      <c r="G239" s="9" t="n">
        <f aca="false">IF(AND(C239=0,E239=0),0,IF(C239=0,"New",(E239-C239)/C239))</f>
        <v>-0.208791208791209</v>
      </c>
      <c r="H239" s="8" t="n">
        <f aca="false">SUMIFS('Source 2025'!$D:$D,'Source 2025'!$B:$B,$A239,'Source 2025'!$A:$A,"Amount (NIS)")+SUMIFS('Source 2025'!$E:$E,'Source 2025'!$B:$B,$A239,'Source 2025'!$A:$A,"Amount (NIS)")+SUMIFS('Source 2025'!$F:$F,'Source 2025'!$B:$B,$A239,'Source 2025'!$A:$A,"Amount (NIS)")+SUMIFS('Source 2025'!$G:$G,'Source 2025'!$B:$B,$A239,'Source 2025'!$A:$A,"Amount (NIS)")+SUMIFS('Source 2025'!$J:$J,'Source 2025'!$B:$B,$A239,'Source 2025'!$A:$A,"Amount (NIS)")+SUMIFS('Source 2025'!$M:$M,'Source 2025'!$B:$B,$A239,'Source 2025'!$A:$A,"Amount (NIS)")</f>
        <v>1916.4</v>
      </c>
      <c r="I239" s="8" t="n">
        <f aca="false">SUMIFS('Source 2026'!$D:$D,'Source 2026'!$B:$B,$A239,'Source 2026'!$A:$A,"Amount (NIS)")+SUMIFS('Source 2026'!$E:$E,'Source 2026'!$B:$B,$A239,'Source 2026'!$A:$A,"Amount (NIS)")+SUMIFS('Source 2026'!$F:$F,'Source 2026'!$B:$B,$A239,'Source 2026'!$A:$A,"Amount (NIS)")+SUMIFS('Source 2026'!$G:$G,'Source 2026'!$B:$B,$A239,'Source 2026'!$A:$A,"Amount (NIS)")+SUMIFS('Source 2026'!$J:$J,'Source 2026'!$B:$B,$A239,'Source 2026'!$A:$A,"Amount (NIS)")+SUMIFS('Source 2026'!$M:$M,'Source 2026'!$B:$B,$A239,'Source 2026'!$A:$A,"Amount (NIS)")</f>
        <v>1205.6</v>
      </c>
      <c r="J239" s="8" t="n">
        <f aca="false">I239*$J$5</f>
        <v>1653.39428571429</v>
      </c>
      <c r="K239" s="8" t="n">
        <f aca="false">J239-H239</f>
        <v>-263.005714285715</v>
      </c>
      <c r="L239" s="9" t="n">
        <f aca="false">IF(AND(H239=0,J239=0),0,IF(H239=0,"New",(J239-H239)/H239))</f>
        <v>-0.137239466857501</v>
      </c>
    </row>
    <row r="240" customFormat="false" ht="15" hidden="false" customHeight="false" outlineLevel="0" collapsed="false">
      <c r="A240" s="7" t="n">
        <v>4413072</v>
      </c>
      <c r="B240" s="7" t="str">
        <f aca="false">IFERROR(INDEX('Source 2026'!$C:$C,MATCH($A240,'Source 2026'!$B:$B,0)),IFERROR(INDEX('Source 2025'!$C:$C,MATCH($A240,'Source 2025'!$B:$B,0)),""))</f>
        <v>41 Lמ.ברך מוצלב+ספירלות בצדדים</v>
      </c>
      <c r="C240" s="8" t="n">
        <f aca="false">SUMIFS('Source 2025'!$D:$D,'Source 2025'!$B:$B,$A240,'Source 2025'!$A:$A,"Quantity (units)")+SUMIFS('Source 2025'!$E:$E,'Source 2025'!$B:$B,$A240,'Source 2025'!$A:$A,"Quantity (units)")+SUMIFS('Source 2025'!$F:$F,'Source 2025'!$B:$B,$A240,'Source 2025'!$A:$A,"Quantity (units)")+SUMIFS('Source 2025'!$G:$G,'Source 2025'!$B:$B,$A240,'Source 2025'!$A:$A,"Quantity (units)")+SUMIFS('Source 2025'!$J:$J,'Source 2025'!$B:$B,$A240,'Source 2025'!$A:$A,"Quantity (units)")+SUMIFS('Source 2025'!$M:$M,'Source 2025'!$B:$B,$A240,'Source 2025'!$A:$A,"Quantity (units)")</f>
        <v>13</v>
      </c>
      <c r="D240" s="8" t="n">
        <f aca="false">SUMIFS('Source 2026'!$D:$D,'Source 2026'!$B:$B,$A240,'Source 2026'!$A:$A,"Quantity (units)")+SUMIFS('Source 2026'!$E:$E,'Source 2026'!$B:$B,$A240,'Source 2026'!$A:$A,"Quantity (units)")+SUMIFS('Source 2026'!$F:$F,'Source 2026'!$B:$B,$A240,'Source 2026'!$A:$A,"Quantity (units)")+SUMIFS('Source 2026'!$G:$G,'Source 2026'!$B:$B,$A240,'Source 2026'!$A:$A,"Quantity (units)")+SUMIFS('Source 2026'!$J:$J,'Source 2026'!$B:$B,$A240,'Source 2026'!$A:$A,"Quantity (units)")+SUMIFS('Source 2026'!$M:$M,'Source 2026'!$B:$B,$A240,'Source 2026'!$A:$A,"Quantity (units)")</f>
        <v>7</v>
      </c>
      <c r="E240" s="8" t="n">
        <f aca="false">D240*$J$5</f>
        <v>9.6</v>
      </c>
      <c r="F240" s="8" t="n">
        <f aca="false">E240-C240</f>
        <v>-3.4</v>
      </c>
      <c r="G240" s="9" t="n">
        <f aca="false">IF(AND(C240=0,E240=0),0,IF(C240=0,"New",(E240-C240)/C240))</f>
        <v>-0.261538461538462</v>
      </c>
      <c r="H240" s="8" t="n">
        <f aca="false">SUMIFS('Source 2025'!$D:$D,'Source 2025'!$B:$B,$A240,'Source 2025'!$A:$A,"Amount (NIS)")+SUMIFS('Source 2025'!$E:$E,'Source 2025'!$B:$B,$A240,'Source 2025'!$A:$A,"Amount (NIS)")+SUMIFS('Source 2025'!$F:$F,'Source 2025'!$B:$B,$A240,'Source 2025'!$A:$A,"Amount (NIS)")+SUMIFS('Source 2025'!$G:$G,'Source 2025'!$B:$B,$A240,'Source 2025'!$A:$A,"Amount (NIS)")+SUMIFS('Source 2025'!$J:$J,'Source 2025'!$B:$B,$A240,'Source 2025'!$A:$A,"Amount (NIS)")+SUMIFS('Source 2025'!$M:$M,'Source 2025'!$B:$B,$A240,'Source 2025'!$A:$A,"Amount (NIS)")</f>
        <v>1545.1</v>
      </c>
      <c r="I240" s="8" t="n">
        <f aca="false">SUMIFS('Source 2026'!$D:$D,'Source 2026'!$B:$B,$A240,'Source 2026'!$A:$A,"Amount (NIS)")+SUMIFS('Source 2026'!$E:$E,'Source 2026'!$B:$B,$A240,'Source 2026'!$A:$A,"Amount (NIS)")+SUMIFS('Source 2026'!$F:$F,'Source 2026'!$B:$B,$A240,'Source 2026'!$A:$A,"Amount (NIS)")+SUMIFS('Source 2026'!$G:$G,'Source 2026'!$B:$B,$A240,'Source 2026'!$A:$A,"Amount (NIS)")+SUMIFS('Source 2026'!$J:$J,'Source 2026'!$B:$B,$A240,'Source 2026'!$A:$A,"Amount (NIS)")+SUMIFS('Source 2026'!$M:$M,'Source 2026'!$B:$B,$A240,'Source 2026'!$A:$A,"Amount (NIS)")</f>
        <v>834.9</v>
      </c>
      <c r="J240" s="8" t="n">
        <f aca="false">I240*$J$5</f>
        <v>1145.00571428571</v>
      </c>
      <c r="K240" s="8" t="n">
        <f aca="false">J240-H240</f>
        <v>-400.094285714286</v>
      </c>
      <c r="L240" s="9" t="n">
        <f aca="false">IF(AND(H240=0,J240=0),0,IF(H240=0,"New",(J240-H240)/H240))</f>
        <v>-0.258943942601958</v>
      </c>
    </row>
    <row r="241" customFormat="false" ht="15" hidden="false" customHeight="false" outlineLevel="0" collapsed="false">
      <c r="A241" s="7" t="n">
        <v>4415080</v>
      </c>
      <c r="B241" s="7" t="str">
        <f aca="false">IFERROR(INDEX('Source 2026'!$C:$C,MATCH($A241,'Source 2026'!$B:$B,0)),IFERROR(INDEX('Source 2025'!$C:$C,MATCH($A241,'Source 2025'!$B:$B,0)),""))</f>
        <v>PD346-10 סכינים למקצוע</v>
      </c>
      <c r="C241" s="8" t="n">
        <f aca="false">SUMIFS('Source 2025'!$D:$D,'Source 2025'!$B:$B,$A241,'Source 2025'!$A:$A,"Quantity (units)")+SUMIFS('Source 2025'!$E:$E,'Source 2025'!$B:$B,$A241,'Source 2025'!$A:$A,"Quantity (units)")+SUMIFS('Source 2025'!$F:$F,'Source 2025'!$B:$B,$A241,'Source 2025'!$A:$A,"Quantity (units)")+SUMIFS('Source 2025'!$G:$G,'Source 2025'!$B:$B,$A241,'Source 2025'!$A:$A,"Quantity (units)")+SUMIFS('Source 2025'!$J:$J,'Source 2025'!$B:$B,$A241,'Source 2025'!$A:$A,"Quantity (units)")+SUMIFS('Source 2025'!$M:$M,'Source 2025'!$B:$B,$A241,'Source 2025'!$A:$A,"Quantity (units)")</f>
        <v>44</v>
      </c>
      <c r="D241" s="8" t="n">
        <f aca="false">SUMIFS('Source 2026'!$D:$D,'Source 2026'!$B:$B,$A241,'Source 2026'!$A:$A,"Quantity (units)")+SUMIFS('Source 2026'!$E:$E,'Source 2026'!$B:$B,$A241,'Source 2026'!$A:$A,"Quantity (units)")+SUMIFS('Source 2026'!$F:$F,'Source 2026'!$B:$B,$A241,'Source 2026'!$A:$A,"Quantity (units)")+SUMIFS('Source 2026'!$G:$G,'Source 2026'!$B:$B,$A241,'Source 2026'!$A:$A,"Quantity (units)")+SUMIFS('Source 2026'!$J:$J,'Source 2026'!$B:$B,$A241,'Source 2026'!$A:$A,"Quantity (units)")+SUMIFS('Source 2026'!$M:$M,'Source 2026'!$B:$B,$A241,'Source 2026'!$A:$A,"Quantity (units)")</f>
        <v>119</v>
      </c>
      <c r="E241" s="8" t="n">
        <f aca="false">D241*$J$5</f>
        <v>163.2</v>
      </c>
      <c r="F241" s="8" t="n">
        <f aca="false">E241-C241</f>
        <v>119.2</v>
      </c>
      <c r="G241" s="9" t="n">
        <f aca="false">IF(AND(C241=0,E241=0),0,IF(C241=0,"New",(E241-C241)/C241))</f>
        <v>2.70909090909091</v>
      </c>
      <c r="H241" s="8" t="n">
        <f aca="false">SUMIFS('Source 2025'!$D:$D,'Source 2025'!$B:$B,$A241,'Source 2025'!$A:$A,"Amount (NIS)")+SUMIFS('Source 2025'!$E:$E,'Source 2025'!$B:$B,$A241,'Source 2025'!$A:$A,"Amount (NIS)")+SUMIFS('Source 2025'!$F:$F,'Source 2025'!$B:$B,$A241,'Source 2025'!$A:$A,"Amount (NIS)")+SUMIFS('Source 2025'!$G:$G,'Source 2025'!$B:$B,$A241,'Source 2025'!$A:$A,"Amount (NIS)")+SUMIFS('Source 2025'!$J:$J,'Source 2025'!$B:$B,$A241,'Source 2025'!$A:$A,"Amount (NIS)")+SUMIFS('Source 2025'!$M:$M,'Source 2025'!$B:$B,$A241,'Source 2025'!$A:$A,"Amount (NIS)")</f>
        <v>419.3</v>
      </c>
      <c r="I241" s="8" t="n">
        <f aca="false">SUMIFS('Source 2026'!$D:$D,'Source 2026'!$B:$B,$A241,'Source 2026'!$A:$A,"Amount (NIS)")+SUMIFS('Source 2026'!$E:$E,'Source 2026'!$B:$B,$A241,'Source 2026'!$A:$A,"Amount (NIS)")+SUMIFS('Source 2026'!$F:$F,'Source 2026'!$B:$B,$A241,'Source 2026'!$A:$A,"Amount (NIS)")+SUMIFS('Source 2026'!$G:$G,'Source 2026'!$B:$B,$A241,'Source 2026'!$A:$A,"Amount (NIS)")+SUMIFS('Source 2026'!$J:$J,'Source 2026'!$B:$B,$A241,'Source 2026'!$A:$A,"Amount (NIS)")+SUMIFS('Source 2026'!$M:$M,'Source 2026'!$B:$B,$A241,'Source 2026'!$A:$A,"Amount (NIS)")</f>
        <v>1128.9</v>
      </c>
      <c r="J241" s="8" t="n">
        <f aca="false">I241*$J$5</f>
        <v>1548.20571428571</v>
      </c>
      <c r="K241" s="8" t="n">
        <f aca="false">J241-H241</f>
        <v>1128.90571428571</v>
      </c>
      <c r="L241" s="9" t="n">
        <f aca="false">IF(AND(H241=0,J241=0),0,IF(H241=0,"New",(J241-H241)/H241))</f>
        <v>2.69235801165207</v>
      </c>
    </row>
    <row r="242" customFormat="false" ht="15" hidden="false" customHeight="false" outlineLevel="0" collapsed="false">
      <c r="A242" s="7" t="n">
        <v>4413326</v>
      </c>
      <c r="B242" s="7" t="str">
        <f aca="false">IFERROR(INDEX('Source 2026'!$C:$C,MATCH($A242,'Source 2026'!$B:$B,0)),IFERROR(INDEX('Source 2025'!$C:$C,MATCH($A242,'Source 2025'!$B:$B,0)),""))</f>
        <v>AC37 מגן קרסול נושם</v>
      </c>
      <c r="C242" s="8" t="n">
        <f aca="false">SUMIFS('Source 2025'!$D:$D,'Source 2025'!$B:$B,$A242,'Source 2025'!$A:$A,"Quantity (units)")+SUMIFS('Source 2025'!$E:$E,'Source 2025'!$B:$B,$A242,'Source 2025'!$A:$A,"Quantity (units)")+SUMIFS('Source 2025'!$F:$F,'Source 2025'!$B:$B,$A242,'Source 2025'!$A:$A,"Quantity (units)")+SUMIFS('Source 2025'!$G:$G,'Source 2025'!$B:$B,$A242,'Source 2025'!$A:$A,"Quantity (units)")+SUMIFS('Source 2025'!$J:$J,'Source 2025'!$B:$B,$A242,'Source 2025'!$A:$A,"Quantity (units)")+SUMIFS('Source 2025'!$M:$M,'Source 2025'!$B:$B,$A242,'Source 2025'!$A:$A,"Quantity (units)")</f>
        <v>374</v>
      </c>
      <c r="D242" s="8" t="n">
        <f aca="false">SUMIFS('Source 2026'!$D:$D,'Source 2026'!$B:$B,$A242,'Source 2026'!$A:$A,"Quantity (units)")+SUMIFS('Source 2026'!$E:$E,'Source 2026'!$B:$B,$A242,'Source 2026'!$A:$A,"Quantity (units)")+SUMIFS('Source 2026'!$F:$F,'Source 2026'!$B:$B,$A242,'Source 2026'!$A:$A,"Quantity (units)")+SUMIFS('Source 2026'!$G:$G,'Source 2026'!$B:$B,$A242,'Source 2026'!$A:$A,"Quantity (units)")+SUMIFS('Source 2026'!$J:$J,'Source 2026'!$B:$B,$A242,'Source 2026'!$A:$A,"Quantity (units)")+SUMIFS('Source 2026'!$M:$M,'Source 2026'!$B:$B,$A242,'Source 2026'!$A:$A,"Quantity (units)")</f>
        <v>335</v>
      </c>
      <c r="E242" s="8" t="n">
        <f aca="false">D242*$J$5</f>
        <v>459.428571428571</v>
      </c>
      <c r="F242" s="8" t="n">
        <f aca="false">E242-C242</f>
        <v>85.4285714285714</v>
      </c>
      <c r="G242" s="9" t="n">
        <f aca="false">IF(AND(C242=0,E242=0),0,IF(C242=0,"New",(E242-C242)/C242))</f>
        <v>0.228418640183346</v>
      </c>
      <c r="H242" s="8" t="n">
        <f aca="false">SUMIFS('Source 2025'!$D:$D,'Source 2025'!$B:$B,$A242,'Source 2025'!$A:$A,"Amount (NIS)")+SUMIFS('Source 2025'!$E:$E,'Source 2025'!$B:$B,$A242,'Source 2025'!$A:$A,"Amount (NIS)")+SUMIFS('Source 2025'!$F:$F,'Source 2025'!$B:$B,$A242,'Source 2025'!$A:$A,"Amount (NIS)")+SUMIFS('Source 2025'!$G:$G,'Source 2025'!$B:$B,$A242,'Source 2025'!$A:$A,"Amount (NIS)")+SUMIFS('Source 2025'!$J:$J,'Source 2025'!$B:$B,$A242,'Source 2025'!$A:$A,"Amount (NIS)")+SUMIFS('Source 2025'!$M:$M,'Source 2025'!$B:$B,$A242,'Source 2025'!$A:$A,"Amount (NIS)")</f>
        <v>11800.7</v>
      </c>
      <c r="I242" s="8" t="n">
        <f aca="false">SUMIFS('Source 2026'!$D:$D,'Source 2026'!$B:$B,$A242,'Source 2026'!$A:$A,"Amount (NIS)")+SUMIFS('Source 2026'!$E:$E,'Source 2026'!$B:$B,$A242,'Source 2026'!$A:$A,"Amount (NIS)")+SUMIFS('Source 2026'!$F:$F,'Source 2026'!$B:$B,$A242,'Source 2026'!$A:$A,"Amount (NIS)")+SUMIFS('Source 2026'!$G:$G,'Source 2026'!$B:$B,$A242,'Source 2026'!$A:$A,"Amount (NIS)")+SUMIFS('Source 2026'!$J:$J,'Source 2026'!$B:$B,$A242,'Source 2026'!$A:$A,"Amount (NIS)")+SUMIFS('Source 2026'!$M:$M,'Source 2026'!$B:$B,$A242,'Source 2026'!$A:$A,"Amount (NIS)")</f>
        <v>11099</v>
      </c>
      <c r="J242" s="8" t="n">
        <f aca="false">I242*$J$5</f>
        <v>15221.4857142857</v>
      </c>
      <c r="K242" s="8" t="n">
        <f aca="false">J242-H242</f>
        <v>3420.78571428571</v>
      </c>
      <c r="L242" s="9" t="n">
        <f aca="false">IF(AND(H242=0,J242=0),0,IF(H242=0,"New",(J242-H242)/H242))</f>
        <v>0.289879898165847</v>
      </c>
    </row>
    <row r="243" customFormat="false" ht="15" hidden="false" customHeight="false" outlineLevel="0" collapsed="false">
      <c r="A243" s="7" t="n">
        <v>4409002</v>
      </c>
      <c r="B243" s="7" t="str">
        <f aca="false">IFERROR(INDEX('Source 2026'!$C:$C,MATCH($A243,'Source 2026'!$B:$B,0)),IFERROR(INDEX('Source 2025'!$C:$C,MATCH($A243,'Source 2025'!$B:$B,0)),""))</f>
        <v>FC341-טיפות נגד פטרת הציפורן</v>
      </c>
      <c r="C243" s="8" t="n">
        <f aca="false">SUMIFS('Source 2025'!$D:$D,'Source 2025'!$B:$B,$A243,'Source 2025'!$A:$A,"Quantity (units)")+SUMIFS('Source 2025'!$E:$E,'Source 2025'!$B:$B,$A243,'Source 2025'!$A:$A,"Quantity (units)")+SUMIFS('Source 2025'!$F:$F,'Source 2025'!$B:$B,$A243,'Source 2025'!$A:$A,"Quantity (units)")+SUMIFS('Source 2025'!$G:$G,'Source 2025'!$B:$B,$A243,'Source 2025'!$A:$A,"Quantity (units)")+SUMIFS('Source 2025'!$J:$J,'Source 2025'!$B:$B,$A243,'Source 2025'!$A:$A,"Quantity (units)")+SUMIFS('Source 2025'!$M:$M,'Source 2025'!$B:$B,$A243,'Source 2025'!$A:$A,"Quantity (units)")</f>
        <v>-21</v>
      </c>
      <c r="D243" s="8" t="n">
        <f aca="false">SUMIFS('Source 2026'!$D:$D,'Source 2026'!$B:$B,$A243,'Source 2026'!$A:$A,"Quantity (units)")+SUMIFS('Source 2026'!$E:$E,'Source 2026'!$B:$B,$A243,'Source 2026'!$A:$A,"Quantity (units)")+SUMIFS('Source 2026'!$F:$F,'Source 2026'!$B:$B,$A243,'Source 2026'!$A:$A,"Quantity (units)")+SUMIFS('Source 2026'!$G:$G,'Source 2026'!$B:$B,$A243,'Source 2026'!$A:$A,"Quantity (units)")+SUMIFS('Source 2026'!$J:$J,'Source 2026'!$B:$B,$A243,'Source 2026'!$A:$A,"Quantity (units)")+SUMIFS('Source 2026'!$M:$M,'Source 2026'!$B:$B,$A243,'Source 2026'!$A:$A,"Quantity (units)")</f>
        <v>-4</v>
      </c>
      <c r="E243" s="8" t="n">
        <f aca="false">D243*$J$5</f>
        <v>-5.48571428571429</v>
      </c>
      <c r="F243" s="8" t="n">
        <f aca="false">E243-C243</f>
        <v>15.5142857142857</v>
      </c>
      <c r="G243" s="9" t="n">
        <f aca="false">IF(AND(C243=0,E243=0),0,IF(C243=0,"New",(E243-C243)/C243))</f>
        <v>-0.738775510204082</v>
      </c>
      <c r="H243" s="8" t="n">
        <f aca="false">SUMIFS('Source 2025'!$D:$D,'Source 2025'!$B:$B,$A243,'Source 2025'!$A:$A,"Amount (NIS)")+SUMIFS('Source 2025'!$E:$E,'Source 2025'!$B:$B,$A243,'Source 2025'!$A:$A,"Amount (NIS)")+SUMIFS('Source 2025'!$F:$F,'Source 2025'!$B:$B,$A243,'Source 2025'!$A:$A,"Amount (NIS)")+SUMIFS('Source 2025'!$G:$G,'Source 2025'!$B:$B,$A243,'Source 2025'!$A:$A,"Amount (NIS)")+SUMIFS('Source 2025'!$J:$J,'Source 2025'!$B:$B,$A243,'Source 2025'!$A:$A,"Amount (NIS)")+SUMIFS('Source 2025'!$M:$M,'Source 2025'!$B:$B,$A243,'Source 2025'!$A:$A,"Amount (NIS)")</f>
        <v>-810.8</v>
      </c>
      <c r="I243" s="8" t="n">
        <f aca="false">SUMIFS('Source 2026'!$D:$D,'Source 2026'!$B:$B,$A243,'Source 2026'!$A:$A,"Amount (NIS)")+SUMIFS('Source 2026'!$E:$E,'Source 2026'!$B:$B,$A243,'Source 2026'!$A:$A,"Amount (NIS)")+SUMIFS('Source 2026'!$F:$F,'Source 2026'!$B:$B,$A243,'Source 2026'!$A:$A,"Amount (NIS)")+SUMIFS('Source 2026'!$G:$G,'Source 2026'!$B:$B,$A243,'Source 2026'!$A:$A,"Amount (NIS)")+SUMIFS('Source 2026'!$J:$J,'Source 2026'!$B:$B,$A243,'Source 2026'!$A:$A,"Amount (NIS)")+SUMIFS('Source 2026'!$M:$M,'Source 2026'!$B:$B,$A243,'Source 2026'!$A:$A,"Amount (NIS)")</f>
        <v>-113.3</v>
      </c>
      <c r="J243" s="8" t="n">
        <f aca="false">I243*$J$5</f>
        <v>-155.382857142857</v>
      </c>
      <c r="K243" s="8" t="n">
        <f aca="false">J243-H243</f>
        <v>655.417142857143</v>
      </c>
      <c r="L243" s="9" t="n">
        <f aca="false">IF(AND(H243=0,J243=0),0,IF(H243=0,"New",(J243-H243)/H243))</f>
        <v>-0.808358587638311</v>
      </c>
    </row>
    <row r="244" customFormat="false" ht="15" hidden="false" customHeight="false" outlineLevel="0" collapsed="false">
      <c r="A244" s="7" t="n">
        <v>4408221</v>
      </c>
      <c r="B244" s="7" t="str">
        <f aca="false">IFERROR(INDEX('Source 2026'!$C:$C,MATCH($A244,'Source 2026'!$B:$B,0)),IFERROR(INDEX('Source 2025'!$C:$C,MATCH($A244,'Source 2025'!$B:$B,0)),""))</f>
        <v>078G-L חגורת גב אפורה</v>
      </c>
      <c r="C244" s="8" t="n">
        <f aca="false">SUMIFS('Source 2025'!$D:$D,'Source 2025'!$B:$B,$A244,'Source 2025'!$A:$A,"Quantity (units)")+SUMIFS('Source 2025'!$E:$E,'Source 2025'!$B:$B,$A244,'Source 2025'!$A:$A,"Quantity (units)")+SUMIFS('Source 2025'!$F:$F,'Source 2025'!$B:$B,$A244,'Source 2025'!$A:$A,"Quantity (units)")+SUMIFS('Source 2025'!$G:$G,'Source 2025'!$B:$B,$A244,'Source 2025'!$A:$A,"Quantity (units)")+SUMIFS('Source 2025'!$J:$J,'Source 2025'!$B:$B,$A244,'Source 2025'!$A:$A,"Quantity (units)")+SUMIFS('Source 2025'!$M:$M,'Source 2025'!$B:$B,$A244,'Source 2025'!$A:$A,"Quantity (units)")</f>
        <v>50</v>
      </c>
      <c r="D244" s="8" t="n">
        <f aca="false">SUMIFS('Source 2026'!$D:$D,'Source 2026'!$B:$B,$A244,'Source 2026'!$A:$A,"Quantity (units)")+SUMIFS('Source 2026'!$E:$E,'Source 2026'!$B:$B,$A244,'Source 2026'!$A:$A,"Quantity (units)")+SUMIFS('Source 2026'!$F:$F,'Source 2026'!$B:$B,$A244,'Source 2026'!$A:$A,"Quantity (units)")+SUMIFS('Source 2026'!$G:$G,'Source 2026'!$B:$B,$A244,'Source 2026'!$A:$A,"Quantity (units)")+SUMIFS('Source 2026'!$J:$J,'Source 2026'!$B:$B,$A244,'Source 2026'!$A:$A,"Quantity (units)")+SUMIFS('Source 2026'!$M:$M,'Source 2026'!$B:$B,$A244,'Source 2026'!$A:$A,"Quantity (units)")</f>
        <v>43</v>
      </c>
      <c r="E244" s="8" t="n">
        <f aca="false">D244*$J$5</f>
        <v>58.9714285714286</v>
      </c>
      <c r="F244" s="8" t="n">
        <f aca="false">E244-C244</f>
        <v>8.97142857142858</v>
      </c>
      <c r="G244" s="9" t="n">
        <f aca="false">IF(AND(C244=0,E244=0),0,IF(C244=0,"New",(E244-C244)/C244))</f>
        <v>0.179428571428572</v>
      </c>
      <c r="H244" s="8" t="n">
        <f aca="false">SUMIFS('Source 2025'!$D:$D,'Source 2025'!$B:$B,$A244,'Source 2025'!$A:$A,"Amount (NIS)")+SUMIFS('Source 2025'!$E:$E,'Source 2025'!$B:$B,$A244,'Source 2025'!$A:$A,"Amount (NIS)")+SUMIFS('Source 2025'!$F:$F,'Source 2025'!$B:$B,$A244,'Source 2025'!$A:$A,"Amount (NIS)")+SUMIFS('Source 2025'!$G:$G,'Source 2025'!$B:$B,$A244,'Source 2025'!$A:$A,"Amount (NIS)")+SUMIFS('Source 2025'!$J:$J,'Source 2025'!$B:$B,$A244,'Source 2025'!$A:$A,"Amount (NIS)")+SUMIFS('Source 2025'!$M:$M,'Source 2025'!$B:$B,$A244,'Source 2025'!$A:$A,"Amount (NIS)")</f>
        <v>5649.4</v>
      </c>
      <c r="I244" s="8" t="n">
        <f aca="false">SUMIFS('Source 2026'!$D:$D,'Source 2026'!$B:$B,$A244,'Source 2026'!$A:$A,"Amount (NIS)")+SUMIFS('Source 2026'!$E:$E,'Source 2026'!$B:$B,$A244,'Source 2026'!$A:$A,"Amount (NIS)")+SUMIFS('Source 2026'!$F:$F,'Source 2026'!$B:$B,$A244,'Source 2026'!$A:$A,"Amount (NIS)")+SUMIFS('Source 2026'!$G:$G,'Source 2026'!$B:$B,$A244,'Source 2026'!$A:$A,"Amount (NIS)")+SUMIFS('Source 2026'!$J:$J,'Source 2026'!$B:$B,$A244,'Source 2026'!$A:$A,"Amount (NIS)")+SUMIFS('Source 2026'!$M:$M,'Source 2026'!$B:$B,$A244,'Source 2026'!$A:$A,"Amount (NIS)")</f>
        <v>4953.8</v>
      </c>
      <c r="J244" s="8" t="n">
        <f aca="false">I244*$J$5</f>
        <v>6793.78285714286</v>
      </c>
      <c r="K244" s="8" t="n">
        <f aca="false">J244-H244</f>
        <v>1144.38285714286</v>
      </c>
      <c r="L244" s="9" t="n">
        <f aca="false">IF(AND(H244=0,J244=0),0,IF(H244=0,"New",(J244-H244)/H244))</f>
        <v>0.202567149988115</v>
      </c>
    </row>
    <row r="245" customFormat="false" ht="15" hidden="false" customHeight="false" outlineLevel="0" collapsed="false">
      <c r="A245" s="7" t="n">
        <v>4413499</v>
      </c>
      <c r="B245" s="7" t="str">
        <f aca="false">IFERROR(INDEX('Source 2026'!$C:$C,MATCH($A245,'Source 2026'!$B:$B,0)),IFERROR(INDEX('Source 2025'!$C:$C,MATCH($A245,'Source 2025'!$B:$B,0)),""))</f>
        <v>45B XXLמגן ברך שחור</v>
      </c>
      <c r="C245" s="8" t="n">
        <f aca="false">SUMIFS('Source 2025'!$D:$D,'Source 2025'!$B:$B,$A245,'Source 2025'!$A:$A,"Quantity (units)")+SUMIFS('Source 2025'!$E:$E,'Source 2025'!$B:$B,$A245,'Source 2025'!$A:$A,"Quantity (units)")+SUMIFS('Source 2025'!$F:$F,'Source 2025'!$B:$B,$A245,'Source 2025'!$A:$A,"Quantity (units)")+SUMIFS('Source 2025'!$G:$G,'Source 2025'!$B:$B,$A245,'Source 2025'!$A:$A,"Quantity (units)")+SUMIFS('Source 2025'!$J:$J,'Source 2025'!$B:$B,$A245,'Source 2025'!$A:$A,"Quantity (units)")+SUMIFS('Source 2025'!$M:$M,'Source 2025'!$B:$B,$A245,'Source 2025'!$A:$A,"Quantity (units)")</f>
        <v>83</v>
      </c>
      <c r="D245" s="8" t="n">
        <f aca="false">SUMIFS('Source 2026'!$D:$D,'Source 2026'!$B:$B,$A245,'Source 2026'!$A:$A,"Quantity (units)")+SUMIFS('Source 2026'!$E:$E,'Source 2026'!$B:$B,$A245,'Source 2026'!$A:$A,"Quantity (units)")+SUMIFS('Source 2026'!$F:$F,'Source 2026'!$B:$B,$A245,'Source 2026'!$A:$A,"Quantity (units)")+SUMIFS('Source 2026'!$G:$G,'Source 2026'!$B:$B,$A245,'Source 2026'!$A:$A,"Quantity (units)")+SUMIFS('Source 2026'!$J:$J,'Source 2026'!$B:$B,$A245,'Source 2026'!$A:$A,"Quantity (units)")+SUMIFS('Source 2026'!$M:$M,'Source 2026'!$B:$B,$A245,'Source 2026'!$A:$A,"Quantity (units)")</f>
        <v>58</v>
      </c>
      <c r="E245" s="8" t="n">
        <f aca="false">D245*$J$5</f>
        <v>79.5428571428571</v>
      </c>
      <c r="F245" s="8" t="n">
        <f aca="false">E245-C245</f>
        <v>-3.45714285714286</v>
      </c>
      <c r="G245" s="9" t="n">
        <f aca="false">IF(AND(C245=0,E245=0),0,IF(C245=0,"New",(E245-C245)/C245))</f>
        <v>-0.0416523235800344</v>
      </c>
      <c r="H245" s="8" t="n">
        <f aca="false">SUMIFS('Source 2025'!$D:$D,'Source 2025'!$B:$B,$A245,'Source 2025'!$A:$A,"Amount (NIS)")+SUMIFS('Source 2025'!$E:$E,'Source 2025'!$B:$B,$A245,'Source 2025'!$A:$A,"Amount (NIS)")+SUMIFS('Source 2025'!$F:$F,'Source 2025'!$B:$B,$A245,'Source 2025'!$A:$A,"Amount (NIS)")+SUMIFS('Source 2025'!$G:$G,'Source 2025'!$B:$B,$A245,'Source 2025'!$A:$A,"Amount (NIS)")+SUMIFS('Source 2025'!$J:$J,'Source 2025'!$B:$B,$A245,'Source 2025'!$A:$A,"Amount (NIS)")+SUMIFS('Source 2025'!$M:$M,'Source 2025'!$B:$B,$A245,'Source 2025'!$A:$A,"Amount (NIS)")</f>
        <v>2454.1</v>
      </c>
      <c r="I245" s="8" t="n">
        <f aca="false">SUMIFS('Source 2026'!$D:$D,'Source 2026'!$B:$B,$A245,'Source 2026'!$A:$A,"Amount (NIS)")+SUMIFS('Source 2026'!$E:$E,'Source 2026'!$B:$B,$A245,'Source 2026'!$A:$A,"Amount (NIS)")+SUMIFS('Source 2026'!$F:$F,'Source 2026'!$B:$B,$A245,'Source 2026'!$A:$A,"Amount (NIS)")+SUMIFS('Source 2026'!$G:$G,'Source 2026'!$B:$B,$A245,'Source 2026'!$A:$A,"Amount (NIS)")+SUMIFS('Source 2026'!$J:$J,'Source 2026'!$B:$B,$A245,'Source 2026'!$A:$A,"Amount (NIS)")+SUMIFS('Source 2026'!$M:$M,'Source 2026'!$B:$B,$A245,'Source 2026'!$A:$A,"Amount (NIS)")</f>
        <v>1758.7</v>
      </c>
      <c r="J245" s="8" t="n">
        <f aca="false">I245*$J$5</f>
        <v>2411.93142857143</v>
      </c>
      <c r="K245" s="8" t="n">
        <f aca="false">J245-H245</f>
        <v>-42.1685714285713</v>
      </c>
      <c r="L245" s="9" t="n">
        <f aca="false">IF(AND(H245=0,J245=0),0,IF(H245=0,"New",(J245-H245)/H245))</f>
        <v>-0.0171829067391595</v>
      </c>
    </row>
    <row r="246" customFormat="false" ht="15" hidden="false" customHeight="false" outlineLevel="0" collapsed="false">
      <c r="A246" s="7" t="n">
        <v>4408203</v>
      </c>
      <c r="B246" s="7" t="str">
        <f aca="false">IFERROR(INDEX('Source 2026'!$C:$C,MATCH($A246,'Source 2026'!$B:$B,0)),IFERROR(INDEX('Source 2025'!$C:$C,MATCH($A246,'Source 2025'!$B:$B,0)),""))</f>
        <v>14 0 חגורה למנותחי בית חזה</v>
      </c>
      <c r="C246" s="8" t="n">
        <f aca="false">SUMIFS('Source 2025'!$D:$D,'Source 2025'!$B:$B,$A246,'Source 2025'!$A:$A,"Quantity (units)")+SUMIFS('Source 2025'!$E:$E,'Source 2025'!$B:$B,$A246,'Source 2025'!$A:$A,"Quantity (units)")+SUMIFS('Source 2025'!$F:$F,'Source 2025'!$B:$B,$A246,'Source 2025'!$A:$A,"Quantity (units)")+SUMIFS('Source 2025'!$G:$G,'Source 2025'!$B:$B,$A246,'Source 2025'!$A:$A,"Quantity (units)")+SUMIFS('Source 2025'!$J:$J,'Source 2025'!$B:$B,$A246,'Source 2025'!$A:$A,"Quantity (units)")+SUMIFS('Source 2025'!$M:$M,'Source 2025'!$B:$B,$A246,'Source 2025'!$A:$A,"Quantity (units)")</f>
        <v>6</v>
      </c>
      <c r="D246" s="8" t="n">
        <f aca="false">SUMIFS('Source 2026'!$D:$D,'Source 2026'!$B:$B,$A246,'Source 2026'!$A:$A,"Quantity (units)")+SUMIFS('Source 2026'!$E:$E,'Source 2026'!$B:$B,$A246,'Source 2026'!$A:$A,"Quantity (units)")+SUMIFS('Source 2026'!$F:$F,'Source 2026'!$B:$B,$A246,'Source 2026'!$A:$A,"Quantity (units)")+SUMIFS('Source 2026'!$G:$G,'Source 2026'!$B:$B,$A246,'Source 2026'!$A:$A,"Quantity (units)")+SUMIFS('Source 2026'!$J:$J,'Source 2026'!$B:$B,$A246,'Source 2026'!$A:$A,"Quantity (units)")+SUMIFS('Source 2026'!$M:$M,'Source 2026'!$B:$B,$A246,'Source 2026'!$A:$A,"Quantity (units)")</f>
        <v>3</v>
      </c>
      <c r="E246" s="8" t="n">
        <f aca="false">D246*$J$5</f>
        <v>4.11428571428571</v>
      </c>
      <c r="F246" s="8" t="n">
        <f aca="false">E246-C246</f>
        <v>-1.88571428571429</v>
      </c>
      <c r="G246" s="9" t="n">
        <f aca="false">IF(AND(C246=0,E246=0),0,IF(C246=0,"New",(E246-C246)/C246))</f>
        <v>-0.314285714285714</v>
      </c>
      <c r="H246" s="8" t="n">
        <f aca="false">SUMIFS('Source 2025'!$D:$D,'Source 2025'!$B:$B,$A246,'Source 2025'!$A:$A,"Amount (NIS)")+SUMIFS('Source 2025'!$E:$E,'Source 2025'!$B:$B,$A246,'Source 2025'!$A:$A,"Amount (NIS)")+SUMIFS('Source 2025'!$F:$F,'Source 2025'!$B:$B,$A246,'Source 2025'!$A:$A,"Amount (NIS)")+SUMIFS('Source 2025'!$G:$G,'Source 2025'!$B:$B,$A246,'Source 2025'!$A:$A,"Amount (NIS)")+SUMIFS('Source 2025'!$J:$J,'Source 2025'!$B:$B,$A246,'Source 2025'!$A:$A,"Amount (NIS)")+SUMIFS('Source 2025'!$M:$M,'Source 2025'!$B:$B,$A246,'Source 2025'!$A:$A,"Amount (NIS)")</f>
        <v>1467.5</v>
      </c>
      <c r="I246" s="8" t="n">
        <f aca="false">SUMIFS('Source 2026'!$D:$D,'Source 2026'!$B:$B,$A246,'Source 2026'!$A:$A,"Amount (NIS)")+SUMIFS('Source 2026'!$E:$E,'Source 2026'!$B:$B,$A246,'Source 2026'!$A:$A,"Amount (NIS)")+SUMIFS('Source 2026'!$F:$F,'Source 2026'!$B:$B,$A246,'Source 2026'!$A:$A,"Amount (NIS)")+SUMIFS('Source 2026'!$G:$G,'Source 2026'!$B:$B,$A246,'Source 2026'!$A:$A,"Amount (NIS)")+SUMIFS('Source 2026'!$J:$J,'Source 2026'!$B:$B,$A246,'Source 2026'!$A:$A,"Amount (NIS)")+SUMIFS('Source 2026'!$M:$M,'Source 2026'!$B:$B,$A246,'Source 2026'!$A:$A,"Amount (NIS)")</f>
        <v>774.8</v>
      </c>
      <c r="J246" s="8" t="n">
        <f aca="false">I246*$J$5</f>
        <v>1062.58285714286</v>
      </c>
      <c r="K246" s="8" t="n">
        <f aca="false">J246-H246</f>
        <v>-404.917142857143</v>
      </c>
      <c r="L246" s="9" t="n">
        <f aca="false">IF(AND(H246=0,J246=0),0,IF(H246=0,"New",(J246-H246)/H246))</f>
        <v>-0.275923095643709</v>
      </c>
    </row>
    <row r="247" customFormat="false" ht="15" hidden="false" customHeight="false" outlineLevel="0" collapsed="false">
      <c r="A247" s="7" t="n">
        <v>4413529</v>
      </c>
      <c r="B247" s="7" t="str">
        <f aca="false">IFERROR(INDEX('Source 2026'!$C:$C,MATCH($A247,'Source 2026'!$B:$B,0)),IFERROR(INDEX('Source 2025'!$C:$C,MATCH($A247,'Source 2025'!$B:$B,0)),""))</f>
        <v>43-47 מדרסי אפיק ג'ל עבודה</v>
      </c>
      <c r="C247" s="8" t="n">
        <f aca="false">SUMIFS('Source 2025'!$D:$D,'Source 2025'!$B:$B,$A247,'Source 2025'!$A:$A,"Quantity (units)")+SUMIFS('Source 2025'!$E:$E,'Source 2025'!$B:$B,$A247,'Source 2025'!$A:$A,"Quantity (units)")+SUMIFS('Source 2025'!$F:$F,'Source 2025'!$B:$B,$A247,'Source 2025'!$A:$A,"Quantity (units)")+SUMIFS('Source 2025'!$G:$G,'Source 2025'!$B:$B,$A247,'Source 2025'!$A:$A,"Quantity (units)")+SUMIFS('Source 2025'!$J:$J,'Source 2025'!$B:$B,$A247,'Source 2025'!$A:$A,"Quantity (units)")+SUMIFS('Source 2025'!$M:$M,'Source 2025'!$B:$B,$A247,'Source 2025'!$A:$A,"Quantity (units)")</f>
        <v>22</v>
      </c>
      <c r="D247" s="8" t="n">
        <f aca="false">SUMIFS('Source 2026'!$D:$D,'Source 2026'!$B:$B,$A247,'Source 2026'!$A:$A,"Quantity (units)")+SUMIFS('Source 2026'!$E:$E,'Source 2026'!$B:$B,$A247,'Source 2026'!$A:$A,"Quantity (units)")+SUMIFS('Source 2026'!$F:$F,'Source 2026'!$B:$B,$A247,'Source 2026'!$A:$A,"Quantity (units)")+SUMIFS('Source 2026'!$G:$G,'Source 2026'!$B:$B,$A247,'Source 2026'!$A:$A,"Quantity (units)")+SUMIFS('Source 2026'!$J:$J,'Source 2026'!$B:$B,$A247,'Source 2026'!$A:$A,"Quantity (units)")+SUMIFS('Source 2026'!$M:$M,'Source 2026'!$B:$B,$A247,'Source 2026'!$A:$A,"Quantity (units)")</f>
        <v>14</v>
      </c>
      <c r="E247" s="8" t="n">
        <f aca="false">D247*$J$5</f>
        <v>19.2</v>
      </c>
      <c r="F247" s="8" t="n">
        <f aca="false">E247-C247</f>
        <v>-2.8</v>
      </c>
      <c r="G247" s="9" t="n">
        <f aca="false">IF(AND(C247=0,E247=0),0,IF(C247=0,"New",(E247-C247)/C247))</f>
        <v>-0.127272727272727</v>
      </c>
      <c r="H247" s="8" t="n">
        <f aca="false">SUMIFS('Source 2025'!$D:$D,'Source 2025'!$B:$B,$A247,'Source 2025'!$A:$A,"Amount (NIS)")+SUMIFS('Source 2025'!$E:$E,'Source 2025'!$B:$B,$A247,'Source 2025'!$A:$A,"Amount (NIS)")+SUMIFS('Source 2025'!$F:$F,'Source 2025'!$B:$B,$A247,'Source 2025'!$A:$A,"Amount (NIS)")+SUMIFS('Source 2025'!$G:$G,'Source 2025'!$B:$B,$A247,'Source 2025'!$A:$A,"Amount (NIS)")+SUMIFS('Source 2025'!$J:$J,'Source 2025'!$B:$B,$A247,'Source 2025'!$A:$A,"Amount (NIS)")+SUMIFS('Source 2025'!$M:$M,'Source 2025'!$B:$B,$A247,'Source 2025'!$A:$A,"Amount (NIS)")</f>
        <v>2158.5</v>
      </c>
      <c r="I247" s="8" t="n">
        <f aca="false">SUMIFS('Source 2026'!$D:$D,'Source 2026'!$B:$B,$A247,'Source 2026'!$A:$A,"Amount (NIS)")+SUMIFS('Source 2026'!$E:$E,'Source 2026'!$B:$B,$A247,'Source 2026'!$A:$A,"Amount (NIS)")+SUMIFS('Source 2026'!$F:$F,'Source 2026'!$B:$B,$A247,'Source 2026'!$A:$A,"Amount (NIS)")+SUMIFS('Source 2026'!$G:$G,'Source 2026'!$B:$B,$A247,'Source 2026'!$A:$A,"Amount (NIS)")+SUMIFS('Source 2026'!$J:$J,'Source 2026'!$B:$B,$A247,'Source 2026'!$A:$A,"Amount (NIS)")+SUMIFS('Source 2026'!$M:$M,'Source 2026'!$B:$B,$A247,'Source 2026'!$A:$A,"Amount (NIS)")</f>
        <v>1472.5</v>
      </c>
      <c r="J247" s="8" t="n">
        <f aca="false">I247*$J$5</f>
        <v>2019.42857142857</v>
      </c>
      <c r="K247" s="8" t="n">
        <f aca="false">J247-H247</f>
        <v>-139.071428571428</v>
      </c>
      <c r="L247" s="9" t="n">
        <f aca="false">IF(AND(H247=0,J247=0),0,IF(H247=0,"New",(J247-H247)/H247))</f>
        <v>-0.0644296634567656</v>
      </c>
    </row>
    <row r="248" customFormat="false" ht="15" hidden="false" customHeight="false" outlineLevel="0" collapsed="false">
      <c r="A248" s="7" t="n">
        <v>4413342</v>
      </c>
      <c r="B248" s="7" t="str">
        <f aca="false">IFERROR(INDEX('Source 2026'!$C:$C,MATCH($A248,'Source 2026'!$B:$B,0)),IFERROR(INDEX('Source 2025'!$C:$C,MATCH($A248,'Source 2025'!$B:$B,0)),""))</f>
        <v>422N M מ.ברך אפור+כרית סיליקון</v>
      </c>
      <c r="C248" s="8" t="n">
        <f aca="false">SUMIFS('Source 2025'!$D:$D,'Source 2025'!$B:$B,$A248,'Source 2025'!$A:$A,"Quantity (units)")+SUMIFS('Source 2025'!$E:$E,'Source 2025'!$B:$B,$A248,'Source 2025'!$A:$A,"Quantity (units)")+SUMIFS('Source 2025'!$F:$F,'Source 2025'!$B:$B,$A248,'Source 2025'!$A:$A,"Quantity (units)")+SUMIFS('Source 2025'!$G:$G,'Source 2025'!$B:$B,$A248,'Source 2025'!$A:$A,"Quantity (units)")+SUMIFS('Source 2025'!$J:$J,'Source 2025'!$B:$B,$A248,'Source 2025'!$A:$A,"Quantity (units)")+SUMIFS('Source 2025'!$M:$M,'Source 2025'!$B:$B,$A248,'Source 2025'!$A:$A,"Quantity (units)")</f>
        <v>4</v>
      </c>
      <c r="D248" s="8" t="n">
        <f aca="false">SUMIFS('Source 2026'!$D:$D,'Source 2026'!$B:$B,$A248,'Source 2026'!$A:$A,"Quantity (units)")+SUMIFS('Source 2026'!$E:$E,'Source 2026'!$B:$B,$A248,'Source 2026'!$A:$A,"Quantity (units)")+SUMIFS('Source 2026'!$F:$F,'Source 2026'!$B:$B,$A248,'Source 2026'!$A:$A,"Quantity (units)")+SUMIFS('Source 2026'!$G:$G,'Source 2026'!$B:$B,$A248,'Source 2026'!$A:$A,"Quantity (units)")+SUMIFS('Source 2026'!$J:$J,'Source 2026'!$B:$B,$A248,'Source 2026'!$A:$A,"Quantity (units)")+SUMIFS('Source 2026'!$M:$M,'Source 2026'!$B:$B,$A248,'Source 2026'!$A:$A,"Quantity (units)")</f>
        <v>0</v>
      </c>
      <c r="E248" s="8" t="n">
        <f aca="false">D248*$J$5</f>
        <v>0</v>
      </c>
      <c r="F248" s="8" t="n">
        <f aca="false">E248-C248</f>
        <v>-4</v>
      </c>
      <c r="G248" s="9" t="n">
        <f aca="false">IF(AND(C248=0,E248=0),0,IF(C248=0,"New",(E248-C248)/C248))</f>
        <v>-1</v>
      </c>
      <c r="H248" s="8" t="n">
        <f aca="false">SUMIFS('Source 2025'!$D:$D,'Source 2025'!$B:$B,$A248,'Source 2025'!$A:$A,"Amount (NIS)")+SUMIFS('Source 2025'!$E:$E,'Source 2025'!$B:$B,$A248,'Source 2025'!$A:$A,"Amount (NIS)")+SUMIFS('Source 2025'!$F:$F,'Source 2025'!$B:$B,$A248,'Source 2025'!$A:$A,"Amount (NIS)")+SUMIFS('Source 2025'!$G:$G,'Source 2025'!$B:$B,$A248,'Source 2025'!$A:$A,"Amount (NIS)")+SUMIFS('Source 2025'!$J:$J,'Source 2025'!$B:$B,$A248,'Source 2025'!$A:$A,"Amount (NIS)")+SUMIFS('Source 2025'!$M:$M,'Source 2025'!$B:$B,$A248,'Source 2025'!$A:$A,"Amount (NIS)")</f>
        <v>685.1</v>
      </c>
      <c r="I248" s="8" t="n">
        <f aca="false">SUMIFS('Source 2026'!$D:$D,'Source 2026'!$B:$B,$A248,'Source 2026'!$A:$A,"Amount (NIS)")+SUMIFS('Source 2026'!$E:$E,'Source 2026'!$B:$B,$A248,'Source 2026'!$A:$A,"Amount (NIS)")+SUMIFS('Source 2026'!$F:$F,'Source 2026'!$B:$B,$A248,'Source 2026'!$A:$A,"Amount (NIS)")+SUMIFS('Source 2026'!$G:$G,'Source 2026'!$B:$B,$A248,'Source 2026'!$A:$A,"Amount (NIS)")+SUMIFS('Source 2026'!$J:$J,'Source 2026'!$B:$B,$A248,'Source 2026'!$A:$A,"Amount (NIS)")+SUMIFS('Source 2026'!$M:$M,'Source 2026'!$B:$B,$A248,'Source 2026'!$A:$A,"Amount (NIS)")</f>
        <v>0</v>
      </c>
      <c r="J248" s="8" t="n">
        <f aca="false">I248*$J$5</f>
        <v>0</v>
      </c>
      <c r="K248" s="8" t="n">
        <f aca="false">J248-H248</f>
        <v>-685.1</v>
      </c>
      <c r="L248" s="9" t="n">
        <f aca="false">IF(AND(H248=0,J248=0),0,IF(H248=0,"New",(J248-H248)/H248))</f>
        <v>-1</v>
      </c>
    </row>
    <row r="249" customFormat="false" ht="15" hidden="false" customHeight="false" outlineLevel="0" collapsed="false">
      <c r="A249" s="7" t="n">
        <v>4413020</v>
      </c>
      <c r="B249" s="7" t="str">
        <f aca="false">IFERROR(INDEX('Source 2026'!$C:$C,MATCH($A249,'Source 2026'!$B:$B,0)),IFERROR(INDEX('Source 2025'!$C:$C,MATCH($A249,'Source 2025'!$B:$B,0)),""))</f>
        <v>303 41-42 מדרסי סיליק.לח.סכרת</v>
      </c>
      <c r="C249" s="8" t="n">
        <f aca="false">SUMIFS('Source 2025'!$D:$D,'Source 2025'!$B:$B,$A249,'Source 2025'!$A:$A,"Quantity (units)")+SUMIFS('Source 2025'!$E:$E,'Source 2025'!$B:$B,$A249,'Source 2025'!$A:$A,"Quantity (units)")+SUMIFS('Source 2025'!$F:$F,'Source 2025'!$B:$B,$A249,'Source 2025'!$A:$A,"Quantity (units)")+SUMIFS('Source 2025'!$G:$G,'Source 2025'!$B:$B,$A249,'Source 2025'!$A:$A,"Quantity (units)")+SUMIFS('Source 2025'!$J:$J,'Source 2025'!$B:$B,$A249,'Source 2025'!$A:$A,"Quantity (units)")+SUMIFS('Source 2025'!$M:$M,'Source 2025'!$B:$B,$A249,'Source 2025'!$A:$A,"Quantity (units)")</f>
        <v>6</v>
      </c>
      <c r="D249" s="8" t="n">
        <f aca="false">SUMIFS('Source 2026'!$D:$D,'Source 2026'!$B:$B,$A249,'Source 2026'!$A:$A,"Quantity (units)")+SUMIFS('Source 2026'!$E:$E,'Source 2026'!$B:$B,$A249,'Source 2026'!$A:$A,"Quantity (units)")+SUMIFS('Source 2026'!$F:$F,'Source 2026'!$B:$B,$A249,'Source 2026'!$A:$A,"Quantity (units)")+SUMIFS('Source 2026'!$G:$G,'Source 2026'!$B:$B,$A249,'Source 2026'!$A:$A,"Quantity (units)")+SUMIFS('Source 2026'!$J:$J,'Source 2026'!$B:$B,$A249,'Source 2026'!$A:$A,"Quantity (units)")+SUMIFS('Source 2026'!$M:$M,'Source 2026'!$B:$B,$A249,'Source 2026'!$A:$A,"Quantity (units)")</f>
        <v>0</v>
      </c>
      <c r="E249" s="8" t="n">
        <f aca="false">D249*$J$5</f>
        <v>0</v>
      </c>
      <c r="F249" s="8" t="n">
        <f aca="false">E249-C249</f>
        <v>-6</v>
      </c>
      <c r="G249" s="9" t="n">
        <f aca="false">IF(AND(C249=0,E249=0),0,IF(C249=0,"New",(E249-C249)/C249))</f>
        <v>-1</v>
      </c>
      <c r="H249" s="8" t="n">
        <f aca="false">SUMIFS('Source 2025'!$D:$D,'Source 2025'!$B:$B,$A249,'Source 2025'!$A:$A,"Amount (NIS)")+SUMIFS('Source 2025'!$E:$E,'Source 2025'!$B:$B,$A249,'Source 2025'!$A:$A,"Amount (NIS)")+SUMIFS('Source 2025'!$F:$F,'Source 2025'!$B:$B,$A249,'Source 2025'!$A:$A,"Amount (NIS)")+SUMIFS('Source 2025'!$G:$G,'Source 2025'!$B:$B,$A249,'Source 2025'!$A:$A,"Amount (NIS)")+SUMIFS('Source 2025'!$J:$J,'Source 2025'!$B:$B,$A249,'Source 2025'!$A:$A,"Amount (NIS)")+SUMIFS('Source 2025'!$M:$M,'Source 2025'!$B:$B,$A249,'Source 2025'!$A:$A,"Amount (NIS)")</f>
        <v>706.5</v>
      </c>
      <c r="I249" s="8" t="n">
        <f aca="false">SUMIFS('Source 2026'!$D:$D,'Source 2026'!$B:$B,$A249,'Source 2026'!$A:$A,"Amount (NIS)")+SUMIFS('Source 2026'!$E:$E,'Source 2026'!$B:$B,$A249,'Source 2026'!$A:$A,"Amount (NIS)")+SUMIFS('Source 2026'!$F:$F,'Source 2026'!$B:$B,$A249,'Source 2026'!$A:$A,"Amount (NIS)")+SUMIFS('Source 2026'!$G:$G,'Source 2026'!$B:$B,$A249,'Source 2026'!$A:$A,"Amount (NIS)")+SUMIFS('Source 2026'!$J:$J,'Source 2026'!$B:$B,$A249,'Source 2026'!$A:$A,"Amount (NIS)")+SUMIFS('Source 2026'!$M:$M,'Source 2026'!$B:$B,$A249,'Source 2026'!$A:$A,"Amount (NIS)")</f>
        <v>23.7</v>
      </c>
      <c r="J249" s="8" t="n">
        <f aca="false">I249*$J$5</f>
        <v>32.5028571428571</v>
      </c>
      <c r="K249" s="8" t="n">
        <f aca="false">J249-H249</f>
        <v>-673.997142857143</v>
      </c>
      <c r="L249" s="9" t="n">
        <f aca="false">IF(AND(H249=0,J249=0),0,IF(H249=0,"New",(J249-H249)/H249))</f>
        <v>-0.953994540491356</v>
      </c>
    </row>
    <row r="250" customFormat="false" ht="15" hidden="false" customHeight="false" outlineLevel="0" collapsed="false">
      <c r="A250" s="7" t="n">
        <v>4413416</v>
      </c>
      <c r="B250" s="7" t="str">
        <f aca="false">IFERROR(INDEX('Source 2026'!$C:$C,MATCH($A250,'Source 2026'!$B:$B,0)),IFERROR(INDEX('Source 2025'!$C:$C,MATCH($A250,'Source 2025'!$B:$B,0)),""))</f>
        <v>SC39  M מגן שוק</v>
      </c>
      <c r="C250" s="8" t="n">
        <f aca="false">SUMIFS('Source 2025'!$D:$D,'Source 2025'!$B:$B,$A250,'Source 2025'!$A:$A,"Quantity (units)")+SUMIFS('Source 2025'!$E:$E,'Source 2025'!$B:$B,$A250,'Source 2025'!$A:$A,"Quantity (units)")+SUMIFS('Source 2025'!$F:$F,'Source 2025'!$B:$B,$A250,'Source 2025'!$A:$A,"Quantity (units)")+SUMIFS('Source 2025'!$G:$G,'Source 2025'!$B:$B,$A250,'Source 2025'!$A:$A,"Quantity (units)")+SUMIFS('Source 2025'!$J:$J,'Source 2025'!$B:$B,$A250,'Source 2025'!$A:$A,"Quantity (units)")+SUMIFS('Source 2025'!$M:$M,'Source 2025'!$B:$B,$A250,'Source 2025'!$A:$A,"Quantity (units)")</f>
        <v>1</v>
      </c>
      <c r="D250" s="8" t="n">
        <f aca="false">SUMIFS('Source 2026'!$D:$D,'Source 2026'!$B:$B,$A250,'Source 2026'!$A:$A,"Quantity (units)")+SUMIFS('Source 2026'!$E:$E,'Source 2026'!$B:$B,$A250,'Source 2026'!$A:$A,"Quantity (units)")+SUMIFS('Source 2026'!$F:$F,'Source 2026'!$B:$B,$A250,'Source 2026'!$A:$A,"Quantity (units)")+SUMIFS('Source 2026'!$G:$G,'Source 2026'!$B:$B,$A250,'Source 2026'!$A:$A,"Quantity (units)")+SUMIFS('Source 2026'!$J:$J,'Source 2026'!$B:$B,$A250,'Source 2026'!$A:$A,"Quantity (units)")+SUMIFS('Source 2026'!$M:$M,'Source 2026'!$B:$B,$A250,'Source 2026'!$A:$A,"Quantity (units)")</f>
        <v>5</v>
      </c>
      <c r="E250" s="8" t="n">
        <f aca="false">D250*$J$5</f>
        <v>6.85714285714286</v>
      </c>
      <c r="F250" s="8" t="n">
        <f aca="false">E250-C250</f>
        <v>5.85714285714286</v>
      </c>
      <c r="G250" s="9" t="n">
        <f aca="false">IF(AND(C250=0,E250=0),0,IF(C250=0,"New",(E250-C250)/C250))</f>
        <v>5.85714285714286</v>
      </c>
      <c r="H250" s="8" t="n">
        <f aca="false">SUMIFS('Source 2025'!$D:$D,'Source 2025'!$B:$B,$A250,'Source 2025'!$A:$A,"Amount (NIS)")+SUMIFS('Source 2025'!$E:$E,'Source 2025'!$B:$B,$A250,'Source 2025'!$A:$A,"Amount (NIS)")+SUMIFS('Source 2025'!$F:$F,'Source 2025'!$B:$B,$A250,'Source 2025'!$A:$A,"Amount (NIS)")+SUMIFS('Source 2025'!$G:$G,'Source 2025'!$B:$B,$A250,'Source 2025'!$A:$A,"Amount (NIS)")+SUMIFS('Source 2025'!$J:$J,'Source 2025'!$B:$B,$A250,'Source 2025'!$A:$A,"Amount (NIS)")+SUMIFS('Source 2025'!$M:$M,'Source 2025'!$B:$B,$A250,'Source 2025'!$A:$A,"Amount (NIS)")</f>
        <v>145.3</v>
      </c>
      <c r="I250" s="8" t="n">
        <f aca="false">SUMIFS('Source 2026'!$D:$D,'Source 2026'!$B:$B,$A250,'Source 2026'!$A:$A,"Amount (NIS)")+SUMIFS('Source 2026'!$E:$E,'Source 2026'!$B:$B,$A250,'Source 2026'!$A:$A,"Amount (NIS)")+SUMIFS('Source 2026'!$F:$F,'Source 2026'!$B:$B,$A250,'Source 2026'!$A:$A,"Amount (NIS)")+SUMIFS('Source 2026'!$G:$G,'Source 2026'!$B:$B,$A250,'Source 2026'!$A:$A,"Amount (NIS)")+SUMIFS('Source 2026'!$J:$J,'Source 2026'!$B:$B,$A250,'Source 2026'!$A:$A,"Amount (NIS)")+SUMIFS('Source 2026'!$M:$M,'Source 2026'!$B:$B,$A250,'Source 2026'!$A:$A,"Amount (NIS)")</f>
        <v>820.1</v>
      </c>
      <c r="J250" s="8" t="n">
        <f aca="false">I250*$J$5</f>
        <v>1124.70857142857</v>
      </c>
      <c r="K250" s="8" t="n">
        <f aca="false">J250-H250</f>
        <v>979.408571428572</v>
      </c>
      <c r="L250" s="9" t="n">
        <f aca="false">IF(AND(H250=0,J250=0),0,IF(H250=0,"New",(J250-H250)/H250))</f>
        <v>6.74059581162128</v>
      </c>
    </row>
    <row r="251" customFormat="false" ht="15" hidden="false" customHeight="false" outlineLevel="0" collapsed="false">
      <c r="A251" s="7" t="n">
        <v>4413198</v>
      </c>
      <c r="B251" s="7" t="str">
        <f aca="false">IFERROR(INDEX('Source 2026'!$C:$C,MATCH($A251,'Source 2026'!$B:$B,0)),IFERROR(INDEX('Source 2025'!$C:$C,MATCH($A251,'Source 2025'!$B:$B,0)),""))</f>
        <v>87 XL מקבע כתף ויד</v>
      </c>
      <c r="C251" s="8" t="n">
        <f aca="false">SUMIFS('Source 2025'!$D:$D,'Source 2025'!$B:$B,$A251,'Source 2025'!$A:$A,"Quantity (units)")+SUMIFS('Source 2025'!$E:$E,'Source 2025'!$B:$B,$A251,'Source 2025'!$A:$A,"Quantity (units)")+SUMIFS('Source 2025'!$F:$F,'Source 2025'!$B:$B,$A251,'Source 2025'!$A:$A,"Quantity (units)")+SUMIFS('Source 2025'!$G:$G,'Source 2025'!$B:$B,$A251,'Source 2025'!$A:$A,"Quantity (units)")+SUMIFS('Source 2025'!$J:$J,'Source 2025'!$B:$B,$A251,'Source 2025'!$A:$A,"Quantity (units)")+SUMIFS('Source 2025'!$M:$M,'Source 2025'!$B:$B,$A251,'Source 2025'!$A:$A,"Quantity (units)")</f>
        <v>18</v>
      </c>
      <c r="D251" s="8" t="n">
        <f aca="false">SUMIFS('Source 2026'!$D:$D,'Source 2026'!$B:$B,$A251,'Source 2026'!$A:$A,"Quantity (units)")+SUMIFS('Source 2026'!$E:$E,'Source 2026'!$B:$B,$A251,'Source 2026'!$A:$A,"Quantity (units)")+SUMIFS('Source 2026'!$F:$F,'Source 2026'!$B:$B,$A251,'Source 2026'!$A:$A,"Quantity (units)")+SUMIFS('Source 2026'!$G:$G,'Source 2026'!$B:$B,$A251,'Source 2026'!$A:$A,"Quantity (units)")+SUMIFS('Source 2026'!$J:$J,'Source 2026'!$B:$B,$A251,'Source 2026'!$A:$A,"Quantity (units)")+SUMIFS('Source 2026'!$M:$M,'Source 2026'!$B:$B,$A251,'Source 2026'!$A:$A,"Quantity (units)")</f>
        <v>14</v>
      </c>
      <c r="E251" s="8" t="n">
        <f aca="false">D251*$J$5</f>
        <v>19.2</v>
      </c>
      <c r="F251" s="8" t="n">
        <f aca="false">E251-C251</f>
        <v>1.2</v>
      </c>
      <c r="G251" s="9" t="n">
        <f aca="false">IF(AND(C251=0,E251=0),0,IF(C251=0,"New",(E251-C251)/C251))</f>
        <v>0.0666666666666666</v>
      </c>
      <c r="H251" s="8" t="n">
        <f aca="false">SUMIFS('Source 2025'!$D:$D,'Source 2025'!$B:$B,$A251,'Source 2025'!$A:$A,"Amount (NIS)")+SUMIFS('Source 2025'!$E:$E,'Source 2025'!$B:$B,$A251,'Source 2025'!$A:$A,"Amount (NIS)")+SUMIFS('Source 2025'!$F:$F,'Source 2025'!$B:$B,$A251,'Source 2025'!$A:$A,"Amount (NIS)")+SUMIFS('Source 2025'!$G:$G,'Source 2025'!$B:$B,$A251,'Source 2025'!$A:$A,"Amount (NIS)")+SUMIFS('Source 2025'!$J:$J,'Source 2025'!$B:$B,$A251,'Source 2025'!$A:$A,"Amount (NIS)")+SUMIFS('Source 2025'!$M:$M,'Source 2025'!$B:$B,$A251,'Source 2025'!$A:$A,"Amount (NIS)")</f>
        <v>3457.1</v>
      </c>
      <c r="I251" s="8" t="n">
        <f aca="false">SUMIFS('Source 2026'!$D:$D,'Source 2026'!$B:$B,$A251,'Source 2026'!$A:$A,"Amount (NIS)")+SUMIFS('Source 2026'!$E:$E,'Source 2026'!$B:$B,$A251,'Source 2026'!$A:$A,"Amount (NIS)")+SUMIFS('Source 2026'!$F:$F,'Source 2026'!$B:$B,$A251,'Source 2026'!$A:$A,"Amount (NIS)")+SUMIFS('Source 2026'!$G:$G,'Source 2026'!$B:$B,$A251,'Source 2026'!$A:$A,"Amount (NIS)")+SUMIFS('Source 2026'!$J:$J,'Source 2026'!$B:$B,$A251,'Source 2026'!$A:$A,"Amount (NIS)")+SUMIFS('Source 2026'!$M:$M,'Source 2026'!$B:$B,$A251,'Source 2026'!$A:$A,"Amount (NIS)")</f>
        <v>2793.2</v>
      </c>
      <c r="J251" s="8" t="n">
        <f aca="false">I251*$J$5</f>
        <v>3830.67428571429</v>
      </c>
      <c r="K251" s="8" t="n">
        <f aca="false">J251-H251</f>
        <v>373.574285714285</v>
      </c>
      <c r="L251" s="9" t="n">
        <f aca="false">IF(AND(H251=0,J251=0),0,IF(H251=0,"New",(J251-H251)/H251))</f>
        <v>0.108060017272941</v>
      </c>
    </row>
    <row r="252" customFormat="false" ht="15" hidden="false" customHeight="false" outlineLevel="0" collapsed="false">
      <c r="A252" s="7" t="n">
        <v>4413107</v>
      </c>
      <c r="B252" s="7" t="str">
        <f aca="false">IFERROR(INDEX('Source 2026'!$C:$C,MATCH($A252,'Source 2026'!$B:$B,0)),IFERROR(INDEX('Source 2025'!$C:$C,MATCH($A252,'Source 2025'!$B:$B,0)),""))</f>
        <v>48 L מגן ברך מחמם</v>
      </c>
      <c r="C252" s="8" t="n">
        <f aca="false">SUMIFS('Source 2025'!$D:$D,'Source 2025'!$B:$B,$A252,'Source 2025'!$A:$A,"Quantity (units)")+SUMIFS('Source 2025'!$E:$E,'Source 2025'!$B:$B,$A252,'Source 2025'!$A:$A,"Quantity (units)")+SUMIFS('Source 2025'!$F:$F,'Source 2025'!$B:$B,$A252,'Source 2025'!$A:$A,"Quantity (units)")+SUMIFS('Source 2025'!$G:$G,'Source 2025'!$B:$B,$A252,'Source 2025'!$A:$A,"Quantity (units)")+SUMIFS('Source 2025'!$J:$J,'Source 2025'!$B:$B,$A252,'Source 2025'!$A:$A,"Quantity (units)")+SUMIFS('Source 2025'!$M:$M,'Source 2025'!$B:$B,$A252,'Source 2025'!$A:$A,"Quantity (units)")</f>
        <v>15</v>
      </c>
      <c r="D252" s="8" t="n">
        <f aca="false">SUMIFS('Source 2026'!$D:$D,'Source 2026'!$B:$B,$A252,'Source 2026'!$A:$A,"Quantity (units)")+SUMIFS('Source 2026'!$E:$E,'Source 2026'!$B:$B,$A252,'Source 2026'!$A:$A,"Quantity (units)")+SUMIFS('Source 2026'!$F:$F,'Source 2026'!$B:$B,$A252,'Source 2026'!$A:$A,"Quantity (units)")+SUMIFS('Source 2026'!$G:$G,'Source 2026'!$B:$B,$A252,'Source 2026'!$A:$A,"Quantity (units)")+SUMIFS('Source 2026'!$J:$J,'Source 2026'!$B:$B,$A252,'Source 2026'!$A:$A,"Quantity (units)")+SUMIFS('Source 2026'!$M:$M,'Source 2026'!$B:$B,$A252,'Source 2026'!$A:$A,"Quantity (units)")</f>
        <v>3</v>
      </c>
      <c r="E252" s="8" t="n">
        <f aca="false">D252*$J$5</f>
        <v>4.11428571428571</v>
      </c>
      <c r="F252" s="8" t="n">
        <f aca="false">E252-C252</f>
        <v>-10.8857142857143</v>
      </c>
      <c r="G252" s="9" t="n">
        <f aca="false">IF(AND(C252=0,E252=0),0,IF(C252=0,"New",(E252-C252)/C252))</f>
        <v>-0.725714285714286</v>
      </c>
      <c r="H252" s="8" t="n">
        <f aca="false">SUMIFS('Source 2025'!$D:$D,'Source 2025'!$B:$B,$A252,'Source 2025'!$A:$A,"Amount (NIS)")+SUMIFS('Source 2025'!$E:$E,'Source 2025'!$B:$B,$A252,'Source 2025'!$A:$A,"Amount (NIS)")+SUMIFS('Source 2025'!$F:$F,'Source 2025'!$B:$B,$A252,'Source 2025'!$A:$A,"Amount (NIS)")+SUMIFS('Source 2025'!$G:$G,'Source 2025'!$B:$B,$A252,'Source 2025'!$A:$A,"Amount (NIS)")+SUMIFS('Source 2025'!$J:$J,'Source 2025'!$B:$B,$A252,'Source 2025'!$A:$A,"Amount (NIS)")+SUMIFS('Source 2025'!$M:$M,'Source 2025'!$B:$B,$A252,'Source 2025'!$A:$A,"Amount (NIS)")</f>
        <v>827.4</v>
      </c>
      <c r="I252" s="8" t="n">
        <f aca="false">SUMIFS('Source 2026'!$D:$D,'Source 2026'!$B:$B,$A252,'Source 2026'!$A:$A,"Amount (NIS)")+SUMIFS('Source 2026'!$E:$E,'Source 2026'!$B:$B,$A252,'Source 2026'!$A:$A,"Amount (NIS)")+SUMIFS('Source 2026'!$F:$F,'Source 2026'!$B:$B,$A252,'Source 2026'!$A:$A,"Amount (NIS)")+SUMIFS('Source 2026'!$G:$G,'Source 2026'!$B:$B,$A252,'Source 2026'!$A:$A,"Amount (NIS)")+SUMIFS('Source 2026'!$J:$J,'Source 2026'!$B:$B,$A252,'Source 2026'!$A:$A,"Amount (NIS)")+SUMIFS('Source 2026'!$M:$M,'Source 2026'!$B:$B,$A252,'Source 2026'!$A:$A,"Amount (NIS)")</f>
        <v>170</v>
      </c>
      <c r="J252" s="8" t="n">
        <f aca="false">I252*$J$5</f>
        <v>233.142857142857</v>
      </c>
      <c r="K252" s="8" t="n">
        <f aca="false">J252-H252</f>
        <v>-594.257142857143</v>
      </c>
      <c r="L252" s="9" t="n">
        <f aca="false">IF(AND(H252=0,J252=0),0,IF(H252=0,"New",(J252-H252)/H252))</f>
        <v>-0.718222314306433</v>
      </c>
    </row>
    <row r="253" customFormat="false" ht="15" hidden="false" customHeight="false" outlineLevel="0" collapsed="false">
      <c r="A253" s="7" t="n">
        <v>4413074</v>
      </c>
      <c r="B253" s="7" t="str">
        <f aca="false">IFERROR(INDEX('Source 2026'!$C:$C,MATCH($A253,'Source 2026'!$B:$B,0)),IFERROR(INDEX('Source 2025'!$C:$C,MATCH($A253,'Source 2025'!$B:$B,0)),""))</f>
        <v>41  XL.מ.ברך מוצלב+ספירלות בצד</v>
      </c>
      <c r="C253" s="8" t="n">
        <f aca="false">SUMIFS('Source 2025'!$D:$D,'Source 2025'!$B:$B,$A253,'Source 2025'!$A:$A,"Quantity (units)")+SUMIFS('Source 2025'!$E:$E,'Source 2025'!$B:$B,$A253,'Source 2025'!$A:$A,"Quantity (units)")+SUMIFS('Source 2025'!$F:$F,'Source 2025'!$B:$B,$A253,'Source 2025'!$A:$A,"Quantity (units)")+SUMIFS('Source 2025'!$G:$G,'Source 2025'!$B:$B,$A253,'Source 2025'!$A:$A,"Quantity (units)")+SUMIFS('Source 2025'!$J:$J,'Source 2025'!$B:$B,$A253,'Source 2025'!$A:$A,"Quantity (units)")+SUMIFS('Source 2025'!$M:$M,'Source 2025'!$B:$B,$A253,'Source 2025'!$A:$A,"Quantity (units)")</f>
        <v>11</v>
      </c>
      <c r="D253" s="8" t="n">
        <f aca="false">SUMIFS('Source 2026'!$D:$D,'Source 2026'!$B:$B,$A253,'Source 2026'!$A:$A,"Quantity (units)")+SUMIFS('Source 2026'!$E:$E,'Source 2026'!$B:$B,$A253,'Source 2026'!$A:$A,"Quantity (units)")+SUMIFS('Source 2026'!$F:$F,'Source 2026'!$B:$B,$A253,'Source 2026'!$A:$A,"Quantity (units)")+SUMIFS('Source 2026'!$G:$G,'Source 2026'!$B:$B,$A253,'Source 2026'!$A:$A,"Quantity (units)")+SUMIFS('Source 2026'!$J:$J,'Source 2026'!$B:$B,$A253,'Source 2026'!$A:$A,"Quantity (units)")+SUMIFS('Source 2026'!$M:$M,'Source 2026'!$B:$B,$A253,'Source 2026'!$A:$A,"Quantity (units)")</f>
        <v>6</v>
      </c>
      <c r="E253" s="8" t="n">
        <f aca="false">D253*$J$5</f>
        <v>8.22857142857143</v>
      </c>
      <c r="F253" s="8" t="n">
        <f aca="false">E253-C253</f>
        <v>-2.77142857142857</v>
      </c>
      <c r="G253" s="9" t="n">
        <f aca="false">IF(AND(C253=0,E253=0),0,IF(C253=0,"New",(E253-C253)/C253))</f>
        <v>-0.251948051948052</v>
      </c>
      <c r="H253" s="8" t="n">
        <f aca="false">SUMIFS('Source 2025'!$D:$D,'Source 2025'!$B:$B,$A253,'Source 2025'!$A:$A,"Amount (NIS)")+SUMIFS('Source 2025'!$E:$E,'Source 2025'!$B:$B,$A253,'Source 2025'!$A:$A,"Amount (NIS)")+SUMIFS('Source 2025'!$F:$F,'Source 2025'!$B:$B,$A253,'Source 2025'!$A:$A,"Amount (NIS)")+SUMIFS('Source 2025'!$G:$G,'Source 2025'!$B:$B,$A253,'Source 2025'!$A:$A,"Amount (NIS)")+SUMIFS('Source 2025'!$J:$J,'Source 2025'!$B:$B,$A253,'Source 2025'!$A:$A,"Amount (NIS)")+SUMIFS('Source 2025'!$M:$M,'Source 2025'!$B:$B,$A253,'Source 2025'!$A:$A,"Amount (NIS)")</f>
        <v>1301.8</v>
      </c>
      <c r="I253" s="8" t="n">
        <f aca="false">SUMIFS('Source 2026'!$D:$D,'Source 2026'!$B:$B,$A253,'Source 2026'!$A:$A,"Amount (NIS)")+SUMIFS('Source 2026'!$E:$E,'Source 2026'!$B:$B,$A253,'Source 2026'!$A:$A,"Amount (NIS)")+SUMIFS('Source 2026'!$F:$F,'Source 2026'!$B:$B,$A253,'Source 2026'!$A:$A,"Amount (NIS)")+SUMIFS('Source 2026'!$G:$G,'Source 2026'!$B:$B,$A253,'Source 2026'!$A:$A,"Amount (NIS)")+SUMIFS('Source 2026'!$J:$J,'Source 2026'!$B:$B,$A253,'Source 2026'!$A:$A,"Amount (NIS)")+SUMIFS('Source 2026'!$M:$M,'Source 2026'!$B:$B,$A253,'Source 2026'!$A:$A,"Amount (NIS)")</f>
        <v>649.4</v>
      </c>
      <c r="J253" s="8" t="n">
        <f aca="false">I253*$J$5</f>
        <v>890.605714285714</v>
      </c>
      <c r="K253" s="8" t="n">
        <f aca="false">J253-H253</f>
        <v>-411.194285714286</v>
      </c>
      <c r="L253" s="9" t="n">
        <f aca="false">IF(AND(H253=0,J253=0),0,IF(H253=0,"New",(J253-H253)/H253))</f>
        <v>-0.315865943857955</v>
      </c>
    </row>
    <row r="254" customFormat="false" ht="15" hidden="false" customHeight="false" outlineLevel="0" collapsed="false">
      <c r="A254" s="7" t="n">
        <v>4401002</v>
      </c>
      <c r="B254" s="7" t="str">
        <f aca="false">IFERROR(INDEX('Source 2026'!$C:$C,MATCH($A254,'Source 2026'!$B:$B,0)),IFERROR(INDEX('Source 2025'!$C:$C,MATCH($A254,'Source 2025'!$B:$B,0)),""))</f>
        <v>PD 344-אבן טבעית להסרת עור קשה</v>
      </c>
      <c r="C254" s="8" t="n">
        <f aca="false">SUMIFS('Source 2025'!$D:$D,'Source 2025'!$B:$B,$A254,'Source 2025'!$A:$A,"Quantity (units)")+SUMIFS('Source 2025'!$E:$E,'Source 2025'!$B:$B,$A254,'Source 2025'!$A:$A,"Quantity (units)")+SUMIFS('Source 2025'!$F:$F,'Source 2025'!$B:$B,$A254,'Source 2025'!$A:$A,"Quantity (units)")+SUMIFS('Source 2025'!$G:$G,'Source 2025'!$B:$B,$A254,'Source 2025'!$A:$A,"Quantity (units)")+SUMIFS('Source 2025'!$J:$J,'Source 2025'!$B:$B,$A254,'Source 2025'!$A:$A,"Quantity (units)")+SUMIFS('Source 2025'!$M:$M,'Source 2025'!$B:$B,$A254,'Source 2025'!$A:$A,"Quantity (units)")</f>
        <v>261</v>
      </c>
      <c r="D254" s="8" t="n">
        <f aca="false">SUMIFS('Source 2026'!$D:$D,'Source 2026'!$B:$B,$A254,'Source 2026'!$A:$A,"Quantity (units)")+SUMIFS('Source 2026'!$E:$E,'Source 2026'!$B:$B,$A254,'Source 2026'!$A:$A,"Quantity (units)")+SUMIFS('Source 2026'!$F:$F,'Source 2026'!$B:$B,$A254,'Source 2026'!$A:$A,"Quantity (units)")+SUMIFS('Source 2026'!$G:$G,'Source 2026'!$B:$B,$A254,'Source 2026'!$A:$A,"Quantity (units)")+SUMIFS('Source 2026'!$J:$J,'Source 2026'!$B:$B,$A254,'Source 2026'!$A:$A,"Quantity (units)")+SUMIFS('Source 2026'!$M:$M,'Source 2026'!$B:$B,$A254,'Source 2026'!$A:$A,"Quantity (units)")</f>
        <v>184</v>
      </c>
      <c r="E254" s="8" t="n">
        <f aca="false">D254*$J$5</f>
        <v>252.342857142857</v>
      </c>
      <c r="F254" s="8" t="n">
        <f aca="false">E254-C254</f>
        <v>-8.65714285714284</v>
      </c>
      <c r="G254" s="9" t="n">
        <f aca="false">IF(AND(C254=0,E254=0),0,IF(C254=0,"New",(E254-C254)/C254))</f>
        <v>-0.0331691297208538</v>
      </c>
      <c r="H254" s="8" t="n">
        <f aca="false">SUMIFS('Source 2025'!$D:$D,'Source 2025'!$B:$B,$A254,'Source 2025'!$A:$A,"Amount (NIS)")+SUMIFS('Source 2025'!$E:$E,'Source 2025'!$B:$B,$A254,'Source 2025'!$A:$A,"Amount (NIS)")+SUMIFS('Source 2025'!$F:$F,'Source 2025'!$B:$B,$A254,'Source 2025'!$A:$A,"Amount (NIS)")+SUMIFS('Source 2025'!$G:$G,'Source 2025'!$B:$B,$A254,'Source 2025'!$A:$A,"Amount (NIS)")+SUMIFS('Source 2025'!$J:$J,'Source 2025'!$B:$B,$A254,'Source 2025'!$A:$A,"Amount (NIS)")+SUMIFS('Source 2025'!$M:$M,'Source 2025'!$B:$B,$A254,'Source 2025'!$A:$A,"Amount (NIS)")</f>
        <v>2230.9</v>
      </c>
      <c r="I254" s="8" t="n">
        <f aca="false">SUMIFS('Source 2026'!$D:$D,'Source 2026'!$B:$B,$A254,'Source 2026'!$A:$A,"Amount (NIS)")+SUMIFS('Source 2026'!$E:$E,'Source 2026'!$B:$B,$A254,'Source 2026'!$A:$A,"Amount (NIS)")+SUMIFS('Source 2026'!$F:$F,'Source 2026'!$B:$B,$A254,'Source 2026'!$A:$A,"Amount (NIS)")+SUMIFS('Source 2026'!$G:$G,'Source 2026'!$B:$B,$A254,'Source 2026'!$A:$A,"Amount (NIS)")+SUMIFS('Source 2026'!$J:$J,'Source 2026'!$B:$B,$A254,'Source 2026'!$A:$A,"Amount (NIS)")+SUMIFS('Source 2026'!$M:$M,'Source 2026'!$B:$B,$A254,'Source 2026'!$A:$A,"Amount (NIS)")</f>
        <v>1578.6</v>
      </c>
      <c r="J254" s="8" t="n">
        <f aca="false">I254*$J$5</f>
        <v>2164.93714285714</v>
      </c>
      <c r="K254" s="8" t="n">
        <f aca="false">J254-H254</f>
        <v>-65.9628571428575</v>
      </c>
      <c r="L254" s="9" t="n">
        <f aca="false">IF(AND(H254=0,J254=0),0,IF(H254=0,"New",(J254-H254)/H254))</f>
        <v>-0.0295678233640493</v>
      </c>
    </row>
    <row r="255" customFormat="false" ht="15" hidden="false" customHeight="false" outlineLevel="0" collapsed="false">
      <c r="A255" s="7" t="n">
        <v>4420001</v>
      </c>
      <c r="B255" s="7" t="str">
        <f aca="false">IFERROR(INDEX('Source 2026'!$C:$C,MATCH($A255,'Source 2026'!$B:$B,0)),IFERROR(INDEX('Source 2025'!$C:$C,MATCH($A255,'Source 2025'!$B:$B,0)),""))</f>
        <v>371 רפידת מגבת כותנה-זוג</v>
      </c>
      <c r="C255" s="8" t="n">
        <f aca="false">SUMIFS('Source 2025'!$D:$D,'Source 2025'!$B:$B,$A255,'Source 2025'!$A:$A,"Quantity (units)")+SUMIFS('Source 2025'!$E:$E,'Source 2025'!$B:$B,$A255,'Source 2025'!$A:$A,"Quantity (units)")+SUMIFS('Source 2025'!$F:$F,'Source 2025'!$B:$B,$A255,'Source 2025'!$A:$A,"Quantity (units)")+SUMIFS('Source 2025'!$G:$G,'Source 2025'!$B:$B,$A255,'Source 2025'!$A:$A,"Quantity (units)")+SUMIFS('Source 2025'!$J:$J,'Source 2025'!$B:$B,$A255,'Source 2025'!$A:$A,"Quantity (units)")+SUMIFS('Source 2025'!$M:$M,'Source 2025'!$B:$B,$A255,'Source 2025'!$A:$A,"Quantity (units)")</f>
        <v>148</v>
      </c>
      <c r="D255" s="8" t="n">
        <f aca="false">SUMIFS('Source 2026'!$D:$D,'Source 2026'!$B:$B,$A255,'Source 2026'!$A:$A,"Quantity (units)")+SUMIFS('Source 2026'!$E:$E,'Source 2026'!$B:$B,$A255,'Source 2026'!$A:$A,"Quantity (units)")+SUMIFS('Source 2026'!$F:$F,'Source 2026'!$B:$B,$A255,'Source 2026'!$A:$A,"Quantity (units)")+SUMIFS('Source 2026'!$G:$G,'Source 2026'!$B:$B,$A255,'Source 2026'!$A:$A,"Quantity (units)")+SUMIFS('Source 2026'!$J:$J,'Source 2026'!$B:$B,$A255,'Source 2026'!$A:$A,"Quantity (units)")+SUMIFS('Source 2026'!$M:$M,'Source 2026'!$B:$B,$A255,'Source 2026'!$A:$A,"Quantity (units)")</f>
        <v>89</v>
      </c>
      <c r="E255" s="8" t="n">
        <f aca="false">D255*$J$5</f>
        <v>122.057142857143</v>
      </c>
      <c r="F255" s="8" t="n">
        <f aca="false">E255-C255</f>
        <v>-25.9428571428571</v>
      </c>
      <c r="G255" s="9" t="n">
        <f aca="false">IF(AND(C255=0,E255=0),0,IF(C255=0,"New",(E255-C255)/C255))</f>
        <v>-0.175289575289575</v>
      </c>
      <c r="H255" s="8" t="n">
        <f aca="false">SUMIFS('Source 2025'!$D:$D,'Source 2025'!$B:$B,$A255,'Source 2025'!$A:$A,"Amount (NIS)")+SUMIFS('Source 2025'!$E:$E,'Source 2025'!$B:$B,$A255,'Source 2025'!$A:$A,"Amount (NIS)")+SUMIFS('Source 2025'!$F:$F,'Source 2025'!$B:$B,$A255,'Source 2025'!$A:$A,"Amount (NIS)")+SUMIFS('Source 2025'!$G:$G,'Source 2025'!$B:$B,$A255,'Source 2025'!$A:$A,"Amount (NIS)")+SUMIFS('Source 2025'!$J:$J,'Source 2025'!$B:$B,$A255,'Source 2025'!$A:$A,"Amount (NIS)")+SUMIFS('Source 2025'!$M:$M,'Source 2025'!$B:$B,$A255,'Source 2025'!$A:$A,"Amount (NIS)")</f>
        <v>1619.1</v>
      </c>
      <c r="I255" s="8" t="n">
        <f aca="false">SUMIFS('Source 2026'!$D:$D,'Source 2026'!$B:$B,$A255,'Source 2026'!$A:$A,"Amount (NIS)")+SUMIFS('Source 2026'!$E:$E,'Source 2026'!$B:$B,$A255,'Source 2026'!$A:$A,"Amount (NIS)")+SUMIFS('Source 2026'!$F:$F,'Source 2026'!$B:$B,$A255,'Source 2026'!$A:$A,"Amount (NIS)")+SUMIFS('Source 2026'!$G:$G,'Source 2026'!$B:$B,$A255,'Source 2026'!$A:$A,"Amount (NIS)")+SUMIFS('Source 2026'!$J:$J,'Source 2026'!$B:$B,$A255,'Source 2026'!$A:$A,"Amount (NIS)")+SUMIFS('Source 2026'!$M:$M,'Source 2026'!$B:$B,$A255,'Source 2026'!$A:$A,"Amount (NIS)")</f>
        <v>971.3</v>
      </c>
      <c r="J255" s="8" t="n">
        <f aca="false">I255*$J$5</f>
        <v>1332.06857142857</v>
      </c>
      <c r="K255" s="8" t="n">
        <f aca="false">J255-H255</f>
        <v>-287.031428571429</v>
      </c>
      <c r="L255" s="9" t="n">
        <f aca="false">IF(AND(H255=0,J255=0),0,IF(H255=0,"New",(J255-H255)/H255))</f>
        <v>-0.177278382169989</v>
      </c>
    </row>
    <row r="256" customFormat="false" ht="15" hidden="false" customHeight="false" outlineLevel="0" collapsed="false">
      <c r="A256" s="7" t="n">
        <v>4420039</v>
      </c>
      <c r="B256" s="7" t="str">
        <f aca="false">IFERROR(INDEX('Source 2026'!$C:$C,MATCH($A256,'Source 2026'!$B:$B,0)),IFERROR(INDEX('Source 2025'!$C:$C,MATCH($A256,'Source 2025'!$B:$B,0)),""))</f>
        <v>T40B רצועה לפיקה</v>
      </c>
      <c r="C256" s="8" t="n">
        <f aca="false">SUMIFS('Source 2025'!$D:$D,'Source 2025'!$B:$B,$A256,'Source 2025'!$A:$A,"Quantity (units)")+SUMIFS('Source 2025'!$E:$E,'Source 2025'!$B:$B,$A256,'Source 2025'!$A:$A,"Quantity (units)")+SUMIFS('Source 2025'!$F:$F,'Source 2025'!$B:$B,$A256,'Source 2025'!$A:$A,"Quantity (units)")+SUMIFS('Source 2025'!$G:$G,'Source 2025'!$B:$B,$A256,'Source 2025'!$A:$A,"Quantity (units)")+SUMIFS('Source 2025'!$J:$J,'Source 2025'!$B:$B,$A256,'Source 2025'!$A:$A,"Quantity (units)")+SUMIFS('Source 2025'!$M:$M,'Source 2025'!$B:$B,$A256,'Source 2025'!$A:$A,"Quantity (units)")</f>
        <v>0</v>
      </c>
      <c r="D256" s="8" t="n">
        <f aca="false">SUMIFS('Source 2026'!$D:$D,'Source 2026'!$B:$B,$A256,'Source 2026'!$A:$A,"Quantity (units)")+SUMIFS('Source 2026'!$E:$E,'Source 2026'!$B:$B,$A256,'Source 2026'!$A:$A,"Quantity (units)")+SUMIFS('Source 2026'!$F:$F,'Source 2026'!$B:$B,$A256,'Source 2026'!$A:$A,"Quantity (units)")+SUMIFS('Source 2026'!$G:$G,'Source 2026'!$B:$B,$A256,'Source 2026'!$A:$A,"Quantity (units)")+SUMIFS('Source 2026'!$J:$J,'Source 2026'!$B:$B,$A256,'Source 2026'!$A:$A,"Quantity (units)")+SUMIFS('Source 2026'!$M:$M,'Source 2026'!$B:$B,$A256,'Source 2026'!$A:$A,"Quantity (units)")</f>
        <v>8</v>
      </c>
      <c r="E256" s="8" t="n">
        <f aca="false">D256*$J$5</f>
        <v>10.9714285714286</v>
      </c>
      <c r="F256" s="8" t="n">
        <f aca="false">E256-C256</f>
        <v>10.9714285714286</v>
      </c>
      <c r="G256" s="9" t="str">
        <f aca="false">IF(AND(C256=0,E256=0),0,IF(C256=0,"New",(E256-C256)/C256))</f>
        <v>New</v>
      </c>
      <c r="H256" s="8" t="n">
        <f aca="false">SUMIFS('Source 2025'!$D:$D,'Source 2025'!$B:$B,$A256,'Source 2025'!$A:$A,"Amount (NIS)")+SUMIFS('Source 2025'!$E:$E,'Source 2025'!$B:$B,$A256,'Source 2025'!$A:$A,"Amount (NIS)")+SUMIFS('Source 2025'!$F:$F,'Source 2025'!$B:$B,$A256,'Source 2025'!$A:$A,"Amount (NIS)")+SUMIFS('Source 2025'!$G:$G,'Source 2025'!$B:$B,$A256,'Source 2025'!$A:$A,"Amount (NIS)")+SUMIFS('Source 2025'!$J:$J,'Source 2025'!$B:$B,$A256,'Source 2025'!$A:$A,"Amount (NIS)")+SUMIFS('Source 2025'!$M:$M,'Source 2025'!$B:$B,$A256,'Source 2025'!$A:$A,"Amount (NIS)")</f>
        <v>0</v>
      </c>
      <c r="I256" s="8" t="n">
        <f aca="false">SUMIFS('Source 2026'!$D:$D,'Source 2026'!$B:$B,$A256,'Source 2026'!$A:$A,"Amount (NIS)")+SUMIFS('Source 2026'!$E:$E,'Source 2026'!$B:$B,$A256,'Source 2026'!$A:$A,"Amount (NIS)")+SUMIFS('Source 2026'!$F:$F,'Source 2026'!$B:$B,$A256,'Source 2026'!$A:$A,"Amount (NIS)")+SUMIFS('Source 2026'!$G:$G,'Source 2026'!$B:$B,$A256,'Source 2026'!$A:$A,"Amount (NIS)")+SUMIFS('Source 2026'!$J:$J,'Source 2026'!$B:$B,$A256,'Source 2026'!$A:$A,"Amount (NIS)")+SUMIFS('Source 2026'!$M:$M,'Source 2026'!$B:$B,$A256,'Source 2026'!$A:$A,"Amount (NIS)")</f>
        <v>646.3</v>
      </c>
      <c r="J256" s="8" t="n">
        <f aca="false">I256*$J$5</f>
        <v>886.354285714286</v>
      </c>
      <c r="K256" s="8" t="n">
        <f aca="false">J256-H256</f>
        <v>886.354285714286</v>
      </c>
      <c r="L256" s="9" t="str">
        <f aca="false">IF(AND(H256=0,J256=0),0,IF(H256=0,"New",(J256-H256)/H256))</f>
        <v>New</v>
      </c>
    </row>
    <row r="257" customFormat="false" ht="15" hidden="false" customHeight="false" outlineLevel="0" collapsed="false">
      <c r="A257" s="7" t="n">
        <v>4413337</v>
      </c>
      <c r="B257" s="7" t="str">
        <f aca="false">IFERROR(INDEX('Source 2026'!$C:$C,MATCH($A257,'Source 2026'!$B:$B,0)),IFERROR(INDEX('Source 2025'!$C:$C,MATCH($A257,'Source 2025'!$B:$B,0)),""))</f>
        <v>322XL מגן קרסול+כרית סילקון</v>
      </c>
      <c r="C257" s="8" t="n">
        <f aca="false">SUMIFS('Source 2025'!$D:$D,'Source 2025'!$B:$B,$A257,'Source 2025'!$A:$A,"Quantity (units)")+SUMIFS('Source 2025'!$E:$E,'Source 2025'!$B:$B,$A257,'Source 2025'!$A:$A,"Quantity (units)")+SUMIFS('Source 2025'!$F:$F,'Source 2025'!$B:$B,$A257,'Source 2025'!$A:$A,"Quantity (units)")+SUMIFS('Source 2025'!$G:$G,'Source 2025'!$B:$B,$A257,'Source 2025'!$A:$A,"Quantity (units)")+SUMIFS('Source 2025'!$J:$J,'Source 2025'!$B:$B,$A257,'Source 2025'!$A:$A,"Quantity (units)")+SUMIFS('Source 2025'!$M:$M,'Source 2025'!$B:$B,$A257,'Source 2025'!$A:$A,"Quantity (units)")</f>
        <v>0</v>
      </c>
      <c r="D257" s="8" t="n">
        <f aca="false">SUMIFS('Source 2026'!$D:$D,'Source 2026'!$B:$B,$A257,'Source 2026'!$A:$A,"Quantity (units)")+SUMIFS('Source 2026'!$E:$E,'Source 2026'!$B:$B,$A257,'Source 2026'!$A:$A,"Quantity (units)")+SUMIFS('Source 2026'!$F:$F,'Source 2026'!$B:$B,$A257,'Source 2026'!$A:$A,"Quantity (units)")+SUMIFS('Source 2026'!$G:$G,'Source 2026'!$B:$B,$A257,'Source 2026'!$A:$A,"Quantity (units)")+SUMIFS('Source 2026'!$J:$J,'Source 2026'!$B:$B,$A257,'Source 2026'!$A:$A,"Quantity (units)")+SUMIFS('Source 2026'!$M:$M,'Source 2026'!$B:$B,$A257,'Source 2026'!$A:$A,"Quantity (units)")</f>
        <v>5</v>
      </c>
      <c r="E257" s="8" t="n">
        <f aca="false">D257*$J$5</f>
        <v>6.85714285714286</v>
      </c>
      <c r="F257" s="8" t="n">
        <f aca="false">E257-C257</f>
        <v>6.85714285714286</v>
      </c>
      <c r="G257" s="9" t="str">
        <f aca="false">IF(AND(C257=0,E257=0),0,IF(C257=0,"New",(E257-C257)/C257))</f>
        <v>New</v>
      </c>
      <c r="H257" s="8" t="n">
        <f aca="false">SUMIFS('Source 2025'!$D:$D,'Source 2025'!$B:$B,$A257,'Source 2025'!$A:$A,"Amount (NIS)")+SUMIFS('Source 2025'!$E:$E,'Source 2025'!$B:$B,$A257,'Source 2025'!$A:$A,"Amount (NIS)")+SUMIFS('Source 2025'!$F:$F,'Source 2025'!$B:$B,$A257,'Source 2025'!$A:$A,"Amount (NIS)")+SUMIFS('Source 2025'!$G:$G,'Source 2025'!$B:$B,$A257,'Source 2025'!$A:$A,"Amount (NIS)")+SUMIFS('Source 2025'!$J:$J,'Source 2025'!$B:$B,$A257,'Source 2025'!$A:$A,"Amount (NIS)")+SUMIFS('Source 2025'!$M:$M,'Source 2025'!$B:$B,$A257,'Source 2025'!$A:$A,"Amount (NIS)")</f>
        <v>0</v>
      </c>
      <c r="I257" s="8" t="n">
        <f aca="false">SUMIFS('Source 2026'!$D:$D,'Source 2026'!$B:$B,$A257,'Source 2026'!$A:$A,"Amount (NIS)")+SUMIFS('Source 2026'!$E:$E,'Source 2026'!$B:$B,$A257,'Source 2026'!$A:$A,"Amount (NIS)")+SUMIFS('Source 2026'!$F:$F,'Source 2026'!$B:$B,$A257,'Source 2026'!$A:$A,"Amount (NIS)")+SUMIFS('Source 2026'!$G:$G,'Source 2026'!$B:$B,$A257,'Source 2026'!$A:$A,"Amount (NIS)")+SUMIFS('Source 2026'!$J:$J,'Source 2026'!$B:$B,$A257,'Source 2026'!$A:$A,"Amount (NIS)")+SUMIFS('Source 2026'!$M:$M,'Source 2026'!$B:$B,$A257,'Source 2026'!$A:$A,"Amount (NIS)")</f>
        <v>639.6</v>
      </c>
      <c r="J257" s="8" t="n">
        <f aca="false">I257*$J$5</f>
        <v>877.165714285714</v>
      </c>
      <c r="K257" s="8" t="n">
        <f aca="false">J257-H257</f>
        <v>877.165714285714</v>
      </c>
      <c r="L257" s="9" t="str">
        <f aca="false">IF(AND(H257=0,J257=0),0,IF(H257=0,"New",(J257-H257)/H257))</f>
        <v>New</v>
      </c>
    </row>
    <row r="258" customFormat="false" ht="15" hidden="false" customHeight="false" outlineLevel="0" collapsed="false">
      <c r="A258" s="7" t="n">
        <v>4419010</v>
      </c>
      <c r="B258" s="7" t="str">
        <f aca="false">IFERROR(INDEX('Source 2026'!$C:$C,MATCH($A258,'Source 2026'!$B:$B,0)),IFERROR(INDEX('Source 2025'!$C:$C,MATCH($A258,'Source 2025'!$B:$B,0)),""))</f>
        <v>FC316   קרם רגליים שיקומי</v>
      </c>
      <c r="C258" s="8" t="n">
        <f aca="false">SUMIFS('Source 2025'!$D:$D,'Source 2025'!$B:$B,$A258,'Source 2025'!$A:$A,"Quantity (units)")+SUMIFS('Source 2025'!$E:$E,'Source 2025'!$B:$B,$A258,'Source 2025'!$A:$A,"Quantity (units)")+SUMIFS('Source 2025'!$F:$F,'Source 2025'!$B:$B,$A258,'Source 2025'!$A:$A,"Quantity (units)")+SUMIFS('Source 2025'!$G:$G,'Source 2025'!$B:$B,$A258,'Source 2025'!$A:$A,"Quantity (units)")+SUMIFS('Source 2025'!$J:$J,'Source 2025'!$B:$B,$A258,'Source 2025'!$A:$A,"Quantity (units)")+SUMIFS('Source 2025'!$M:$M,'Source 2025'!$B:$B,$A258,'Source 2025'!$A:$A,"Quantity (units)")</f>
        <v>-17</v>
      </c>
      <c r="D258" s="8" t="n">
        <f aca="false">SUMIFS('Source 2026'!$D:$D,'Source 2026'!$B:$B,$A258,'Source 2026'!$A:$A,"Quantity (units)")+SUMIFS('Source 2026'!$E:$E,'Source 2026'!$B:$B,$A258,'Source 2026'!$A:$A,"Quantity (units)")+SUMIFS('Source 2026'!$F:$F,'Source 2026'!$B:$B,$A258,'Source 2026'!$A:$A,"Quantity (units)")+SUMIFS('Source 2026'!$G:$G,'Source 2026'!$B:$B,$A258,'Source 2026'!$A:$A,"Quantity (units)")+SUMIFS('Source 2026'!$J:$J,'Source 2026'!$B:$B,$A258,'Source 2026'!$A:$A,"Quantity (units)")+SUMIFS('Source 2026'!$M:$M,'Source 2026'!$B:$B,$A258,'Source 2026'!$A:$A,"Quantity (units)")</f>
        <v>-4</v>
      </c>
      <c r="E258" s="8" t="n">
        <f aca="false">D258*$J$5</f>
        <v>-5.48571428571429</v>
      </c>
      <c r="F258" s="8" t="n">
        <f aca="false">E258-C258</f>
        <v>11.5142857142857</v>
      </c>
      <c r="G258" s="9" t="n">
        <f aca="false">IF(AND(C258=0,E258=0),0,IF(C258=0,"New",(E258-C258)/C258))</f>
        <v>-0.677310924369748</v>
      </c>
      <c r="H258" s="8" t="n">
        <f aca="false">SUMIFS('Source 2025'!$D:$D,'Source 2025'!$B:$B,$A258,'Source 2025'!$A:$A,"Amount (NIS)")+SUMIFS('Source 2025'!$E:$E,'Source 2025'!$B:$B,$A258,'Source 2025'!$A:$A,"Amount (NIS)")+SUMIFS('Source 2025'!$F:$F,'Source 2025'!$B:$B,$A258,'Source 2025'!$A:$A,"Amount (NIS)")+SUMIFS('Source 2025'!$G:$G,'Source 2025'!$B:$B,$A258,'Source 2025'!$A:$A,"Amount (NIS)")+SUMIFS('Source 2025'!$J:$J,'Source 2025'!$B:$B,$A258,'Source 2025'!$A:$A,"Amount (NIS)")+SUMIFS('Source 2025'!$M:$M,'Source 2025'!$B:$B,$A258,'Source 2025'!$A:$A,"Amount (NIS)")</f>
        <v>-768.2</v>
      </c>
      <c r="I258" s="8" t="n">
        <f aca="false">SUMIFS('Source 2026'!$D:$D,'Source 2026'!$B:$B,$A258,'Source 2026'!$A:$A,"Amount (NIS)")+SUMIFS('Source 2026'!$E:$E,'Source 2026'!$B:$B,$A258,'Source 2026'!$A:$A,"Amount (NIS)")+SUMIFS('Source 2026'!$F:$F,'Source 2026'!$B:$B,$A258,'Source 2026'!$A:$A,"Amount (NIS)")+SUMIFS('Source 2026'!$G:$G,'Source 2026'!$B:$B,$A258,'Source 2026'!$A:$A,"Amount (NIS)")+SUMIFS('Source 2026'!$J:$J,'Source 2026'!$B:$B,$A258,'Source 2026'!$A:$A,"Amount (NIS)")+SUMIFS('Source 2026'!$M:$M,'Source 2026'!$B:$B,$A258,'Source 2026'!$A:$A,"Amount (NIS)")</f>
        <v>-132.5</v>
      </c>
      <c r="J258" s="8" t="n">
        <f aca="false">I258*$J$5</f>
        <v>-181.714285714286</v>
      </c>
      <c r="K258" s="8" t="n">
        <f aca="false">J258-H258</f>
        <v>586.485714285714</v>
      </c>
      <c r="L258" s="9" t="n">
        <f aca="false">IF(AND(H258=0,J258=0),0,IF(H258=0,"New",(J258-H258)/H258))</f>
        <v>-0.763454457544538</v>
      </c>
    </row>
    <row r="259" customFormat="false" ht="15" hidden="false" customHeight="false" outlineLevel="0" collapsed="false">
      <c r="A259" s="7" t="n">
        <v>4411022</v>
      </c>
      <c r="B259" s="7" t="str">
        <f aca="false">IFERROR(INDEX('Source 2026'!$C:$C,MATCH($A259,'Source 2026'!$B:$B,0)),IFERROR(INDEX('Source 2025'!$C:$C,MATCH($A259,'Source 2025'!$B:$B,0)),""))</f>
        <v>212M כפפות אגודל לחץ</v>
      </c>
      <c r="C259" s="8" t="n">
        <f aca="false">SUMIFS('Source 2025'!$D:$D,'Source 2025'!$B:$B,$A259,'Source 2025'!$A:$A,"Quantity (units)")+SUMIFS('Source 2025'!$E:$E,'Source 2025'!$B:$B,$A259,'Source 2025'!$A:$A,"Quantity (units)")+SUMIFS('Source 2025'!$F:$F,'Source 2025'!$B:$B,$A259,'Source 2025'!$A:$A,"Quantity (units)")+SUMIFS('Source 2025'!$G:$G,'Source 2025'!$B:$B,$A259,'Source 2025'!$A:$A,"Quantity (units)")+SUMIFS('Source 2025'!$J:$J,'Source 2025'!$B:$B,$A259,'Source 2025'!$A:$A,"Quantity (units)")+SUMIFS('Source 2025'!$M:$M,'Source 2025'!$B:$B,$A259,'Source 2025'!$A:$A,"Quantity (units)")</f>
        <v>44</v>
      </c>
      <c r="D259" s="8" t="n">
        <f aca="false">SUMIFS('Source 2026'!$D:$D,'Source 2026'!$B:$B,$A259,'Source 2026'!$A:$A,"Quantity (units)")+SUMIFS('Source 2026'!$E:$E,'Source 2026'!$B:$B,$A259,'Source 2026'!$A:$A,"Quantity (units)")+SUMIFS('Source 2026'!$F:$F,'Source 2026'!$B:$B,$A259,'Source 2026'!$A:$A,"Quantity (units)")+SUMIFS('Source 2026'!$G:$G,'Source 2026'!$B:$B,$A259,'Source 2026'!$A:$A,"Quantity (units)")+SUMIFS('Source 2026'!$J:$J,'Source 2026'!$B:$B,$A259,'Source 2026'!$A:$A,"Quantity (units)")+SUMIFS('Source 2026'!$M:$M,'Source 2026'!$B:$B,$A259,'Source 2026'!$A:$A,"Quantity (units)")</f>
        <v>27</v>
      </c>
      <c r="E259" s="8" t="n">
        <f aca="false">D259*$J$5</f>
        <v>37.0285714285714</v>
      </c>
      <c r="F259" s="8" t="n">
        <f aca="false">E259-C259</f>
        <v>-6.97142857142857</v>
      </c>
      <c r="G259" s="9" t="n">
        <f aca="false">IF(AND(C259=0,E259=0),0,IF(C259=0,"New",(E259-C259)/C259))</f>
        <v>-0.158441558441558</v>
      </c>
      <c r="H259" s="8" t="n">
        <f aca="false">SUMIFS('Source 2025'!$D:$D,'Source 2025'!$B:$B,$A259,'Source 2025'!$A:$A,"Amount (NIS)")+SUMIFS('Source 2025'!$E:$E,'Source 2025'!$B:$B,$A259,'Source 2025'!$A:$A,"Amount (NIS)")+SUMIFS('Source 2025'!$F:$F,'Source 2025'!$B:$B,$A259,'Source 2025'!$A:$A,"Amount (NIS)")+SUMIFS('Source 2025'!$G:$G,'Source 2025'!$B:$B,$A259,'Source 2025'!$A:$A,"Amount (NIS)")+SUMIFS('Source 2025'!$J:$J,'Source 2025'!$B:$B,$A259,'Source 2025'!$A:$A,"Amount (NIS)")+SUMIFS('Source 2025'!$M:$M,'Source 2025'!$B:$B,$A259,'Source 2025'!$A:$A,"Amount (NIS)")</f>
        <v>1685.9</v>
      </c>
      <c r="I259" s="8" t="n">
        <f aca="false">SUMIFS('Source 2026'!$D:$D,'Source 2026'!$B:$B,$A259,'Source 2026'!$A:$A,"Amount (NIS)")+SUMIFS('Source 2026'!$E:$E,'Source 2026'!$B:$B,$A259,'Source 2026'!$A:$A,"Amount (NIS)")+SUMIFS('Source 2026'!$F:$F,'Source 2026'!$B:$B,$A259,'Source 2026'!$A:$A,"Amount (NIS)")+SUMIFS('Source 2026'!$G:$G,'Source 2026'!$B:$B,$A259,'Source 2026'!$A:$A,"Amount (NIS)")+SUMIFS('Source 2026'!$J:$J,'Source 2026'!$B:$B,$A259,'Source 2026'!$A:$A,"Amount (NIS)")+SUMIFS('Source 2026'!$M:$M,'Source 2026'!$B:$B,$A259,'Source 2026'!$A:$A,"Amount (NIS)")</f>
        <v>1063.8</v>
      </c>
      <c r="J259" s="8" t="n">
        <f aca="false">I259*$J$5</f>
        <v>1458.92571428571</v>
      </c>
      <c r="K259" s="8" t="n">
        <f aca="false">J259-H259</f>
        <v>-226.974285714286</v>
      </c>
      <c r="L259" s="9" t="n">
        <f aca="false">IF(AND(H259=0,J259=0),0,IF(H259=0,"New",(J259-H259)/H259))</f>
        <v>-0.134630930490709</v>
      </c>
    </row>
    <row r="260" customFormat="false" ht="15" hidden="false" customHeight="false" outlineLevel="0" collapsed="false">
      <c r="A260" s="7" t="n">
        <v>4408012</v>
      </c>
      <c r="B260" s="7" t="str">
        <f aca="false">IFERROR(INDEX('Source 2026'!$C:$C,MATCH($A260,'Source 2026'!$B:$B,0)),IFERROR(INDEX('Source 2025'!$C:$C,MATCH($A260,'Source 2025'!$B:$B,0)),""))</f>
        <v>079 XL ח.גב סג.כפולה שחור+אדום</v>
      </c>
      <c r="C260" s="8" t="n">
        <f aca="false">SUMIFS('Source 2025'!$D:$D,'Source 2025'!$B:$B,$A260,'Source 2025'!$A:$A,"Quantity (units)")+SUMIFS('Source 2025'!$E:$E,'Source 2025'!$B:$B,$A260,'Source 2025'!$A:$A,"Quantity (units)")+SUMIFS('Source 2025'!$F:$F,'Source 2025'!$B:$B,$A260,'Source 2025'!$A:$A,"Quantity (units)")+SUMIFS('Source 2025'!$G:$G,'Source 2025'!$B:$B,$A260,'Source 2025'!$A:$A,"Quantity (units)")+SUMIFS('Source 2025'!$J:$J,'Source 2025'!$B:$B,$A260,'Source 2025'!$A:$A,"Quantity (units)")+SUMIFS('Source 2025'!$M:$M,'Source 2025'!$B:$B,$A260,'Source 2025'!$A:$A,"Quantity (units)")</f>
        <v>7</v>
      </c>
      <c r="D260" s="8" t="n">
        <f aca="false">SUMIFS('Source 2026'!$D:$D,'Source 2026'!$B:$B,$A260,'Source 2026'!$A:$A,"Quantity (units)")+SUMIFS('Source 2026'!$E:$E,'Source 2026'!$B:$B,$A260,'Source 2026'!$A:$A,"Quantity (units)")+SUMIFS('Source 2026'!$F:$F,'Source 2026'!$B:$B,$A260,'Source 2026'!$A:$A,"Quantity (units)")+SUMIFS('Source 2026'!$G:$G,'Source 2026'!$B:$B,$A260,'Source 2026'!$A:$A,"Quantity (units)")+SUMIFS('Source 2026'!$J:$J,'Source 2026'!$B:$B,$A260,'Source 2026'!$A:$A,"Quantity (units)")+SUMIFS('Source 2026'!$M:$M,'Source 2026'!$B:$B,$A260,'Source 2026'!$A:$A,"Quantity (units)")</f>
        <v>1</v>
      </c>
      <c r="E260" s="8" t="n">
        <f aca="false">D260*$J$5</f>
        <v>1.37142857142857</v>
      </c>
      <c r="F260" s="8" t="n">
        <f aca="false">E260-C260</f>
        <v>-5.62857142857143</v>
      </c>
      <c r="G260" s="9" t="n">
        <f aca="false">IF(AND(C260=0,E260=0),0,IF(C260=0,"New",(E260-C260)/C260))</f>
        <v>-0.804081632653061</v>
      </c>
      <c r="H260" s="8" t="n">
        <f aca="false">SUMIFS('Source 2025'!$D:$D,'Source 2025'!$B:$B,$A260,'Source 2025'!$A:$A,"Amount (NIS)")+SUMIFS('Source 2025'!$E:$E,'Source 2025'!$B:$B,$A260,'Source 2025'!$A:$A,"Amount (NIS)")+SUMIFS('Source 2025'!$F:$F,'Source 2025'!$B:$B,$A260,'Source 2025'!$A:$A,"Amount (NIS)")+SUMIFS('Source 2025'!$G:$G,'Source 2025'!$B:$B,$A260,'Source 2025'!$A:$A,"Amount (NIS)")+SUMIFS('Source 2025'!$J:$J,'Source 2025'!$B:$B,$A260,'Source 2025'!$A:$A,"Amount (NIS)")+SUMIFS('Source 2025'!$M:$M,'Source 2025'!$B:$B,$A260,'Source 2025'!$A:$A,"Amount (NIS)")</f>
        <v>720.2</v>
      </c>
      <c r="I260" s="8" t="n">
        <f aca="false">SUMIFS('Source 2026'!$D:$D,'Source 2026'!$B:$B,$A260,'Source 2026'!$A:$A,"Amount (NIS)")+SUMIFS('Source 2026'!$E:$E,'Source 2026'!$B:$B,$A260,'Source 2026'!$A:$A,"Amount (NIS)")+SUMIFS('Source 2026'!$F:$F,'Source 2026'!$B:$B,$A260,'Source 2026'!$A:$A,"Amount (NIS)")+SUMIFS('Source 2026'!$G:$G,'Source 2026'!$B:$B,$A260,'Source 2026'!$A:$A,"Amount (NIS)")+SUMIFS('Source 2026'!$J:$J,'Source 2026'!$B:$B,$A260,'Source 2026'!$A:$A,"Amount (NIS)")+SUMIFS('Source 2026'!$M:$M,'Source 2026'!$B:$B,$A260,'Source 2026'!$A:$A,"Amount (NIS)")</f>
        <v>108.7</v>
      </c>
      <c r="J260" s="8" t="n">
        <f aca="false">I260*$J$5</f>
        <v>149.074285714286</v>
      </c>
      <c r="K260" s="8" t="n">
        <f aca="false">J260-H260</f>
        <v>-571.125714285714</v>
      </c>
      <c r="L260" s="9" t="n">
        <f aca="false">IF(AND(H260=0,J260=0),0,IF(H260=0,"New",(J260-H260)/H260))</f>
        <v>-0.793009878208434</v>
      </c>
    </row>
    <row r="261" customFormat="false" ht="15" hidden="false" customHeight="false" outlineLevel="0" collapsed="false">
      <c r="A261" s="7" t="n">
        <v>4413108</v>
      </c>
      <c r="B261" s="7" t="str">
        <f aca="false">IFERROR(INDEX('Source 2026'!$C:$C,MATCH($A261,'Source 2026'!$B:$B,0)),IFERROR(INDEX('Source 2025'!$C:$C,MATCH($A261,'Source 2025'!$B:$B,0)),""))</f>
        <v>48 M מגן ברך מחמם</v>
      </c>
      <c r="C261" s="8" t="n">
        <f aca="false">SUMIFS('Source 2025'!$D:$D,'Source 2025'!$B:$B,$A261,'Source 2025'!$A:$A,"Quantity (units)")+SUMIFS('Source 2025'!$E:$E,'Source 2025'!$B:$B,$A261,'Source 2025'!$A:$A,"Quantity (units)")+SUMIFS('Source 2025'!$F:$F,'Source 2025'!$B:$B,$A261,'Source 2025'!$A:$A,"Quantity (units)")+SUMIFS('Source 2025'!$G:$G,'Source 2025'!$B:$B,$A261,'Source 2025'!$A:$A,"Quantity (units)")+SUMIFS('Source 2025'!$J:$J,'Source 2025'!$B:$B,$A261,'Source 2025'!$A:$A,"Quantity (units)")+SUMIFS('Source 2025'!$M:$M,'Source 2025'!$B:$B,$A261,'Source 2025'!$A:$A,"Quantity (units)")</f>
        <v>13</v>
      </c>
      <c r="D261" s="8" t="n">
        <f aca="false">SUMIFS('Source 2026'!$D:$D,'Source 2026'!$B:$B,$A261,'Source 2026'!$A:$A,"Quantity (units)")+SUMIFS('Source 2026'!$E:$E,'Source 2026'!$B:$B,$A261,'Source 2026'!$A:$A,"Quantity (units)")+SUMIFS('Source 2026'!$F:$F,'Source 2026'!$B:$B,$A261,'Source 2026'!$A:$A,"Quantity (units)")+SUMIFS('Source 2026'!$G:$G,'Source 2026'!$B:$B,$A261,'Source 2026'!$A:$A,"Quantity (units)")+SUMIFS('Source 2026'!$J:$J,'Source 2026'!$B:$B,$A261,'Source 2026'!$A:$A,"Quantity (units)")+SUMIFS('Source 2026'!$M:$M,'Source 2026'!$B:$B,$A261,'Source 2026'!$A:$A,"Quantity (units)")</f>
        <v>2</v>
      </c>
      <c r="E261" s="8" t="n">
        <f aca="false">D261*$J$5</f>
        <v>2.74285714285714</v>
      </c>
      <c r="F261" s="8" t="n">
        <f aca="false">E261-C261</f>
        <v>-10.2571428571429</v>
      </c>
      <c r="G261" s="9" t="n">
        <f aca="false">IF(AND(C261=0,E261=0),0,IF(C261=0,"New",(E261-C261)/C261))</f>
        <v>-0.789010989010989</v>
      </c>
      <c r="H261" s="8" t="n">
        <f aca="false">SUMIFS('Source 2025'!$D:$D,'Source 2025'!$B:$B,$A261,'Source 2025'!$A:$A,"Amount (NIS)")+SUMIFS('Source 2025'!$E:$E,'Source 2025'!$B:$B,$A261,'Source 2025'!$A:$A,"Amount (NIS)")+SUMIFS('Source 2025'!$F:$F,'Source 2025'!$B:$B,$A261,'Source 2025'!$A:$A,"Amount (NIS)")+SUMIFS('Source 2025'!$G:$G,'Source 2025'!$B:$B,$A261,'Source 2025'!$A:$A,"Amount (NIS)")+SUMIFS('Source 2025'!$J:$J,'Source 2025'!$B:$B,$A261,'Source 2025'!$A:$A,"Amount (NIS)")+SUMIFS('Source 2025'!$M:$M,'Source 2025'!$B:$B,$A261,'Source 2025'!$A:$A,"Amount (NIS)")</f>
        <v>721.6</v>
      </c>
      <c r="I261" s="8" t="n">
        <f aca="false">SUMIFS('Source 2026'!$D:$D,'Source 2026'!$B:$B,$A261,'Source 2026'!$A:$A,"Amount (NIS)")+SUMIFS('Source 2026'!$E:$E,'Source 2026'!$B:$B,$A261,'Source 2026'!$A:$A,"Amount (NIS)")+SUMIFS('Source 2026'!$F:$F,'Source 2026'!$B:$B,$A261,'Source 2026'!$A:$A,"Amount (NIS)")+SUMIFS('Source 2026'!$G:$G,'Source 2026'!$B:$B,$A261,'Source 2026'!$A:$A,"Amount (NIS)")+SUMIFS('Source 2026'!$J:$J,'Source 2026'!$B:$B,$A261,'Source 2026'!$A:$A,"Amount (NIS)")+SUMIFS('Source 2026'!$M:$M,'Source 2026'!$B:$B,$A261,'Source 2026'!$A:$A,"Amount (NIS)")</f>
        <v>113.3</v>
      </c>
      <c r="J261" s="8" t="n">
        <f aca="false">I261*$J$5</f>
        <v>155.382857142857</v>
      </c>
      <c r="K261" s="8" t="n">
        <f aca="false">J261-H261</f>
        <v>-566.217142857143</v>
      </c>
      <c r="L261" s="9" t="n">
        <f aca="false">IF(AND(H261=0,J261=0),0,IF(H261=0,"New",(J261-H261)/H261))</f>
        <v>-0.784668989547038</v>
      </c>
    </row>
    <row r="262" customFormat="false" ht="15" hidden="false" customHeight="false" outlineLevel="0" collapsed="false">
      <c r="A262" s="7" t="n">
        <v>4403044</v>
      </c>
      <c r="B262" s="7" t="str">
        <f aca="false">IFERROR(INDEX('Source 2026'!$C:$C,MATCH($A262,'Source 2026'!$B:$B,0)),IFERROR(INDEX('Source 2025'!$C:$C,MATCH($A262,'Source 2025'!$B:$B,0)),""))</f>
        <v>395B גרבי קיץ אנטי בקטריא39-42</v>
      </c>
      <c r="C262" s="8" t="n">
        <f aca="false">SUMIFS('Source 2025'!$D:$D,'Source 2025'!$B:$B,$A262,'Source 2025'!$A:$A,"Quantity (units)")+SUMIFS('Source 2025'!$E:$E,'Source 2025'!$B:$B,$A262,'Source 2025'!$A:$A,"Quantity (units)")+SUMIFS('Source 2025'!$F:$F,'Source 2025'!$B:$B,$A262,'Source 2025'!$A:$A,"Quantity (units)")+SUMIFS('Source 2025'!$G:$G,'Source 2025'!$B:$B,$A262,'Source 2025'!$A:$A,"Quantity (units)")+SUMIFS('Source 2025'!$J:$J,'Source 2025'!$B:$B,$A262,'Source 2025'!$A:$A,"Quantity (units)")+SUMIFS('Source 2025'!$M:$M,'Source 2025'!$B:$B,$A262,'Source 2025'!$A:$A,"Quantity (units)")</f>
        <v>0</v>
      </c>
      <c r="D262" s="8" t="n">
        <f aca="false">SUMIFS('Source 2026'!$D:$D,'Source 2026'!$B:$B,$A262,'Source 2026'!$A:$A,"Quantity (units)")+SUMIFS('Source 2026'!$E:$E,'Source 2026'!$B:$B,$A262,'Source 2026'!$A:$A,"Quantity (units)")+SUMIFS('Source 2026'!$F:$F,'Source 2026'!$B:$B,$A262,'Source 2026'!$A:$A,"Quantity (units)")+SUMIFS('Source 2026'!$G:$G,'Source 2026'!$B:$B,$A262,'Source 2026'!$A:$A,"Quantity (units)")+SUMIFS('Source 2026'!$J:$J,'Source 2026'!$B:$B,$A262,'Source 2026'!$A:$A,"Quantity (units)")+SUMIFS('Source 2026'!$M:$M,'Source 2026'!$B:$B,$A262,'Source 2026'!$A:$A,"Quantity (units)")</f>
        <v>21</v>
      </c>
      <c r="E262" s="8" t="n">
        <f aca="false">D262*$J$5</f>
        <v>28.8</v>
      </c>
      <c r="F262" s="8" t="n">
        <f aca="false">E262-C262</f>
        <v>28.8</v>
      </c>
      <c r="G262" s="9" t="str">
        <f aca="false">IF(AND(C262=0,E262=0),0,IF(C262=0,"New",(E262-C262)/C262))</f>
        <v>New</v>
      </c>
      <c r="H262" s="8" t="n">
        <f aca="false">SUMIFS('Source 2025'!$D:$D,'Source 2025'!$B:$B,$A262,'Source 2025'!$A:$A,"Amount (NIS)")+SUMIFS('Source 2025'!$E:$E,'Source 2025'!$B:$B,$A262,'Source 2025'!$A:$A,"Amount (NIS)")+SUMIFS('Source 2025'!$F:$F,'Source 2025'!$B:$B,$A262,'Source 2025'!$A:$A,"Amount (NIS)")+SUMIFS('Source 2025'!$G:$G,'Source 2025'!$B:$B,$A262,'Source 2025'!$A:$A,"Amount (NIS)")+SUMIFS('Source 2025'!$J:$J,'Source 2025'!$B:$B,$A262,'Source 2025'!$A:$A,"Amount (NIS)")+SUMIFS('Source 2025'!$M:$M,'Source 2025'!$B:$B,$A262,'Source 2025'!$A:$A,"Amount (NIS)")</f>
        <v>0</v>
      </c>
      <c r="I262" s="8" t="n">
        <f aca="false">SUMIFS('Source 2026'!$D:$D,'Source 2026'!$B:$B,$A262,'Source 2026'!$A:$A,"Amount (NIS)")+SUMIFS('Source 2026'!$E:$E,'Source 2026'!$B:$B,$A262,'Source 2026'!$A:$A,"Amount (NIS)")+SUMIFS('Source 2026'!$F:$F,'Source 2026'!$B:$B,$A262,'Source 2026'!$A:$A,"Amount (NIS)")+SUMIFS('Source 2026'!$G:$G,'Source 2026'!$B:$B,$A262,'Source 2026'!$A:$A,"Amount (NIS)")+SUMIFS('Source 2026'!$J:$J,'Source 2026'!$B:$B,$A262,'Source 2026'!$A:$A,"Amount (NIS)")+SUMIFS('Source 2026'!$M:$M,'Source 2026'!$B:$B,$A262,'Source 2026'!$A:$A,"Amount (NIS)")</f>
        <v>606.4</v>
      </c>
      <c r="J262" s="8" t="n">
        <f aca="false">I262*$J$5</f>
        <v>831.634285714286</v>
      </c>
      <c r="K262" s="8" t="n">
        <f aca="false">J262-H262</f>
        <v>831.634285714286</v>
      </c>
      <c r="L262" s="9" t="str">
        <f aca="false">IF(AND(H262=0,J262=0),0,IF(H262=0,"New",(J262-H262)/H262))</f>
        <v>New</v>
      </c>
    </row>
    <row r="263" customFormat="false" ht="15" hidden="false" customHeight="false" outlineLevel="0" collapsed="false">
      <c r="A263" s="7" t="n">
        <v>4413441</v>
      </c>
      <c r="B263" s="7" t="str">
        <f aca="false">IFERROR(INDEX('Source 2026'!$C:$C,MATCH($A263,'Source 2026'!$B:$B,0)),IFERROR(INDEX('Source 2025'!$C:$C,MATCH($A263,'Source 2025'!$B:$B,0)),""))</f>
        <v>SC422 XL מגן ברך</v>
      </c>
      <c r="C263" s="8" t="n">
        <f aca="false">SUMIFS('Source 2025'!$D:$D,'Source 2025'!$B:$B,$A263,'Source 2025'!$A:$A,"Quantity (units)")+SUMIFS('Source 2025'!$E:$E,'Source 2025'!$B:$B,$A263,'Source 2025'!$A:$A,"Quantity (units)")+SUMIFS('Source 2025'!$F:$F,'Source 2025'!$B:$B,$A263,'Source 2025'!$A:$A,"Quantity (units)")+SUMIFS('Source 2025'!$G:$G,'Source 2025'!$B:$B,$A263,'Source 2025'!$A:$A,"Quantity (units)")+SUMIFS('Source 2025'!$J:$J,'Source 2025'!$B:$B,$A263,'Source 2025'!$A:$A,"Quantity (units)")+SUMIFS('Source 2025'!$M:$M,'Source 2025'!$B:$B,$A263,'Source 2025'!$A:$A,"Quantity (units)")</f>
        <v>11</v>
      </c>
      <c r="D263" s="8" t="n">
        <f aca="false">SUMIFS('Source 2026'!$D:$D,'Source 2026'!$B:$B,$A263,'Source 2026'!$A:$A,"Quantity (units)")+SUMIFS('Source 2026'!$E:$E,'Source 2026'!$B:$B,$A263,'Source 2026'!$A:$A,"Quantity (units)")+SUMIFS('Source 2026'!$F:$F,'Source 2026'!$B:$B,$A263,'Source 2026'!$A:$A,"Quantity (units)")+SUMIFS('Source 2026'!$G:$G,'Source 2026'!$B:$B,$A263,'Source 2026'!$A:$A,"Quantity (units)")+SUMIFS('Source 2026'!$J:$J,'Source 2026'!$B:$B,$A263,'Source 2026'!$A:$A,"Quantity (units)")+SUMIFS('Source 2026'!$M:$M,'Source 2026'!$B:$B,$A263,'Source 2026'!$A:$A,"Quantity (units)")</f>
        <v>15</v>
      </c>
      <c r="E263" s="8" t="n">
        <f aca="false">D263*$J$5</f>
        <v>20.5714285714286</v>
      </c>
      <c r="F263" s="8" t="n">
        <f aca="false">E263-C263</f>
        <v>9.57142857142857</v>
      </c>
      <c r="G263" s="9" t="n">
        <f aca="false">IF(AND(C263=0,E263=0),0,IF(C263=0,"New",(E263-C263)/C263))</f>
        <v>0.87012987012987</v>
      </c>
      <c r="H263" s="8" t="n">
        <f aca="false">SUMIFS('Source 2025'!$D:$D,'Source 2025'!$B:$B,$A263,'Source 2025'!$A:$A,"Amount (NIS)")+SUMIFS('Source 2025'!$E:$E,'Source 2025'!$B:$B,$A263,'Source 2025'!$A:$A,"Amount (NIS)")+SUMIFS('Source 2025'!$F:$F,'Source 2025'!$B:$B,$A263,'Source 2025'!$A:$A,"Amount (NIS)")+SUMIFS('Source 2025'!$G:$G,'Source 2025'!$B:$B,$A263,'Source 2025'!$A:$A,"Amount (NIS)")+SUMIFS('Source 2025'!$J:$J,'Source 2025'!$B:$B,$A263,'Source 2025'!$A:$A,"Amount (NIS)")+SUMIFS('Source 2025'!$M:$M,'Source 2025'!$B:$B,$A263,'Source 2025'!$A:$A,"Amount (NIS)")</f>
        <v>1455.4</v>
      </c>
      <c r="I263" s="8" t="n">
        <f aca="false">SUMIFS('Source 2026'!$D:$D,'Source 2026'!$B:$B,$A263,'Source 2026'!$A:$A,"Amount (NIS)")+SUMIFS('Source 2026'!$E:$E,'Source 2026'!$B:$B,$A263,'Source 2026'!$A:$A,"Amount (NIS)")+SUMIFS('Source 2026'!$F:$F,'Source 2026'!$B:$B,$A263,'Source 2026'!$A:$A,"Amount (NIS)")+SUMIFS('Source 2026'!$G:$G,'Source 2026'!$B:$B,$A263,'Source 2026'!$A:$A,"Amount (NIS)")+SUMIFS('Source 2026'!$J:$J,'Source 2026'!$B:$B,$A263,'Source 2026'!$A:$A,"Amount (NIS)")+SUMIFS('Source 2026'!$M:$M,'Source 2026'!$B:$B,$A263,'Source 2026'!$A:$A,"Amount (NIS)")</f>
        <v>2061.7</v>
      </c>
      <c r="J263" s="8" t="n">
        <f aca="false">I263*$J$5</f>
        <v>2827.47428571429</v>
      </c>
      <c r="K263" s="8" t="n">
        <f aca="false">J263-H263</f>
        <v>1372.07428571429</v>
      </c>
      <c r="L263" s="9" t="n">
        <f aca="false">IF(AND(H263=0,J263=0),0,IF(H263=0,"New",(J263-H263)/H263))</f>
        <v>0.942747207444198</v>
      </c>
    </row>
    <row r="264" customFormat="false" ht="15" hidden="false" customHeight="false" outlineLevel="0" collapsed="false">
      <c r="A264" s="7" t="n">
        <v>4415075</v>
      </c>
      <c r="B264" s="7" t="str">
        <f aca="false">IFERROR(INDEX('Source 2026'!$C:$C,MATCH($A264,'Source 2026'!$B:$B,0)),IFERROR(INDEX('Source 2025'!$C:$C,MATCH($A264,'Source 2025'!$B:$B,0)),""))</f>
        <v>T28AC L-XL סד לאגודל</v>
      </c>
      <c r="C264" s="8" t="n">
        <f aca="false">SUMIFS('Source 2025'!$D:$D,'Source 2025'!$B:$B,$A264,'Source 2025'!$A:$A,"Quantity (units)")+SUMIFS('Source 2025'!$E:$E,'Source 2025'!$B:$B,$A264,'Source 2025'!$A:$A,"Quantity (units)")+SUMIFS('Source 2025'!$F:$F,'Source 2025'!$B:$B,$A264,'Source 2025'!$A:$A,"Quantity (units)")+SUMIFS('Source 2025'!$G:$G,'Source 2025'!$B:$B,$A264,'Source 2025'!$A:$A,"Quantity (units)")+SUMIFS('Source 2025'!$J:$J,'Source 2025'!$B:$B,$A264,'Source 2025'!$A:$A,"Quantity (units)")+SUMIFS('Source 2025'!$M:$M,'Source 2025'!$B:$B,$A264,'Source 2025'!$A:$A,"Quantity (units)")</f>
        <v>47</v>
      </c>
      <c r="D264" s="8" t="n">
        <f aca="false">SUMIFS('Source 2026'!$D:$D,'Source 2026'!$B:$B,$A264,'Source 2026'!$A:$A,"Quantity (units)")+SUMIFS('Source 2026'!$E:$E,'Source 2026'!$B:$B,$A264,'Source 2026'!$A:$A,"Quantity (units)")+SUMIFS('Source 2026'!$F:$F,'Source 2026'!$B:$B,$A264,'Source 2026'!$A:$A,"Quantity (units)")+SUMIFS('Source 2026'!$G:$G,'Source 2026'!$B:$B,$A264,'Source 2026'!$A:$A,"Quantity (units)")+SUMIFS('Source 2026'!$J:$J,'Source 2026'!$B:$B,$A264,'Source 2026'!$A:$A,"Quantity (units)")+SUMIFS('Source 2026'!$M:$M,'Source 2026'!$B:$B,$A264,'Source 2026'!$A:$A,"Quantity (units)")</f>
        <v>38</v>
      </c>
      <c r="E264" s="8" t="n">
        <f aca="false">D264*$J$5</f>
        <v>52.1142857142857</v>
      </c>
      <c r="F264" s="8" t="n">
        <f aca="false">E264-C264</f>
        <v>5.11428571428571</v>
      </c>
      <c r="G264" s="9" t="n">
        <f aca="false">IF(AND(C264=0,E264=0),0,IF(C264=0,"New",(E264-C264)/C264))</f>
        <v>0.108814589665653</v>
      </c>
      <c r="H264" s="8" t="n">
        <f aca="false">SUMIFS('Source 2025'!$D:$D,'Source 2025'!$B:$B,$A264,'Source 2025'!$A:$A,"Amount (NIS)")+SUMIFS('Source 2025'!$E:$E,'Source 2025'!$B:$B,$A264,'Source 2025'!$A:$A,"Amount (NIS)")+SUMIFS('Source 2025'!$F:$F,'Source 2025'!$B:$B,$A264,'Source 2025'!$A:$A,"Amount (NIS)")+SUMIFS('Source 2025'!$G:$G,'Source 2025'!$B:$B,$A264,'Source 2025'!$A:$A,"Amount (NIS)")+SUMIFS('Source 2025'!$J:$J,'Source 2025'!$B:$B,$A264,'Source 2025'!$A:$A,"Amount (NIS)")+SUMIFS('Source 2025'!$M:$M,'Source 2025'!$B:$B,$A264,'Source 2025'!$A:$A,"Amount (NIS)")</f>
        <v>3181.8</v>
      </c>
      <c r="I264" s="8" t="n">
        <f aca="false">SUMIFS('Source 2026'!$D:$D,'Source 2026'!$B:$B,$A264,'Source 2026'!$A:$A,"Amount (NIS)")+SUMIFS('Source 2026'!$E:$E,'Source 2026'!$B:$B,$A264,'Source 2026'!$A:$A,"Amount (NIS)")+SUMIFS('Source 2026'!$F:$F,'Source 2026'!$B:$B,$A264,'Source 2026'!$A:$A,"Amount (NIS)")+SUMIFS('Source 2026'!$G:$G,'Source 2026'!$B:$B,$A264,'Source 2026'!$A:$A,"Amount (NIS)")+SUMIFS('Source 2026'!$J:$J,'Source 2026'!$B:$B,$A264,'Source 2026'!$A:$A,"Amount (NIS)")+SUMIFS('Source 2026'!$M:$M,'Source 2026'!$B:$B,$A264,'Source 2026'!$A:$A,"Amount (NIS)")</f>
        <v>2578.7</v>
      </c>
      <c r="J264" s="8" t="n">
        <f aca="false">I264*$J$5</f>
        <v>3536.50285714286</v>
      </c>
      <c r="K264" s="8" t="n">
        <f aca="false">J264-H264</f>
        <v>354.702857142857</v>
      </c>
      <c r="L264" s="9" t="n">
        <f aca="false">IF(AND(H264=0,J264=0),0,IF(H264=0,"New",(J264-H264)/H264))</f>
        <v>0.111478677837343</v>
      </c>
    </row>
    <row r="265" customFormat="false" ht="15" hidden="false" customHeight="false" outlineLevel="0" collapsed="false">
      <c r="A265" s="7" t="n">
        <v>4413153</v>
      </c>
      <c r="B265" s="7" t="str">
        <f aca="false">IFERROR(INDEX('Source 2026'!$C:$C,MATCH($A265,'Source 2026'!$B:$B,0)),IFERROR(INDEX('Source 2025'!$C:$C,MATCH($A265,'Source 2025'!$B:$B,0)),""))</f>
        <v>305GA מדרס אורטופ.מתכוון35-36</v>
      </c>
      <c r="C265" s="8" t="n">
        <f aca="false">SUMIFS('Source 2025'!$D:$D,'Source 2025'!$B:$B,$A265,'Source 2025'!$A:$A,"Quantity (units)")+SUMIFS('Source 2025'!$E:$E,'Source 2025'!$B:$B,$A265,'Source 2025'!$A:$A,"Quantity (units)")+SUMIFS('Source 2025'!$F:$F,'Source 2025'!$B:$B,$A265,'Source 2025'!$A:$A,"Quantity (units)")+SUMIFS('Source 2025'!$G:$G,'Source 2025'!$B:$B,$A265,'Source 2025'!$A:$A,"Quantity (units)")+SUMIFS('Source 2025'!$J:$J,'Source 2025'!$B:$B,$A265,'Source 2025'!$A:$A,"Quantity (units)")+SUMIFS('Source 2025'!$M:$M,'Source 2025'!$B:$B,$A265,'Source 2025'!$A:$A,"Quantity (units)")</f>
        <v>6</v>
      </c>
      <c r="D265" s="8" t="n">
        <f aca="false">SUMIFS('Source 2026'!$D:$D,'Source 2026'!$B:$B,$A265,'Source 2026'!$A:$A,"Quantity (units)")+SUMIFS('Source 2026'!$E:$E,'Source 2026'!$B:$B,$A265,'Source 2026'!$A:$A,"Quantity (units)")+SUMIFS('Source 2026'!$F:$F,'Source 2026'!$B:$B,$A265,'Source 2026'!$A:$A,"Quantity (units)")+SUMIFS('Source 2026'!$G:$G,'Source 2026'!$B:$B,$A265,'Source 2026'!$A:$A,"Quantity (units)")+SUMIFS('Source 2026'!$J:$J,'Source 2026'!$B:$B,$A265,'Source 2026'!$A:$A,"Quantity (units)")+SUMIFS('Source 2026'!$M:$M,'Source 2026'!$B:$B,$A265,'Source 2026'!$A:$A,"Quantity (units)")</f>
        <v>-2</v>
      </c>
      <c r="E265" s="8" t="n">
        <f aca="false">D265*$J$5</f>
        <v>-2.74285714285714</v>
      </c>
      <c r="F265" s="8" t="n">
        <f aca="false">E265-C265</f>
        <v>-8.74285714285714</v>
      </c>
      <c r="G265" s="9" t="n">
        <f aca="false">IF(AND(C265=0,E265=0),0,IF(C265=0,"New",(E265-C265)/C265))</f>
        <v>-1.45714285714286</v>
      </c>
      <c r="H265" s="8" t="n">
        <f aca="false">SUMIFS('Source 2025'!$D:$D,'Source 2025'!$B:$B,$A265,'Source 2025'!$A:$A,"Amount (NIS)")+SUMIFS('Source 2025'!$E:$E,'Source 2025'!$B:$B,$A265,'Source 2025'!$A:$A,"Amount (NIS)")+SUMIFS('Source 2025'!$F:$F,'Source 2025'!$B:$B,$A265,'Source 2025'!$A:$A,"Amount (NIS)")+SUMIFS('Source 2025'!$G:$G,'Source 2025'!$B:$B,$A265,'Source 2025'!$A:$A,"Amount (NIS)")+SUMIFS('Source 2025'!$J:$J,'Source 2025'!$B:$B,$A265,'Source 2025'!$A:$A,"Amount (NIS)")+SUMIFS('Source 2025'!$M:$M,'Source 2025'!$B:$B,$A265,'Source 2025'!$A:$A,"Amount (NIS)")</f>
        <v>418.7</v>
      </c>
      <c r="I265" s="8" t="n">
        <f aca="false">SUMIFS('Source 2026'!$D:$D,'Source 2026'!$B:$B,$A265,'Source 2026'!$A:$A,"Amount (NIS)")+SUMIFS('Source 2026'!$E:$E,'Source 2026'!$B:$B,$A265,'Source 2026'!$A:$A,"Amount (NIS)")+SUMIFS('Source 2026'!$F:$F,'Source 2026'!$B:$B,$A265,'Source 2026'!$A:$A,"Amount (NIS)")+SUMIFS('Source 2026'!$G:$G,'Source 2026'!$B:$B,$A265,'Source 2026'!$A:$A,"Amount (NIS)")+SUMIFS('Source 2026'!$J:$J,'Source 2026'!$B:$B,$A265,'Source 2026'!$A:$A,"Amount (NIS)")+SUMIFS('Source 2026'!$M:$M,'Source 2026'!$B:$B,$A265,'Source 2026'!$A:$A,"Amount (NIS)")</f>
        <v>-184.3</v>
      </c>
      <c r="J265" s="8" t="n">
        <f aca="false">I265*$J$5</f>
        <v>-252.754285714286</v>
      </c>
      <c r="K265" s="8" t="n">
        <f aca="false">J265-H265</f>
        <v>-671.454285714286</v>
      </c>
      <c r="L265" s="9" t="n">
        <f aca="false">IF(AND(H265=0,J265=0),0,IF(H265=0,"New",(J265-H265)/H265))</f>
        <v>-1.60366440342557</v>
      </c>
    </row>
    <row r="266" customFormat="false" ht="15" hidden="false" customHeight="false" outlineLevel="0" collapsed="false">
      <c r="A266" s="7" t="n">
        <v>4415073</v>
      </c>
      <c r="B266" s="7" t="str">
        <f aca="false">IFERROR(INDEX('Source 2026'!$C:$C,MATCH($A266,'Source 2026'!$B:$B,0)),IFERROR(INDEX('Source 2025'!$C:$C,MATCH($A266,'Source 2025'!$B:$B,0)),""))</f>
        <v>T28A L-XL סד לאגודל</v>
      </c>
      <c r="C266" s="8" t="n">
        <f aca="false">SUMIFS('Source 2025'!$D:$D,'Source 2025'!$B:$B,$A266,'Source 2025'!$A:$A,"Quantity (units)")+SUMIFS('Source 2025'!$E:$E,'Source 2025'!$B:$B,$A266,'Source 2025'!$A:$A,"Quantity (units)")+SUMIFS('Source 2025'!$F:$F,'Source 2025'!$B:$B,$A266,'Source 2025'!$A:$A,"Quantity (units)")+SUMIFS('Source 2025'!$G:$G,'Source 2025'!$B:$B,$A266,'Source 2025'!$A:$A,"Quantity (units)")+SUMIFS('Source 2025'!$J:$J,'Source 2025'!$B:$B,$A266,'Source 2025'!$A:$A,"Quantity (units)")+SUMIFS('Source 2025'!$M:$M,'Source 2025'!$B:$B,$A266,'Source 2025'!$A:$A,"Quantity (units)")</f>
        <v>43</v>
      </c>
      <c r="D266" s="8" t="n">
        <f aca="false">SUMIFS('Source 2026'!$D:$D,'Source 2026'!$B:$B,$A266,'Source 2026'!$A:$A,"Quantity (units)")+SUMIFS('Source 2026'!$E:$E,'Source 2026'!$B:$B,$A266,'Source 2026'!$A:$A,"Quantity (units)")+SUMIFS('Source 2026'!$F:$F,'Source 2026'!$B:$B,$A266,'Source 2026'!$A:$A,"Quantity (units)")+SUMIFS('Source 2026'!$G:$G,'Source 2026'!$B:$B,$A266,'Source 2026'!$A:$A,"Quantity (units)")+SUMIFS('Source 2026'!$J:$J,'Source 2026'!$B:$B,$A266,'Source 2026'!$A:$A,"Quantity (units)")+SUMIFS('Source 2026'!$M:$M,'Source 2026'!$B:$B,$A266,'Source 2026'!$A:$A,"Quantity (units)")</f>
        <v>33</v>
      </c>
      <c r="E266" s="8" t="n">
        <f aca="false">D266*$J$5</f>
        <v>45.2571428571429</v>
      </c>
      <c r="F266" s="8" t="n">
        <f aca="false">E266-C266</f>
        <v>2.25714285714286</v>
      </c>
      <c r="G266" s="9" t="n">
        <f aca="false">IF(AND(C266=0,E266=0),0,IF(C266=0,"New",(E266-C266)/C266))</f>
        <v>0.0524916943521595</v>
      </c>
      <c r="H266" s="8" t="n">
        <f aca="false">SUMIFS('Source 2025'!$D:$D,'Source 2025'!$B:$B,$A266,'Source 2025'!$A:$A,"Amount (NIS)")+SUMIFS('Source 2025'!$E:$E,'Source 2025'!$B:$B,$A266,'Source 2025'!$A:$A,"Amount (NIS)")+SUMIFS('Source 2025'!$F:$F,'Source 2025'!$B:$B,$A266,'Source 2025'!$A:$A,"Amount (NIS)")+SUMIFS('Source 2025'!$G:$G,'Source 2025'!$B:$B,$A266,'Source 2025'!$A:$A,"Amount (NIS)")+SUMIFS('Source 2025'!$J:$J,'Source 2025'!$B:$B,$A266,'Source 2025'!$A:$A,"Amount (NIS)")+SUMIFS('Source 2025'!$M:$M,'Source 2025'!$B:$B,$A266,'Source 2025'!$A:$A,"Amount (NIS)")</f>
        <v>2839.6</v>
      </c>
      <c r="I266" s="8" t="n">
        <f aca="false">SUMIFS('Source 2026'!$D:$D,'Source 2026'!$B:$B,$A266,'Source 2026'!$A:$A,"Amount (NIS)")+SUMIFS('Source 2026'!$E:$E,'Source 2026'!$B:$B,$A266,'Source 2026'!$A:$A,"Amount (NIS)")+SUMIFS('Source 2026'!$F:$F,'Source 2026'!$B:$B,$A266,'Source 2026'!$A:$A,"Amount (NIS)")+SUMIFS('Source 2026'!$G:$G,'Source 2026'!$B:$B,$A266,'Source 2026'!$A:$A,"Amount (NIS)")+SUMIFS('Source 2026'!$J:$J,'Source 2026'!$B:$B,$A266,'Source 2026'!$A:$A,"Amount (NIS)")+SUMIFS('Source 2026'!$M:$M,'Source 2026'!$B:$B,$A266,'Source 2026'!$A:$A,"Amount (NIS)")</f>
        <v>2239.7</v>
      </c>
      <c r="J266" s="8" t="n">
        <f aca="false">I266*$J$5</f>
        <v>3071.58857142857</v>
      </c>
      <c r="K266" s="8" t="n">
        <f aca="false">J266-H266</f>
        <v>231.988571428572</v>
      </c>
      <c r="L266" s="9" t="n">
        <f aca="false">IF(AND(H266=0,J266=0),0,IF(H266=0,"New",(J266-H266)/H266))</f>
        <v>0.0816976234077235</v>
      </c>
    </row>
    <row r="267" customFormat="false" ht="15" hidden="false" customHeight="false" outlineLevel="0" collapsed="false">
      <c r="A267" s="7" t="n">
        <v>4411015</v>
      </c>
      <c r="B267" s="7" t="str">
        <f aca="false">IFERROR(INDEX('Source 2026'!$C:$C,MATCH($A267,'Source 2026'!$B:$B,0)),IFERROR(INDEX('Source 2025'!$C:$C,MATCH($A267,'Source 2025'!$B:$B,0)),""))</f>
        <v>820 0 כרית חום וקור</v>
      </c>
      <c r="C267" s="8" t="n">
        <f aca="false">SUMIFS('Source 2025'!$D:$D,'Source 2025'!$B:$B,$A267,'Source 2025'!$A:$A,"Quantity (units)")+SUMIFS('Source 2025'!$E:$E,'Source 2025'!$B:$B,$A267,'Source 2025'!$A:$A,"Quantity (units)")+SUMIFS('Source 2025'!$F:$F,'Source 2025'!$B:$B,$A267,'Source 2025'!$A:$A,"Quantity (units)")+SUMIFS('Source 2025'!$G:$G,'Source 2025'!$B:$B,$A267,'Source 2025'!$A:$A,"Quantity (units)")+SUMIFS('Source 2025'!$J:$J,'Source 2025'!$B:$B,$A267,'Source 2025'!$A:$A,"Quantity (units)")+SUMIFS('Source 2025'!$M:$M,'Source 2025'!$B:$B,$A267,'Source 2025'!$A:$A,"Quantity (units)")</f>
        <v>49</v>
      </c>
      <c r="D267" s="8" t="n">
        <f aca="false">SUMIFS('Source 2026'!$D:$D,'Source 2026'!$B:$B,$A267,'Source 2026'!$A:$A,"Quantity (units)")+SUMIFS('Source 2026'!$E:$E,'Source 2026'!$B:$B,$A267,'Source 2026'!$A:$A,"Quantity (units)")+SUMIFS('Source 2026'!$F:$F,'Source 2026'!$B:$B,$A267,'Source 2026'!$A:$A,"Quantity (units)")+SUMIFS('Source 2026'!$G:$G,'Source 2026'!$B:$B,$A267,'Source 2026'!$A:$A,"Quantity (units)")+SUMIFS('Source 2026'!$J:$J,'Source 2026'!$B:$B,$A267,'Source 2026'!$A:$A,"Quantity (units)")+SUMIFS('Source 2026'!$M:$M,'Source 2026'!$B:$B,$A267,'Source 2026'!$A:$A,"Quantity (units)")</f>
        <v>36</v>
      </c>
      <c r="E267" s="8" t="n">
        <f aca="false">D267*$J$5</f>
        <v>49.3714285714286</v>
      </c>
      <c r="F267" s="8" t="n">
        <f aca="false">E267-C267</f>
        <v>0.371428571428574</v>
      </c>
      <c r="G267" s="9" t="n">
        <f aca="false">IF(AND(C267=0,E267=0),0,IF(C267=0,"New",(E267-C267)/C267))</f>
        <v>0.00758017492711375</v>
      </c>
      <c r="H267" s="8" t="n">
        <f aca="false">SUMIFS('Source 2025'!$D:$D,'Source 2025'!$B:$B,$A267,'Source 2025'!$A:$A,"Amount (NIS)")+SUMIFS('Source 2025'!$E:$E,'Source 2025'!$B:$B,$A267,'Source 2025'!$A:$A,"Amount (NIS)")+SUMIFS('Source 2025'!$F:$F,'Source 2025'!$B:$B,$A267,'Source 2025'!$A:$A,"Amount (NIS)")+SUMIFS('Source 2025'!$G:$G,'Source 2025'!$B:$B,$A267,'Source 2025'!$A:$A,"Amount (NIS)")+SUMIFS('Source 2025'!$J:$J,'Source 2025'!$B:$B,$A267,'Source 2025'!$A:$A,"Amount (NIS)")+SUMIFS('Source 2025'!$M:$M,'Source 2025'!$B:$B,$A267,'Source 2025'!$A:$A,"Amount (NIS)")</f>
        <v>2276.2</v>
      </c>
      <c r="I267" s="8" t="n">
        <f aca="false">SUMIFS('Source 2026'!$D:$D,'Source 2026'!$B:$B,$A267,'Source 2026'!$A:$A,"Amount (NIS)")+SUMIFS('Source 2026'!$E:$E,'Source 2026'!$B:$B,$A267,'Source 2026'!$A:$A,"Amount (NIS)")+SUMIFS('Source 2026'!$F:$F,'Source 2026'!$B:$B,$A267,'Source 2026'!$A:$A,"Amount (NIS)")+SUMIFS('Source 2026'!$G:$G,'Source 2026'!$B:$B,$A267,'Source 2026'!$A:$A,"Amount (NIS)")+SUMIFS('Source 2026'!$J:$J,'Source 2026'!$B:$B,$A267,'Source 2026'!$A:$A,"Amount (NIS)")+SUMIFS('Source 2026'!$M:$M,'Source 2026'!$B:$B,$A267,'Source 2026'!$A:$A,"Amount (NIS)")</f>
        <v>1677.4</v>
      </c>
      <c r="J267" s="8" t="n">
        <f aca="false">I267*$J$5</f>
        <v>2300.43428571429</v>
      </c>
      <c r="K267" s="8" t="n">
        <f aca="false">J267-H267</f>
        <v>24.2342857142862</v>
      </c>
      <c r="L267" s="9" t="n">
        <f aca="false">IF(AND(H267=0,J267=0),0,IF(H267=0,"New",(J267-H267)/H267))</f>
        <v>0.0106468173773334</v>
      </c>
    </row>
    <row r="268" customFormat="false" ht="15" hidden="false" customHeight="false" outlineLevel="0" collapsed="false">
      <c r="A268" s="7" t="n">
        <v>4413442</v>
      </c>
      <c r="B268" s="7" t="str">
        <f aca="false">IFERROR(INDEX('Source 2026'!$C:$C,MATCH($A268,'Source 2026'!$B:$B,0)),IFERROR(INDEX('Source 2025'!$C:$C,MATCH($A268,'Source 2025'!$B:$B,0)),""))</f>
        <v>SC422 XXLמגן ברך</v>
      </c>
      <c r="C268" s="8" t="n">
        <f aca="false">SUMIFS('Source 2025'!$D:$D,'Source 2025'!$B:$B,$A268,'Source 2025'!$A:$A,"Quantity (units)")+SUMIFS('Source 2025'!$E:$E,'Source 2025'!$B:$B,$A268,'Source 2025'!$A:$A,"Quantity (units)")+SUMIFS('Source 2025'!$F:$F,'Source 2025'!$B:$B,$A268,'Source 2025'!$A:$A,"Quantity (units)")+SUMIFS('Source 2025'!$G:$G,'Source 2025'!$B:$B,$A268,'Source 2025'!$A:$A,"Quantity (units)")+SUMIFS('Source 2025'!$J:$J,'Source 2025'!$B:$B,$A268,'Source 2025'!$A:$A,"Quantity (units)")+SUMIFS('Source 2025'!$M:$M,'Source 2025'!$B:$B,$A268,'Source 2025'!$A:$A,"Quantity (units)")</f>
        <v>1</v>
      </c>
      <c r="D268" s="8" t="n">
        <f aca="false">SUMIFS('Source 2026'!$D:$D,'Source 2026'!$B:$B,$A268,'Source 2026'!$A:$A,"Quantity (units)")+SUMIFS('Source 2026'!$E:$E,'Source 2026'!$B:$B,$A268,'Source 2026'!$A:$A,"Quantity (units)")+SUMIFS('Source 2026'!$F:$F,'Source 2026'!$B:$B,$A268,'Source 2026'!$A:$A,"Quantity (units)")+SUMIFS('Source 2026'!$G:$G,'Source 2026'!$B:$B,$A268,'Source 2026'!$A:$A,"Quantity (units)")+SUMIFS('Source 2026'!$J:$J,'Source 2026'!$B:$B,$A268,'Source 2026'!$A:$A,"Quantity (units)")+SUMIFS('Source 2026'!$M:$M,'Source 2026'!$B:$B,$A268,'Source 2026'!$A:$A,"Quantity (units)")</f>
        <v>5</v>
      </c>
      <c r="E268" s="8" t="n">
        <f aca="false">D268*$J$5</f>
        <v>6.85714285714286</v>
      </c>
      <c r="F268" s="8" t="n">
        <f aca="false">E268-C268</f>
        <v>5.85714285714286</v>
      </c>
      <c r="G268" s="9" t="n">
        <f aca="false">IF(AND(C268=0,E268=0),0,IF(C268=0,"New",(E268-C268)/C268))</f>
        <v>5.85714285714286</v>
      </c>
      <c r="H268" s="8" t="n">
        <f aca="false">SUMIFS('Source 2025'!$D:$D,'Source 2025'!$B:$B,$A268,'Source 2025'!$A:$A,"Amount (NIS)")+SUMIFS('Source 2025'!$E:$E,'Source 2025'!$B:$B,$A268,'Source 2025'!$A:$A,"Amount (NIS)")+SUMIFS('Source 2025'!$F:$F,'Source 2025'!$B:$B,$A268,'Source 2025'!$A:$A,"Amount (NIS)")+SUMIFS('Source 2025'!$G:$G,'Source 2025'!$B:$B,$A268,'Source 2025'!$A:$A,"Amount (NIS)")+SUMIFS('Source 2025'!$J:$J,'Source 2025'!$B:$B,$A268,'Source 2025'!$A:$A,"Amount (NIS)")+SUMIFS('Source 2025'!$M:$M,'Source 2025'!$B:$B,$A268,'Source 2025'!$A:$A,"Amount (NIS)")</f>
        <v>112.7</v>
      </c>
      <c r="I268" s="8" t="n">
        <f aca="false">SUMIFS('Source 2026'!$D:$D,'Source 2026'!$B:$B,$A268,'Source 2026'!$A:$A,"Amount (NIS)")+SUMIFS('Source 2026'!$E:$E,'Source 2026'!$B:$B,$A268,'Source 2026'!$A:$A,"Amount (NIS)")+SUMIFS('Source 2026'!$F:$F,'Source 2026'!$B:$B,$A268,'Source 2026'!$A:$A,"Amount (NIS)")+SUMIFS('Source 2026'!$G:$G,'Source 2026'!$B:$B,$A268,'Source 2026'!$A:$A,"Amount (NIS)")+SUMIFS('Source 2026'!$J:$J,'Source 2026'!$B:$B,$A268,'Source 2026'!$A:$A,"Amount (NIS)")+SUMIFS('Source 2026'!$M:$M,'Source 2026'!$B:$B,$A268,'Source 2026'!$A:$A,"Amount (NIS)")</f>
        <v>702.9</v>
      </c>
      <c r="J268" s="8" t="n">
        <f aca="false">I268*$J$5</f>
        <v>963.977142857143</v>
      </c>
      <c r="K268" s="8" t="n">
        <f aca="false">J268-H268</f>
        <v>851.277142857143</v>
      </c>
      <c r="L268" s="9" t="n">
        <f aca="false">IF(AND(H268=0,J268=0),0,IF(H268=0,"New",(J268-H268)/H268))</f>
        <v>7.55347952845735</v>
      </c>
    </row>
    <row r="269" customFormat="false" ht="15" hidden="false" customHeight="false" outlineLevel="0" collapsed="false">
      <c r="A269" s="7" t="n">
        <v>4413113</v>
      </c>
      <c r="B269" s="7" t="str">
        <f aca="false">IFERROR(INDEX('Source 2026'!$C:$C,MATCH($A269,'Source 2026'!$B:$B,0)),IFERROR(INDEX('Source 2025'!$C:$C,MATCH($A269,'Source 2025'!$B:$B,0)),""))</f>
        <v>49  M מגן ירך</v>
      </c>
      <c r="C269" s="8" t="n">
        <f aca="false">SUMIFS('Source 2025'!$D:$D,'Source 2025'!$B:$B,$A269,'Source 2025'!$A:$A,"Quantity (units)")+SUMIFS('Source 2025'!$E:$E,'Source 2025'!$B:$B,$A269,'Source 2025'!$A:$A,"Quantity (units)")+SUMIFS('Source 2025'!$F:$F,'Source 2025'!$B:$B,$A269,'Source 2025'!$A:$A,"Quantity (units)")+SUMIFS('Source 2025'!$G:$G,'Source 2025'!$B:$B,$A269,'Source 2025'!$A:$A,"Quantity (units)")+SUMIFS('Source 2025'!$J:$J,'Source 2025'!$B:$B,$A269,'Source 2025'!$A:$A,"Quantity (units)")+SUMIFS('Source 2025'!$M:$M,'Source 2025'!$B:$B,$A269,'Source 2025'!$A:$A,"Quantity (units)")</f>
        <v>25</v>
      </c>
      <c r="D269" s="8" t="n">
        <f aca="false">SUMIFS('Source 2026'!$D:$D,'Source 2026'!$B:$B,$A269,'Source 2026'!$A:$A,"Quantity (units)")+SUMIFS('Source 2026'!$E:$E,'Source 2026'!$B:$B,$A269,'Source 2026'!$A:$A,"Quantity (units)")+SUMIFS('Source 2026'!$F:$F,'Source 2026'!$B:$B,$A269,'Source 2026'!$A:$A,"Quantity (units)")+SUMIFS('Source 2026'!$G:$G,'Source 2026'!$B:$B,$A269,'Source 2026'!$A:$A,"Quantity (units)")+SUMIFS('Source 2026'!$J:$J,'Source 2026'!$B:$B,$A269,'Source 2026'!$A:$A,"Quantity (units)")+SUMIFS('Source 2026'!$M:$M,'Source 2026'!$B:$B,$A269,'Source 2026'!$A:$A,"Quantity (units)")</f>
        <v>7</v>
      </c>
      <c r="E269" s="8" t="n">
        <f aca="false">D269*$J$5</f>
        <v>9.6</v>
      </c>
      <c r="F269" s="8" t="n">
        <f aca="false">E269-C269</f>
        <v>-15.4</v>
      </c>
      <c r="G269" s="9" t="n">
        <f aca="false">IF(AND(C269=0,E269=0),0,IF(C269=0,"New",(E269-C269)/C269))</f>
        <v>-0.616</v>
      </c>
      <c r="H269" s="8" t="n">
        <f aca="false">SUMIFS('Source 2025'!$D:$D,'Source 2025'!$B:$B,$A269,'Source 2025'!$A:$A,"Amount (NIS)")+SUMIFS('Source 2025'!$E:$E,'Source 2025'!$B:$B,$A269,'Source 2025'!$A:$A,"Amount (NIS)")+SUMIFS('Source 2025'!$F:$F,'Source 2025'!$B:$B,$A269,'Source 2025'!$A:$A,"Amount (NIS)")+SUMIFS('Source 2025'!$G:$G,'Source 2025'!$B:$B,$A269,'Source 2025'!$A:$A,"Amount (NIS)")+SUMIFS('Source 2025'!$J:$J,'Source 2025'!$B:$B,$A269,'Source 2025'!$A:$A,"Amount (NIS)")+SUMIFS('Source 2025'!$M:$M,'Source 2025'!$B:$B,$A269,'Source 2025'!$A:$A,"Amount (NIS)")</f>
        <v>826.3</v>
      </c>
      <c r="I269" s="8" t="n">
        <f aca="false">SUMIFS('Source 2026'!$D:$D,'Source 2026'!$B:$B,$A269,'Source 2026'!$A:$A,"Amount (NIS)")+SUMIFS('Source 2026'!$E:$E,'Source 2026'!$B:$B,$A269,'Source 2026'!$A:$A,"Amount (NIS)")+SUMIFS('Source 2026'!$F:$F,'Source 2026'!$B:$B,$A269,'Source 2026'!$A:$A,"Amount (NIS)")+SUMIFS('Source 2026'!$G:$G,'Source 2026'!$B:$B,$A269,'Source 2026'!$A:$A,"Amount (NIS)")+SUMIFS('Source 2026'!$J:$J,'Source 2026'!$B:$B,$A269,'Source 2026'!$A:$A,"Amount (NIS)")+SUMIFS('Source 2026'!$M:$M,'Source 2026'!$B:$B,$A269,'Source 2026'!$A:$A,"Amount (NIS)")</f>
        <v>242.6</v>
      </c>
      <c r="J269" s="8" t="n">
        <f aca="false">I269*$J$5</f>
        <v>332.708571428571</v>
      </c>
      <c r="K269" s="8" t="n">
        <f aca="false">J269-H269</f>
        <v>-493.591428571429</v>
      </c>
      <c r="L269" s="9" t="n">
        <f aca="false">IF(AND(H269=0,J269=0),0,IF(H269=0,"New",(J269-H269)/H269))</f>
        <v>-0.597351359762106</v>
      </c>
    </row>
    <row r="270" customFormat="false" ht="15" hidden="false" customHeight="false" outlineLevel="0" collapsed="false">
      <c r="A270" s="7" t="n">
        <v>4408079</v>
      </c>
      <c r="B270" s="7" t="str">
        <f aca="false">IFERROR(INDEX('Source 2026'!$C:$C,MATCH($A270,'Source 2026'!$B:$B,0)),IFERROR(INDEX('Source 2025'!$C:$C,MATCH($A270,'Source 2025'!$B:$B,0)),""))</f>
        <v>59R S חגורת שבר לצד ימין</v>
      </c>
      <c r="C270" s="8" t="n">
        <f aca="false">SUMIFS('Source 2025'!$D:$D,'Source 2025'!$B:$B,$A270,'Source 2025'!$A:$A,"Quantity (units)")+SUMIFS('Source 2025'!$E:$E,'Source 2025'!$B:$B,$A270,'Source 2025'!$A:$A,"Quantity (units)")+SUMIFS('Source 2025'!$F:$F,'Source 2025'!$B:$B,$A270,'Source 2025'!$A:$A,"Quantity (units)")+SUMIFS('Source 2025'!$G:$G,'Source 2025'!$B:$B,$A270,'Source 2025'!$A:$A,"Quantity (units)")+SUMIFS('Source 2025'!$J:$J,'Source 2025'!$B:$B,$A270,'Source 2025'!$A:$A,"Quantity (units)")+SUMIFS('Source 2025'!$M:$M,'Source 2025'!$B:$B,$A270,'Source 2025'!$A:$A,"Quantity (units)")</f>
        <v>3</v>
      </c>
      <c r="D270" s="8" t="n">
        <f aca="false">SUMIFS('Source 2026'!$D:$D,'Source 2026'!$B:$B,$A270,'Source 2026'!$A:$A,"Quantity (units)")+SUMIFS('Source 2026'!$E:$E,'Source 2026'!$B:$B,$A270,'Source 2026'!$A:$A,"Quantity (units)")+SUMIFS('Source 2026'!$F:$F,'Source 2026'!$B:$B,$A270,'Source 2026'!$A:$A,"Quantity (units)")+SUMIFS('Source 2026'!$G:$G,'Source 2026'!$B:$B,$A270,'Source 2026'!$A:$A,"Quantity (units)")+SUMIFS('Source 2026'!$J:$J,'Source 2026'!$B:$B,$A270,'Source 2026'!$A:$A,"Quantity (units)")+SUMIFS('Source 2026'!$M:$M,'Source 2026'!$B:$B,$A270,'Source 2026'!$A:$A,"Quantity (units)")</f>
        <v>0</v>
      </c>
      <c r="E270" s="8" t="n">
        <f aca="false">D270*$J$5</f>
        <v>0</v>
      </c>
      <c r="F270" s="8" t="n">
        <f aca="false">E270-C270</f>
        <v>-3</v>
      </c>
      <c r="G270" s="9" t="n">
        <f aca="false">IF(AND(C270=0,E270=0),0,IF(C270=0,"New",(E270-C270)/C270))</f>
        <v>-1</v>
      </c>
      <c r="H270" s="8" t="n">
        <f aca="false">SUMIFS('Source 2025'!$D:$D,'Source 2025'!$B:$B,$A270,'Source 2025'!$A:$A,"Amount (NIS)")+SUMIFS('Source 2025'!$E:$E,'Source 2025'!$B:$B,$A270,'Source 2025'!$A:$A,"Amount (NIS)")+SUMIFS('Source 2025'!$F:$F,'Source 2025'!$B:$B,$A270,'Source 2025'!$A:$A,"Amount (NIS)")+SUMIFS('Source 2025'!$G:$G,'Source 2025'!$B:$B,$A270,'Source 2025'!$A:$A,"Amount (NIS)")+SUMIFS('Source 2025'!$J:$J,'Source 2025'!$B:$B,$A270,'Source 2025'!$A:$A,"Amount (NIS)")+SUMIFS('Source 2025'!$M:$M,'Source 2025'!$B:$B,$A270,'Source 2025'!$A:$A,"Amount (NIS)")</f>
        <v>549.8</v>
      </c>
      <c r="I270" s="8" t="n">
        <f aca="false">SUMIFS('Source 2026'!$D:$D,'Source 2026'!$B:$B,$A270,'Source 2026'!$A:$A,"Amount (NIS)")+SUMIFS('Source 2026'!$E:$E,'Source 2026'!$B:$B,$A270,'Source 2026'!$A:$A,"Amount (NIS)")+SUMIFS('Source 2026'!$F:$F,'Source 2026'!$B:$B,$A270,'Source 2026'!$A:$A,"Amount (NIS)")+SUMIFS('Source 2026'!$G:$G,'Source 2026'!$B:$B,$A270,'Source 2026'!$A:$A,"Amount (NIS)")+SUMIFS('Source 2026'!$J:$J,'Source 2026'!$B:$B,$A270,'Source 2026'!$A:$A,"Amount (NIS)")+SUMIFS('Source 2026'!$M:$M,'Source 2026'!$B:$B,$A270,'Source 2026'!$A:$A,"Amount (NIS)")</f>
        <v>-22.4</v>
      </c>
      <c r="J270" s="8" t="n">
        <f aca="false">I270*$J$5</f>
        <v>-30.72</v>
      </c>
      <c r="K270" s="8" t="n">
        <f aca="false">J270-H270</f>
        <v>-580.52</v>
      </c>
      <c r="L270" s="9" t="n">
        <f aca="false">IF(AND(H270=0,J270=0),0,IF(H270=0,"New",(J270-H270)/H270))</f>
        <v>-1.05587486358676</v>
      </c>
    </row>
    <row r="271" customFormat="false" ht="15" hidden="false" customHeight="false" outlineLevel="0" collapsed="false">
      <c r="A271" s="7" t="n">
        <v>4411018</v>
      </c>
      <c r="B271" s="7" t="str">
        <f aca="false">IFERROR(INDEX('Source 2026'!$C:$C,MATCH($A271,'Source 2026'!$B:$B,0)),IFERROR(INDEX('Source 2025'!$C:$C,MATCH($A271,'Source 2025'!$B:$B,0)),""))</f>
        <v>211M כפפות לחץ</v>
      </c>
      <c r="C271" s="8" t="n">
        <f aca="false">SUMIFS('Source 2025'!$D:$D,'Source 2025'!$B:$B,$A271,'Source 2025'!$A:$A,"Quantity (units)")+SUMIFS('Source 2025'!$E:$E,'Source 2025'!$B:$B,$A271,'Source 2025'!$A:$A,"Quantity (units)")+SUMIFS('Source 2025'!$F:$F,'Source 2025'!$B:$B,$A271,'Source 2025'!$A:$A,"Quantity (units)")+SUMIFS('Source 2025'!$G:$G,'Source 2025'!$B:$B,$A271,'Source 2025'!$A:$A,"Quantity (units)")+SUMIFS('Source 2025'!$J:$J,'Source 2025'!$B:$B,$A271,'Source 2025'!$A:$A,"Quantity (units)")+SUMIFS('Source 2025'!$M:$M,'Source 2025'!$B:$B,$A271,'Source 2025'!$A:$A,"Quantity (units)")</f>
        <v>32</v>
      </c>
      <c r="D271" s="8" t="n">
        <f aca="false">SUMIFS('Source 2026'!$D:$D,'Source 2026'!$B:$B,$A271,'Source 2026'!$A:$A,"Quantity (units)")+SUMIFS('Source 2026'!$E:$E,'Source 2026'!$B:$B,$A271,'Source 2026'!$A:$A,"Quantity (units)")+SUMIFS('Source 2026'!$F:$F,'Source 2026'!$B:$B,$A271,'Source 2026'!$A:$A,"Quantity (units)")+SUMIFS('Source 2026'!$G:$G,'Source 2026'!$B:$B,$A271,'Source 2026'!$A:$A,"Quantity (units)")+SUMIFS('Source 2026'!$J:$J,'Source 2026'!$B:$B,$A271,'Source 2026'!$A:$A,"Quantity (units)")+SUMIFS('Source 2026'!$M:$M,'Source 2026'!$B:$B,$A271,'Source 2026'!$A:$A,"Quantity (units)")</f>
        <v>16</v>
      </c>
      <c r="E271" s="8" t="n">
        <f aca="false">D271*$J$5</f>
        <v>21.9428571428571</v>
      </c>
      <c r="F271" s="8" t="n">
        <f aca="false">E271-C271</f>
        <v>-10.0571428571429</v>
      </c>
      <c r="G271" s="9" t="n">
        <f aca="false">IF(AND(C271=0,E271=0),0,IF(C271=0,"New",(E271-C271)/C271))</f>
        <v>-0.314285714285714</v>
      </c>
      <c r="H271" s="8" t="n">
        <f aca="false">SUMIFS('Source 2025'!$D:$D,'Source 2025'!$B:$B,$A271,'Source 2025'!$A:$A,"Amount (NIS)")+SUMIFS('Source 2025'!$E:$E,'Source 2025'!$B:$B,$A271,'Source 2025'!$A:$A,"Amount (NIS)")+SUMIFS('Source 2025'!$F:$F,'Source 2025'!$B:$B,$A271,'Source 2025'!$A:$A,"Amount (NIS)")+SUMIFS('Source 2025'!$G:$G,'Source 2025'!$B:$B,$A271,'Source 2025'!$A:$A,"Amount (NIS)")+SUMIFS('Source 2025'!$J:$J,'Source 2025'!$B:$B,$A271,'Source 2025'!$A:$A,"Amount (NIS)")+SUMIFS('Source 2025'!$M:$M,'Source 2025'!$B:$B,$A271,'Source 2025'!$A:$A,"Amount (NIS)")</f>
        <v>1162.2</v>
      </c>
      <c r="I271" s="8" t="n">
        <f aca="false">SUMIFS('Source 2026'!$D:$D,'Source 2026'!$B:$B,$A271,'Source 2026'!$A:$A,"Amount (NIS)")+SUMIFS('Source 2026'!$E:$E,'Source 2026'!$B:$B,$A271,'Source 2026'!$A:$A,"Amount (NIS)")+SUMIFS('Source 2026'!$F:$F,'Source 2026'!$B:$B,$A271,'Source 2026'!$A:$A,"Amount (NIS)")+SUMIFS('Source 2026'!$G:$G,'Source 2026'!$B:$B,$A271,'Source 2026'!$A:$A,"Amount (NIS)")+SUMIFS('Source 2026'!$J:$J,'Source 2026'!$B:$B,$A271,'Source 2026'!$A:$A,"Amount (NIS)")+SUMIFS('Source 2026'!$M:$M,'Source 2026'!$B:$B,$A271,'Source 2026'!$A:$A,"Amount (NIS)")</f>
        <v>591.7</v>
      </c>
      <c r="J271" s="8" t="n">
        <f aca="false">I271*$J$5</f>
        <v>811.474285714286</v>
      </c>
      <c r="K271" s="8" t="n">
        <f aca="false">J271-H271</f>
        <v>-350.725714285714</v>
      </c>
      <c r="L271" s="9" t="n">
        <f aca="false">IF(AND(H271=0,J271=0),0,IF(H271=0,"New",(J271-H271)/H271))</f>
        <v>-0.301777417213659</v>
      </c>
    </row>
    <row r="272" customFormat="false" ht="15" hidden="false" customHeight="false" outlineLevel="0" collapsed="false">
      <c r="A272" s="7" t="n">
        <v>4413440</v>
      </c>
      <c r="B272" s="7" t="str">
        <f aca="false">IFERROR(INDEX('Source 2026'!$C:$C,MATCH($A272,'Source 2026'!$B:$B,0)),IFERROR(INDEX('Source 2025'!$C:$C,MATCH($A272,'Source 2025'!$B:$B,0)),""))</f>
        <v>SC422  L מגן ברך</v>
      </c>
      <c r="C272" s="8" t="n">
        <f aca="false">SUMIFS('Source 2025'!$D:$D,'Source 2025'!$B:$B,$A272,'Source 2025'!$A:$A,"Quantity (units)")+SUMIFS('Source 2025'!$E:$E,'Source 2025'!$B:$B,$A272,'Source 2025'!$A:$A,"Quantity (units)")+SUMIFS('Source 2025'!$F:$F,'Source 2025'!$B:$B,$A272,'Source 2025'!$A:$A,"Quantity (units)")+SUMIFS('Source 2025'!$G:$G,'Source 2025'!$B:$B,$A272,'Source 2025'!$A:$A,"Quantity (units)")+SUMIFS('Source 2025'!$J:$J,'Source 2025'!$B:$B,$A272,'Source 2025'!$A:$A,"Quantity (units)")+SUMIFS('Source 2025'!$M:$M,'Source 2025'!$B:$B,$A272,'Source 2025'!$A:$A,"Quantity (units)")</f>
        <v>19</v>
      </c>
      <c r="D272" s="8" t="n">
        <f aca="false">SUMIFS('Source 2026'!$D:$D,'Source 2026'!$B:$B,$A272,'Source 2026'!$A:$A,"Quantity (units)")+SUMIFS('Source 2026'!$E:$E,'Source 2026'!$B:$B,$A272,'Source 2026'!$A:$A,"Quantity (units)")+SUMIFS('Source 2026'!$F:$F,'Source 2026'!$B:$B,$A272,'Source 2026'!$A:$A,"Quantity (units)")+SUMIFS('Source 2026'!$G:$G,'Source 2026'!$B:$B,$A272,'Source 2026'!$A:$A,"Quantity (units)")+SUMIFS('Source 2026'!$J:$J,'Source 2026'!$B:$B,$A272,'Source 2026'!$A:$A,"Quantity (units)")+SUMIFS('Source 2026'!$M:$M,'Source 2026'!$B:$B,$A272,'Source 2026'!$A:$A,"Quantity (units)")</f>
        <v>23</v>
      </c>
      <c r="E272" s="8" t="n">
        <f aca="false">D272*$J$5</f>
        <v>31.5428571428571</v>
      </c>
      <c r="F272" s="8" t="n">
        <f aca="false">E272-C272</f>
        <v>12.5428571428571</v>
      </c>
      <c r="G272" s="9" t="n">
        <f aca="false">IF(AND(C272=0,E272=0),0,IF(C272=0,"New",(E272-C272)/C272))</f>
        <v>0.66015037593985</v>
      </c>
      <c r="H272" s="8" t="n">
        <f aca="false">SUMIFS('Source 2025'!$D:$D,'Source 2025'!$B:$B,$A272,'Source 2025'!$A:$A,"Amount (NIS)")+SUMIFS('Source 2025'!$E:$E,'Source 2025'!$B:$B,$A272,'Source 2025'!$A:$A,"Amount (NIS)")+SUMIFS('Source 2025'!$F:$F,'Source 2025'!$B:$B,$A272,'Source 2025'!$A:$A,"Amount (NIS)")+SUMIFS('Source 2025'!$G:$G,'Source 2025'!$B:$B,$A272,'Source 2025'!$A:$A,"Amount (NIS)")+SUMIFS('Source 2025'!$J:$J,'Source 2025'!$B:$B,$A272,'Source 2025'!$A:$A,"Amount (NIS)")+SUMIFS('Source 2025'!$M:$M,'Source 2025'!$B:$B,$A272,'Source 2025'!$A:$A,"Amount (NIS)")</f>
        <v>2570.5</v>
      </c>
      <c r="I272" s="8" t="n">
        <f aca="false">SUMIFS('Source 2026'!$D:$D,'Source 2026'!$B:$B,$A272,'Source 2026'!$A:$A,"Amount (NIS)")+SUMIFS('Source 2026'!$E:$E,'Source 2026'!$B:$B,$A272,'Source 2026'!$A:$A,"Amount (NIS)")+SUMIFS('Source 2026'!$F:$F,'Source 2026'!$B:$B,$A272,'Source 2026'!$A:$A,"Amount (NIS)")+SUMIFS('Source 2026'!$G:$G,'Source 2026'!$B:$B,$A272,'Source 2026'!$A:$A,"Amount (NIS)")+SUMIFS('Source 2026'!$J:$J,'Source 2026'!$B:$B,$A272,'Source 2026'!$A:$A,"Amount (NIS)")+SUMIFS('Source 2026'!$M:$M,'Source 2026'!$B:$B,$A272,'Source 2026'!$A:$A,"Amount (NIS)")</f>
        <v>3139.4</v>
      </c>
      <c r="J272" s="8" t="n">
        <f aca="false">I272*$J$5</f>
        <v>4305.46285714286</v>
      </c>
      <c r="K272" s="8" t="n">
        <f aca="false">J272-H272</f>
        <v>1734.96285714286</v>
      </c>
      <c r="L272" s="9" t="n">
        <f aca="false">IF(AND(H272=0,J272=0),0,IF(H272=0,"New",(J272-H272)/H272))</f>
        <v>0.674951510267597</v>
      </c>
    </row>
    <row r="273" customFormat="false" ht="15" hidden="false" customHeight="false" outlineLevel="0" collapsed="false">
      <c r="A273" s="7" t="n">
        <v>4420027</v>
      </c>
      <c r="B273" s="7" t="str">
        <f aca="false">IFERROR(INDEX('Source 2026'!$C:$C,MATCH($A273,'Source 2026'!$B:$B,0)),IFERROR(INDEX('Source 2025'!$C:$C,MATCH($A273,'Source 2025'!$B:$B,0)),""))</f>
        <v>370K 0 רפידת לילדים אנטי ריח</v>
      </c>
      <c r="C273" s="8" t="n">
        <f aca="false">SUMIFS('Source 2025'!$D:$D,'Source 2025'!$B:$B,$A273,'Source 2025'!$A:$A,"Quantity (units)")+SUMIFS('Source 2025'!$E:$E,'Source 2025'!$B:$B,$A273,'Source 2025'!$A:$A,"Quantity (units)")+SUMIFS('Source 2025'!$F:$F,'Source 2025'!$B:$B,$A273,'Source 2025'!$A:$A,"Quantity (units)")+SUMIFS('Source 2025'!$G:$G,'Source 2025'!$B:$B,$A273,'Source 2025'!$A:$A,"Quantity (units)")+SUMIFS('Source 2025'!$J:$J,'Source 2025'!$B:$B,$A273,'Source 2025'!$A:$A,"Quantity (units)")+SUMIFS('Source 2025'!$M:$M,'Source 2025'!$B:$B,$A273,'Source 2025'!$A:$A,"Quantity (units)")</f>
        <v>58</v>
      </c>
      <c r="D273" s="8" t="n">
        <f aca="false">SUMIFS('Source 2026'!$D:$D,'Source 2026'!$B:$B,$A273,'Source 2026'!$A:$A,"Quantity (units)")+SUMIFS('Source 2026'!$E:$E,'Source 2026'!$B:$B,$A273,'Source 2026'!$A:$A,"Quantity (units)")+SUMIFS('Source 2026'!$F:$F,'Source 2026'!$B:$B,$A273,'Source 2026'!$A:$A,"Quantity (units)")+SUMIFS('Source 2026'!$G:$G,'Source 2026'!$B:$B,$A273,'Source 2026'!$A:$A,"Quantity (units)")+SUMIFS('Source 2026'!$J:$J,'Source 2026'!$B:$B,$A273,'Source 2026'!$A:$A,"Quantity (units)")+SUMIFS('Source 2026'!$M:$M,'Source 2026'!$B:$B,$A273,'Source 2026'!$A:$A,"Quantity (units)")</f>
        <v>9</v>
      </c>
      <c r="E273" s="8" t="n">
        <f aca="false">D273*$J$5</f>
        <v>12.3428571428571</v>
      </c>
      <c r="F273" s="8" t="n">
        <f aca="false">E273-C273</f>
        <v>-45.6571428571429</v>
      </c>
      <c r="G273" s="9" t="n">
        <f aca="false">IF(AND(C273=0,E273=0),0,IF(C273=0,"New",(E273-C273)/C273))</f>
        <v>-0.787192118226601</v>
      </c>
      <c r="H273" s="8" t="n">
        <f aca="false">SUMIFS('Source 2025'!$D:$D,'Source 2025'!$B:$B,$A273,'Source 2025'!$A:$A,"Amount (NIS)")+SUMIFS('Source 2025'!$E:$E,'Source 2025'!$B:$B,$A273,'Source 2025'!$A:$A,"Amount (NIS)")+SUMIFS('Source 2025'!$F:$F,'Source 2025'!$B:$B,$A273,'Source 2025'!$A:$A,"Amount (NIS)")+SUMIFS('Source 2025'!$G:$G,'Source 2025'!$B:$B,$A273,'Source 2025'!$A:$A,"Amount (NIS)")+SUMIFS('Source 2025'!$J:$J,'Source 2025'!$B:$B,$A273,'Source 2025'!$A:$A,"Amount (NIS)")+SUMIFS('Source 2025'!$M:$M,'Source 2025'!$B:$B,$A273,'Source 2025'!$A:$A,"Amount (NIS)")</f>
        <v>678.9</v>
      </c>
      <c r="I273" s="8" t="n">
        <f aca="false">SUMIFS('Source 2026'!$D:$D,'Source 2026'!$B:$B,$A273,'Source 2026'!$A:$A,"Amount (NIS)")+SUMIFS('Source 2026'!$E:$E,'Source 2026'!$B:$B,$A273,'Source 2026'!$A:$A,"Amount (NIS)")+SUMIFS('Source 2026'!$F:$F,'Source 2026'!$B:$B,$A273,'Source 2026'!$A:$A,"Amount (NIS)")+SUMIFS('Source 2026'!$G:$G,'Source 2026'!$B:$B,$A273,'Source 2026'!$A:$A,"Amount (NIS)")+SUMIFS('Source 2026'!$J:$J,'Source 2026'!$B:$B,$A273,'Source 2026'!$A:$A,"Amount (NIS)")+SUMIFS('Source 2026'!$M:$M,'Source 2026'!$B:$B,$A273,'Source 2026'!$A:$A,"Amount (NIS)")</f>
        <v>112.5</v>
      </c>
      <c r="J273" s="8" t="n">
        <f aca="false">I273*$J$5</f>
        <v>154.285714285714</v>
      </c>
      <c r="K273" s="8" t="n">
        <f aca="false">J273-H273</f>
        <v>-524.614285714286</v>
      </c>
      <c r="L273" s="9" t="n">
        <f aca="false">IF(AND(H273=0,J273=0),0,IF(H273=0,"New",(J273-H273)/H273))</f>
        <v>-0.772741619847232</v>
      </c>
    </row>
    <row r="274" customFormat="false" ht="15" hidden="false" customHeight="false" outlineLevel="0" collapsed="false">
      <c r="A274" s="7" t="n">
        <v>4411021</v>
      </c>
      <c r="B274" s="7" t="str">
        <f aca="false">IFERROR(INDEX('Source 2026'!$C:$C,MATCH($A274,'Source 2026'!$B:$B,0)),IFERROR(INDEX('Source 2025'!$C:$C,MATCH($A274,'Source 2025'!$B:$B,0)),""))</f>
        <v>212L כפפות אגודל לחץ</v>
      </c>
      <c r="C274" s="8" t="n">
        <f aca="false">SUMIFS('Source 2025'!$D:$D,'Source 2025'!$B:$B,$A274,'Source 2025'!$A:$A,"Quantity (units)")+SUMIFS('Source 2025'!$E:$E,'Source 2025'!$B:$B,$A274,'Source 2025'!$A:$A,"Quantity (units)")+SUMIFS('Source 2025'!$F:$F,'Source 2025'!$B:$B,$A274,'Source 2025'!$A:$A,"Quantity (units)")+SUMIFS('Source 2025'!$G:$G,'Source 2025'!$B:$B,$A274,'Source 2025'!$A:$A,"Quantity (units)")+SUMIFS('Source 2025'!$J:$J,'Source 2025'!$B:$B,$A274,'Source 2025'!$A:$A,"Quantity (units)")+SUMIFS('Source 2025'!$M:$M,'Source 2025'!$B:$B,$A274,'Source 2025'!$A:$A,"Quantity (units)")</f>
        <v>28</v>
      </c>
      <c r="D274" s="8" t="n">
        <f aca="false">SUMIFS('Source 2026'!$D:$D,'Source 2026'!$B:$B,$A274,'Source 2026'!$A:$A,"Quantity (units)")+SUMIFS('Source 2026'!$E:$E,'Source 2026'!$B:$B,$A274,'Source 2026'!$A:$A,"Quantity (units)")+SUMIFS('Source 2026'!$F:$F,'Source 2026'!$B:$B,$A274,'Source 2026'!$A:$A,"Quantity (units)")+SUMIFS('Source 2026'!$G:$G,'Source 2026'!$B:$B,$A274,'Source 2026'!$A:$A,"Quantity (units)")+SUMIFS('Source 2026'!$J:$J,'Source 2026'!$B:$B,$A274,'Source 2026'!$A:$A,"Quantity (units)")+SUMIFS('Source 2026'!$M:$M,'Source 2026'!$B:$B,$A274,'Source 2026'!$A:$A,"Quantity (units)")</f>
        <v>13</v>
      </c>
      <c r="E274" s="8" t="n">
        <f aca="false">D274*$J$5</f>
        <v>17.8285714285714</v>
      </c>
      <c r="F274" s="8" t="n">
        <f aca="false">E274-C274</f>
        <v>-10.1714285714286</v>
      </c>
      <c r="G274" s="9" t="n">
        <f aca="false">IF(AND(C274=0,E274=0),0,IF(C274=0,"New",(E274-C274)/C274))</f>
        <v>-0.363265306122449</v>
      </c>
      <c r="H274" s="8" t="n">
        <f aca="false">SUMIFS('Source 2025'!$D:$D,'Source 2025'!$B:$B,$A274,'Source 2025'!$A:$A,"Amount (NIS)")+SUMIFS('Source 2025'!$E:$E,'Source 2025'!$B:$B,$A274,'Source 2025'!$A:$A,"Amount (NIS)")+SUMIFS('Source 2025'!$F:$F,'Source 2025'!$B:$B,$A274,'Source 2025'!$A:$A,"Amount (NIS)")+SUMIFS('Source 2025'!$G:$G,'Source 2025'!$B:$B,$A274,'Source 2025'!$A:$A,"Amount (NIS)")+SUMIFS('Source 2025'!$J:$J,'Source 2025'!$B:$B,$A274,'Source 2025'!$A:$A,"Amount (NIS)")+SUMIFS('Source 2025'!$M:$M,'Source 2025'!$B:$B,$A274,'Source 2025'!$A:$A,"Amount (NIS)")</f>
        <v>1071.9</v>
      </c>
      <c r="I274" s="8" t="n">
        <f aca="false">SUMIFS('Source 2026'!$D:$D,'Source 2026'!$B:$B,$A274,'Source 2026'!$A:$A,"Amount (NIS)")+SUMIFS('Source 2026'!$E:$E,'Source 2026'!$B:$B,$A274,'Source 2026'!$A:$A,"Amount (NIS)")+SUMIFS('Source 2026'!$F:$F,'Source 2026'!$B:$B,$A274,'Source 2026'!$A:$A,"Amount (NIS)")+SUMIFS('Source 2026'!$G:$G,'Source 2026'!$B:$B,$A274,'Source 2026'!$A:$A,"Amount (NIS)")+SUMIFS('Source 2026'!$J:$J,'Source 2026'!$B:$B,$A274,'Source 2026'!$A:$A,"Amount (NIS)")+SUMIFS('Source 2026'!$M:$M,'Source 2026'!$B:$B,$A274,'Source 2026'!$A:$A,"Amount (NIS)")</f>
        <v>512</v>
      </c>
      <c r="J274" s="8" t="n">
        <f aca="false">I274*$J$5</f>
        <v>702.171428571429</v>
      </c>
      <c r="K274" s="8" t="n">
        <f aca="false">J274-H274</f>
        <v>-369.728571428572</v>
      </c>
      <c r="L274" s="9" t="n">
        <f aca="false">IF(AND(H274=0,J274=0),0,IF(H274=0,"New",(J274-H274)/H274))</f>
        <v>-0.344928231578106</v>
      </c>
    </row>
    <row r="275" customFormat="false" ht="15" hidden="false" customHeight="false" outlineLevel="0" collapsed="false">
      <c r="A275" s="7" t="n">
        <v>4413111</v>
      </c>
      <c r="B275" s="7" t="str">
        <f aca="false">IFERROR(INDEX('Source 2026'!$C:$C,MATCH($A275,'Source 2026'!$B:$B,0)),IFERROR(INDEX('Source 2025'!$C:$C,MATCH($A275,'Source 2025'!$B:$B,0)),""))</f>
        <v>49  S מגן ירך</v>
      </c>
      <c r="C275" s="8" t="n">
        <f aca="false">SUMIFS('Source 2025'!$D:$D,'Source 2025'!$B:$B,$A275,'Source 2025'!$A:$A,"Quantity (units)")+SUMIFS('Source 2025'!$E:$E,'Source 2025'!$B:$B,$A275,'Source 2025'!$A:$A,"Quantity (units)")+SUMIFS('Source 2025'!$F:$F,'Source 2025'!$B:$B,$A275,'Source 2025'!$A:$A,"Quantity (units)")+SUMIFS('Source 2025'!$G:$G,'Source 2025'!$B:$B,$A275,'Source 2025'!$A:$A,"Quantity (units)")+SUMIFS('Source 2025'!$J:$J,'Source 2025'!$B:$B,$A275,'Source 2025'!$A:$A,"Quantity (units)")+SUMIFS('Source 2025'!$M:$M,'Source 2025'!$B:$B,$A275,'Source 2025'!$A:$A,"Quantity (units)")</f>
        <v>22</v>
      </c>
      <c r="D275" s="8" t="n">
        <f aca="false">SUMIFS('Source 2026'!$D:$D,'Source 2026'!$B:$B,$A275,'Source 2026'!$A:$A,"Quantity (units)")+SUMIFS('Source 2026'!$E:$E,'Source 2026'!$B:$B,$A275,'Source 2026'!$A:$A,"Quantity (units)")+SUMIFS('Source 2026'!$F:$F,'Source 2026'!$B:$B,$A275,'Source 2026'!$A:$A,"Quantity (units)")+SUMIFS('Source 2026'!$G:$G,'Source 2026'!$B:$B,$A275,'Source 2026'!$A:$A,"Quantity (units)")+SUMIFS('Source 2026'!$J:$J,'Source 2026'!$B:$B,$A275,'Source 2026'!$A:$A,"Quantity (units)")+SUMIFS('Source 2026'!$M:$M,'Source 2026'!$B:$B,$A275,'Source 2026'!$A:$A,"Quantity (units)")</f>
        <v>6</v>
      </c>
      <c r="E275" s="8" t="n">
        <f aca="false">D275*$J$5</f>
        <v>8.22857142857143</v>
      </c>
      <c r="F275" s="8" t="n">
        <f aca="false">E275-C275</f>
        <v>-13.7714285714286</v>
      </c>
      <c r="G275" s="9" t="n">
        <f aca="false">IF(AND(C275=0,E275=0),0,IF(C275=0,"New",(E275-C275)/C275))</f>
        <v>-0.625974025974026</v>
      </c>
      <c r="H275" s="8" t="n">
        <f aca="false">SUMIFS('Source 2025'!$D:$D,'Source 2025'!$B:$B,$A275,'Source 2025'!$A:$A,"Amount (NIS)")+SUMIFS('Source 2025'!$E:$E,'Source 2025'!$B:$B,$A275,'Source 2025'!$A:$A,"Amount (NIS)")+SUMIFS('Source 2025'!$F:$F,'Source 2025'!$B:$B,$A275,'Source 2025'!$A:$A,"Amount (NIS)")+SUMIFS('Source 2025'!$G:$G,'Source 2025'!$B:$B,$A275,'Source 2025'!$A:$A,"Amount (NIS)")+SUMIFS('Source 2025'!$J:$J,'Source 2025'!$B:$B,$A275,'Source 2025'!$A:$A,"Amount (NIS)")+SUMIFS('Source 2025'!$M:$M,'Source 2025'!$B:$B,$A275,'Source 2025'!$A:$A,"Amount (NIS)")</f>
        <v>749.4</v>
      </c>
      <c r="I275" s="8" t="n">
        <f aca="false">SUMIFS('Source 2026'!$D:$D,'Source 2026'!$B:$B,$A275,'Source 2026'!$A:$A,"Amount (NIS)")+SUMIFS('Source 2026'!$E:$E,'Source 2026'!$B:$B,$A275,'Source 2026'!$A:$A,"Amount (NIS)")+SUMIFS('Source 2026'!$F:$F,'Source 2026'!$B:$B,$A275,'Source 2026'!$A:$A,"Amount (NIS)")+SUMIFS('Source 2026'!$G:$G,'Source 2026'!$B:$B,$A275,'Source 2026'!$A:$A,"Amount (NIS)")+SUMIFS('Source 2026'!$J:$J,'Source 2026'!$B:$B,$A275,'Source 2026'!$A:$A,"Amount (NIS)")+SUMIFS('Source 2026'!$M:$M,'Source 2026'!$B:$B,$A275,'Source 2026'!$A:$A,"Amount (NIS)")</f>
        <v>194.6</v>
      </c>
      <c r="J275" s="8" t="n">
        <f aca="false">I275*$J$5</f>
        <v>266.88</v>
      </c>
      <c r="K275" s="8" t="n">
        <f aca="false">J275-H275</f>
        <v>-482.52</v>
      </c>
      <c r="L275" s="9" t="n">
        <f aca="false">IF(AND(H275=0,J275=0),0,IF(H275=0,"New",(J275-H275)/H275))</f>
        <v>-0.643875100080064</v>
      </c>
    </row>
    <row r="276" customFormat="false" ht="15" hidden="false" customHeight="false" outlineLevel="0" collapsed="false">
      <c r="A276" s="7" t="n">
        <v>4409011</v>
      </c>
      <c r="B276" s="7" t="str">
        <f aca="false">IFERROR(INDEX('Source 2026'!$C:$C,MATCH($A276,'Source 2026'!$B:$B,0)),IFERROR(INDEX('Source 2025'!$C:$C,MATCH($A276,'Source 2025'!$B:$B,0)),""))</f>
        <v>804AT-B      טייפ חבישה לספורט</v>
      </c>
      <c r="C276" s="8" t="n">
        <f aca="false">SUMIFS('Source 2025'!$D:$D,'Source 2025'!$B:$B,$A276,'Source 2025'!$A:$A,"Quantity (units)")+SUMIFS('Source 2025'!$E:$E,'Source 2025'!$B:$B,$A276,'Source 2025'!$A:$A,"Quantity (units)")+SUMIFS('Source 2025'!$F:$F,'Source 2025'!$B:$B,$A276,'Source 2025'!$A:$A,"Quantity (units)")+SUMIFS('Source 2025'!$G:$G,'Source 2025'!$B:$B,$A276,'Source 2025'!$A:$A,"Quantity (units)")+SUMIFS('Source 2025'!$J:$J,'Source 2025'!$B:$B,$A276,'Source 2025'!$A:$A,"Quantity (units)")+SUMIFS('Source 2025'!$M:$M,'Source 2025'!$B:$B,$A276,'Source 2025'!$A:$A,"Quantity (units)")</f>
        <v>26</v>
      </c>
      <c r="D276" s="8" t="n">
        <f aca="false">SUMIFS('Source 2026'!$D:$D,'Source 2026'!$B:$B,$A276,'Source 2026'!$A:$A,"Quantity (units)")+SUMIFS('Source 2026'!$E:$E,'Source 2026'!$B:$B,$A276,'Source 2026'!$A:$A,"Quantity (units)")+SUMIFS('Source 2026'!$F:$F,'Source 2026'!$B:$B,$A276,'Source 2026'!$A:$A,"Quantity (units)")+SUMIFS('Source 2026'!$G:$G,'Source 2026'!$B:$B,$A276,'Source 2026'!$A:$A,"Quantity (units)")+SUMIFS('Source 2026'!$J:$J,'Source 2026'!$B:$B,$A276,'Source 2026'!$A:$A,"Quantity (units)")+SUMIFS('Source 2026'!$M:$M,'Source 2026'!$B:$B,$A276,'Source 2026'!$A:$A,"Quantity (units)")</f>
        <v>56</v>
      </c>
      <c r="E276" s="8" t="n">
        <f aca="false">D276*$J$5</f>
        <v>76.8</v>
      </c>
      <c r="F276" s="8" t="n">
        <f aca="false">E276-C276</f>
        <v>50.8</v>
      </c>
      <c r="G276" s="9" t="n">
        <f aca="false">IF(AND(C276=0,E276=0),0,IF(C276=0,"New",(E276-C276)/C276))</f>
        <v>1.95384615384615</v>
      </c>
      <c r="H276" s="8" t="n">
        <f aca="false">SUMIFS('Source 2025'!$D:$D,'Source 2025'!$B:$B,$A276,'Source 2025'!$A:$A,"Amount (NIS)")+SUMIFS('Source 2025'!$E:$E,'Source 2025'!$B:$B,$A276,'Source 2025'!$A:$A,"Amount (NIS)")+SUMIFS('Source 2025'!$F:$F,'Source 2025'!$B:$B,$A276,'Source 2025'!$A:$A,"Amount (NIS)")+SUMIFS('Source 2025'!$G:$G,'Source 2025'!$B:$B,$A276,'Source 2025'!$A:$A,"Amount (NIS)")+SUMIFS('Source 2025'!$J:$J,'Source 2025'!$B:$B,$A276,'Source 2025'!$A:$A,"Amount (NIS)")+SUMIFS('Source 2025'!$M:$M,'Source 2025'!$B:$B,$A276,'Source 2025'!$A:$A,"Amount (NIS)")</f>
        <v>417.2</v>
      </c>
      <c r="I276" s="8" t="n">
        <f aca="false">SUMIFS('Source 2026'!$D:$D,'Source 2026'!$B:$B,$A276,'Source 2026'!$A:$A,"Amount (NIS)")+SUMIFS('Source 2026'!$E:$E,'Source 2026'!$B:$B,$A276,'Source 2026'!$A:$A,"Amount (NIS)")+SUMIFS('Source 2026'!$F:$F,'Source 2026'!$B:$B,$A276,'Source 2026'!$A:$A,"Amount (NIS)")+SUMIFS('Source 2026'!$G:$G,'Source 2026'!$B:$B,$A276,'Source 2026'!$A:$A,"Amount (NIS)")+SUMIFS('Source 2026'!$J:$J,'Source 2026'!$B:$B,$A276,'Source 2026'!$A:$A,"Amount (NIS)")+SUMIFS('Source 2026'!$M:$M,'Source 2026'!$B:$B,$A276,'Source 2026'!$A:$A,"Amount (NIS)")</f>
        <v>966.2</v>
      </c>
      <c r="J276" s="8" t="n">
        <f aca="false">I276*$J$5</f>
        <v>1325.07428571429</v>
      </c>
      <c r="K276" s="8" t="n">
        <f aca="false">J276-H276</f>
        <v>907.874285714286</v>
      </c>
      <c r="L276" s="9" t="n">
        <f aca="false">IF(AND(H276=0,J276=0),0,IF(H276=0,"New",(J276-H276)/H276))</f>
        <v>2.17611286125188</v>
      </c>
    </row>
    <row r="277" customFormat="false" ht="15" hidden="false" customHeight="false" outlineLevel="0" collapsed="false">
      <c r="A277" s="7" t="n">
        <v>4413340</v>
      </c>
      <c r="B277" s="7" t="str">
        <f aca="false">IFERROR(INDEX('Source 2026'!$C:$C,MATCH($A277,'Source 2026'!$B:$B,0)),IFERROR(INDEX('Source 2025'!$C:$C,MATCH($A277,'Source 2025'!$B:$B,0)),""))</f>
        <v>3666 מפריד הלוקס</v>
      </c>
      <c r="C277" s="8" t="n">
        <f aca="false">SUMIFS('Source 2025'!$D:$D,'Source 2025'!$B:$B,$A277,'Source 2025'!$A:$A,"Quantity (units)")+SUMIFS('Source 2025'!$E:$E,'Source 2025'!$B:$B,$A277,'Source 2025'!$A:$A,"Quantity (units)")+SUMIFS('Source 2025'!$F:$F,'Source 2025'!$B:$B,$A277,'Source 2025'!$A:$A,"Quantity (units)")+SUMIFS('Source 2025'!$G:$G,'Source 2025'!$B:$B,$A277,'Source 2025'!$A:$A,"Quantity (units)")+SUMIFS('Source 2025'!$J:$J,'Source 2025'!$B:$B,$A277,'Source 2025'!$A:$A,"Quantity (units)")+SUMIFS('Source 2025'!$M:$M,'Source 2025'!$B:$B,$A277,'Source 2025'!$A:$A,"Quantity (units)")</f>
        <v>14</v>
      </c>
      <c r="D277" s="8" t="n">
        <f aca="false">SUMIFS('Source 2026'!$D:$D,'Source 2026'!$B:$B,$A277,'Source 2026'!$A:$A,"Quantity (units)")+SUMIFS('Source 2026'!$E:$E,'Source 2026'!$B:$B,$A277,'Source 2026'!$A:$A,"Quantity (units)")+SUMIFS('Source 2026'!$F:$F,'Source 2026'!$B:$B,$A277,'Source 2026'!$A:$A,"Quantity (units)")+SUMIFS('Source 2026'!$G:$G,'Source 2026'!$B:$B,$A277,'Source 2026'!$A:$A,"Quantity (units)")+SUMIFS('Source 2026'!$J:$J,'Source 2026'!$B:$B,$A277,'Source 2026'!$A:$A,"Quantity (units)")+SUMIFS('Source 2026'!$M:$M,'Source 2026'!$B:$B,$A277,'Source 2026'!$A:$A,"Quantity (units)")</f>
        <v>20</v>
      </c>
      <c r="E277" s="8" t="n">
        <f aca="false">D277*$J$5</f>
        <v>27.4285714285714</v>
      </c>
      <c r="F277" s="8" t="n">
        <f aca="false">E277-C277</f>
        <v>13.4285714285714</v>
      </c>
      <c r="G277" s="9" t="n">
        <f aca="false">IF(AND(C277=0,E277=0),0,IF(C277=0,"New",(E277-C277)/C277))</f>
        <v>0.959183673469388</v>
      </c>
      <c r="H277" s="8" t="n">
        <f aca="false">SUMIFS('Source 2025'!$D:$D,'Source 2025'!$B:$B,$A277,'Source 2025'!$A:$A,"Amount (NIS)")+SUMIFS('Source 2025'!$E:$E,'Source 2025'!$B:$B,$A277,'Source 2025'!$A:$A,"Amount (NIS)")+SUMIFS('Source 2025'!$F:$F,'Source 2025'!$B:$B,$A277,'Source 2025'!$A:$A,"Amount (NIS)")+SUMIFS('Source 2025'!$G:$G,'Source 2025'!$B:$B,$A277,'Source 2025'!$A:$A,"Amount (NIS)")+SUMIFS('Source 2025'!$J:$J,'Source 2025'!$B:$B,$A277,'Source 2025'!$A:$A,"Amount (NIS)")+SUMIFS('Source 2025'!$M:$M,'Source 2025'!$B:$B,$A277,'Source 2025'!$A:$A,"Amount (NIS)")</f>
        <v>714.2</v>
      </c>
      <c r="I277" s="8" t="n">
        <f aca="false">SUMIFS('Source 2026'!$D:$D,'Source 2026'!$B:$B,$A277,'Source 2026'!$A:$A,"Amount (NIS)")+SUMIFS('Source 2026'!$E:$E,'Source 2026'!$B:$B,$A277,'Source 2026'!$A:$A,"Amount (NIS)")+SUMIFS('Source 2026'!$F:$F,'Source 2026'!$B:$B,$A277,'Source 2026'!$A:$A,"Amount (NIS)")+SUMIFS('Source 2026'!$G:$G,'Source 2026'!$B:$B,$A277,'Source 2026'!$A:$A,"Amount (NIS)")+SUMIFS('Source 2026'!$J:$J,'Source 2026'!$B:$B,$A277,'Source 2026'!$A:$A,"Amount (NIS)")+SUMIFS('Source 2026'!$M:$M,'Source 2026'!$B:$B,$A277,'Source 2026'!$A:$A,"Amount (NIS)")</f>
        <v>1261.5</v>
      </c>
      <c r="J277" s="8" t="n">
        <f aca="false">I277*$J$5</f>
        <v>1730.05714285714</v>
      </c>
      <c r="K277" s="8" t="n">
        <f aca="false">J277-H277</f>
        <v>1015.85714285714</v>
      </c>
      <c r="L277" s="9" t="n">
        <f aca="false">IF(AND(H277=0,J277=0),0,IF(H277=0,"New",(J277-H277)/H277))</f>
        <v>1.42237068448214</v>
      </c>
    </row>
    <row r="278" customFormat="false" ht="15" hidden="false" customHeight="false" outlineLevel="0" collapsed="false">
      <c r="A278" s="7" t="n">
        <v>4413076</v>
      </c>
      <c r="B278" s="7" t="str">
        <f aca="false">IFERROR(INDEX('Source 2026'!$C:$C,MATCH($A278,'Source 2026'!$B:$B,0)),IFERROR(INDEX('Source 2025'!$C:$C,MATCH($A278,'Source 2025'!$B:$B,0)),""))</f>
        <v>41X L מגן ברך מוצלב+מוט</v>
      </c>
      <c r="C278" s="8" t="n">
        <f aca="false">SUMIFS('Source 2025'!$D:$D,'Source 2025'!$B:$B,$A278,'Source 2025'!$A:$A,"Quantity (units)")+SUMIFS('Source 2025'!$E:$E,'Source 2025'!$B:$B,$A278,'Source 2025'!$A:$A,"Quantity (units)")+SUMIFS('Source 2025'!$F:$F,'Source 2025'!$B:$B,$A278,'Source 2025'!$A:$A,"Quantity (units)")+SUMIFS('Source 2025'!$G:$G,'Source 2025'!$B:$B,$A278,'Source 2025'!$A:$A,"Quantity (units)")+SUMIFS('Source 2025'!$J:$J,'Source 2025'!$B:$B,$A278,'Source 2025'!$A:$A,"Quantity (units)")+SUMIFS('Source 2025'!$M:$M,'Source 2025'!$B:$B,$A278,'Source 2025'!$A:$A,"Quantity (units)")</f>
        <v>7</v>
      </c>
      <c r="D278" s="8" t="n">
        <f aca="false">SUMIFS('Source 2026'!$D:$D,'Source 2026'!$B:$B,$A278,'Source 2026'!$A:$A,"Quantity (units)")+SUMIFS('Source 2026'!$E:$E,'Source 2026'!$B:$B,$A278,'Source 2026'!$A:$A,"Quantity (units)")+SUMIFS('Source 2026'!$F:$F,'Source 2026'!$B:$B,$A278,'Source 2026'!$A:$A,"Quantity (units)")+SUMIFS('Source 2026'!$G:$G,'Source 2026'!$B:$B,$A278,'Source 2026'!$A:$A,"Quantity (units)")+SUMIFS('Source 2026'!$J:$J,'Source 2026'!$B:$B,$A278,'Source 2026'!$A:$A,"Quantity (units)")+SUMIFS('Source 2026'!$M:$M,'Source 2026'!$B:$B,$A278,'Source 2026'!$A:$A,"Quantity (units)")</f>
        <v>3</v>
      </c>
      <c r="E278" s="8" t="n">
        <f aca="false">D278*$J$5</f>
        <v>4.11428571428571</v>
      </c>
      <c r="F278" s="8" t="n">
        <f aca="false">E278-C278</f>
        <v>-2.88571428571429</v>
      </c>
      <c r="G278" s="9" t="n">
        <f aca="false">IF(AND(C278=0,E278=0),0,IF(C278=0,"New",(E278-C278)/C278))</f>
        <v>-0.412244897959184</v>
      </c>
      <c r="H278" s="8" t="n">
        <f aca="false">SUMIFS('Source 2025'!$D:$D,'Source 2025'!$B:$B,$A278,'Source 2025'!$A:$A,"Amount (NIS)")+SUMIFS('Source 2025'!$E:$E,'Source 2025'!$B:$B,$A278,'Source 2025'!$A:$A,"Amount (NIS)")+SUMIFS('Source 2025'!$F:$F,'Source 2025'!$B:$B,$A278,'Source 2025'!$A:$A,"Amount (NIS)")+SUMIFS('Source 2025'!$G:$G,'Source 2025'!$B:$B,$A278,'Source 2025'!$A:$A,"Amount (NIS)")+SUMIFS('Source 2025'!$J:$J,'Source 2025'!$B:$B,$A278,'Source 2025'!$A:$A,"Amount (NIS)")+SUMIFS('Source 2025'!$M:$M,'Source 2025'!$B:$B,$A278,'Source 2025'!$A:$A,"Amount (NIS)")</f>
        <v>942.1</v>
      </c>
      <c r="I278" s="8" t="n">
        <f aca="false">SUMIFS('Source 2026'!$D:$D,'Source 2026'!$B:$B,$A278,'Source 2026'!$A:$A,"Amount (NIS)")+SUMIFS('Source 2026'!$E:$E,'Source 2026'!$B:$B,$A278,'Source 2026'!$A:$A,"Amount (NIS)")+SUMIFS('Source 2026'!$F:$F,'Source 2026'!$B:$B,$A278,'Source 2026'!$A:$A,"Amount (NIS)")+SUMIFS('Source 2026'!$G:$G,'Source 2026'!$B:$B,$A278,'Source 2026'!$A:$A,"Amount (NIS)")+SUMIFS('Source 2026'!$J:$J,'Source 2026'!$B:$B,$A278,'Source 2026'!$A:$A,"Amount (NIS)")+SUMIFS('Source 2026'!$M:$M,'Source 2026'!$B:$B,$A278,'Source 2026'!$A:$A,"Amount (NIS)")</f>
        <v>398.6</v>
      </c>
      <c r="J278" s="8" t="n">
        <f aca="false">I278*$J$5</f>
        <v>546.651428571429</v>
      </c>
      <c r="K278" s="8" t="n">
        <f aca="false">J278-H278</f>
        <v>-395.448571428571</v>
      </c>
      <c r="L278" s="9" t="n">
        <f aca="false">IF(AND(H278=0,J278=0),0,IF(H278=0,"New",(J278-H278)/H278))</f>
        <v>-0.419752225271809</v>
      </c>
    </row>
    <row r="279" customFormat="false" ht="15" hidden="false" customHeight="false" outlineLevel="0" collapsed="false">
      <c r="A279" s="7" t="n">
        <v>4413119</v>
      </c>
      <c r="B279" s="7" t="str">
        <f aca="false">IFERROR(INDEX('Source 2026'!$C:$C,MATCH($A279,'Source 2026'!$B:$B,0)),IFERROR(INDEX('Source 2025'!$C:$C,MATCH($A279,'Source 2025'!$B:$B,0)),""))</f>
        <v>50 XL מתלה אשכים לאחר ניתוח</v>
      </c>
      <c r="C279" s="8" t="n">
        <f aca="false">SUMIFS('Source 2025'!$D:$D,'Source 2025'!$B:$B,$A279,'Source 2025'!$A:$A,"Quantity (units)")+SUMIFS('Source 2025'!$E:$E,'Source 2025'!$B:$B,$A279,'Source 2025'!$A:$A,"Quantity (units)")+SUMIFS('Source 2025'!$F:$F,'Source 2025'!$B:$B,$A279,'Source 2025'!$A:$A,"Quantity (units)")+SUMIFS('Source 2025'!$G:$G,'Source 2025'!$B:$B,$A279,'Source 2025'!$A:$A,"Quantity (units)")+SUMIFS('Source 2025'!$J:$J,'Source 2025'!$B:$B,$A279,'Source 2025'!$A:$A,"Quantity (units)")+SUMIFS('Source 2025'!$M:$M,'Source 2025'!$B:$B,$A279,'Source 2025'!$A:$A,"Quantity (units)")</f>
        <v>6</v>
      </c>
      <c r="D279" s="8" t="n">
        <f aca="false">SUMIFS('Source 2026'!$D:$D,'Source 2026'!$B:$B,$A279,'Source 2026'!$A:$A,"Quantity (units)")+SUMIFS('Source 2026'!$E:$E,'Source 2026'!$B:$B,$A279,'Source 2026'!$A:$A,"Quantity (units)")+SUMIFS('Source 2026'!$F:$F,'Source 2026'!$B:$B,$A279,'Source 2026'!$A:$A,"Quantity (units)")+SUMIFS('Source 2026'!$G:$G,'Source 2026'!$B:$B,$A279,'Source 2026'!$A:$A,"Quantity (units)")+SUMIFS('Source 2026'!$J:$J,'Source 2026'!$B:$B,$A279,'Source 2026'!$A:$A,"Quantity (units)")+SUMIFS('Source 2026'!$M:$M,'Source 2026'!$B:$B,$A279,'Source 2026'!$A:$A,"Quantity (units)")</f>
        <v>1</v>
      </c>
      <c r="E279" s="8" t="n">
        <f aca="false">D279*$J$5</f>
        <v>1.37142857142857</v>
      </c>
      <c r="F279" s="8" t="n">
        <f aca="false">E279-C279</f>
        <v>-4.62857142857143</v>
      </c>
      <c r="G279" s="9" t="n">
        <f aca="false">IF(AND(C279=0,E279=0),0,IF(C279=0,"New",(E279-C279)/C279))</f>
        <v>-0.771428571428571</v>
      </c>
      <c r="H279" s="8" t="n">
        <f aca="false">SUMIFS('Source 2025'!$D:$D,'Source 2025'!$B:$B,$A279,'Source 2025'!$A:$A,"Amount (NIS)")+SUMIFS('Source 2025'!$E:$E,'Source 2025'!$B:$B,$A279,'Source 2025'!$A:$A,"Amount (NIS)")+SUMIFS('Source 2025'!$F:$F,'Source 2025'!$B:$B,$A279,'Source 2025'!$A:$A,"Amount (NIS)")+SUMIFS('Source 2025'!$G:$G,'Source 2025'!$B:$B,$A279,'Source 2025'!$A:$A,"Amount (NIS)")+SUMIFS('Source 2025'!$J:$J,'Source 2025'!$B:$B,$A279,'Source 2025'!$A:$A,"Amount (NIS)")+SUMIFS('Source 2025'!$M:$M,'Source 2025'!$B:$B,$A279,'Source 2025'!$A:$A,"Amount (NIS)")</f>
        <v>651.4</v>
      </c>
      <c r="I279" s="8" t="n">
        <f aca="false">SUMIFS('Source 2026'!$D:$D,'Source 2026'!$B:$B,$A279,'Source 2026'!$A:$A,"Amount (NIS)")+SUMIFS('Source 2026'!$E:$E,'Source 2026'!$B:$B,$A279,'Source 2026'!$A:$A,"Amount (NIS)")+SUMIFS('Source 2026'!$F:$F,'Source 2026'!$B:$B,$A279,'Source 2026'!$A:$A,"Amount (NIS)")+SUMIFS('Source 2026'!$G:$G,'Source 2026'!$B:$B,$A279,'Source 2026'!$A:$A,"Amount (NIS)")+SUMIFS('Source 2026'!$J:$J,'Source 2026'!$B:$B,$A279,'Source 2026'!$A:$A,"Amount (NIS)")+SUMIFS('Source 2026'!$M:$M,'Source 2026'!$B:$B,$A279,'Source 2026'!$A:$A,"Amount (NIS)")</f>
        <v>111</v>
      </c>
      <c r="J279" s="8" t="n">
        <f aca="false">I279*$J$5</f>
        <v>152.228571428571</v>
      </c>
      <c r="K279" s="8" t="n">
        <f aca="false">J279-H279</f>
        <v>-499.171428571429</v>
      </c>
      <c r="L279" s="9" t="n">
        <f aca="false">IF(AND(H279=0,J279=0),0,IF(H279=0,"New",(J279-H279)/H279))</f>
        <v>-0.766305539716654</v>
      </c>
    </row>
    <row r="280" customFormat="false" ht="15" hidden="false" customHeight="false" outlineLevel="0" collapsed="false">
      <c r="A280" s="7" t="n">
        <v>4415161</v>
      </c>
      <c r="B280" s="7" t="str">
        <f aca="false">IFERROR(INDEX('Source 2026'!$C:$C,MATCH($A280,'Source 2026'!$B:$B,0)),IFERROR(INDEX('Source 2025'!$C:$C,MATCH($A280,'Source 2025'!$B:$B,0)),""))</f>
        <v>238M סד ליישור אצבע</v>
      </c>
      <c r="C280" s="8" t="n">
        <f aca="false">SUMIFS('Source 2025'!$D:$D,'Source 2025'!$B:$B,$A280,'Source 2025'!$A:$A,"Quantity (units)")+SUMIFS('Source 2025'!$E:$E,'Source 2025'!$B:$B,$A280,'Source 2025'!$A:$A,"Quantity (units)")+SUMIFS('Source 2025'!$F:$F,'Source 2025'!$B:$B,$A280,'Source 2025'!$A:$A,"Quantity (units)")+SUMIFS('Source 2025'!$G:$G,'Source 2025'!$B:$B,$A280,'Source 2025'!$A:$A,"Quantity (units)")+SUMIFS('Source 2025'!$J:$J,'Source 2025'!$B:$B,$A280,'Source 2025'!$A:$A,"Quantity (units)")+SUMIFS('Source 2025'!$M:$M,'Source 2025'!$B:$B,$A280,'Source 2025'!$A:$A,"Quantity (units)")</f>
        <v>390</v>
      </c>
      <c r="D280" s="8" t="n">
        <f aca="false">SUMIFS('Source 2026'!$D:$D,'Source 2026'!$B:$B,$A280,'Source 2026'!$A:$A,"Quantity (units)")+SUMIFS('Source 2026'!$E:$E,'Source 2026'!$B:$B,$A280,'Source 2026'!$A:$A,"Quantity (units)")+SUMIFS('Source 2026'!$F:$F,'Source 2026'!$B:$B,$A280,'Source 2026'!$A:$A,"Quantity (units)")+SUMIFS('Source 2026'!$G:$G,'Source 2026'!$B:$B,$A280,'Source 2026'!$A:$A,"Quantity (units)")+SUMIFS('Source 2026'!$J:$J,'Source 2026'!$B:$B,$A280,'Source 2026'!$A:$A,"Quantity (units)")+SUMIFS('Source 2026'!$M:$M,'Source 2026'!$B:$B,$A280,'Source 2026'!$A:$A,"Quantity (units)")</f>
        <v>352</v>
      </c>
      <c r="E280" s="8" t="n">
        <f aca="false">D280*$J$5</f>
        <v>482.742857142857</v>
      </c>
      <c r="F280" s="8" t="n">
        <f aca="false">E280-C280</f>
        <v>92.7428571428571</v>
      </c>
      <c r="G280" s="9" t="n">
        <f aca="false">IF(AND(C280=0,E280=0),0,IF(C280=0,"New",(E280-C280)/C280))</f>
        <v>0.237802197802198</v>
      </c>
      <c r="H280" s="8" t="n">
        <f aca="false">SUMIFS('Source 2025'!$D:$D,'Source 2025'!$B:$B,$A280,'Source 2025'!$A:$A,"Amount (NIS)")+SUMIFS('Source 2025'!$E:$E,'Source 2025'!$B:$B,$A280,'Source 2025'!$A:$A,"Amount (NIS)")+SUMIFS('Source 2025'!$F:$F,'Source 2025'!$B:$B,$A280,'Source 2025'!$A:$A,"Amount (NIS)")+SUMIFS('Source 2025'!$G:$G,'Source 2025'!$B:$B,$A280,'Source 2025'!$A:$A,"Amount (NIS)")+SUMIFS('Source 2025'!$J:$J,'Source 2025'!$B:$B,$A280,'Source 2025'!$A:$A,"Amount (NIS)")+SUMIFS('Source 2025'!$M:$M,'Source 2025'!$B:$B,$A280,'Source 2025'!$A:$A,"Amount (NIS)")</f>
        <v>7446.8</v>
      </c>
      <c r="I280" s="8" t="n">
        <f aca="false">SUMIFS('Source 2026'!$D:$D,'Source 2026'!$B:$B,$A280,'Source 2026'!$A:$A,"Amount (NIS)")+SUMIFS('Source 2026'!$E:$E,'Source 2026'!$B:$B,$A280,'Source 2026'!$A:$A,"Amount (NIS)")+SUMIFS('Source 2026'!$F:$F,'Source 2026'!$B:$B,$A280,'Source 2026'!$A:$A,"Amount (NIS)")+SUMIFS('Source 2026'!$G:$G,'Source 2026'!$B:$B,$A280,'Source 2026'!$A:$A,"Amount (NIS)")+SUMIFS('Source 2026'!$J:$J,'Source 2026'!$B:$B,$A280,'Source 2026'!$A:$A,"Amount (NIS)")+SUMIFS('Source 2026'!$M:$M,'Source 2026'!$B:$B,$A280,'Source 2026'!$A:$A,"Amount (NIS)")</f>
        <v>6911.7</v>
      </c>
      <c r="J280" s="8" t="n">
        <f aca="false">I280*$J$5</f>
        <v>9478.90285714286</v>
      </c>
      <c r="K280" s="8" t="n">
        <f aca="false">J280-H280</f>
        <v>2032.10285714286</v>
      </c>
      <c r="L280" s="9" t="n">
        <f aca="false">IF(AND(H280=0,J280=0),0,IF(H280=0,"New",(J280-H280)/H280))</f>
        <v>0.272882695539407</v>
      </c>
    </row>
    <row r="281" customFormat="false" ht="15" hidden="false" customHeight="false" outlineLevel="0" collapsed="false">
      <c r="A281" s="7" t="n">
        <v>4408230</v>
      </c>
      <c r="B281" s="7" t="str">
        <f aca="false">IFERROR(INDEX('Source 2026'!$C:$C,MATCH($A281,'Source 2026'!$B:$B,0)),IFERROR(INDEX('Source 2025'!$C:$C,MATCH($A281,'Source 2025'!$B:$B,0)),""))</f>
        <v>16 L-XL חגורת הריון</v>
      </c>
      <c r="C281" s="8" t="n">
        <f aca="false">SUMIFS('Source 2025'!$D:$D,'Source 2025'!$B:$B,$A281,'Source 2025'!$A:$A,"Quantity (units)")+SUMIFS('Source 2025'!$E:$E,'Source 2025'!$B:$B,$A281,'Source 2025'!$A:$A,"Quantity (units)")+SUMIFS('Source 2025'!$F:$F,'Source 2025'!$B:$B,$A281,'Source 2025'!$A:$A,"Quantity (units)")+SUMIFS('Source 2025'!$G:$G,'Source 2025'!$B:$B,$A281,'Source 2025'!$A:$A,"Quantity (units)")+SUMIFS('Source 2025'!$J:$J,'Source 2025'!$B:$B,$A281,'Source 2025'!$A:$A,"Quantity (units)")+SUMIFS('Source 2025'!$M:$M,'Source 2025'!$B:$B,$A281,'Source 2025'!$A:$A,"Quantity (units)")</f>
        <v>13</v>
      </c>
      <c r="D281" s="8" t="n">
        <f aca="false">SUMIFS('Source 2026'!$D:$D,'Source 2026'!$B:$B,$A281,'Source 2026'!$A:$A,"Quantity (units)")+SUMIFS('Source 2026'!$E:$E,'Source 2026'!$B:$B,$A281,'Source 2026'!$A:$A,"Quantity (units)")+SUMIFS('Source 2026'!$F:$F,'Source 2026'!$B:$B,$A281,'Source 2026'!$A:$A,"Quantity (units)")+SUMIFS('Source 2026'!$G:$G,'Source 2026'!$B:$B,$A281,'Source 2026'!$A:$A,"Quantity (units)")+SUMIFS('Source 2026'!$J:$J,'Source 2026'!$B:$B,$A281,'Source 2026'!$A:$A,"Quantity (units)")+SUMIFS('Source 2026'!$M:$M,'Source 2026'!$B:$B,$A281,'Source 2026'!$A:$A,"Quantity (units)")</f>
        <v>17</v>
      </c>
      <c r="E281" s="8" t="n">
        <f aca="false">D281*$J$5</f>
        <v>23.3142857142857</v>
      </c>
      <c r="F281" s="8" t="n">
        <f aca="false">E281-C281</f>
        <v>10.3142857142857</v>
      </c>
      <c r="G281" s="9" t="n">
        <f aca="false">IF(AND(C281=0,E281=0),0,IF(C281=0,"New",(E281-C281)/C281))</f>
        <v>0.793406593406593</v>
      </c>
      <c r="H281" s="8" t="n">
        <f aca="false">SUMIFS('Source 2025'!$D:$D,'Source 2025'!$B:$B,$A281,'Source 2025'!$A:$A,"Amount (NIS)")+SUMIFS('Source 2025'!$E:$E,'Source 2025'!$B:$B,$A281,'Source 2025'!$A:$A,"Amount (NIS)")+SUMIFS('Source 2025'!$F:$F,'Source 2025'!$B:$B,$A281,'Source 2025'!$A:$A,"Amount (NIS)")+SUMIFS('Source 2025'!$G:$G,'Source 2025'!$B:$B,$A281,'Source 2025'!$A:$A,"Amount (NIS)")+SUMIFS('Source 2025'!$J:$J,'Source 2025'!$B:$B,$A281,'Source 2025'!$A:$A,"Amount (NIS)")+SUMIFS('Source 2025'!$M:$M,'Source 2025'!$B:$B,$A281,'Source 2025'!$A:$A,"Amount (NIS)")</f>
        <v>1544.1</v>
      </c>
      <c r="I281" s="8" t="n">
        <f aca="false">SUMIFS('Source 2026'!$D:$D,'Source 2026'!$B:$B,$A281,'Source 2026'!$A:$A,"Amount (NIS)")+SUMIFS('Source 2026'!$E:$E,'Source 2026'!$B:$B,$A281,'Source 2026'!$A:$A,"Amount (NIS)")+SUMIFS('Source 2026'!$F:$F,'Source 2026'!$B:$B,$A281,'Source 2026'!$A:$A,"Amount (NIS)")+SUMIFS('Source 2026'!$G:$G,'Source 2026'!$B:$B,$A281,'Source 2026'!$A:$A,"Amount (NIS)")+SUMIFS('Source 2026'!$J:$J,'Source 2026'!$B:$B,$A281,'Source 2026'!$A:$A,"Amount (NIS)")+SUMIFS('Source 2026'!$M:$M,'Source 2026'!$B:$B,$A281,'Source 2026'!$A:$A,"Amount (NIS)")</f>
        <v>2074.7</v>
      </c>
      <c r="J281" s="8" t="n">
        <f aca="false">I281*$J$5</f>
        <v>2845.30285714286</v>
      </c>
      <c r="K281" s="8" t="n">
        <f aca="false">J281-H281</f>
        <v>1301.20285714286</v>
      </c>
      <c r="L281" s="9" t="n">
        <f aca="false">IF(AND(H281=0,J281=0),0,IF(H281=0,"New",(J281-H281)/H281))</f>
        <v>0.842693385883594</v>
      </c>
    </row>
    <row r="282" customFormat="false" ht="15" hidden="false" customHeight="false" outlineLevel="0" collapsed="false">
      <c r="A282" s="7" t="n">
        <v>4413196</v>
      </c>
      <c r="B282" s="7" t="str">
        <f aca="false">IFERROR(INDEX('Source 2026'!$C:$C,MATCH($A282,'Source 2026'!$B:$B,0)),IFERROR(INDEX('Source 2025'!$C:$C,MATCH($A282,'Source 2025'!$B:$B,0)),""))</f>
        <v>87 M מקבע כתף ויד</v>
      </c>
      <c r="C282" s="8" t="n">
        <f aca="false">SUMIFS('Source 2025'!$D:$D,'Source 2025'!$B:$B,$A282,'Source 2025'!$A:$A,"Quantity (units)")+SUMIFS('Source 2025'!$E:$E,'Source 2025'!$B:$B,$A282,'Source 2025'!$A:$A,"Quantity (units)")+SUMIFS('Source 2025'!$F:$F,'Source 2025'!$B:$B,$A282,'Source 2025'!$A:$A,"Quantity (units)")+SUMIFS('Source 2025'!$G:$G,'Source 2025'!$B:$B,$A282,'Source 2025'!$A:$A,"Quantity (units)")+SUMIFS('Source 2025'!$J:$J,'Source 2025'!$B:$B,$A282,'Source 2025'!$A:$A,"Quantity (units)")+SUMIFS('Source 2025'!$M:$M,'Source 2025'!$B:$B,$A282,'Source 2025'!$A:$A,"Quantity (units)")</f>
        <v>14</v>
      </c>
      <c r="D282" s="8" t="n">
        <f aca="false">SUMIFS('Source 2026'!$D:$D,'Source 2026'!$B:$B,$A282,'Source 2026'!$A:$A,"Quantity (units)")+SUMIFS('Source 2026'!$E:$E,'Source 2026'!$B:$B,$A282,'Source 2026'!$A:$A,"Quantity (units)")+SUMIFS('Source 2026'!$F:$F,'Source 2026'!$B:$B,$A282,'Source 2026'!$A:$A,"Quantity (units)")+SUMIFS('Source 2026'!$G:$G,'Source 2026'!$B:$B,$A282,'Source 2026'!$A:$A,"Quantity (units)")+SUMIFS('Source 2026'!$J:$J,'Source 2026'!$B:$B,$A282,'Source 2026'!$A:$A,"Quantity (units)")+SUMIFS('Source 2026'!$M:$M,'Source 2026'!$B:$B,$A282,'Source 2026'!$A:$A,"Quantity (units)")</f>
        <v>11</v>
      </c>
      <c r="E282" s="8" t="n">
        <f aca="false">D282*$J$5</f>
        <v>15.0857142857143</v>
      </c>
      <c r="F282" s="8" t="n">
        <f aca="false">E282-C282</f>
        <v>1.08571428571429</v>
      </c>
      <c r="G282" s="9" t="n">
        <f aca="false">IF(AND(C282=0,E282=0),0,IF(C282=0,"New",(E282-C282)/C282))</f>
        <v>0.0775510204081632</v>
      </c>
      <c r="H282" s="8" t="n">
        <f aca="false">SUMIFS('Source 2025'!$D:$D,'Source 2025'!$B:$B,$A282,'Source 2025'!$A:$A,"Amount (NIS)")+SUMIFS('Source 2025'!$E:$E,'Source 2025'!$B:$B,$A282,'Source 2025'!$A:$A,"Amount (NIS)")+SUMIFS('Source 2025'!$F:$F,'Source 2025'!$B:$B,$A282,'Source 2025'!$A:$A,"Amount (NIS)")+SUMIFS('Source 2025'!$G:$G,'Source 2025'!$B:$B,$A282,'Source 2025'!$A:$A,"Amount (NIS)")+SUMIFS('Source 2025'!$J:$J,'Source 2025'!$B:$B,$A282,'Source 2025'!$A:$A,"Amount (NIS)")+SUMIFS('Source 2025'!$M:$M,'Source 2025'!$B:$B,$A282,'Source 2025'!$A:$A,"Amount (NIS)")</f>
        <v>2744.1</v>
      </c>
      <c r="I282" s="8" t="n">
        <f aca="false">SUMIFS('Source 2026'!$D:$D,'Source 2026'!$B:$B,$A282,'Source 2026'!$A:$A,"Amount (NIS)")+SUMIFS('Source 2026'!$E:$E,'Source 2026'!$B:$B,$A282,'Source 2026'!$A:$A,"Amount (NIS)")+SUMIFS('Source 2026'!$F:$F,'Source 2026'!$B:$B,$A282,'Source 2026'!$A:$A,"Amount (NIS)")+SUMIFS('Source 2026'!$G:$G,'Source 2026'!$B:$B,$A282,'Source 2026'!$A:$A,"Amount (NIS)")+SUMIFS('Source 2026'!$J:$J,'Source 2026'!$B:$B,$A282,'Source 2026'!$A:$A,"Amount (NIS)")+SUMIFS('Source 2026'!$M:$M,'Source 2026'!$B:$B,$A282,'Source 2026'!$A:$A,"Amount (NIS)")</f>
        <v>2216.5</v>
      </c>
      <c r="J282" s="8" t="n">
        <f aca="false">I282*$J$5</f>
        <v>3039.77142857143</v>
      </c>
      <c r="K282" s="8" t="n">
        <f aca="false">J282-H282</f>
        <v>295.671428571429</v>
      </c>
      <c r="L282" s="9" t="n">
        <f aca="false">IF(AND(H282=0,J282=0),0,IF(H282=0,"New",(J282-H282)/H282))</f>
        <v>0.10774805166409</v>
      </c>
    </row>
    <row r="283" customFormat="false" ht="15" hidden="false" customHeight="false" outlineLevel="0" collapsed="false">
      <c r="A283" s="7" t="n">
        <v>4413345</v>
      </c>
      <c r="B283" s="7" t="str">
        <f aca="false">IFERROR(INDEX('Source 2026'!$C:$C,MATCH($A283,'Source 2026'!$B:$B,0)),IFERROR(INDEX('Source 2025'!$C:$C,MATCH($A283,'Source 2025'!$B:$B,0)),""))</f>
        <v>422N XXL.מ.ברך אפור+כרית סיליק</v>
      </c>
      <c r="C283" s="8" t="n">
        <f aca="false">SUMIFS('Source 2025'!$D:$D,'Source 2025'!$B:$B,$A283,'Source 2025'!$A:$A,"Quantity (units)")+SUMIFS('Source 2025'!$E:$E,'Source 2025'!$B:$B,$A283,'Source 2025'!$A:$A,"Quantity (units)")+SUMIFS('Source 2025'!$F:$F,'Source 2025'!$B:$B,$A283,'Source 2025'!$A:$A,"Quantity (units)")+SUMIFS('Source 2025'!$G:$G,'Source 2025'!$B:$B,$A283,'Source 2025'!$A:$A,"Quantity (units)")+SUMIFS('Source 2025'!$J:$J,'Source 2025'!$B:$B,$A283,'Source 2025'!$A:$A,"Quantity (units)")+SUMIFS('Source 2025'!$M:$M,'Source 2025'!$B:$B,$A283,'Source 2025'!$A:$A,"Quantity (units)")</f>
        <v>3</v>
      </c>
      <c r="D283" s="8" t="n">
        <f aca="false">SUMIFS('Source 2026'!$D:$D,'Source 2026'!$B:$B,$A283,'Source 2026'!$A:$A,"Quantity (units)")+SUMIFS('Source 2026'!$E:$E,'Source 2026'!$B:$B,$A283,'Source 2026'!$A:$A,"Quantity (units)")+SUMIFS('Source 2026'!$F:$F,'Source 2026'!$B:$B,$A283,'Source 2026'!$A:$A,"Quantity (units)")+SUMIFS('Source 2026'!$G:$G,'Source 2026'!$B:$B,$A283,'Source 2026'!$A:$A,"Quantity (units)")+SUMIFS('Source 2026'!$J:$J,'Source 2026'!$B:$B,$A283,'Source 2026'!$A:$A,"Quantity (units)")+SUMIFS('Source 2026'!$M:$M,'Source 2026'!$B:$B,$A283,'Source 2026'!$A:$A,"Quantity (units)")</f>
        <v>0</v>
      </c>
      <c r="E283" s="8" t="n">
        <f aca="false">D283*$J$5</f>
        <v>0</v>
      </c>
      <c r="F283" s="8" t="n">
        <f aca="false">E283-C283</f>
        <v>-3</v>
      </c>
      <c r="G283" s="9" t="n">
        <f aca="false">IF(AND(C283=0,E283=0),0,IF(C283=0,"New",(E283-C283)/C283))</f>
        <v>-1</v>
      </c>
      <c r="H283" s="8" t="n">
        <f aca="false">SUMIFS('Source 2025'!$D:$D,'Source 2025'!$B:$B,$A283,'Source 2025'!$A:$A,"Amount (NIS)")+SUMIFS('Source 2025'!$E:$E,'Source 2025'!$B:$B,$A283,'Source 2025'!$A:$A,"Amount (NIS)")+SUMIFS('Source 2025'!$F:$F,'Source 2025'!$B:$B,$A283,'Source 2025'!$A:$A,"Amount (NIS)")+SUMIFS('Source 2025'!$G:$G,'Source 2025'!$B:$B,$A283,'Source 2025'!$A:$A,"Amount (NIS)")+SUMIFS('Source 2025'!$J:$J,'Source 2025'!$B:$B,$A283,'Source 2025'!$A:$A,"Amount (NIS)")+SUMIFS('Source 2025'!$M:$M,'Source 2025'!$B:$B,$A283,'Source 2025'!$A:$A,"Amount (NIS)")</f>
        <v>524.8</v>
      </c>
      <c r="I283" s="8" t="n">
        <f aca="false">SUMIFS('Source 2026'!$D:$D,'Source 2026'!$B:$B,$A283,'Source 2026'!$A:$A,"Amount (NIS)")+SUMIFS('Source 2026'!$E:$E,'Source 2026'!$B:$B,$A283,'Source 2026'!$A:$A,"Amount (NIS)")+SUMIFS('Source 2026'!$F:$F,'Source 2026'!$B:$B,$A283,'Source 2026'!$A:$A,"Amount (NIS)")+SUMIFS('Source 2026'!$G:$G,'Source 2026'!$B:$B,$A283,'Source 2026'!$A:$A,"Amount (NIS)")+SUMIFS('Source 2026'!$J:$J,'Source 2026'!$B:$B,$A283,'Source 2026'!$A:$A,"Amount (NIS)")+SUMIFS('Source 2026'!$M:$M,'Source 2026'!$B:$B,$A283,'Source 2026'!$A:$A,"Amount (NIS)")</f>
        <v>0</v>
      </c>
      <c r="J283" s="8" t="n">
        <f aca="false">I283*$J$5</f>
        <v>0</v>
      </c>
      <c r="K283" s="8" t="n">
        <f aca="false">J283-H283</f>
        <v>-524.8</v>
      </c>
      <c r="L283" s="9" t="n">
        <f aca="false">IF(AND(H283=0,J283=0),0,IF(H283=0,"New",(J283-H283)/H283))</f>
        <v>-1</v>
      </c>
    </row>
    <row r="284" customFormat="false" ht="15" hidden="false" customHeight="false" outlineLevel="0" collapsed="false">
      <c r="A284" s="7" t="n">
        <v>4408017</v>
      </c>
      <c r="B284" s="7" t="str">
        <f aca="false">IFERROR(INDEX('Source 2026'!$C:$C,MATCH($A284,'Source 2026'!$B:$B,0)),IFERROR(INDEX('Source 2025'!$C:$C,MATCH($A284,'Source 2025'!$B:$B,0)),""))</f>
        <v>07AU XL ח.גב ""איטלקית"" אורירית</v>
      </c>
      <c r="C284" s="8" t="n">
        <f aca="false">SUMIFS('Source 2025'!$D:$D,'Source 2025'!$B:$B,$A284,'Source 2025'!$A:$A,"Quantity (units)")+SUMIFS('Source 2025'!$E:$E,'Source 2025'!$B:$B,$A284,'Source 2025'!$A:$A,"Quantity (units)")+SUMIFS('Source 2025'!$F:$F,'Source 2025'!$B:$B,$A284,'Source 2025'!$A:$A,"Quantity (units)")+SUMIFS('Source 2025'!$G:$G,'Source 2025'!$B:$B,$A284,'Source 2025'!$A:$A,"Quantity (units)")+SUMIFS('Source 2025'!$J:$J,'Source 2025'!$B:$B,$A284,'Source 2025'!$A:$A,"Quantity (units)")+SUMIFS('Source 2025'!$M:$M,'Source 2025'!$B:$B,$A284,'Source 2025'!$A:$A,"Quantity (units)")</f>
        <v>4</v>
      </c>
      <c r="D284" s="8" t="n">
        <f aca="false">SUMIFS('Source 2026'!$D:$D,'Source 2026'!$B:$B,$A284,'Source 2026'!$A:$A,"Quantity (units)")+SUMIFS('Source 2026'!$E:$E,'Source 2026'!$B:$B,$A284,'Source 2026'!$A:$A,"Quantity (units)")+SUMIFS('Source 2026'!$F:$F,'Source 2026'!$B:$B,$A284,'Source 2026'!$A:$A,"Quantity (units)")+SUMIFS('Source 2026'!$G:$G,'Source 2026'!$B:$B,$A284,'Source 2026'!$A:$A,"Quantity (units)")+SUMIFS('Source 2026'!$J:$J,'Source 2026'!$B:$B,$A284,'Source 2026'!$A:$A,"Quantity (units)")+SUMIFS('Source 2026'!$M:$M,'Source 2026'!$B:$B,$A284,'Source 2026'!$A:$A,"Quantity (units)")</f>
        <v>2</v>
      </c>
      <c r="E284" s="8" t="n">
        <f aca="false">D284*$J$5</f>
        <v>2.74285714285714</v>
      </c>
      <c r="F284" s="8" t="n">
        <f aca="false">E284-C284</f>
        <v>-1.25714285714286</v>
      </c>
      <c r="G284" s="9" t="n">
        <f aca="false">IF(AND(C284=0,E284=0),0,IF(C284=0,"New",(E284-C284)/C284))</f>
        <v>-0.314285714285714</v>
      </c>
      <c r="H284" s="8" t="n">
        <f aca="false">SUMIFS('Source 2025'!$D:$D,'Source 2025'!$B:$B,$A284,'Source 2025'!$A:$A,"Amount (NIS)")+SUMIFS('Source 2025'!$E:$E,'Source 2025'!$B:$B,$A284,'Source 2025'!$A:$A,"Amount (NIS)")+SUMIFS('Source 2025'!$F:$F,'Source 2025'!$B:$B,$A284,'Source 2025'!$A:$A,"Amount (NIS)")+SUMIFS('Source 2025'!$G:$G,'Source 2025'!$B:$B,$A284,'Source 2025'!$A:$A,"Amount (NIS)")+SUMIFS('Source 2025'!$J:$J,'Source 2025'!$B:$B,$A284,'Source 2025'!$A:$A,"Amount (NIS)")+SUMIFS('Source 2025'!$M:$M,'Source 2025'!$B:$B,$A284,'Source 2025'!$A:$A,"Amount (NIS)")</f>
        <v>975.1</v>
      </c>
      <c r="I284" s="8" t="n">
        <f aca="false">SUMIFS('Source 2026'!$D:$D,'Source 2026'!$B:$B,$A284,'Source 2026'!$A:$A,"Amount (NIS)")+SUMIFS('Source 2026'!$E:$E,'Source 2026'!$B:$B,$A284,'Source 2026'!$A:$A,"Amount (NIS)")+SUMIFS('Source 2026'!$F:$F,'Source 2026'!$B:$B,$A284,'Source 2026'!$A:$A,"Amount (NIS)")+SUMIFS('Source 2026'!$G:$G,'Source 2026'!$B:$B,$A284,'Source 2026'!$A:$A,"Amount (NIS)")+SUMIFS('Source 2026'!$J:$J,'Source 2026'!$B:$B,$A284,'Source 2026'!$A:$A,"Amount (NIS)")+SUMIFS('Source 2026'!$M:$M,'Source 2026'!$B:$B,$A284,'Source 2026'!$A:$A,"Amount (NIS)")</f>
        <v>454.9</v>
      </c>
      <c r="J284" s="8" t="n">
        <f aca="false">I284*$J$5</f>
        <v>623.862857142857</v>
      </c>
      <c r="K284" s="8" t="n">
        <f aca="false">J284-H284</f>
        <v>-351.237142857143</v>
      </c>
      <c r="L284" s="9" t="n">
        <f aca="false">IF(AND(H284=0,J284=0),0,IF(H284=0,"New",(J284-H284)/H284))</f>
        <v>-0.360206279209458</v>
      </c>
    </row>
    <row r="285" customFormat="false" ht="15" hidden="false" customHeight="false" outlineLevel="0" collapsed="false">
      <c r="A285" s="7" t="n">
        <v>4411017</v>
      </c>
      <c r="B285" s="7" t="str">
        <f aca="false">IFERROR(INDEX('Source 2026'!$C:$C,MATCH($A285,'Source 2026'!$B:$B,0)),IFERROR(INDEX('Source 2025'!$C:$C,MATCH($A285,'Source 2025'!$B:$B,0)),""))</f>
        <v>211L כפפות לחץ</v>
      </c>
      <c r="C285" s="8" t="n">
        <f aca="false">SUMIFS('Source 2025'!$D:$D,'Source 2025'!$B:$B,$A285,'Source 2025'!$A:$A,"Quantity (units)")+SUMIFS('Source 2025'!$E:$E,'Source 2025'!$B:$B,$A285,'Source 2025'!$A:$A,"Quantity (units)")+SUMIFS('Source 2025'!$F:$F,'Source 2025'!$B:$B,$A285,'Source 2025'!$A:$A,"Quantity (units)")+SUMIFS('Source 2025'!$G:$G,'Source 2025'!$B:$B,$A285,'Source 2025'!$A:$A,"Quantity (units)")+SUMIFS('Source 2025'!$J:$J,'Source 2025'!$B:$B,$A285,'Source 2025'!$A:$A,"Quantity (units)")+SUMIFS('Source 2025'!$M:$M,'Source 2025'!$B:$B,$A285,'Source 2025'!$A:$A,"Quantity (units)")</f>
        <v>26</v>
      </c>
      <c r="D285" s="8" t="n">
        <f aca="false">SUMIFS('Source 2026'!$D:$D,'Source 2026'!$B:$B,$A285,'Source 2026'!$A:$A,"Quantity (units)")+SUMIFS('Source 2026'!$E:$E,'Source 2026'!$B:$B,$A285,'Source 2026'!$A:$A,"Quantity (units)")+SUMIFS('Source 2026'!$F:$F,'Source 2026'!$B:$B,$A285,'Source 2026'!$A:$A,"Quantity (units)")+SUMIFS('Source 2026'!$G:$G,'Source 2026'!$B:$B,$A285,'Source 2026'!$A:$A,"Quantity (units)")+SUMIFS('Source 2026'!$J:$J,'Source 2026'!$B:$B,$A285,'Source 2026'!$A:$A,"Quantity (units)")+SUMIFS('Source 2026'!$M:$M,'Source 2026'!$B:$B,$A285,'Source 2026'!$A:$A,"Quantity (units)")</f>
        <v>11</v>
      </c>
      <c r="E285" s="8" t="n">
        <f aca="false">D285*$J$5</f>
        <v>15.0857142857143</v>
      </c>
      <c r="F285" s="8" t="n">
        <f aca="false">E285-C285</f>
        <v>-10.9142857142857</v>
      </c>
      <c r="G285" s="9" t="n">
        <f aca="false">IF(AND(C285=0,E285=0),0,IF(C285=0,"New",(E285-C285)/C285))</f>
        <v>-0.41978021978022</v>
      </c>
      <c r="H285" s="8" t="n">
        <f aca="false">SUMIFS('Source 2025'!$D:$D,'Source 2025'!$B:$B,$A285,'Source 2025'!$A:$A,"Amount (NIS)")+SUMIFS('Source 2025'!$E:$E,'Source 2025'!$B:$B,$A285,'Source 2025'!$A:$A,"Amount (NIS)")+SUMIFS('Source 2025'!$F:$F,'Source 2025'!$B:$B,$A285,'Source 2025'!$A:$A,"Amount (NIS)")+SUMIFS('Source 2025'!$G:$G,'Source 2025'!$B:$B,$A285,'Source 2025'!$A:$A,"Amount (NIS)")+SUMIFS('Source 2025'!$J:$J,'Source 2025'!$B:$B,$A285,'Source 2025'!$A:$A,"Amount (NIS)")+SUMIFS('Source 2025'!$M:$M,'Source 2025'!$B:$B,$A285,'Source 2025'!$A:$A,"Amount (NIS)")</f>
        <v>922.3</v>
      </c>
      <c r="I285" s="8" t="n">
        <f aca="false">SUMIFS('Source 2026'!$D:$D,'Source 2026'!$B:$B,$A285,'Source 2026'!$A:$A,"Amount (NIS)")+SUMIFS('Source 2026'!$E:$E,'Source 2026'!$B:$B,$A285,'Source 2026'!$A:$A,"Amount (NIS)")+SUMIFS('Source 2026'!$F:$F,'Source 2026'!$B:$B,$A285,'Source 2026'!$A:$A,"Amount (NIS)")+SUMIFS('Source 2026'!$G:$G,'Source 2026'!$B:$B,$A285,'Source 2026'!$A:$A,"Amount (NIS)")+SUMIFS('Source 2026'!$J:$J,'Source 2026'!$B:$B,$A285,'Source 2026'!$A:$A,"Amount (NIS)")+SUMIFS('Source 2026'!$M:$M,'Source 2026'!$B:$B,$A285,'Source 2026'!$A:$A,"Amount (NIS)")</f>
        <v>407</v>
      </c>
      <c r="J285" s="8" t="n">
        <f aca="false">I285*$J$5</f>
        <v>558.171428571429</v>
      </c>
      <c r="K285" s="8" t="n">
        <f aca="false">J285-H285</f>
        <v>-364.128571428571</v>
      </c>
      <c r="L285" s="9" t="n">
        <f aca="false">IF(AND(H285=0,J285=0),0,IF(H285=0,"New",(J285-H285)/H285))</f>
        <v>-0.394804913182881</v>
      </c>
    </row>
    <row r="286" customFormat="false" ht="15" hidden="false" customHeight="false" outlineLevel="0" collapsed="false">
      <c r="A286" s="7" t="n">
        <v>4413341</v>
      </c>
      <c r="B286" s="7" t="str">
        <f aca="false">IFERROR(INDEX('Source 2026'!$C:$C,MATCH($A286,'Source 2026'!$B:$B,0)),IFERROR(INDEX('Source 2025'!$C:$C,MATCH($A286,'Source 2025'!$B:$B,0)),""))</f>
        <v>422N L מ.ברך אפור+כרית סיליקון</v>
      </c>
      <c r="C286" s="8" t="n">
        <f aca="false">SUMIFS('Source 2025'!$D:$D,'Source 2025'!$B:$B,$A286,'Source 2025'!$A:$A,"Quantity (units)")+SUMIFS('Source 2025'!$E:$E,'Source 2025'!$B:$B,$A286,'Source 2025'!$A:$A,"Quantity (units)")+SUMIFS('Source 2025'!$F:$F,'Source 2025'!$B:$B,$A286,'Source 2025'!$A:$A,"Quantity (units)")+SUMIFS('Source 2025'!$G:$G,'Source 2025'!$B:$B,$A286,'Source 2025'!$A:$A,"Quantity (units)")+SUMIFS('Source 2025'!$J:$J,'Source 2025'!$B:$B,$A286,'Source 2025'!$A:$A,"Quantity (units)")+SUMIFS('Source 2025'!$M:$M,'Source 2025'!$B:$B,$A286,'Source 2025'!$A:$A,"Quantity (units)")</f>
        <v>3</v>
      </c>
      <c r="D286" s="8" t="n">
        <f aca="false">SUMIFS('Source 2026'!$D:$D,'Source 2026'!$B:$B,$A286,'Source 2026'!$A:$A,"Quantity (units)")+SUMIFS('Source 2026'!$E:$E,'Source 2026'!$B:$B,$A286,'Source 2026'!$A:$A,"Quantity (units)")+SUMIFS('Source 2026'!$F:$F,'Source 2026'!$B:$B,$A286,'Source 2026'!$A:$A,"Quantity (units)")+SUMIFS('Source 2026'!$G:$G,'Source 2026'!$B:$B,$A286,'Source 2026'!$A:$A,"Quantity (units)")+SUMIFS('Source 2026'!$J:$J,'Source 2026'!$B:$B,$A286,'Source 2026'!$A:$A,"Quantity (units)")+SUMIFS('Source 2026'!$M:$M,'Source 2026'!$B:$B,$A286,'Source 2026'!$A:$A,"Quantity (units)")</f>
        <v>0</v>
      </c>
      <c r="E286" s="8" t="n">
        <f aca="false">D286*$J$5</f>
        <v>0</v>
      </c>
      <c r="F286" s="8" t="n">
        <f aca="false">E286-C286</f>
        <v>-3</v>
      </c>
      <c r="G286" s="9" t="n">
        <f aca="false">IF(AND(C286=0,E286=0),0,IF(C286=0,"New",(E286-C286)/C286))</f>
        <v>-1</v>
      </c>
      <c r="H286" s="8" t="n">
        <f aca="false">SUMIFS('Source 2025'!$D:$D,'Source 2025'!$B:$B,$A286,'Source 2025'!$A:$A,"Amount (NIS)")+SUMIFS('Source 2025'!$E:$E,'Source 2025'!$B:$B,$A286,'Source 2025'!$A:$A,"Amount (NIS)")+SUMIFS('Source 2025'!$F:$F,'Source 2025'!$B:$B,$A286,'Source 2025'!$A:$A,"Amount (NIS)")+SUMIFS('Source 2025'!$G:$G,'Source 2025'!$B:$B,$A286,'Source 2025'!$A:$A,"Amount (NIS)")+SUMIFS('Source 2025'!$J:$J,'Source 2025'!$B:$B,$A286,'Source 2025'!$A:$A,"Amount (NIS)")+SUMIFS('Source 2025'!$M:$M,'Source 2025'!$B:$B,$A286,'Source 2025'!$A:$A,"Amount (NIS)")</f>
        <v>512.4</v>
      </c>
      <c r="I286" s="8" t="n">
        <f aca="false">SUMIFS('Source 2026'!$D:$D,'Source 2026'!$B:$B,$A286,'Source 2026'!$A:$A,"Amount (NIS)")+SUMIFS('Source 2026'!$E:$E,'Source 2026'!$B:$B,$A286,'Source 2026'!$A:$A,"Amount (NIS)")+SUMIFS('Source 2026'!$F:$F,'Source 2026'!$B:$B,$A286,'Source 2026'!$A:$A,"Amount (NIS)")+SUMIFS('Source 2026'!$G:$G,'Source 2026'!$B:$B,$A286,'Source 2026'!$A:$A,"Amount (NIS)")+SUMIFS('Source 2026'!$J:$J,'Source 2026'!$B:$B,$A286,'Source 2026'!$A:$A,"Amount (NIS)")+SUMIFS('Source 2026'!$M:$M,'Source 2026'!$B:$B,$A286,'Source 2026'!$A:$A,"Amount (NIS)")</f>
        <v>0</v>
      </c>
      <c r="J286" s="8" t="n">
        <f aca="false">I286*$J$5</f>
        <v>0</v>
      </c>
      <c r="K286" s="8" t="n">
        <f aca="false">J286-H286</f>
        <v>-512.4</v>
      </c>
      <c r="L286" s="9" t="n">
        <f aca="false">IF(AND(H286=0,J286=0),0,IF(H286=0,"New",(J286-H286)/H286))</f>
        <v>-1</v>
      </c>
    </row>
    <row r="287" customFormat="false" ht="15" hidden="false" customHeight="false" outlineLevel="0" collapsed="false">
      <c r="A287" s="7" t="n">
        <v>4411019</v>
      </c>
      <c r="B287" s="7" t="str">
        <f aca="false">IFERROR(INDEX('Source 2026'!$C:$C,MATCH($A287,'Source 2026'!$B:$B,0)),IFERROR(INDEX('Source 2025'!$C:$C,MATCH($A287,'Source 2025'!$B:$B,0)),""))</f>
        <v>211S כפפות לחץ</v>
      </c>
      <c r="C287" s="8" t="n">
        <f aca="false">SUMIFS('Source 2025'!$D:$D,'Source 2025'!$B:$B,$A287,'Source 2025'!$A:$A,"Quantity (units)")+SUMIFS('Source 2025'!$E:$E,'Source 2025'!$B:$B,$A287,'Source 2025'!$A:$A,"Quantity (units)")+SUMIFS('Source 2025'!$F:$F,'Source 2025'!$B:$B,$A287,'Source 2025'!$A:$A,"Quantity (units)")+SUMIFS('Source 2025'!$G:$G,'Source 2025'!$B:$B,$A287,'Source 2025'!$A:$A,"Quantity (units)")+SUMIFS('Source 2025'!$J:$J,'Source 2025'!$B:$B,$A287,'Source 2025'!$A:$A,"Quantity (units)")+SUMIFS('Source 2025'!$M:$M,'Source 2025'!$B:$B,$A287,'Source 2025'!$A:$A,"Quantity (units)")</f>
        <v>24</v>
      </c>
      <c r="D287" s="8" t="n">
        <f aca="false">SUMIFS('Source 2026'!$D:$D,'Source 2026'!$B:$B,$A287,'Source 2026'!$A:$A,"Quantity (units)")+SUMIFS('Source 2026'!$E:$E,'Source 2026'!$B:$B,$A287,'Source 2026'!$A:$A,"Quantity (units)")+SUMIFS('Source 2026'!$F:$F,'Source 2026'!$B:$B,$A287,'Source 2026'!$A:$A,"Quantity (units)")+SUMIFS('Source 2026'!$G:$G,'Source 2026'!$B:$B,$A287,'Source 2026'!$A:$A,"Quantity (units)")+SUMIFS('Source 2026'!$J:$J,'Source 2026'!$B:$B,$A287,'Source 2026'!$A:$A,"Quantity (units)")+SUMIFS('Source 2026'!$M:$M,'Source 2026'!$B:$B,$A287,'Source 2026'!$A:$A,"Quantity (units)")</f>
        <v>10</v>
      </c>
      <c r="E287" s="8" t="n">
        <f aca="false">D287*$J$5</f>
        <v>13.7142857142857</v>
      </c>
      <c r="F287" s="8" t="n">
        <f aca="false">E287-C287</f>
        <v>-10.2857142857143</v>
      </c>
      <c r="G287" s="9" t="n">
        <f aca="false">IF(AND(C287=0,E287=0),0,IF(C287=0,"New",(E287-C287)/C287))</f>
        <v>-0.428571428571429</v>
      </c>
      <c r="H287" s="8" t="n">
        <f aca="false">SUMIFS('Source 2025'!$D:$D,'Source 2025'!$B:$B,$A287,'Source 2025'!$A:$A,"Amount (NIS)")+SUMIFS('Source 2025'!$E:$E,'Source 2025'!$B:$B,$A287,'Source 2025'!$A:$A,"Amount (NIS)")+SUMIFS('Source 2025'!$F:$F,'Source 2025'!$B:$B,$A287,'Source 2025'!$A:$A,"Amount (NIS)")+SUMIFS('Source 2025'!$G:$G,'Source 2025'!$B:$B,$A287,'Source 2025'!$A:$A,"Amount (NIS)")+SUMIFS('Source 2025'!$J:$J,'Source 2025'!$B:$B,$A287,'Source 2025'!$A:$A,"Amount (NIS)")+SUMIFS('Source 2025'!$M:$M,'Source 2025'!$B:$B,$A287,'Source 2025'!$A:$A,"Amount (NIS)")</f>
        <v>857.1</v>
      </c>
      <c r="I287" s="8" t="n">
        <f aca="false">SUMIFS('Source 2026'!$D:$D,'Source 2026'!$B:$B,$A287,'Source 2026'!$A:$A,"Amount (NIS)")+SUMIFS('Source 2026'!$E:$E,'Source 2026'!$B:$B,$A287,'Source 2026'!$A:$A,"Amount (NIS)")+SUMIFS('Source 2026'!$F:$F,'Source 2026'!$B:$B,$A287,'Source 2026'!$A:$A,"Amount (NIS)")+SUMIFS('Source 2026'!$G:$G,'Source 2026'!$B:$B,$A287,'Source 2026'!$A:$A,"Amount (NIS)")+SUMIFS('Source 2026'!$J:$J,'Source 2026'!$B:$B,$A287,'Source 2026'!$A:$A,"Amount (NIS)")+SUMIFS('Source 2026'!$M:$M,'Source 2026'!$B:$B,$A287,'Source 2026'!$A:$A,"Amount (NIS)")</f>
        <v>359.6</v>
      </c>
      <c r="J287" s="8" t="n">
        <f aca="false">I287*$J$5</f>
        <v>493.165714285714</v>
      </c>
      <c r="K287" s="8" t="n">
        <f aca="false">J287-H287</f>
        <v>-363.934285714286</v>
      </c>
      <c r="L287" s="9" t="n">
        <f aca="false">IF(AND(H287=0,J287=0),0,IF(H287=0,"New",(J287-H287)/H287))</f>
        <v>-0.424611230561528</v>
      </c>
    </row>
    <row r="288" customFormat="false" ht="15" hidden="false" customHeight="false" outlineLevel="0" collapsed="false">
      <c r="A288" s="7" t="n">
        <v>4408095</v>
      </c>
      <c r="B288" s="7" t="str">
        <f aca="false">IFERROR(INDEX('Source 2026'!$C:$C,MATCH($A288,'Source 2026'!$B:$B,0)),IFERROR(INDEX('Source 2025'!$C:$C,MATCH($A288,'Source 2025'!$B:$B,0)),""))</f>
        <v>T20 L-XL  חבק יד עם צמדן</v>
      </c>
      <c r="C288" s="8" t="n">
        <f aca="false">SUMIFS('Source 2025'!$D:$D,'Source 2025'!$B:$B,$A288,'Source 2025'!$A:$A,"Quantity (units)")+SUMIFS('Source 2025'!$E:$E,'Source 2025'!$B:$B,$A288,'Source 2025'!$A:$A,"Quantity (units)")+SUMIFS('Source 2025'!$F:$F,'Source 2025'!$B:$B,$A288,'Source 2025'!$A:$A,"Quantity (units)")+SUMIFS('Source 2025'!$G:$G,'Source 2025'!$B:$B,$A288,'Source 2025'!$A:$A,"Quantity (units)")+SUMIFS('Source 2025'!$J:$J,'Source 2025'!$B:$B,$A288,'Source 2025'!$A:$A,"Quantity (units)")+SUMIFS('Source 2025'!$M:$M,'Source 2025'!$B:$B,$A288,'Source 2025'!$A:$A,"Quantity (units)")</f>
        <v>47</v>
      </c>
      <c r="D288" s="8" t="n">
        <f aca="false">SUMIFS('Source 2026'!$D:$D,'Source 2026'!$B:$B,$A288,'Source 2026'!$A:$A,"Quantity (units)")+SUMIFS('Source 2026'!$E:$E,'Source 2026'!$B:$B,$A288,'Source 2026'!$A:$A,"Quantity (units)")+SUMIFS('Source 2026'!$F:$F,'Source 2026'!$B:$B,$A288,'Source 2026'!$A:$A,"Quantity (units)")+SUMIFS('Source 2026'!$G:$G,'Source 2026'!$B:$B,$A288,'Source 2026'!$A:$A,"Quantity (units)")+SUMIFS('Source 2026'!$J:$J,'Source 2026'!$B:$B,$A288,'Source 2026'!$A:$A,"Quantity (units)")+SUMIFS('Source 2026'!$M:$M,'Source 2026'!$B:$B,$A288,'Source 2026'!$A:$A,"Quantity (units)")</f>
        <v>61</v>
      </c>
      <c r="E288" s="8" t="n">
        <f aca="false">D288*$J$5</f>
        <v>83.6571428571429</v>
      </c>
      <c r="F288" s="8" t="n">
        <f aca="false">E288-C288</f>
        <v>36.6571428571429</v>
      </c>
      <c r="G288" s="9" t="n">
        <f aca="false">IF(AND(C288=0,E288=0),0,IF(C288=0,"New",(E288-C288)/C288))</f>
        <v>0.779939209726444</v>
      </c>
      <c r="H288" s="8" t="n">
        <f aca="false">SUMIFS('Source 2025'!$D:$D,'Source 2025'!$B:$B,$A288,'Source 2025'!$A:$A,"Amount (NIS)")+SUMIFS('Source 2025'!$E:$E,'Source 2025'!$B:$B,$A288,'Source 2025'!$A:$A,"Amount (NIS)")+SUMIFS('Source 2025'!$F:$F,'Source 2025'!$B:$B,$A288,'Source 2025'!$A:$A,"Amount (NIS)")+SUMIFS('Source 2025'!$G:$G,'Source 2025'!$B:$B,$A288,'Source 2025'!$A:$A,"Amount (NIS)")+SUMIFS('Source 2025'!$J:$J,'Source 2025'!$B:$B,$A288,'Source 2025'!$A:$A,"Amount (NIS)")+SUMIFS('Source 2025'!$M:$M,'Source 2025'!$B:$B,$A288,'Source 2025'!$A:$A,"Amount (NIS)")</f>
        <v>1639.6</v>
      </c>
      <c r="I288" s="8" t="n">
        <f aca="false">SUMIFS('Source 2026'!$D:$D,'Source 2026'!$B:$B,$A288,'Source 2026'!$A:$A,"Amount (NIS)")+SUMIFS('Source 2026'!$E:$E,'Source 2026'!$B:$B,$A288,'Source 2026'!$A:$A,"Amount (NIS)")+SUMIFS('Source 2026'!$F:$F,'Source 2026'!$B:$B,$A288,'Source 2026'!$A:$A,"Amount (NIS)")+SUMIFS('Source 2026'!$G:$G,'Source 2026'!$B:$B,$A288,'Source 2026'!$A:$A,"Amount (NIS)")+SUMIFS('Source 2026'!$J:$J,'Source 2026'!$B:$B,$A288,'Source 2026'!$A:$A,"Amount (NIS)")+SUMIFS('Source 2026'!$M:$M,'Source 2026'!$B:$B,$A288,'Source 2026'!$A:$A,"Amount (NIS)")</f>
        <v>2136.4</v>
      </c>
      <c r="J288" s="8" t="n">
        <f aca="false">I288*$J$5</f>
        <v>2929.92</v>
      </c>
      <c r="K288" s="8" t="n">
        <f aca="false">J288-H288</f>
        <v>1290.32</v>
      </c>
      <c r="L288" s="9" t="n">
        <f aca="false">IF(AND(H288=0,J288=0),0,IF(H288=0,"New",(J288-H288)/H288))</f>
        <v>0.786972432300561</v>
      </c>
    </row>
    <row r="289" customFormat="false" ht="15" hidden="false" customHeight="false" outlineLevel="0" collapsed="false">
      <c r="A289" s="7" t="n">
        <v>4413120</v>
      </c>
      <c r="B289" s="7" t="str">
        <f aca="false">IFERROR(INDEX('Source 2026'!$C:$C,MATCH($A289,'Source 2026'!$B:$B,0)),IFERROR(INDEX('Source 2025'!$C:$C,MATCH($A289,'Source 2025'!$B:$B,0)),""))</f>
        <v>50 XXL מתלה אשכים לאחר ניתוח</v>
      </c>
      <c r="C289" s="8" t="n">
        <f aca="false">SUMIFS('Source 2025'!$D:$D,'Source 2025'!$B:$B,$A289,'Source 2025'!$A:$A,"Quantity (units)")+SUMIFS('Source 2025'!$E:$E,'Source 2025'!$B:$B,$A289,'Source 2025'!$A:$A,"Quantity (units)")+SUMIFS('Source 2025'!$F:$F,'Source 2025'!$B:$B,$A289,'Source 2025'!$A:$A,"Quantity (units)")+SUMIFS('Source 2025'!$G:$G,'Source 2025'!$B:$B,$A289,'Source 2025'!$A:$A,"Quantity (units)")+SUMIFS('Source 2025'!$J:$J,'Source 2025'!$B:$B,$A289,'Source 2025'!$A:$A,"Quantity (units)")+SUMIFS('Source 2025'!$M:$M,'Source 2025'!$B:$B,$A289,'Source 2025'!$A:$A,"Quantity (units)")</f>
        <v>5</v>
      </c>
      <c r="D289" s="8" t="n">
        <f aca="false">SUMIFS('Source 2026'!$D:$D,'Source 2026'!$B:$B,$A289,'Source 2026'!$A:$A,"Quantity (units)")+SUMIFS('Source 2026'!$E:$E,'Source 2026'!$B:$B,$A289,'Source 2026'!$A:$A,"Quantity (units)")+SUMIFS('Source 2026'!$F:$F,'Source 2026'!$B:$B,$A289,'Source 2026'!$A:$A,"Quantity (units)")+SUMIFS('Source 2026'!$G:$G,'Source 2026'!$B:$B,$A289,'Source 2026'!$A:$A,"Quantity (units)")+SUMIFS('Source 2026'!$J:$J,'Source 2026'!$B:$B,$A289,'Source 2026'!$A:$A,"Quantity (units)")+SUMIFS('Source 2026'!$M:$M,'Source 2026'!$B:$B,$A289,'Source 2026'!$A:$A,"Quantity (units)")</f>
        <v>0</v>
      </c>
      <c r="E289" s="8" t="n">
        <f aca="false">D289*$J$5</f>
        <v>0</v>
      </c>
      <c r="F289" s="8" t="n">
        <f aca="false">E289-C289</f>
        <v>-5</v>
      </c>
      <c r="G289" s="9" t="n">
        <f aca="false">IF(AND(C289=0,E289=0),0,IF(C289=0,"New",(E289-C289)/C289))</f>
        <v>-1</v>
      </c>
      <c r="H289" s="8" t="n">
        <f aca="false">SUMIFS('Source 2025'!$D:$D,'Source 2025'!$B:$B,$A289,'Source 2025'!$A:$A,"Amount (NIS)")+SUMIFS('Source 2025'!$E:$E,'Source 2025'!$B:$B,$A289,'Source 2025'!$A:$A,"Amount (NIS)")+SUMIFS('Source 2025'!$F:$F,'Source 2025'!$B:$B,$A289,'Source 2025'!$A:$A,"Amount (NIS)")+SUMIFS('Source 2025'!$G:$G,'Source 2025'!$B:$B,$A289,'Source 2025'!$A:$A,"Amount (NIS)")+SUMIFS('Source 2025'!$J:$J,'Source 2025'!$B:$B,$A289,'Source 2025'!$A:$A,"Amount (NIS)")+SUMIFS('Source 2025'!$M:$M,'Source 2025'!$B:$B,$A289,'Source 2025'!$A:$A,"Amount (NIS)")</f>
        <v>488.6</v>
      </c>
      <c r="I289" s="8" t="n">
        <f aca="false">SUMIFS('Source 2026'!$D:$D,'Source 2026'!$B:$B,$A289,'Source 2026'!$A:$A,"Amount (NIS)")+SUMIFS('Source 2026'!$E:$E,'Source 2026'!$B:$B,$A289,'Source 2026'!$A:$A,"Amount (NIS)")+SUMIFS('Source 2026'!$F:$F,'Source 2026'!$B:$B,$A289,'Source 2026'!$A:$A,"Amount (NIS)")+SUMIFS('Source 2026'!$G:$G,'Source 2026'!$B:$B,$A289,'Source 2026'!$A:$A,"Amount (NIS)")+SUMIFS('Source 2026'!$J:$J,'Source 2026'!$B:$B,$A289,'Source 2026'!$A:$A,"Amount (NIS)")+SUMIFS('Source 2026'!$M:$M,'Source 2026'!$B:$B,$A289,'Source 2026'!$A:$A,"Amount (NIS)")</f>
        <v>0</v>
      </c>
      <c r="J289" s="8" t="n">
        <f aca="false">I289*$J$5</f>
        <v>0</v>
      </c>
      <c r="K289" s="8" t="n">
        <f aca="false">J289-H289</f>
        <v>-488.6</v>
      </c>
      <c r="L289" s="9" t="n">
        <f aca="false">IF(AND(H289=0,J289=0),0,IF(H289=0,"New",(J289-H289)/H289))</f>
        <v>-1</v>
      </c>
    </row>
    <row r="290" customFormat="false" ht="15" hidden="false" customHeight="false" outlineLevel="0" collapsed="false">
      <c r="A290" s="7" t="n">
        <v>4408016</v>
      </c>
      <c r="B290" s="7" t="str">
        <f aca="false">IFERROR(INDEX('Source 2026'!$C:$C,MATCH($A290,'Source 2026'!$B:$B,0)),IFERROR(INDEX('Source 2025'!$C:$C,MATCH($A290,'Source 2025'!$B:$B,0)),""))</f>
        <v>07AU M ח.גב ""איטלקית"" אורירית</v>
      </c>
      <c r="C290" s="8" t="n">
        <f aca="false">SUMIFS('Source 2025'!$D:$D,'Source 2025'!$B:$B,$A290,'Source 2025'!$A:$A,"Quantity (units)")+SUMIFS('Source 2025'!$E:$E,'Source 2025'!$B:$B,$A290,'Source 2025'!$A:$A,"Quantity (units)")+SUMIFS('Source 2025'!$F:$F,'Source 2025'!$B:$B,$A290,'Source 2025'!$A:$A,"Quantity (units)")+SUMIFS('Source 2025'!$G:$G,'Source 2025'!$B:$B,$A290,'Source 2025'!$A:$A,"Quantity (units)")+SUMIFS('Source 2025'!$J:$J,'Source 2025'!$B:$B,$A290,'Source 2025'!$A:$A,"Quantity (units)")+SUMIFS('Source 2025'!$M:$M,'Source 2025'!$B:$B,$A290,'Source 2025'!$A:$A,"Quantity (units)")</f>
        <v>0</v>
      </c>
      <c r="D290" s="8" t="n">
        <f aca="false">SUMIFS('Source 2026'!$D:$D,'Source 2026'!$B:$B,$A290,'Source 2026'!$A:$A,"Quantity (units)")+SUMIFS('Source 2026'!$E:$E,'Source 2026'!$B:$B,$A290,'Source 2026'!$A:$A,"Quantity (units)")+SUMIFS('Source 2026'!$F:$F,'Source 2026'!$B:$B,$A290,'Source 2026'!$A:$A,"Quantity (units)")+SUMIFS('Source 2026'!$G:$G,'Source 2026'!$B:$B,$A290,'Source 2026'!$A:$A,"Quantity (units)")+SUMIFS('Source 2026'!$J:$J,'Source 2026'!$B:$B,$A290,'Source 2026'!$A:$A,"Quantity (units)")+SUMIFS('Source 2026'!$M:$M,'Source 2026'!$B:$B,$A290,'Source 2026'!$A:$A,"Quantity (units)")</f>
        <v>-2</v>
      </c>
      <c r="E290" s="8" t="n">
        <f aca="false">D290*$J$5</f>
        <v>-2.74285714285714</v>
      </c>
      <c r="F290" s="8" t="n">
        <f aca="false">E290-C290</f>
        <v>-2.74285714285714</v>
      </c>
      <c r="G290" s="9" t="str">
        <f aca="false">IF(AND(C290=0,E290=0),0,IF(C290=0,"New",(E290-C290)/C290))</f>
        <v>New</v>
      </c>
      <c r="H290" s="8" t="n">
        <f aca="false">SUMIFS('Source 2025'!$D:$D,'Source 2025'!$B:$B,$A290,'Source 2025'!$A:$A,"Amount (NIS)")+SUMIFS('Source 2025'!$E:$E,'Source 2025'!$B:$B,$A290,'Source 2025'!$A:$A,"Amount (NIS)")+SUMIFS('Source 2025'!$F:$F,'Source 2025'!$B:$B,$A290,'Source 2025'!$A:$A,"Amount (NIS)")+SUMIFS('Source 2025'!$G:$G,'Source 2025'!$B:$B,$A290,'Source 2025'!$A:$A,"Amount (NIS)")+SUMIFS('Source 2025'!$J:$J,'Source 2025'!$B:$B,$A290,'Source 2025'!$A:$A,"Amount (NIS)")+SUMIFS('Source 2025'!$M:$M,'Source 2025'!$B:$B,$A290,'Source 2025'!$A:$A,"Amount (NIS)")</f>
        <v>2.5</v>
      </c>
      <c r="I290" s="8" t="n">
        <f aca="false">SUMIFS('Source 2026'!$D:$D,'Source 2026'!$B:$B,$A290,'Source 2026'!$A:$A,"Amount (NIS)")+SUMIFS('Source 2026'!$E:$E,'Source 2026'!$B:$B,$A290,'Source 2026'!$A:$A,"Amount (NIS)")+SUMIFS('Source 2026'!$F:$F,'Source 2026'!$B:$B,$A290,'Source 2026'!$A:$A,"Amount (NIS)")+SUMIFS('Source 2026'!$G:$G,'Source 2026'!$B:$B,$A290,'Source 2026'!$A:$A,"Amount (NIS)")+SUMIFS('Source 2026'!$J:$J,'Source 2026'!$B:$B,$A290,'Source 2026'!$A:$A,"Amount (NIS)")+SUMIFS('Source 2026'!$M:$M,'Source 2026'!$B:$B,$A290,'Source 2026'!$A:$A,"Amount (NIS)")</f>
        <v>-485.2</v>
      </c>
      <c r="J290" s="8" t="n">
        <f aca="false">I290*$J$5</f>
        <v>-665.417142857143</v>
      </c>
      <c r="K290" s="8" t="n">
        <f aca="false">J290-H290</f>
        <v>-667.917142857143</v>
      </c>
      <c r="L290" s="9" t="n">
        <f aca="false">IF(AND(H290=0,J290=0),0,IF(H290=0,"New",(J290-H290)/H290))</f>
        <v>-267.166857142857</v>
      </c>
    </row>
    <row r="291" customFormat="false" ht="15" hidden="false" customHeight="false" outlineLevel="0" collapsed="false">
      <c r="A291" s="7" t="n">
        <v>4413142</v>
      </c>
      <c r="B291" s="7" t="str">
        <f aca="false">IFERROR(INDEX('Source 2026'!$C:$C,MATCH($A291,'Source 2026'!$B:$B,0)),IFERROR(INDEX('Source 2025'!$C:$C,MATCH($A291,'Source 2025'!$B:$B,0)),""))</f>
        <v>95 XL מגן מרפק רגיל לבן</v>
      </c>
      <c r="C291" s="8" t="n">
        <f aca="false">SUMIFS('Source 2025'!$D:$D,'Source 2025'!$B:$B,$A291,'Source 2025'!$A:$A,"Quantity (units)")+SUMIFS('Source 2025'!$E:$E,'Source 2025'!$B:$B,$A291,'Source 2025'!$A:$A,"Quantity (units)")+SUMIFS('Source 2025'!$F:$F,'Source 2025'!$B:$B,$A291,'Source 2025'!$A:$A,"Quantity (units)")+SUMIFS('Source 2025'!$G:$G,'Source 2025'!$B:$B,$A291,'Source 2025'!$A:$A,"Quantity (units)")+SUMIFS('Source 2025'!$J:$J,'Source 2025'!$B:$B,$A291,'Source 2025'!$A:$A,"Quantity (units)")+SUMIFS('Source 2025'!$M:$M,'Source 2025'!$B:$B,$A291,'Source 2025'!$A:$A,"Quantity (units)")</f>
        <v>49</v>
      </c>
      <c r="D291" s="8" t="n">
        <f aca="false">SUMIFS('Source 2026'!$D:$D,'Source 2026'!$B:$B,$A291,'Source 2026'!$A:$A,"Quantity (units)")+SUMIFS('Source 2026'!$E:$E,'Source 2026'!$B:$B,$A291,'Source 2026'!$A:$A,"Quantity (units)")+SUMIFS('Source 2026'!$F:$F,'Source 2026'!$B:$B,$A291,'Source 2026'!$A:$A,"Quantity (units)")+SUMIFS('Source 2026'!$G:$G,'Source 2026'!$B:$B,$A291,'Source 2026'!$A:$A,"Quantity (units)")+SUMIFS('Source 2026'!$J:$J,'Source 2026'!$B:$B,$A291,'Source 2026'!$A:$A,"Quantity (units)")+SUMIFS('Source 2026'!$M:$M,'Source 2026'!$B:$B,$A291,'Source 2026'!$A:$A,"Quantity (units)")</f>
        <v>32</v>
      </c>
      <c r="E291" s="8" t="n">
        <f aca="false">D291*$J$5</f>
        <v>43.8857142857143</v>
      </c>
      <c r="F291" s="8" t="n">
        <f aca="false">E291-C291</f>
        <v>-5.11428571428571</v>
      </c>
      <c r="G291" s="9" t="n">
        <f aca="false">IF(AND(C291=0,E291=0),0,IF(C291=0,"New",(E291-C291)/C291))</f>
        <v>-0.104373177842566</v>
      </c>
      <c r="H291" s="8" t="n">
        <f aca="false">SUMIFS('Source 2025'!$D:$D,'Source 2025'!$B:$B,$A291,'Source 2025'!$A:$A,"Amount (NIS)")+SUMIFS('Source 2025'!$E:$E,'Source 2025'!$B:$B,$A291,'Source 2025'!$A:$A,"Amount (NIS)")+SUMIFS('Source 2025'!$F:$F,'Source 2025'!$B:$B,$A291,'Source 2025'!$A:$A,"Amount (NIS)")+SUMIFS('Source 2025'!$G:$G,'Source 2025'!$B:$B,$A291,'Source 2025'!$A:$A,"Amount (NIS)")+SUMIFS('Source 2025'!$J:$J,'Source 2025'!$B:$B,$A291,'Source 2025'!$A:$A,"Amount (NIS)")+SUMIFS('Source 2025'!$M:$M,'Source 2025'!$B:$B,$A291,'Source 2025'!$A:$A,"Amount (NIS)")</f>
        <v>1440.1</v>
      </c>
      <c r="I291" s="8" t="n">
        <f aca="false">SUMIFS('Source 2026'!$D:$D,'Source 2026'!$B:$B,$A291,'Source 2026'!$A:$A,"Amount (NIS)")+SUMIFS('Source 2026'!$E:$E,'Source 2026'!$B:$B,$A291,'Source 2026'!$A:$A,"Amount (NIS)")+SUMIFS('Source 2026'!$F:$F,'Source 2026'!$B:$B,$A291,'Source 2026'!$A:$A,"Amount (NIS)")+SUMIFS('Source 2026'!$G:$G,'Source 2026'!$B:$B,$A291,'Source 2026'!$A:$A,"Amount (NIS)")+SUMIFS('Source 2026'!$J:$J,'Source 2026'!$B:$B,$A291,'Source 2026'!$A:$A,"Amount (NIS)")+SUMIFS('Source 2026'!$M:$M,'Source 2026'!$B:$B,$A291,'Source 2026'!$A:$A,"Amount (NIS)")</f>
        <v>953.5</v>
      </c>
      <c r="J291" s="8" t="n">
        <f aca="false">I291*$J$5</f>
        <v>1307.65714285714</v>
      </c>
      <c r="K291" s="8" t="n">
        <f aca="false">J291-H291</f>
        <v>-132.442857142857</v>
      </c>
      <c r="L291" s="9" t="n">
        <f aca="false">IF(AND(H291=0,J291=0),0,IF(H291=0,"New",(J291-H291)/H291))</f>
        <v>-0.091967819695061</v>
      </c>
    </row>
    <row r="292" customFormat="false" ht="15" hidden="false" customHeight="false" outlineLevel="0" collapsed="false">
      <c r="A292" s="7" t="n">
        <v>4403024</v>
      </c>
      <c r="B292" s="7" t="str">
        <f aca="false">IFERROR(INDEX('Source 2026'!$C:$C,MATCH($A292,'Source 2026'!$B:$B,0)),IFERROR(INDEX('Source 2025'!$C:$C,MATCH($A292,'Source 2025'!$B:$B,0)),""))</f>
        <v>394W 39-42 גרב.כסף לסכרתים לבן</v>
      </c>
      <c r="C292" s="8" t="n">
        <f aca="false">SUMIFS('Source 2025'!$D:$D,'Source 2025'!$B:$B,$A292,'Source 2025'!$A:$A,"Quantity (units)")+SUMIFS('Source 2025'!$E:$E,'Source 2025'!$B:$B,$A292,'Source 2025'!$A:$A,"Quantity (units)")+SUMIFS('Source 2025'!$F:$F,'Source 2025'!$B:$B,$A292,'Source 2025'!$A:$A,"Quantity (units)")+SUMIFS('Source 2025'!$G:$G,'Source 2025'!$B:$B,$A292,'Source 2025'!$A:$A,"Quantity (units)")+SUMIFS('Source 2025'!$J:$J,'Source 2025'!$B:$B,$A292,'Source 2025'!$A:$A,"Quantity (units)")+SUMIFS('Source 2025'!$M:$M,'Source 2025'!$B:$B,$A292,'Source 2025'!$A:$A,"Quantity (units)")</f>
        <v>66</v>
      </c>
      <c r="D292" s="8" t="n">
        <f aca="false">SUMIFS('Source 2026'!$D:$D,'Source 2026'!$B:$B,$A292,'Source 2026'!$A:$A,"Quantity (units)")+SUMIFS('Source 2026'!$E:$E,'Source 2026'!$B:$B,$A292,'Source 2026'!$A:$A,"Quantity (units)")+SUMIFS('Source 2026'!$F:$F,'Source 2026'!$B:$B,$A292,'Source 2026'!$A:$A,"Quantity (units)")+SUMIFS('Source 2026'!$G:$G,'Source 2026'!$B:$B,$A292,'Source 2026'!$A:$A,"Quantity (units)")+SUMIFS('Source 2026'!$J:$J,'Source 2026'!$B:$B,$A292,'Source 2026'!$A:$A,"Quantity (units)")+SUMIFS('Source 2026'!$M:$M,'Source 2026'!$B:$B,$A292,'Source 2026'!$A:$A,"Quantity (units)")</f>
        <v>44</v>
      </c>
      <c r="E292" s="8" t="n">
        <f aca="false">D292*$J$5</f>
        <v>60.3428571428571</v>
      </c>
      <c r="F292" s="8" t="n">
        <f aca="false">E292-C292</f>
        <v>-5.65714285714286</v>
      </c>
      <c r="G292" s="9" t="n">
        <f aca="false">IF(AND(C292=0,E292=0),0,IF(C292=0,"New",(E292-C292)/C292))</f>
        <v>-0.0857142857142857</v>
      </c>
      <c r="H292" s="8" t="n">
        <f aca="false">SUMIFS('Source 2025'!$D:$D,'Source 2025'!$B:$B,$A292,'Source 2025'!$A:$A,"Amount (NIS)")+SUMIFS('Source 2025'!$E:$E,'Source 2025'!$B:$B,$A292,'Source 2025'!$A:$A,"Amount (NIS)")+SUMIFS('Source 2025'!$F:$F,'Source 2025'!$B:$B,$A292,'Source 2025'!$A:$A,"Amount (NIS)")+SUMIFS('Source 2025'!$G:$G,'Source 2025'!$B:$B,$A292,'Source 2025'!$A:$A,"Amount (NIS)")+SUMIFS('Source 2025'!$J:$J,'Source 2025'!$B:$B,$A292,'Source 2025'!$A:$A,"Amount (NIS)")+SUMIFS('Source 2025'!$M:$M,'Source 2025'!$B:$B,$A292,'Source 2025'!$A:$A,"Amount (NIS)")</f>
        <v>1656.7</v>
      </c>
      <c r="I292" s="8" t="n">
        <f aca="false">SUMIFS('Source 2026'!$D:$D,'Source 2026'!$B:$B,$A292,'Source 2026'!$A:$A,"Amount (NIS)")+SUMIFS('Source 2026'!$E:$E,'Source 2026'!$B:$B,$A292,'Source 2026'!$A:$A,"Amount (NIS)")+SUMIFS('Source 2026'!$F:$F,'Source 2026'!$B:$B,$A292,'Source 2026'!$A:$A,"Amount (NIS)")+SUMIFS('Source 2026'!$G:$G,'Source 2026'!$B:$B,$A292,'Source 2026'!$A:$A,"Amount (NIS)")+SUMIFS('Source 2026'!$J:$J,'Source 2026'!$B:$B,$A292,'Source 2026'!$A:$A,"Amount (NIS)")+SUMIFS('Source 2026'!$M:$M,'Source 2026'!$B:$B,$A292,'Source 2026'!$A:$A,"Amount (NIS)")</f>
        <v>1170.1</v>
      </c>
      <c r="J292" s="8" t="n">
        <f aca="false">I292*$J$5</f>
        <v>1604.70857142857</v>
      </c>
      <c r="K292" s="8" t="n">
        <f aca="false">J292-H292</f>
        <v>-51.9914285714285</v>
      </c>
      <c r="L292" s="9" t="n">
        <f aca="false">IF(AND(H292=0,J292=0),0,IF(H292=0,"New",(J292-H292)/H292))</f>
        <v>-0.0313825246402055</v>
      </c>
    </row>
    <row r="293" customFormat="false" ht="15" hidden="false" customHeight="false" outlineLevel="0" collapsed="false">
      <c r="A293" s="7" t="n">
        <v>4408029</v>
      </c>
      <c r="B293" s="7" t="str">
        <f aca="false">IFERROR(INDEX('Source 2026'!$C:$C,MATCH($A293,'Source 2026'!$B:$B,0)),IFERROR(INDEX('Source 2025'!$C:$C,MATCH($A293,'Source 2025'!$B:$B,0)),""))</f>
        <v>10 XL ""חגורת גב ""לומבו</v>
      </c>
      <c r="C293" s="8" t="n">
        <f aca="false">SUMIFS('Source 2025'!$D:$D,'Source 2025'!$B:$B,$A293,'Source 2025'!$A:$A,"Quantity (units)")+SUMIFS('Source 2025'!$E:$E,'Source 2025'!$B:$B,$A293,'Source 2025'!$A:$A,"Quantity (units)")+SUMIFS('Source 2025'!$F:$F,'Source 2025'!$B:$B,$A293,'Source 2025'!$A:$A,"Quantity (units)")+SUMIFS('Source 2025'!$G:$G,'Source 2025'!$B:$B,$A293,'Source 2025'!$A:$A,"Quantity (units)")+SUMIFS('Source 2025'!$J:$J,'Source 2025'!$B:$B,$A293,'Source 2025'!$A:$A,"Quantity (units)")+SUMIFS('Source 2025'!$M:$M,'Source 2025'!$B:$B,$A293,'Source 2025'!$A:$A,"Quantity (units)")</f>
        <v>16</v>
      </c>
      <c r="D293" s="8" t="n">
        <f aca="false">SUMIFS('Source 2026'!$D:$D,'Source 2026'!$B:$B,$A293,'Source 2026'!$A:$A,"Quantity (units)")+SUMIFS('Source 2026'!$E:$E,'Source 2026'!$B:$B,$A293,'Source 2026'!$A:$A,"Quantity (units)")+SUMIFS('Source 2026'!$F:$F,'Source 2026'!$B:$B,$A293,'Source 2026'!$A:$A,"Quantity (units)")+SUMIFS('Source 2026'!$G:$G,'Source 2026'!$B:$B,$A293,'Source 2026'!$A:$A,"Quantity (units)")+SUMIFS('Source 2026'!$J:$J,'Source 2026'!$B:$B,$A293,'Source 2026'!$A:$A,"Quantity (units)")+SUMIFS('Source 2026'!$M:$M,'Source 2026'!$B:$B,$A293,'Source 2026'!$A:$A,"Quantity (units)")</f>
        <v>13</v>
      </c>
      <c r="E293" s="8" t="n">
        <f aca="false">D293*$J$5</f>
        <v>17.8285714285714</v>
      </c>
      <c r="F293" s="8" t="n">
        <f aca="false">E293-C293</f>
        <v>1.82857142857143</v>
      </c>
      <c r="G293" s="9" t="n">
        <f aca="false">IF(AND(C293=0,E293=0),0,IF(C293=0,"New",(E293-C293)/C293))</f>
        <v>0.114285714285714</v>
      </c>
      <c r="H293" s="8" t="n">
        <f aca="false">SUMIFS('Source 2025'!$D:$D,'Source 2025'!$B:$B,$A293,'Source 2025'!$A:$A,"Amount (NIS)")+SUMIFS('Source 2025'!$E:$E,'Source 2025'!$B:$B,$A293,'Source 2025'!$A:$A,"Amount (NIS)")+SUMIFS('Source 2025'!$F:$F,'Source 2025'!$B:$B,$A293,'Source 2025'!$A:$A,"Amount (NIS)")+SUMIFS('Source 2025'!$G:$G,'Source 2025'!$B:$B,$A293,'Source 2025'!$A:$A,"Amount (NIS)")+SUMIFS('Source 2025'!$J:$J,'Source 2025'!$B:$B,$A293,'Source 2025'!$A:$A,"Amount (NIS)")+SUMIFS('Source 2025'!$M:$M,'Source 2025'!$B:$B,$A293,'Source 2025'!$A:$A,"Amount (NIS)")</f>
        <v>2378.6</v>
      </c>
      <c r="I293" s="8" t="n">
        <f aca="false">SUMIFS('Source 2026'!$D:$D,'Source 2026'!$B:$B,$A293,'Source 2026'!$A:$A,"Amount (NIS)")+SUMIFS('Source 2026'!$E:$E,'Source 2026'!$B:$B,$A293,'Source 2026'!$A:$A,"Amount (NIS)")+SUMIFS('Source 2026'!$F:$F,'Source 2026'!$B:$B,$A293,'Source 2026'!$A:$A,"Amount (NIS)")+SUMIFS('Source 2026'!$G:$G,'Source 2026'!$B:$B,$A293,'Source 2026'!$A:$A,"Amount (NIS)")+SUMIFS('Source 2026'!$J:$J,'Source 2026'!$B:$B,$A293,'Source 2026'!$A:$A,"Amount (NIS)")+SUMIFS('Source 2026'!$M:$M,'Source 2026'!$B:$B,$A293,'Source 2026'!$A:$A,"Amount (NIS)")</f>
        <v>1896.8</v>
      </c>
      <c r="J293" s="8" t="n">
        <f aca="false">I293*$J$5</f>
        <v>2601.32571428571</v>
      </c>
      <c r="K293" s="8" t="n">
        <f aca="false">J293-H293</f>
        <v>222.725714285714</v>
      </c>
      <c r="L293" s="9" t="n">
        <f aca="false">IF(AND(H293=0,J293=0),0,IF(H293=0,"New",(J293-H293)/H293))</f>
        <v>0.0936373136659019</v>
      </c>
    </row>
    <row r="294" customFormat="false" ht="15" hidden="false" customHeight="false" outlineLevel="0" collapsed="false">
      <c r="A294" s="7" t="n">
        <v>4408245</v>
      </c>
      <c r="B294" s="7" t="str">
        <f aca="false">IFERROR(INDEX('Source 2026'!$C:$C,MATCH($A294,'Source 2026'!$B:$B,0)),IFERROR(INDEX('Source 2025'!$C:$C,MATCH($A294,'Source 2025'!$B:$B,0)),""))</f>
        <v>077A   XXL חגורת גב עם חיזוקים</v>
      </c>
      <c r="C294" s="8" t="n">
        <f aca="false">SUMIFS('Source 2025'!$D:$D,'Source 2025'!$B:$B,$A294,'Source 2025'!$A:$A,"Quantity (units)")+SUMIFS('Source 2025'!$E:$E,'Source 2025'!$B:$B,$A294,'Source 2025'!$A:$A,"Quantity (units)")+SUMIFS('Source 2025'!$F:$F,'Source 2025'!$B:$B,$A294,'Source 2025'!$A:$A,"Quantity (units)")+SUMIFS('Source 2025'!$G:$G,'Source 2025'!$B:$B,$A294,'Source 2025'!$A:$A,"Quantity (units)")+SUMIFS('Source 2025'!$J:$J,'Source 2025'!$B:$B,$A294,'Source 2025'!$A:$A,"Quantity (units)")+SUMIFS('Source 2025'!$M:$M,'Source 2025'!$B:$B,$A294,'Source 2025'!$A:$A,"Quantity (units)")</f>
        <v>7</v>
      </c>
      <c r="D294" s="8" t="n">
        <f aca="false">SUMIFS('Source 2026'!$D:$D,'Source 2026'!$B:$B,$A294,'Source 2026'!$A:$A,"Quantity (units)")+SUMIFS('Source 2026'!$E:$E,'Source 2026'!$B:$B,$A294,'Source 2026'!$A:$A,"Quantity (units)")+SUMIFS('Source 2026'!$F:$F,'Source 2026'!$B:$B,$A294,'Source 2026'!$A:$A,"Quantity (units)")+SUMIFS('Source 2026'!$G:$G,'Source 2026'!$B:$B,$A294,'Source 2026'!$A:$A,"Quantity (units)")+SUMIFS('Source 2026'!$J:$J,'Source 2026'!$B:$B,$A294,'Source 2026'!$A:$A,"Quantity (units)")+SUMIFS('Source 2026'!$M:$M,'Source 2026'!$B:$B,$A294,'Source 2026'!$A:$A,"Quantity (units)")</f>
        <v>3</v>
      </c>
      <c r="E294" s="8" t="n">
        <f aca="false">D294*$J$5</f>
        <v>4.11428571428571</v>
      </c>
      <c r="F294" s="8" t="n">
        <f aca="false">E294-C294</f>
        <v>-2.88571428571429</v>
      </c>
      <c r="G294" s="9" t="n">
        <f aca="false">IF(AND(C294=0,E294=0),0,IF(C294=0,"New",(E294-C294)/C294))</f>
        <v>-0.412244897959184</v>
      </c>
      <c r="H294" s="8" t="n">
        <f aca="false">SUMIFS('Source 2025'!$D:$D,'Source 2025'!$B:$B,$A294,'Source 2025'!$A:$A,"Amount (NIS)")+SUMIFS('Source 2025'!$E:$E,'Source 2025'!$B:$B,$A294,'Source 2025'!$A:$A,"Amount (NIS)")+SUMIFS('Source 2025'!$F:$F,'Source 2025'!$B:$B,$A294,'Source 2025'!$A:$A,"Amount (NIS)")+SUMIFS('Source 2025'!$G:$G,'Source 2025'!$B:$B,$A294,'Source 2025'!$A:$A,"Amount (NIS)")+SUMIFS('Source 2025'!$J:$J,'Source 2025'!$B:$B,$A294,'Source 2025'!$A:$A,"Amount (NIS)")+SUMIFS('Source 2025'!$M:$M,'Source 2025'!$B:$B,$A294,'Source 2025'!$A:$A,"Amount (NIS)")</f>
        <v>999</v>
      </c>
      <c r="I294" s="8" t="n">
        <f aca="false">SUMIFS('Source 2026'!$D:$D,'Source 2026'!$B:$B,$A294,'Source 2026'!$A:$A,"Amount (NIS)")+SUMIFS('Source 2026'!$E:$E,'Source 2026'!$B:$B,$A294,'Source 2026'!$A:$A,"Amount (NIS)")+SUMIFS('Source 2026'!$F:$F,'Source 2026'!$B:$B,$A294,'Source 2026'!$A:$A,"Amount (NIS)")+SUMIFS('Source 2026'!$G:$G,'Source 2026'!$B:$B,$A294,'Source 2026'!$A:$A,"Amount (NIS)")+SUMIFS('Source 2026'!$J:$J,'Source 2026'!$B:$B,$A294,'Source 2026'!$A:$A,"Amount (NIS)")+SUMIFS('Source 2026'!$M:$M,'Source 2026'!$B:$B,$A294,'Source 2026'!$A:$A,"Amount (NIS)")</f>
        <v>520.1</v>
      </c>
      <c r="J294" s="8" t="n">
        <f aca="false">I294*$J$5</f>
        <v>713.28</v>
      </c>
      <c r="K294" s="8" t="n">
        <f aca="false">J294-H294</f>
        <v>-285.72</v>
      </c>
      <c r="L294" s="9" t="n">
        <f aca="false">IF(AND(H294=0,J294=0),0,IF(H294=0,"New",(J294-H294)/H294))</f>
        <v>-0.286006006006006</v>
      </c>
    </row>
    <row r="295" customFormat="false" ht="15" hidden="false" customHeight="false" outlineLevel="0" collapsed="false">
      <c r="A295" s="7" t="n">
        <v>4408141</v>
      </c>
      <c r="B295" s="7" t="str">
        <f aca="false">IFERROR(INDEX('Source 2026'!$C:$C,MATCH($A295,'Source 2026'!$B:$B,0)),IFERROR(INDEX('Source 2025'!$C:$C,MATCH($A295,'Source 2025'!$B:$B,0)),""))</f>
        <v>776 S  ח.גב גבוהה</v>
      </c>
      <c r="C295" s="8" t="n">
        <f aca="false">SUMIFS('Source 2025'!$D:$D,'Source 2025'!$B:$B,$A295,'Source 2025'!$A:$A,"Quantity (units)")+SUMIFS('Source 2025'!$E:$E,'Source 2025'!$B:$B,$A295,'Source 2025'!$A:$A,"Quantity (units)")+SUMIFS('Source 2025'!$F:$F,'Source 2025'!$B:$B,$A295,'Source 2025'!$A:$A,"Quantity (units)")+SUMIFS('Source 2025'!$G:$G,'Source 2025'!$B:$B,$A295,'Source 2025'!$A:$A,"Quantity (units)")+SUMIFS('Source 2025'!$J:$J,'Source 2025'!$B:$B,$A295,'Source 2025'!$A:$A,"Quantity (units)")+SUMIFS('Source 2025'!$M:$M,'Source 2025'!$B:$B,$A295,'Source 2025'!$A:$A,"Quantity (units)")</f>
        <v>1</v>
      </c>
      <c r="D295" s="8" t="n">
        <f aca="false">SUMIFS('Source 2026'!$D:$D,'Source 2026'!$B:$B,$A295,'Source 2026'!$A:$A,"Quantity (units)")+SUMIFS('Source 2026'!$E:$E,'Source 2026'!$B:$B,$A295,'Source 2026'!$A:$A,"Quantity (units)")+SUMIFS('Source 2026'!$F:$F,'Source 2026'!$B:$B,$A295,'Source 2026'!$A:$A,"Quantity (units)")+SUMIFS('Source 2026'!$G:$G,'Source 2026'!$B:$B,$A295,'Source 2026'!$A:$A,"Quantity (units)")+SUMIFS('Source 2026'!$J:$J,'Source 2026'!$B:$B,$A295,'Source 2026'!$A:$A,"Quantity (units)")+SUMIFS('Source 2026'!$M:$M,'Source 2026'!$B:$B,$A295,'Source 2026'!$A:$A,"Quantity (units)")</f>
        <v>0</v>
      </c>
      <c r="E295" s="8" t="n">
        <f aca="false">D295*$J$5</f>
        <v>0</v>
      </c>
      <c r="F295" s="8" t="n">
        <f aca="false">E295-C295</f>
        <v>-1</v>
      </c>
      <c r="G295" s="9" t="n">
        <f aca="false">IF(AND(C295=0,E295=0),0,IF(C295=0,"New",(E295-C295)/C295))</f>
        <v>-1</v>
      </c>
      <c r="H295" s="8" t="n">
        <f aca="false">SUMIFS('Source 2025'!$D:$D,'Source 2025'!$B:$B,$A295,'Source 2025'!$A:$A,"Amount (NIS)")+SUMIFS('Source 2025'!$E:$E,'Source 2025'!$B:$B,$A295,'Source 2025'!$A:$A,"Amount (NIS)")+SUMIFS('Source 2025'!$F:$F,'Source 2025'!$B:$B,$A295,'Source 2025'!$A:$A,"Amount (NIS)")+SUMIFS('Source 2025'!$G:$G,'Source 2025'!$B:$B,$A295,'Source 2025'!$A:$A,"Amount (NIS)")+SUMIFS('Source 2025'!$J:$J,'Source 2025'!$B:$B,$A295,'Source 2025'!$A:$A,"Amount (NIS)")+SUMIFS('Source 2025'!$M:$M,'Source 2025'!$B:$B,$A295,'Source 2025'!$A:$A,"Amount (NIS)")</f>
        <v>472.7</v>
      </c>
      <c r="I295" s="8" t="n">
        <f aca="false">SUMIFS('Source 2026'!$D:$D,'Source 2026'!$B:$B,$A295,'Source 2026'!$A:$A,"Amount (NIS)")+SUMIFS('Source 2026'!$E:$E,'Source 2026'!$B:$B,$A295,'Source 2026'!$A:$A,"Amount (NIS)")+SUMIFS('Source 2026'!$F:$F,'Source 2026'!$B:$B,$A295,'Source 2026'!$A:$A,"Amount (NIS)")+SUMIFS('Source 2026'!$G:$G,'Source 2026'!$B:$B,$A295,'Source 2026'!$A:$A,"Amount (NIS)")+SUMIFS('Source 2026'!$J:$J,'Source 2026'!$B:$B,$A295,'Source 2026'!$A:$A,"Amount (NIS)")+SUMIFS('Source 2026'!$M:$M,'Source 2026'!$B:$B,$A295,'Source 2026'!$A:$A,"Amount (NIS)")</f>
        <v>0</v>
      </c>
      <c r="J295" s="8" t="n">
        <f aca="false">I295*$J$5</f>
        <v>0</v>
      </c>
      <c r="K295" s="8" t="n">
        <f aca="false">J295-H295</f>
        <v>-472.7</v>
      </c>
      <c r="L295" s="9" t="n">
        <f aca="false">IF(AND(H295=0,J295=0),0,IF(H295=0,"New",(J295-H295)/H295))</f>
        <v>-1</v>
      </c>
    </row>
    <row r="296" customFormat="false" ht="15" hidden="false" customHeight="false" outlineLevel="0" collapsed="false">
      <c r="A296" s="7" t="n">
        <v>4408142</v>
      </c>
      <c r="B296" s="7" t="str">
        <f aca="false">IFERROR(INDEX('Source 2026'!$C:$C,MATCH($A296,'Source 2026'!$B:$B,0)),IFERROR(INDEX('Source 2025'!$C:$C,MATCH($A296,'Source 2025'!$B:$B,0)),""))</f>
        <v>776 M  ח.גב גבוהה</v>
      </c>
      <c r="C296" s="8" t="n">
        <f aca="false">SUMIFS('Source 2025'!$D:$D,'Source 2025'!$B:$B,$A296,'Source 2025'!$A:$A,"Quantity (units)")+SUMIFS('Source 2025'!$E:$E,'Source 2025'!$B:$B,$A296,'Source 2025'!$A:$A,"Quantity (units)")+SUMIFS('Source 2025'!$F:$F,'Source 2025'!$B:$B,$A296,'Source 2025'!$A:$A,"Quantity (units)")+SUMIFS('Source 2025'!$G:$G,'Source 2025'!$B:$B,$A296,'Source 2025'!$A:$A,"Quantity (units)")+SUMIFS('Source 2025'!$J:$J,'Source 2025'!$B:$B,$A296,'Source 2025'!$A:$A,"Quantity (units)")+SUMIFS('Source 2025'!$M:$M,'Source 2025'!$B:$B,$A296,'Source 2025'!$A:$A,"Quantity (units)")</f>
        <v>1</v>
      </c>
      <c r="D296" s="8" t="n">
        <f aca="false">SUMIFS('Source 2026'!$D:$D,'Source 2026'!$B:$B,$A296,'Source 2026'!$A:$A,"Quantity (units)")+SUMIFS('Source 2026'!$E:$E,'Source 2026'!$B:$B,$A296,'Source 2026'!$A:$A,"Quantity (units)")+SUMIFS('Source 2026'!$F:$F,'Source 2026'!$B:$B,$A296,'Source 2026'!$A:$A,"Quantity (units)")+SUMIFS('Source 2026'!$G:$G,'Source 2026'!$B:$B,$A296,'Source 2026'!$A:$A,"Quantity (units)")+SUMIFS('Source 2026'!$J:$J,'Source 2026'!$B:$B,$A296,'Source 2026'!$A:$A,"Quantity (units)")+SUMIFS('Source 2026'!$M:$M,'Source 2026'!$B:$B,$A296,'Source 2026'!$A:$A,"Quantity (units)")</f>
        <v>0</v>
      </c>
      <c r="E296" s="8" t="n">
        <f aca="false">D296*$J$5</f>
        <v>0</v>
      </c>
      <c r="F296" s="8" t="n">
        <f aca="false">E296-C296</f>
        <v>-1</v>
      </c>
      <c r="G296" s="9" t="n">
        <f aca="false">IF(AND(C296=0,E296=0),0,IF(C296=0,"New",(E296-C296)/C296))</f>
        <v>-1</v>
      </c>
      <c r="H296" s="8" t="n">
        <f aca="false">SUMIFS('Source 2025'!$D:$D,'Source 2025'!$B:$B,$A296,'Source 2025'!$A:$A,"Amount (NIS)")+SUMIFS('Source 2025'!$E:$E,'Source 2025'!$B:$B,$A296,'Source 2025'!$A:$A,"Amount (NIS)")+SUMIFS('Source 2025'!$F:$F,'Source 2025'!$B:$B,$A296,'Source 2025'!$A:$A,"Amount (NIS)")+SUMIFS('Source 2025'!$G:$G,'Source 2025'!$B:$B,$A296,'Source 2025'!$A:$A,"Amount (NIS)")+SUMIFS('Source 2025'!$J:$J,'Source 2025'!$B:$B,$A296,'Source 2025'!$A:$A,"Amount (NIS)")+SUMIFS('Source 2025'!$M:$M,'Source 2025'!$B:$B,$A296,'Source 2025'!$A:$A,"Amount (NIS)")</f>
        <v>472.7</v>
      </c>
      <c r="I296" s="8" t="n">
        <f aca="false">SUMIFS('Source 2026'!$D:$D,'Source 2026'!$B:$B,$A296,'Source 2026'!$A:$A,"Amount (NIS)")+SUMIFS('Source 2026'!$E:$E,'Source 2026'!$B:$B,$A296,'Source 2026'!$A:$A,"Amount (NIS)")+SUMIFS('Source 2026'!$F:$F,'Source 2026'!$B:$B,$A296,'Source 2026'!$A:$A,"Amount (NIS)")+SUMIFS('Source 2026'!$G:$G,'Source 2026'!$B:$B,$A296,'Source 2026'!$A:$A,"Amount (NIS)")+SUMIFS('Source 2026'!$J:$J,'Source 2026'!$B:$B,$A296,'Source 2026'!$A:$A,"Amount (NIS)")+SUMIFS('Source 2026'!$M:$M,'Source 2026'!$B:$B,$A296,'Source 2026'!$A:$A,"Amount (NIS)")</f>
        <v>0</v>
      </c>
      <c r="J296" s="8" t="n">
        <f aca="false">I296*$J$5</f>
        <v>0</v>
      </c>
      <c r="K296" s="8" t="n">
        <f aca="false">J296-H296</f>
        <v>-472.7</v>
      </c>
      <c r="L296" s="9" t="n">
        <f aca="false">IF(AND(H296=0,J296=0),0,IF(H296=0,"New",(J296-H296)/H296))</f>
        <v>-1</v>
      </c>
    </row>
    <row r="297" customFormat="false" ht="15" hidden="false" customHeight="false" outlineLevel="0" collapsed="false">
      <c r="A297" s="7" t="n">
        <v>4402000</v>
      </c>
      <c r="B297" s="7" t="str">
        <f aca="false">IFERROR(INDEX('Source 2026'!$C:$C,MATCH($A297,'Source 2026'!$B:$B,0)),IFERROR(INDEX('Source 2025'!$C:$C,MATCH($A297,'Source 2025'!$B:$B,0)),""))</f>
        <v>363  בננה לתמיכת אצבעות ז.כרית</v>
      </c>
      <c r="C297" s="8" t="n">
        <f aca="false">SUMIFS('Source 2025'!$D:$D,'Source 2025'!$B:$B,$A297,'Source 2025'!$A:$A,"Quantity (units)")+SUMIFS('Source 2025'!$E:$E,'Source 2025'!$B:$B,$A297,'Source 2025'!$A:$A,"Quantity (units)")+SUMIFS('Source 2025'!$F:$F,'Source 2025'!$B:$B,$A297,'Source 2025'!$A:$A,"Quantity (units)")+SUMIFS('Source 2025'!$G:$G,'Source 2025'!$B:$B,$A297,'Source 2025'!$A:$A,"Quantity (units)")+SUMIFS('Source 2025'!$J:$J,'Source 2025'!$B:$B,$A297,'Source 2025'!$A:$A,"Quantity (units)")+SUMIFS('Source 2025'!$M:$M,'Source 2025'!$B:$B,$A297,'Source 2025'!$A:$A,"Quantity (units)")</f>
        <v>124</v>
      </c>
      <c r="D297" s="8" t="n">
        <f aca="false">SUMIFS('Source 2026'!$D:$D,'Source 2026'!$B:$B,$A297,'Source 2026'!$A:$A,"Quantity (units)")+SUMIFS('Source 2026'!$E:$E,'Source 2026'!$B:$B,$A297,'Source 2026'!$A:$A,"Quantity (units)")+SUMIFS('Source 2026'!$F:$F,'Source 2026'!$B:$B,$A297,'Source 2026'!$A:$A,"Quantity (units)")+SUMIFS('Source 2026'!$G:$G,'Source 2026'!$B:$B,$A297,'Source 2026'!$A:$A,"Quantity (units)")+SUMIFS('Source 2026'!$J:$J,'Source 2026'!$B:$B,$A297,'Source 2026'!$A:$A,"Quantity (units)")+SUMIFS('Source 2026'!$M:$M,'Source 2026'!$B:$B,$A297,'Source 2026'!$A:$A,"Quantity (units)")</f>
        <v>105</v>
      </c>
      <c r="E297" s="8" t="n">
        <f aca="false">D297*$J$5</f>
        <v>144</v>
      </c>
      <c r="F297" s="8" t="n">
        <f aca="false">E297-C297</f>
        <v>20</v>
      </c>
      <c r="G297" s="9" t="n">
        <f aca="false">IF(AND(C297=0,E297=0),0,IF(C297=0,"New",(E297-C297)/C297))</f>
        <v>0.161290322580645</v>
      </c>
      <c r="H297" s="8" t="n">
        <f aca="false">SUMIFS('Source 2025'!$D:$D,'Source 2025'!$B:$B,$A297,'Source 2025'!$A:$A,"Amount (NIS)")+SUMIFS('Source 2025'!$E:$E,'Source 2025'!$B:$B,$A297,'Source 2025'!$A:$A,"Amount (NIS)")+SUMIFS('Source 2025'!$F:$F,'Source 2025'!$B:$B,$A297,'Source 2025'!$A:$A,"Amount (NIS)")+SUMIFS('Source 2025'!$G:$G,'Source 2025'!$B:$B,$A297,'Source 2025'!$A:$A,"Amount (NIS)")+SUMIFS('Source 2025'!$J:$J,'Source 2025'!$B:$B,$A297,'Source 2025'!$A:$A,"Amount (NIS)")+SUMIFS('Source 2025'!$M:$M,'Source 2025'!$B:$B,$A297,'Source 2025'!$A:$A,"Amount (NIS)")</f>
        <v>3220.9</v>
      </c>
      <c r="I297" s="8" t="n">
        <f aca="false">SUMIFS('Source 2026'!$D:$D,'Source 2026'!$B:$B,$A297,'Source 2026'!$A:$A,"Amount (NIS)")+SUMIFS('Source 2026'!$E:$E,'Source 2026'!$B:$B,$A297,'Source 2026'!$A:$A,"Amount (NIS)")+SUMIFS('Source 2026'!$F:$F,'Source 2026'!$B:$B,$A297,'Source 2026'!$A:$A,"Amount (NIS)")+SUMIFS('Source 2026'!$G:$G,'Source 2026'!$B:$B,$A297,'Source 2026'!$A:$A,"Amount (NIS)")+SUMIFS('Source 2026'!$J:$J,'Source 2026'!$B:$B,$A297,'Source 2026'!$A:$A,"Amount (NIS)")+SUMIFS('Source 2026'!$M:$M,'Source 2026'!$B:$B,$A297,'Source 2026'!$A:$A,"Amount (NIS)")</f>
        <v>2749.1</v>
      </c>
      <c r="J297" s="8" t="n">
        <f aca="false">I297*$J$5</f>
        <v>3770.19428571429</v>
      </c>
      <c r="K297" s="8" t="n">
        <f aca="false">J297-H297</f>
        <v>549.294285714286</v>
      </c>
      <c r="L297" s="9" t="n">
        <f aca="false">IF(AND(H297=0,J297=0),0,IF(H297=0,"New",(J297-H297)/H297))</f>
        <v>0.17054062085575</v>
      </c>
    </row>
    <row r="298" customFormat="false" ht="15" hidden="false" customHeight="false" outlineLevel="0" collapsed="false">
      <c r="A298" s="7" t="n">
        <v>4408013</v>
      </c>
      <c r="B298" s="7" t="str">
        <f aca="false">IFERROR(INDEX('Source 2026'!$C:$C,MATCH($A298,'Source 2026'!$B:$B,0)),IFERROR(INDEX('Source 2025'!$C:$C,MATCH($A298,'Source 2025'!$B:$B,0)),""))</f>
        <v>079 XXLח.גב סג.כפולה שחור+אדום</v>
      </c>
      <c r="C298" s="8" t="n">
        <f aca="false">SUMIFS('Source 2025'!$D:$D,'Source 2025'!$B:$B,$A298,'Source 2025'!$A:$A,"Quantity (units)")+SUMIFS('Source 2025'!$E:$E,'Source 2025'!$B:$B,$A298,'Source 2025'!$A:$A,"Quantity (units)")+SUMIFS('Source 2025'!$F:$F,'Source 2025'!$B:$B,$A298,'Source 2025'!$A:$A,"Quantity (units)")+SUMIFS('Source 2025'!$G:$G,'Source 2025'!$B:$B,$A298,'Source 2025'!$A:$A,"Quantity (units)")+SUMIFS('Source 2025'!$J:$J,'Source 2025'!$B:$B,$A298,'Source 2025'!$A:$A,"Quantity (units)")+SUMIFS('Source 2025'!$M:$M,'Source 2025'!$B:$B,$A298,'Source 2025'!$A:$A,"Quantity (units)")</f>
        <v>5</v>
      </c>
      <c r="D298" s="8" t="n">
        <f aca="false">SUMIFS('Source 2026'!$D:$D,'Source 2026'!$B:$B,$A298,'Source 2026'!$A:$A,"Quantity (units)")+SUMIFS('Source 2026'!$E:$E,'Source 2026'!$B:$B,$A298,'Source 2026'!$A:$A,"Quantity (units)")+SUMIFS('Source 2026'!$F:$F,'Source 2026'!$B:$B,$A298,'Source 2026'!$A:$A,"Quantity (units)")+SUMIFS('Source 2026'!$G:$G,'Source 2026'!$B:$B,$A298,'Source 2026'!$A:$A,"Quantity (units)")+SUMIFS('Source 2026'!$J:$J,'Source 2026'!$B:$B,$A298,'Source 2026'!$A:$A,"Quantity (units)")+SUMIFS('Source 2026'!$M:$M,'Source 2026'!$B:$B,$A298,'Source 2026'!$A:$A,"Quantity (units)")</f>
        <v>0</v>
      </c>
      <c r="E298" s="8" t="n">
        <f aca="false">D298*$J$5</f>
        <v>0</v>
      </c>
      <c r="F298" s="8" t="n">
        <f aca="false">E298-C298</f>
        <v>-5</v>
      </c>
      <c r="G298" s="9" t="n">
        <f aca="false">IF(AND(C298=0,E298=0),0,IF(C298=0,"New",(E298-C298)/C298))</f>
        <v>-1</v>
      </c>
      <c r="H298" s="8" t="n">
        <f aca="false">SUMIFS('Source 2025'!$D:$D,'Source 2025'!$B:$B,$A298,'Source 2025'!$A:$A,"Amount (NIS)")+SUMIFS('Source 2025'!$E:$E,'Source 2025'!$B:$B,$A298,'Source 2025'!$A:$A,"Amount (NIS)")+SUMIFS('Source 2025'!$F:$F,'Source 2025'!$B:$B,$A298,'Source 2025'!$A:$A,"Amount (NIS)")+SUMIFS('Source 2025'!$G:$G,'Source 2025'!$B:$B,$A298,'Source 2025'!$A:$A,"Amount (NIS)")+SUMIFS('Source 2025'!$J:$J,'Source 2025'!$B:$B,$A298,'Source 2025'!$A:$A,"Amount (NIS)")+SUMIFS('Source 2025'!$M:$M,'Source 2025'!$B:$B,$A298,'Source 2025'!$A:$A,"Amount (NIS)")</f>
        <v>471</v>
      </c>
      <c r="I298" s="8" t="n">
        <f aca="false">SUMIFS('Source 2026'!$D:$D,'Source 2026'!$B:$B,$A298,'Source 2026'!$A:$A,"Amount (NIS)")+SUMIFS('Source 2026'!$E:$E,'Source 2026'!$B:$B,$A298,'Source 2026'!$A:$A,"Amount (NIS)")+SUMIFS('Source 2026'!$F:$F,'Source 2026'!$B:$B,$A298,'Source 2026'!$A:$A,"Amount (NIS)")+SUMIFS('Source 2026'!$G:$G,'Source 2026'!$B:$B,$A298,'Source 2026'!$A:$A,"Amount (NIS)")+SUMIFS('Source 2026'!$J:$J,'Source 2026'!$B:$B,$A298,'Source 2026'!$A:$A,"Amount (NIS)")+SUMIFS('Source 2026'!$M:$M,'Source 2026'!$B:$B,$A298,'Source 2026'!$A:$A,"Amount (NIS)")</f>
        <v>0</v>
      </c>
      <c r="J298" s="8" t="n">
        <f aca="false">I298*$J$5</f>
        <v>0</v>
      </c>
      <c r="K298" s="8" t="n">
        <f aca="false">J298-H298</f>
        <v>-471</v>
      </c>
      <c r="L298" s="9" t="n">
        <f aca="false">IF(AND(H298=0,J298=0),0,IF(H298=0,"New",(J298-H298)/H298))</f>
        <v>-1</v>
      </c>
    </row>
    <row r="299" customFormat="false" ht="15" hidden="false" customHeight="false" outlineLevel="0" collapsed="false">
      <c r="A299" s="7" t="n">
        <v>4413418</v>
      </c>
      <c r="B299" s="7" t="str">
        <f aca="false">IFERROR(INDEX('Source 2026'!$C:$C,MATCH($A299,'Source 2026'!$B:$B,0)),IFERROR(INDEX('Source 2025'!$C:$C,MATCH($A299,'Source 2025'!$B:$B,0)),""))</f>
        <v>SC39 XL מגן שוק</v>
      </c>
      <c r="C299" s="8" t="n">
        <f aca="false">SUMIFS('Source 2025'!$D:$D,'Source 2025'!$B:$B,$A299,'Source 2025'!$A:$A,"Quantity (units)")+SUMIFS('Source 2025'!$E:$E,'Source 2025'!$B:$B,$A299,'Source 2025'!$A:$A,"Quantity (units)")+SUMIFS('Source 2025'!$F:$F,'Source 2025'!$B:$B,$A299,'Source 2025'!$A:$A,"Quantity (units)")+SUMIFS('Source 2025'!$G:$G,'Source 2025'!$B:$B,$A299,'Source 2025'!$A:$A,"Quantity (units)")+SUMIFS('Source 2025'!$J:$J,'Source 2025'!$B:$B,$A299,'Source 2025'!$A:$A,"Quantity (units)")+SUMIFS('Source 2025'!$M:$M,'Source 2025'!$B:$B,$A299,'Source 2025'!$A:$A,"Quantity (units)")</f>
        <v>1</v>
      </c>
      <c r="D299" s="8" t="n">
        <f aca="false">SUMIFS('Source 2026'!$D:$D,'Source 2026'!$B:$B,$A299,'Source 2026'!$A:$A,"Quantity (units)")+SUMIFS('Source 2026'!$E:$E,'Source 2026'!$B:$B,$A299,'Source 2026'!$A:$A,"Quantity (units)")+SUMIFS('Source 2026'!$F:$F,'Source 2026'!$B:$B,$A299,'Source 2026'!$A:$A,"Quantity (units)")+SUMIFS('Source 2026'!$G:$G,'Source 2026'!$B:$B,$A299,'Source 2026'!$A:$A,"Quantity (units)")+SUMIFS('Source 2026'!$J:$J,'Source 2026'!$B:$B,$A299,'Source 2026'!$A:$A,"Quantity (units)")+SUMIFS('Source 2026'!$M:$M,'Source 2026'!$B:$B,$A299,'Source 2026'!$A:$A,"Quantity (units)")</f>
        <v>4</v>
      </c>
      <c r="E299" s="8" t="n">
        <f aca="false">D299*$J$5</f>
        <v>5.48571428571429</v>
      </c>
      <c r="F299" s="8" t="n">
        <f aca="false">E299-C299</f>
        <v>4.48571428571429</v>
      </c>
      <c r="G299" s="9" t="n">
        <f aca="false">IF(AND(C299=0,E299=0),0,IF(C299=0,"New",(E299-C299)/C299))</f>
        <v>4.48571428571429</v>
      </c>
      <c r="H299" s="8" t="n">
        <f aca="false">SUMIFS('Source 2025'!$D:$D,'Source 2025'!$B:$B,$A299,'Source 2025'!$A:$A,"Amount (NIS)")+SUMIFS('Source 2025'!$E:$E,'Source 2025'!$B:$B,$A299,'Source 2025'!$A:$A,"Amount (NIS)")+SUMIFS('Source 2025'!$F:$F,'Source 2025'!$B:$B,$A299,'Source 2025'!$A:$A,"Amount (NIS)")+SUMIFS('Source 2025'!$G:$G,'Source 2025'!$B:$B,$A299,'Source 2025'!$A:$A,"Amount (NIS)")+SUMIFS('Source 2025'!$J:$J,'Source 2025'!$B:$B,$A299,'Source 2025'!$A:$A,"Amount (NIS)")+SUMIFS('Source 2025'!$M:$M,'Source 2025'!$B:$B,$A299,'Source 2025'!$A:$A,"Amount (NIS)")</f>
        <v>153.1</v>
      </c>
      <c r="I299" s="8" t="n">
        <f aca="false">SUMIFS('Source 2026'!$D:$D,'Source 2026'!$B:$B,$A299,'Source 2026'!$A:$A,"Amount (NIS)")+SUMIFS('Source 2026'!$E:$E,'Source 2026'!$B:$B,$A299,'Source 2026'!$A:$A,"Amount (NIS)")+SUMIFS('Source 2026'!$F:$F,'Source 2026'!$B:$B,$A299,'Source 2026'!$A:$A,"Amount (NIS)")+SUMIFS('Source 2026'!$G:$G,'Source 2026'!$B:$B,$A299,'Source 2026'!$A:$A,"Amount (NIS)")+SUMIFS('Source 2026'!$J:$J,'Source 2026'!$B:$B,$A299,'Source 2026'!$A:$A,"Amount (NIS)")+SUMIFS('Source 2026'!$M:$M,'Source 2026'!$B:$B,$A299,'Source 2026'!$A:$A,"Amount (NIS)")</f>
        <v>612.4</v>
      </c>
      <c r="J299" s="8" t="n">
        <f aca="false">I299*$J$5</f>
        <v>839.862857142857</v>
      </c>
      <c r="K299" s="8" t="n">
        <f aca="false">J299-H299</f>
        <v>686.762857142857</v>
      </c>
      <c r="L299" s="9" t="n">
        <f aca="false">IF(AND(H299=0,J299=0),0,IF(H299=0,"New",(J299-H299)/H299))</f>
        <v>4.48571428571429</v>
      </c>
    </row>
    <row r="300" customFormat="false" ht="15" hidden="false" customHeight="false" outlineLevel="0" collapsed="false">
      <c r="A300" s="7" t="n">
        <v>4403045</v>
      </c>
      <c r="B300" s="7" t="str">
        <f aca="false">IFERROR(INDEX('Source 2026'!$C:$C,MATCH($A300,'Source 2026'!$B:$B,0)),IFERROR(INDEX('Source 2025'!$C:$C,MATCH($A300,'Source 2025'!$B:$B,0)),""))</f>
        <v>395B גרבי קיץ אנטי בקטריא43-46</v>
      </c>
      <c r="C300" s="8" t="n">
        <f aca="false">SUMIFS('Source 2025'!$D:$D,'Source 2025'!$B:$B,$A300,'Source 2025'!$A:$A,"Quantity (units)")+SUMIFS('Source 2025'!$E:$E,'Source 2025'!$B:$B,$A300,'Source 2025'!$A:$A,"Quantity (units)")+SUMIFS('Source 2025'!$F:$F,'Source 2025'!$B:$B,$A300,'Source 2025'!$A:$A,"Quantity (units)")+SUMIFS('Source 2025'!$G:$G,'Source 2025'!$B:$B,$A300,'Source 2025'!$A:$A,"Quantity (units)")+SUMIFS('Source 2025'!$J:$J,'Source 2025'!$B:$B,$A300,'Source 2025'!$A:$A,"Quantity (units)")+SUMIFS('Source 2025'!$M:$M,'Source 2025'!$B:$B,$A300,'Source 2025'!$A:$A,"Quantity (units)")</f>
        <v>0</v>
      </c>
      <c r="D300" s="8" t="n">
        <f aca="false">SUMIFS('Source 2026'!$D:$D,'Source 2026'!$B:$B,$A300,'Source 2026'!$A:$A,"Quantity (units)")+SUMIFS('Source 2026'!$E:$E,'Source 2026'!$B:$B,$A300,'Source 2026'!$A:$A,"Quantity (units)")+SUMIFS('Source 2026'!$F:$F,'Source 2026'!$B:$B,$A300,'Source 2026'!$A:$A,"Quantity (units)")+SUMIFS('Source 2026'!$G:$G,'Source 2026'!$B:$B,$A300,'Source 2026'!$A:$A,"Quantity (units)")+SUMIFS('Source 2026'!$J:$J,'Source 2026'!$B:$B,$A300,'Source 2026'!$A:$A,"Quantity (units)")+SUMIFS('Source 2026'!$M:$M,'Source 2026'!$B:$B,$A300,'Source 2026'!$A:$A,"Quantity (units)")</f>
        <v>16</v>
      </c>
      <c r="E300" s="8" t="n">
        <f aca="false">D300*$J$5</f>
        <v>21.9428571428571</v>
      </c>
      <c r="F300" s="8" t="n">
        <f aca="false">E300-C300</f>
        <v>21.9428571428571</v>
      </c>
      <c r="G300" s="9" t="str">
        <f aca="false">IF(AND(C300=0,E300=0),0,IF(C300=0,"New",(E300-C300)/C300))</f>
        <v>New</v>
      </c>
      <c r="H300" s="8" t="n">
        <f aca="false">SUMIFS('Source 2025'!$D:$D,'Source 2025'!$B:$B,$A300,'Source 2025'!$A:$A,"Amount (NIS)")+SUMIFS('Source 2025'!$E:$E,'Source 2025'!$B:$B,$A300,'Source 2025'!$A:$A,"Amount (NIS)")+SUMIFS('Source 2025'!$F:$F,'Source 2025'!$B:$B,$A300,'Source 2025'!$A:$A,"Amount (NIS)")+SUMIFS('Source 2025'!$G:$G,'Source 2025'!$B:$B,$A300,'Source 2025'!$A:$A,"Amount (NIS)")+SUMIFS('Source 2025'!$J:$J,'Source 2025'!$B:$B,$A300,'Source 2025'!$A:$A,"Amount (NIS)")+SUMIFS('Source 2025'!$M:$M,'Source 2025'!$B:$B,$A300,'Source 2025'!$A:$A,"Amount (NIS)")</f>
        <v>0</v>
      </c>
      <c r="I300" s="8" t="n">
        <f aca="false">SUMIFS('Source 2026'!$D:$D,'Source 2026'!$B:$B,$A300,'Source 2026'!$A:$A,"Amount (NIS)")+SUMIFS('Source 2026'!$E:$E,'Source 2026'!$B:$B,$A300,'Source 2026'!$A:$A,"Amount (NIS)")+SUMIFS('Source 2026'!$F:$F,'Source 2026'!$B:$B,$A300,'Source 2026'!$A:$A,"Amount (NIS)")+SUMIFS('Source 2026'!$G:$G,'Source 2026'!$B:$B,$A300,'Source 2026'!$A:$A,"Amount (NIS)")+SUMIFS('Source 2026'!$J:$J,'Source 2026'!$B:$B,$A300,'Source 2026'!$A:$A,"Amount (NIS)")+SUMIFS('Source 2026'!$M:$M,'Source 2026'!$B:$B,$A300,'Source 2026'!$A:$A,"Amount (NIS)")</f>
        <v>454.3</v>
      </c>
      <c r="J300" s="8" t="n">
        <f aca="false">I300*$J$5</f>
        <v>623.04</v>
      </c>
      <c r="K300" s="8" t="n">
        <f aca="false">J300-H300</f>
        <v>623.04</v>
      </c>
      <c r="L300" s="9" t="str">
        <f aca="false">IF(AND(H300=0,J300=0),0,IF(H300=0,"New",(J300-H300)/H300))</f>
        <v>New</v>
      </c>
    </row>
    <row r="301" customFormat="false" ht="15" hidden="false" customHeight="false" outlineLevel="0" collapsed="false">
      <c r="A301" s="7" t="n">
        <v>4413127</v>
      </c>
      <c r="B301" s="7" t="str">
        <f aca="false">IFERROR(INDEX('Source 2026'!$C:$C,MATCH($A301,'Source 2026'!$B:$B,0)),IFERROR(INDEX('Source 2025'!$C:$C,MATCH($A301,'Source 2025'!$B:$B,0)),""))</f>
        <v>75 Lמיישר כתף יציב יישור גב צר</v>
      </c>
      <c r="C301" s="8" t="n">
        <f aca="false">SUMIFS('Source 2025'!$D:$D,'Source 2025'!$B:$B,$A301,'Source 2025'!$A:$A,"Quantity (units)")+SUMIFS('Source 2025'!$E:$E,'Source 2025'!$B:$B,$A301,'Source 2025'!$A:$A,"Quantity (units)")+SUMIFS('Source 2025'!$F:$F,'Source 2025'!$B:$B,$A301,'Source 2025'!$A:$A,"Quantity (units)")+SUMIFS('Source 2025'!$G:$G,'Source 2025'!$B:$B,$A301,'Source 2025'!$A:$A,"Quantity (units)")+SUMIFS('Source 2025'!$J:$J,'Source 2025'!$B:$B,$A301,'Source 2025'!$A:$A,"Quantity (units)")+SUMIFS('Source 2025'!$M:$M,'Source 2025'!$B:$B,$A301,'Source 2025'!$A:$A,"Quantity (units)")</f>
        <v>19</v>
      </c>
      <c r="D301" s="8" t="n">
        <f aca="false">SUMIFS('Source 2026'!$D:$D,'Source 2026'!$B:$B,$A301,'Source 2026'!$A:$A,"Quantity (units)")+SUMIFS('Source 2026'!$E:$E,'Source 2026'!$B:$B,$A301,'Source 2026'!$A:$A,"Quantity (units)")+SUMIFS('Source 2026'!$F:$F,'Source 2026'!$B:$B,$A301,'Source 2026'!$A:$A,"Quantity (units)")+SUMIFS('Source 2026'!$G:$G,'Source 2026'!$B:$B,$A301,'Source 2026'!$A:$A,"Quantity (units)")+SUMIFS('Source 2026'!$J:$J,'Source 2026'!$B:$B,$A301,'Source 2026'!$A:$A,"Quantity (units)")+SUMIFS('Source 2026'!$M:$M,'Source 2026'!$B:$B,$A301,'Source 2026'!$A:$A,"Quantity (units)")</f>
        <v>16</v>
      </c>
      <c r="E301" s="8" t="n">
        <f aca="false">D301*$J$5</f>
        <v>21.9428571428571</v>
      </c>
      <c r="F301" s="8" t="n">
        <f aca="false">E301-C301</f>
        <v>2.94285714285714</v>
      </c>
      <c r="G301" s="9" t="n">
        <f aca="false">IF(AND(C301=0,E301=0),0,IF(C301=0,"New",(E301-C301)/C301))</f>
        <v>0.154887218045113</v>
      </c>
      <c r="H301" s="8" t="n">
        <f aca="false">SUMIFS('Source 2025'!$D:$D,'Source 2025'!$B:$B,$A301,'Source 2025'!$A:$A,"Amount (NIS)")+SUMIFS('Source 2025'!$E:$E,'Source 2025'!$B:$B,$A301,'Source 2025'!$A:$A,"Amount (NIS)")+SUMIFS('Source 2025'!$F:$F,'Source 2025'!$B:$B,$A301,'Source 2025'!$A:$A,"Amount (NIS)")+SUMIFS('Source 2025'!$G:$G,'Source 2025'!$B:$B,$A301,'Source 2025'!$A:$A,"Amount (NIS)")+SUMIFS('Source 2025'!$J:$J,'Source 2025'!$B:$B,$A301,'Source 2025'!$A:$A,"Amount (NIS)")+SUMIFS('Source 2025'!$M:$M,'Source 2025'!$B:$B,$A301,'Source 2025'!$A:$A,"Amount (NIS)")</f>
        <v>3000.5</v>
      </c>
      <c r="I301" s="8" t="n">
        <f aca="false">SUMIFS('Source 2026'!$D:$D,'Source 2026'!$B:$B,$A301,'Source 2026'!$A:$A,"Amount (NIS)")+SUMIFS('Source 2026'!$E:$E,'Source 2026'!$B:$B,$A301,'Source 2026'!$A:$A,"Amount (NIS)")+SUMIFS('Source 2026'!$F:$F,'Source 2026'!$B:$B,$A301,'Source 2026'!$A:$A,"Amount (NIS)")+SUMIFS('Source 2026'!$G:$G,'Source 2026'!$B:$B,$A301,'Source 2026'!$A:$A,"Amount (NIS)")+SUMIFS('Source 2026'!$J:$J,'Source 2026'!$B:$B,$A301,'Source 2026'!$A:$A,"Amount (NIS)")+SUMIFS('Source 2026'!$M:$M,'Source 2026'!$B:$B,$A301,'Source 2026'!$A:$A,"Amount (NIS)")</f>
        <v>2547.6</v>
      </c>
      <c r="J301" s="8" t="n">
        <f aca="false">I301*$J$5</f>
        <v>3493.85142857143</v>
      </c>
      <c r="K301" s="8" t="n">
        <f aca="false">J301-H301</f>
        <v>493.351428571429</v>
      </c>
      <c r="L301" s="9" t="n">
        <f aca="false">IF(AND(H301=0,J301=0),0,IF(H301=0,"New",(J301-H301)/H301))</f>
        <v>0.164423072345085</v>
      </c>
    </row>
    <row r="302" customFormat="false" ht="15" hidden="false" customHeight="false" outlineLevel="0" collapsed="false">
      <c r="A302" s="7" t="n">
        <v>4415084</v>
      </c>
      <c r="B302" s="7" t="str">
        <f aca="false">IFERROR(INDEX('Source 2026'!$C:$C,MATCH($A302,'Source 2026'!$B:$B,0)),IFERROR(INDEX('Source 2025'!$C:$C,MATCH($A302,'Source 2025'!$B:$B,0)),""))</f>
        <v>T33  L  סד לקרסול</v>
      </c>
      <c r="C302" s="8" t="n">
        <f aca="false">SUMIFS('Source 2025'!$D:$D,'Source 2025'!$B:$B,$A302,'Source 2025'!$A:$A,"Quantity (units)")+SUMIFS('Source 2025'!$E:$E,'Source 2025'!$B:$B,$A302,'Source 2025'!$A:$A,"Quantity (units)")+SUMIFS('Source 2025'!$F:$F,'Source 2025'!$B:$B,$A302,'Source 2025'!$A:$A,"Quantity (units)")+SUMIFS('Source 2025'!$G:$G,'Source 2025'!$B:$B,$A302,'Source 2025'!$A:$A,"Quantity (units)")+SUMIFS('Source 2025'!$J:$J,'Source 2025'!$B:$B,$A302,'Source 2025'!$A:$A,"Quantity (units)")+SUMIFS('Source 2025'!$M:$M,'Source 2025'!$B:$B,$A302,'Source 2025'!$A:$A,"Quantity (units)")</f>
        <v>4</v>
      </c>
      <c r="D302" s="8" t="n">
        <f aca="false">SUMIFS('Source 2026'!$D:$D,'Source 2026'!$B:$B,$A302,'Source 2026'!$A:$A,"Quantity (units)")+SUMIFS('Source 2026'!$E:$E,'Source 2026'!$B:$B,$A302,'Source 2026'!$A:$A,"Quantity (units)")+SUMIFS('Source 2026'!$F:$F,'Source 2026'!$B:$B,$A302,'Source 2026'!$A:$A,"Quantity (units)")+SUMIFS('Source 2026'!$G:$G,'Source 2026'!$B:$B,$A302,'Source 2026'!$A:$A,"Quantity (units)")+SUMIFS('Source 2026'!$J:$J,'Source 2026'!$B:$B,$A302,'Source 2026'!$A:$A,"Quantity (units)")+SUMIFS('Source 2026'!$M:$M,'Source 2026'!$B:$B,$A302,'Source 2026'!$A:$A,"Quantity (units)")</f>
        <v>0</v>
      </c>
      <c r="E302" s="8" t="n">
        <f aca="false">D302*$J$5</f>
        <v>0</v>
      </c>
      <c r="F302" s="8" t="n">
        <f aca="false">E302-C302</f>
        <v>-4</v>
      </c>
      <c r="G302" s="9" t="n">
        <f aca="false">IF(AND(C302=0,E302=0),0,IF(C302=0,"New",(E302-C302)/C302))</f>
        <v>-1</v>
      </c>
      <c r="H302" s="8" t="n">
        <f aca="false">SUMIFS('Source 2025'!$D:$D,'Source 2025'!$B:$B,$A302,'Source 2025'!$A:$A,"Amount (NIS)")+SUMIFS('Source 2025'!$E:$E,'Source 2025'!$B:$B,$A302,'Source 2025'!$A:$A,"Amount (NIS)")+SUMIFS('Source 2025'!$F:$F,'Source 2025'!$B:$B,$A302,'Source 2025'!$A:$A,"Amount (NIS)")+SUMIFS('Source 2025'!$G:$G,'Source 2025'!$B:$B,$A302,'Source 2025'!$A:$A,"Amount (NIS)")+SUMIFS('Source 2025'!$J:$J,'Source 2025'!$B:$B,$A302,'Source 2025'!$A:$A,"Amount (NIS)")+SUMIFS('Source 2025'!$M:$M,'Source 2025'!$B:$B,$A302,'Source 2025'!$A:$A,"Amount (NIS)")</f>
        <v>449.8</v>
      </c>
      <c r="I302" s="8" t="n">
        <f aca="false">SUMIFS('Source 2026'!$D:$D,'Source 2026'!$B:$B,$A302,'Source 2026'!$A:$A,"Amount (NIS)")+SUMIFS('Source 2026'!$E:$E,'Source 2026'!$B:$B,$A302,'Source 2026'!$A:$A,"Amount (NIS)")+SUMIFS('Source 2026'!$F:$F,'Source 2026'!$B:$B,$A302,'Source 2026'!$A:$A,"Amount (NIS)")+SUMIFS('Source 2026'!$G:$G,'Source 2026'!$B:$B,$A302,'Source 2026'!$A:$A,"Amount (NIS)")+SUMIFS('Source 2026'!$J:$J,'Source 2026'!$B:$B,$A302,'Source 2026'!$A:$A,"Amount (NIS)")+SUMIFS('Source 2026'!$M:$M,'Source 2026'!$B:$B,$A302,'Source 2026'!$A:$A,"Amount (NIS)")</f>
        <v>0</v>
      </c>
      <c r="J302" s="8" t="n">
        <f aca="false">I302*$J$5</f>
        <v>0</v>
      </c>
      <c r="K302" s="8" t="n">
        <f aca="false">J302-H302</f>
        <v>-449.8</v>
      </c>
      <c r="L302" s="9" t="n">
        <f aca="false">IF(AND(H302=0,J302=0),0,IF(H302=0,"New",(J302-H302)/H302))</f>
        <v>-1</v>
      </c>
    </row>
    <row r="303" customFormat="false" ht="15" hidden="false" customHeight="false" outlineLevel="0" collapsed="false">
      <c r="A303" s="7" t="n">
        <v>4413045</v>
      </c>
      <c r="B303" s="7" t="str">
        <f aca="false">IFERROR(INDEX('Source 2026'!$C:$C,MATCH($A303,'Source 2026'!$B:$B,0)),IFERROR(INDEX('Source 2025'!$C:$C,MATCH($A303,'Source 2025'!$B:$B,0)),""))</f>
        <v>34 XS מגן קרסול עקב סגור</v>
      </c>
      <c r="C303" s="8" t="n">
        <f aca="false">SUMIFS('Source 2025'!$D:$D,'Source 2025'!$B:$B,$A303,'Source 2025'!$A:$A,"Quantity (units)")+SUMIFS('Source 2025'!$E:$E,'Source 2025'!$B:$B,$A303,'Source 2025'!$A:$A,"Quantity (units)")+SUMIFS('Source 2025'!$F:$F,'Source 2025'!$B:$B,$A303,'Source 2025'!$A:$A,"Quantity (units)")+SUMIFS('Source 2025'!$G:$G,'Source 2025'!$B:$B,$A303,'Source 2025'!$A:$A,"Quantity (units)")+SUMIFS('Source 2025'!$J:$J,'Source 2025'!$B:$B,$A303,'Source 2025'!$A:$A,"Quantity (units)")+SUMIFS('Source 2025'!$M:$M,'Source 2025'!$B:$B,$A303,'Source 2025'!$A:$A,"Quantity (units)")</f>
        <v>10</v>
      </c>
      <c r="D303" s="8" t="n">
        <f aca="false">SUMIFS('Source 2026'!$D:$D,'Source 2026'!$B:$B,$A303,'Source 2026'!$A:$A,"Quantity (units)")+SUMIFS('Source 2026'!$E:$E,'Source 2026'!$B:$B,$A303,'Source 2026'!$A:$A,"Quantity (units)")+SUMIFS('Source 2026'!$F:$F,'Source 2026'!$B:$B,$A303,'Source 2026'!$A:$A,"Quantity (units)")+SUMIFS('Source 2026'!$G:$G,'Source 2026'!$B:$B,$A303,'Source 2026'!$A:$A,"Quantity (units)")+SUMIFS('Source 2026'!$J:$J,'Source 2026'!$B:$B,$A303,'Source 2026'!$A:$A,"Quantity (units)")+SUMIFS('Source 2026'!$M:$M,'Source 2026'!$B:$B,$A303,'Source 2026'!$A:$A,"Quantity (units)")</f>
        <v>0</v>
      </c>
      <c r="E303" s="8" t="n">
        <f aca="false">D303*$J$5</f>
        <v>0</v>
      </c>
      <c r="F303" s="8" t="n">
        <f aca="false">E303-C303</f>
        <v>-10</v>
      </c>
      <c r="G303" s="9" t="n">
        <f aca="false">IF(AND(C303=0,E303=0),0,IF(C303=0,"New",(E303-C303)/C303))</f>
        <v>-1</v>
      </c>
      <c r="H303" s="8" t="n">
        <f aca="false">SUMIFS('Source 2025'!$D:$D,'Source 2025'!$B:$B,$A303,'Source 2025'!$A:$A,"Amount (NIS)")+SUMIFS('Source 2025'!$E:$E,'Source 2025'!$B:$B,$A303,'Source 2025'!$A:$A,"Amount (NIS)")+SUMIFS('Source 2025'!$F:$F,'Source 2025'!$B:$B,$A303,'Source 2025'!$A:$A,"Amount (NIS)")+SUMIFS('Source 2025'!$G:$G,'Source 2025'!$B:$B,$A303,'Source 2025'!$A:$A,"Amount (NIS)")+SUMIFS('Source 2025'!$J:$J,'Source 2025'!$B:$B,$A303,'Source 2025'!$A:$A,"Amount (NIS)")+SUMIFS('Source 2025'!$M:$M,'Source 2025'!$B:$B,$A303,'Source 2025'!$A:$A,"Amount (NIS)")</f>
        <v>439.2</v>
      </c>
      <c r="I303" s="8" t="n">
        <f aca="false">SUMIFS('Source 2026'!$D:$D,'Source 2026'!$B:$B,$A303,'Source 2026'!$A:$A,"Amount (NIS)")+SUMIFS('Source 2026'!$E:$E,'Source 2026'!$B:$B,$A303,'Source 2026'!$A:$A,"Amount (NIS)")+SUMIFS('Source 2026'!$F:$F,'Source 2026'!$B:$B,$A303,'Source 2026'!$A:$A,"Amount (NIS)")+SUMIFS('Source 2026'!$G:$G,'Source 2026'!$B:$B,$A303,'Source 2026'!$A:$A,"Amount (NIS)")+SUMIFS('Source 2026'!$J:$J,'Source 2026'!$B:$B,$A303,'Source 2026'!$A:$A,"Amount (NIS)")+SUMIFS('Source 2026'!$M:$M,'Source 2026'!$B:$B,$A303,'Source 2026'!$A:$A,"Amount (NIS)")</f>
        <v>0</v>
      </c>
      <c r="J303" s="8" t="n">
        <f aca="false">I303*$J$5</f>
        <v>0</v>
      </c>
      <c r="K303" s="8" t="n">
        <f aca="false">J303-H303</f>
        <v>-439.2</v>
      </c>
      <c r="L303" s="9" t="n">
        <f aca="false">IF(AND(H303=0,J303=0),0,IF(H303=0,"New",(J303-H303)/H303))</f>
        <v>-1</v>
      </c>
    </row>
    <row r="304" customFormat="false" ht="15" hidden="false" customHeight="false" outlineLevel="0" collapsed="false">
      <c r="A304" s="7" t="n">
        <v>4415083</v>
      </c>
      <c r="B304" s="7" t="str">
        <f aca="false">IFERROR(INDEX('Source 2026'!$C:$C,MATCH($A304,'Source 2026'!$B:$B,0)),IFERROR(INDEX('Source 2025'!$C:$C,MATCH($A304,'Source 2025'!$B:$B,0)),""))</f>
        <v>T33  M  סד לקרסול</v>
      </c>
      <c r="C304" s="8" t="n">
        <f aca="false">SUMIFS('Source 2025'!$D:$D,'Source 2025'!$B:$B,$A304,'Source 2025'!$A:$A,"Quantity (units)")+SUMIFS('Source 2025'!$E:$E,'Source 2025'!$B:$B,$A304,'Source 2025'!$A:$A,"Quantity (units)")+SUMIFS('Source 2025'!$F:$F,'Source 2025'!$B:$B,$A304,'Source 2025'!$A:$A,"Quantity (units)")+SUMIFS('Source 2025'!$G:$G,'Source 2025'!$B:$B,$A304,'Source 2025'!$A:$A,"Quantity (units)")+SUMIFS('Source 2025'!$J:$J,'Source 2025'!$B:$B,$A304,'Source 2025'!$A:$A,"Quantity (units)")+SUMIFS('Source 2025'!$M:$M,'Source 2025'!$B:$B,$A304,'Source 2025'!$A:$A,"Quantity (units)")</f>
        <v>4</v>
      </c>
      <c r="D304" s="8" t="n">
        <f aca="false">SUMIFS('Source 2026'!$D:$D,'Source 2026'!$B:$B,$A304,'Source 2026'!$A:$A,"Quantity (units)")+SUMIFS('Source 2026'!$E:$E,'Source 2026'!$B:$B,$A304,'Source 2026'!$A:$A,"Quantity (units)")+SUMIFS('Source 2026'!$F:$F,'Source 2026'!$B:$B,$A304,'Source 2026'!$A:$A,"Quantity (units)")+SUMIFS('Source 2026'!$G:$G,'Source 2026'!$B:$B,$A304,'Source 2026'!$A:$A,"Quantity (units)")+SUMIFS('Source 2026'!$J:$J,'Source 2026'!$B:$B,$A304,'Source 2026'!$A:$A,"Quantity (units)")+SUMIFS('Source 2026'!$M:$M,'Source 2026'!$B:$B,$A304,'Source 2026'!$A:$A,"Quantity (units)")</f>
        <v>0</v>
      </c>
      <c r="E304" s="8" t="n">
        <f aca="false">D304*$J$5</f>
        <v>0</v>
      </c>
      <c r="F304" s="8" t="n">
        <f aca="false">E304-C304</f>
        <v>-4</v>
      </c>
      <c r="G304" s="9" t="n">
        <f aca="false">IF(AND(C304=0,E304=0),0,IF(C304=0,"New",(E304-C304)/C304))</f>
        <v>-1</v>
      </c>
      <c r="H304" s="8" t="n">
        <f aca="false">SUMIFS('Source 2025'!$D:$D,'Source 2025'!$B:$B,$A304,'Source 2025'!$A:$A,"Amount (NIS)")+SUMIFS('Source 2025'!$E:$E,'Source 2025'!$B:$B,$A304,'Source 2025'!$A:$A,"Amount (NIS)")+SUMIFS('Source 2025'!$F:$F,'Source 2025'!$B:$B,$A304,'Source 2025'!$A:$A,"Amount (NIS)")+SUMIFS('Source 2025'!$G:$G,'Source 2025'!$B:$B,$A304,'Source 2025'!$A:$A,"Amount (NIS)")+SUMIFS('Source 2025'!$J:$J,'Source 2025'!$B:$B,$A304,'Source 2025'!$A:$A,"Amount (NIS)")+SUMIFS('Source 2025'!$M:$M,'Source 2025'!$B:$B,$A304,'Source 2025'!$A:$A,"Amount (NIS)")</f>
        <v>438.5</v>
      </c>
      <c r="I304" s="8" t="n">
        <f aca="false">SUMIFS('Source 2026'!$D:$D,'Source 2026'!$B:$B,$A304,'Source 2026'!$A:$A,"Amount (NIS)")+SUMIFS('Source 2026'!$E:$E,'Source 2026'!$B:$B,$A304,'Source 2026'!$A:$A,"Amount (NIS)")+SUMIFS('Source 2026'!$F:$F,'Source 2026'!$B:$B,$A304,'Source 2026'!$A:$A,"Amount (NIS)")+SUMIFS('Source 2026'!$G:$G,'Source 2026'!$B:$B,$A304,'Source 2026'!$A:$A,"Amount (NIS)")+SUMIFS('Source 2026'!$J:$J,'Source 2026'!$B:$B,$A304,'Source 2026'!$A:$A,"Amount (NIS)")+SUMIFS('Source 2026'!$M:$M,'Source 2026'!$B:$B,$A304,'Source 2026'!$A:$A,"Amount (NIS)")</f>
        <v>0</v>
      </c>
      <c r="J304" s="8" t="n">
        <f aca="false">I304*$J$5</f>
        <v>0</v>
      </c>
      <c r="K304" s="8" t="n">
        <f aca="false">J304-H304</f>
        <v>-438.5</v>
      </c>
      <c r="L304" s="9" t="n">
        <f aca="false">IF(AND(H304=0,J304=0),0,IF(H304=0,"New",(J304-H304)/H304))</f>
        <v>-1</v>
      </c>
    </row>
    <row r="305" customFormat="false" ht="15" hidden="false" customHeight="false" outlineLevel="0" collapsed="false">
      <c r="A305" s="7" t="n">
        <v>4403020</v>
      </c>
      <c r="B305" s="7" t="str">
        <f aca="false">IFERROR(INDEX('Source 2026'!$C:$C,MATCH($A305,'Source 2026'!$B:$B,0)),IFERROR(INDEX('Source 2025'!$C:$C,MATCH($A305,'Source 2025'!$B:$B,0)),""))</f>
        <v>394G גרב.כסף לסכרתים אפור35-38</v>
      </c>
      <c r="C305" s="8" t="n">
        <f aca="false">SUMIFS('Source 2025'!$D:$D,'Source 2025'!$B:$B,$A305,'Source 2025'!$A:$A,"Quantity (units)")+SUMIFS('Source 2025'!$E:$E,'Source 2025'!$B:$B,$A305,'Source 2025'!$A:$A,"Quantity (units)")+SUMIFS('Source 2025'!$F:$F,'Source 2025'!$B:$B,$A305,'Source 2025'!$A:$A,"Quantity (units)")+SUMIFS('Source 2025'!$G:$G,'Source 2025'!$B:$B,$A305,'Source 2025'!$A:$A,"Quantity (units)")+SUMIFS('Source 2025'!$J:$J,'Source 2025'!$B:$B,$A305,'Source 2025'!$A:$A,"Quantity (units)")+SUMIFS('Source 2025'!$M:$M,'Source 2025'!$B:$B,$A305,'Source 2025'!$A:$A,"Quantity (units)")</f>
        <v>17</v>
      </c>
      <c r="D305" s="8" t="n">
        <f aca="false">SUMIFS('Source 2026'!$D:$D,'Source 2026'!$B:$B,$A305,'Source 2026'!$A:$A,"Quantity (units)")+SUMIFS('Source 2026'!$E:$E,'Source 2026'!$B:$B,$A305,'Source 2026'!$A:$A,"Quantity (units)")+SUMIFS('Source 2026'!$F:$F,'Source 2026'!$B:$B,$A305,'Source 2026'!$A:$A,"Quantity (units)")+SUMIFS('Source 2026'!$G:$G,'Source 2026'!$B:$B,$A305,'Source 2026'!$A:$A,"Quantity (units)")+SUMIFS('Source 2026'!$J:$J,'Source 2026'!$B:$B,$A305,'Source 2026'!$A:$A,"Quantity (units)")+SUMIFS('Source 2026'!$M:$M,'Source 2026'!$B:$B,$A305,'Source 2026'!$A:$A,"Quantity (units)")</f>
        <v>0</v>
      </c>
      <c r="E305" s="8" t="n">
        <f aca="false">D305*$J$5</f>
        <v>0</v>
      </c>
      <c r="F305" s="8" t="n">
        <f aca="false">E305-C305</f>
        <v>-17</v>
      </c>
      <c r="G305" s="9" t="n">
        <f aca="false">IF(AND(C305=0,E305=0),0,IF(C305=0,"New",(E305-C305)/C305))</f>
        <v>-1</v>
      </c>
      <c r="H305" s="8" t="n">
        <f aca="false">SUMIFS('Source 2025'!$D:$D,'Source 2025'!$B:$B,$A305,'Source 2025'!$A:$A,"Amount (NIS)")+SUMIFS('Source 2025'!$E:$E,'Source 2025'!$B:$B,$A305,'Source 2025'!$A:$A,"Amount (NIS)")+SUMIFS('Source 2025'!$F:$F,'Source 2025'!$B:$B,$A305,'Source 2025'!$A:$A,"Amount (NIS)")+SUMIFS('Source 2025'!$G:$G,'Source 2025'!$B:$B,$A305,'Source 2025'!$A:$A,"Amount (NIS)")+SUMIFS('Source 2025'!$J:$J,'Source 2025'!$B:$B,$A305,'Source 2025'!$A:$A,"Amount (NIS)")+SUMIFS('Source 2025'!$M:$M,'Source 2025'!$B:$B,$A305,'Source 2025'!$A:$A,"Amount (NIS)")</f>
        <v>426.2</v>
      </c>
      <c r="I305" s="8" t="n">
        <f aca="false">SUMIFS('Source 2026'!$D:$D,'Source 2026'!$B:$B,$A305,'Source 2026'!$A:$A,"Amount (NIS)")+SUMIFS('Source 2026'!$E:$E,'Source 2026'!$B:$B,$A305,'Source 2026'!$A:$A,"Amount (NIS)")+SUMIFS('Source 2026'!$F:$F,'Source 2026'!$B:$B,$A305,'Source 2026'!$A:$A,"Amount (NIS)")+SUMIFS('Source 2026'!$G:$G,'Source 2026'!$B:$B,$A305,'Source 2026'!$A:$A,"Amount (NIS)")+SUMIFS('Source 2026'!$J:$J,'Source 2026'!$B:$B,$A305,'Source 2026'!$A:$A,"Amount (NIS)")+SUMIFS('Source 2026'!$M:$M,'Source 2026'!$B:$B,$A305,'Source 2026'!$A:$A,"Amount (NIS)")</f>
        <v>0</v>
      </c>
      <c r="J305" s="8" t="n">
        <f aca="false">I305*$J$5</f>
        <v>0</v>
      </c>
      <c r="K305" s="8" t="n">
        <f aca="false">J305-H305</f>
        <v>-426.2</v>
      </c>
      <c r="L305" s="9" t="n">
        <f aca="false">IF(AND(H305=0,J305=0),0,IF(H305=0,"New",(J305-H305)/H305))</f>
        <v>-1</v>
      </c>
    </row>
    <row r="306" customFormat="false" ht="15" hidden="false" customHeight="false" outlineLevel="0" collapsed="false">
      <c r="A306" s="7" t="n">
        <v>4415013</v>
      </c>
      <c r="B306" s="7" t="str">
        <f aca="false">IFERROR(INDEX('Source 2026'!$C:$C,MATCH($A306,'Source 2026'!$B:$B,0)),IFERROR(INDEX('Source 2025'!$C:$C,MATCH($A306,'Source 2025'!$B:$B,0)),""))</f>
        <v>32 XL סד קרסול+מוטות אלומיניום</v>
      </c>
      <c r="C306" s="8" t="n">
        <f aca="false">SUMIFS('Source 2025'!$D:$D,'Source 2025'!$B:$B,$A306,'Source 2025'!$A:$A,"Quantity (units)")+SUMIFS('Source 2025'!$E:$E,'Source 2025'!$B:$B,$A306,'Source 2025'!$A:$A,"Quantity (units)")+SUMIFS('Source 2025'!$F:$F,'Source 2025'!$B:$B,$A306,'Source 2025'!$A:$A,"Quantity (units)")+SUMIFS('Source 2025'!$G:$G,'Source 2025'!$B:$B,$A306,'Source 2025'!$A:$A,"Quantity (units)")+SUMIFS('Source 2025'!$J:$J,'Source 2025'!$B:$B,$A306,'Source 2025'!$A:$A,"Quantity (units)")+SUMIFS('Source 2025'!$M:$M,'Source 2025'!$B:$B,$A306,'Source 2025'!$A:$A,"Quantity (units)")</f>
        <v>0</v>
      </c>
      <c r="D306" s="8" t="n">
        <f aca="false">SUMIFS('Source 2026'!$D:$D,'Source 2026'!$B:$B,$A306,'Source 2026'!$A:$A,"Quantity (units)")+SUMIFS('Source 2026'!$E:$E,'Source 2026'!$B:$B,$A306,'Source 2026'!$A:$A,"Quantity (units)")+SUMIFS('Source 2026'!$F:$F,'Source 2026'!$B:$B,$A306,'Source 2026'!$A:$A,"Quantity (units)")+SUMIFS('Source 2026'!$G:$G,'Source 2026'!$B:$B,$A306,'Source 2026'!$A:$A,"Quantity (units)")+SUMIFS('Source 2026'!$J:$J,'Source 2026'!$B:$B,$A306,'Source 2026'!$A:$A,"Quantity (units)")+SUMIFS('Source 2026'!$M:$M,'Source 2026'!$B:$B,$A306,'Source 2026'!$A:$A,"Quantity (units)")</f>
        <v>2</v>
      </c>
      <c r="E306" s="8" t="n">
        <f aca="false">D306*$J$5</f>
        <v>2.74285714285714</v>
      </c>
      <c r="F306" s="8" t="n">
        <f aca="false">E306-C306</f>
        <v>2.74285714285714</v>
      </c>
      <c r="G306" s="9" t="str">
        <f aca="false">IF(AND(C306=0,E306=0),0,IF(C306=0,"New",(E306-C306)/C306))</f>
        <v>New</v>
      </c>
      <c r="H306" s="8" t="n">
        <f aca="false">SUMIFS('Source 2025'!$D:$D,'Source 2025'!$B:$B,$A306,'Source 2025'!$A:$A,"Amount (NIS)")+SUMIFS('Source 2025'!$E:$E,'Source 2025'!$B:$B,$A306,'Source 2025'!$A:$A,"Amount (NIS)")+SUMIFS('Source 2025'!$F:$F,'Source 2025'!$B:$B,$A306,'Source 2025'!$A:$A,"Amount (NIS)")+SUMIFS('Source 2025'!$G:$G,'Source 2025'!$B:$B,$A306,'Source 2025'!$A:$A,"Amount (NIS)")+SUMIFS('Source 2025'!$J:$J,'Source 2025'!$B:$B,$A306,'Source 2025'!$A:$A,"Amount (NIS)")+SUMIFS('Source 2025'!$M:$M,'Source 2025'!$B:$B,$A306,'Source 2025'!$A:$A,"Amount (NIS)")</f>
        <v>0</v>
      </c>
      <c r="I306" s="8" t="n">
        <f aca="false">SUMIFS('Source 2026'!$D:$D,'Source 2026'!$B:$B,$A306,'Source 2026'!$A:$A,"Amount (NIS)")+SUMIFS('Source 2026'!$E:$E,'Source 2026'!$B:$B,$A306,'Source 2026'!$A:$A,"Amount (NIS)")+SUMIFS('Source 2026'!$F:$F,'Source 2026'!$B:$B,$A306,'Source 2026'!$A:$A,"Amount (NIS)")+SUMIFS('Source 2026'!$G:$G,'Source 2026'!$B:$B,$A306,'Source 2026'!$A:$A,"Amount (NIS)")+SUMIFS('Source 2026'!$J:$J,'Source 2026'!$B:$B,$A306,'Source 2026'!$A:$A,"Amount (NIS)")+SUMIFS('Source 2026'!$M:$M,'Source 2026'!$B:$B,$A306,'Source 2026'!$A:$A,"Amount (NIS)")</f>
        <v>425.5</v>
      </c>
      <c r="J306" s="8" t="n">
        <f aca="false">I306*$J$5</f>
        <v>583.542857142857</v>
      </c>
      <c r="K306" s="8" t="n">
        <f aca="false">J306-H306</f>
        <v>583.542857142857</v>
      </c>
      <c r="L306" s="9" t="str">
        <f aca="false">IF(AND(H306=0,J306=0),0,IF(H306=0,"New",(J306-H306)/H306))</f>
        <v>New</v>
      </c>
    </row>
    <row r="307" customFormat="false" ht="15" hidden="false" customHeight="false" outlineLevel="0" collapsed="false">
      <c r="A307" s="7" t="n">
        <v>4413367</v>
      </c>
      <c r="B307" s="7" t="str">
        <f aca="false">IFERROR(INDEX('Source 2026'!$C:$C,MATCH($A307,'Source 2026'!$B:$B,0)),IFERROR(INDEX('Source 2025'!$C:$C,MATCH($A307,'Source 2025'!$B:$B,0)),""))</f>
        <v>95C XL'מגן מרפק בז</v>
      </c>
      <c r="C307" s="8" t="n">
        <f aca="false">SUMIFS('Source 2025'!$D:$D,'Source 2025'!$B:$B,$A307,'Source 2025'!$A:$A,"Quantity (units)")+SUMIFS('Source 2025'!$E:$E,'Source 2025'!$B:$B,$A307,'Source 2025'!$A:$A,"Quantity (units)")+SUMIFS('Source 2025'!$F:$F,'Source 2025'!$B:$B,$A307,'Source 2025'!$A:$A,"Quantity (units)")+SUMIFS('Source 2025'!$G:$G,'Source 2025'!$B:$B,$A307,'Source 2025'!$A:$A,"Quantity (units)")+SUMIFS('Source 2025'!$J:$J,'Source 2025'!$B:$B,$A307,'Source 2025'!$A:$A,"Quantity (units)")+SUMIFS('Source 2025'!$M:$M,'Source 2025'!$B:$B,$A307,'Source 2025'!$A:$A,"Quantity (units)")</f>
        <v>49</v>
      </c>
      <c r="D307" s="8" t="n">
        <f aca="false">SUMIFS('Source 2026'!$D:$D,'Source 2026'!$B:$B,$A307,'Source 2026'!$A:$A,"Quantity (units)")+SUMIFS('Source 2026'!$E:$E,'Source 2026'!$B:$B,$A307,'Source 2026'!$A:$A,"Quantity (units)")+SUMIFS('Source 2026'!$F:$F,'Source 2026'!$B:$B,$A307,'Source 2026'!$A:$A,"Quantity (units)")+SUMIFS('Source 2026'!$G:$G,'Source 2026'!$B:$B,$A307,'Source 2026'!$A:$A,"Quantity (units)")+SUMIFS('Source 2026'!$J:$J,'Source 2026'!$B:$B,$A307,'Source 2026'!$A:$A,"Quantity (units)")+SUMIFS('Source 2026'!$M:$M,'Source 2026'!$B:$B,$A307,'Source 2026'!$A:$A,"Quantity (units)")</f>
        <v>35</v>
      </c>
      <c r="E307" s="8" t="n">
        <f aca="false">D307*$J$5</f>
        <v>48</v>
      </c>
      <c r="F307" s="8" t="n">
        <f aca="false">E307-C307</f>
        <v>-1</v>
      </c>
      <c r="G307" s="9" t="n">
        <f aca="false">IF(AND(C307=0,E307=0),0,IF(C307=0,"New",(E307-C307)/C307))</f>
        <v>-0.0204081632653061</v>
      </c>
      <c r="H307" s="8" t="n">
        <f aca="false">SUMIFS('Source 2025'!$D:$D,'Source 2025'!$B:$B,$A307,'Source 2025'!$A:$A,"Amount (NIS)")+SUMIFS('Source 2025'!$E:$E,'Source 2025'!$B:$B,$A307,'Source 2025'!$A:$A,"Amount (NIS)")+SUMIFS('Source 2025'!$F:$F,'Source 2025'!$B:$B,$A307,'Source 2025'!$A:$A,"Amount (NIS)")+SUMIFS('Source 2025'!$G:$G,'Source 2025'!$B:$B,$A307,'Source 2025'!$A:$A,"Amount (NIS)")+SUMIFS('Source 2025'!$J:$J,'Source 2025'!$B:$B,$A307,'Source 2025'!$A:$A,"Amount (NIS)")+SUMIFS('Source 2025'!$M:$M,'Source 2025'!$B:$B,$A307,'Source 2025'!$A:$A,"Amount (NIS)")</f>
        <v>1476.2</v>
      </c>
      <c r="I307" s="8" t="n">
        <f aca="false">SUMIFS('Source 2026'!$D:$D,'Source 2026'!$B:$B,$A307,'Source 2026'!$A:$A,"Amount (NIS)")+SUMIFS('Source 2026'!$E:$E,'Source 2026'!$B:$B,$A307,'Source 2026'!$A:$A,"Amount (NIS)")+SUMIFS('Source 2026'!$F:$F,'Source 2026'!$B:$B,$A307,'Source 2026'!$A:$A,"Amount (NIS)")+SUMIFS('Source 2026'!$G:$G,'Source 2026'!$B:$B,$A307,'Source 2026'!$A:$A,"Amount (NIS)")+SUMIFS('Source 2026'!$J:$J,'Source 2026'!$B:$B,$A307,'Source 2026'!$A:$A,"Amount (NIS)")+SUMIFS('Source 2026'!$M:$M,'Source 2026'!$B:$B,$A307,'Source 2026'!$A:$A,"Amount (NIS)")</f>
        <v>1052.2</v>
      </c>
      <c r="J307" s="8" t="n">
        <f aca="false">I307*$J$5</f>
        <v>1443.01714285714</v>
      </c>
      <c r="K307" s="8" t="n">
        <f aca="false">J307-H307</f>
        <v>-33.1828571428571</v>
      </c>
      <c r="L307" s="9" t="n">
        <f aca="false">IF(AND(H307=0,J307=0),0,IF(H307=0,"New",(J307-H307)/H307))</f>
        <v>-0.0224785646544215</v>
      </c>
    </row>
    <row r="308" customFormat="false" ht="15" hidden="false" customHeight="false" outlineLevel="0" collapsed="false">
      <c r="A308" s="7" t="n">
        <v>4413398</v>
      </c>
      <c r="B308" s="7" t="str">
        <f aca="false">IFERROR(INDEX('Source 2026'!$C:$C,MATCH($A308,'Source 2026'!$B:$B,0)),IFERROR(INDEX('Source 2025'!$C:$C,MATCH($A308,'Source 2025'!$B:$B,0)),""))</f>
        <v>45EC XXL'מגן ברך ארוך בז</v>
      </c>
      <c r="C308" s="8" t="n">
        <f aca="false">SUMIFS('Source 2025'!$D:$D,'Source 2025'!$B:$B,$A308,'Source 2025'!$A:$A,"Quantity (units)")+SUMIFS('Source 2025'!$E:$E,'Source 2025'!$B:$B,$A308,'Source 2025'!$A:$A,"Quantity (units)")+SUMIFS('Source 2025'!$F:$F,'Source 2025'!$B:$B,$A308,'Source 2025'!$A:$A,"Quantity (units)")+SUMIFS('Source 2025'!$G:$G,'Source 2025'!$B:$B,$A308,'Source 2025'!$A:$A,"Quantity (units)")+SUMIFS('Source 2025'!$J:$J,'Source 2025'!$B:$B,$A308,'Source 2025'!$A:$A,"Quantity (units)")+SUMIFS('Source 2025'!$M:$M,'Source 2025'!$B:$B,$A308,'Source 2025'!$A:$A,"Quantity (units)")</f>
        <v>44</v>
      </c>
      <c r="D308" s="8" t="n">
        <f aca="false">SUMIFS('Source 2026'!$D:$D,'Source 2026'!$B:$B,$A308,'Source 2026'!$A:$A,"Quantity (units)")+SUMIFS('Source 2026'!$E:$E,'Source 2026'!$B:$B,$A308,'Source 2026'!$A:$A,"Quantity (units)")+SUMIFS('Source 2026'!$F:$F,'Source 2026'!$B:$B,$A308,'Source 2026'!$A:$A,"Quantity (units)")+SUMIFS('Source 2026'!$G:$G,'Source 2026'!$B:$B,$A308,'Source 2026'!$A:$A,"Quantity (units)")+SUMIFS('Source 2026'!$J:$J,'Source 2026'!$B:$B,$A308,'Source 2026'!$A:$A,"Quantity (units)")+SUMIFS('Source 2026'!$M:$M,'Source 2026'!$B:$B,$A308,'Source 2026'!$A:$A,"Quantity (units)")</f>
        <v>55</v>
      </c>
      <c r="E308" s="8" t="n">
        <f aca="false">D308*$J$5</f>
        <v>75.4285714285714</v>
      </c>
      <c r="F308" s="8" t="n">
        <f aca="false">E308-C308</f>
        <v>31.4285714285714</v>
      </c>
      <c r="G308" s="9" t="n">
        <f aca="false">IF(AND(C308=0,E308=0),0,IF(C308=0,"New",(E308-C308)/C308))</f>
        <v>0.714285714285714</v>
      </c>
      <c r="H308" s="8" t="n">
        <f aca="false">SUMIFS('Source 2025'!$D:$D,'Source 2025'!$B:$B,$A308,'Source 2025'!$A:$A,"Amount (NIS)")+SUMIFS('Source 2025'!$E:$E,'Source 2025'!$B:$B,$A308,'Source 2025'!$A:$A,"Amount (NIS)")+SUMIFS('Source 2025'!$F:$F,'Source 2025'!$B:$B,$A308,'Source 2025'!$A:$A,"Amount (NIS)")+SUMIFS('Source 2025'!$G:$G,'Source 2025'!$B:$B,$A308,'Source 2025'!$A:$A,"Amount (NIS)")+SUMIFS('Source 2025'!$J:$J,'Source 2025'!$B:$B,$A308,'Source 2025'!$A:$A,"Amount (NIS)")+SUMIFS('Source 2025'!$M:$M,'Source 2025'!$B:$B,$A308,'Source 2025'!$A:$A,"Amount (NIS)")</f>
        <v>1613.3</v>
      </c>
      <c r="I308" s="8" t="n">
        <f aca="false">SUMIFS('Source 2026'!$D:$D,'Source 2026'!$B:$B,$A308,'Source 2026'!$A:$A,"Amount (NIS)")+SUMIFS('Source 2026'!$E:$E,'Source 2026'!$B:$B,$A308,'Source 2026'!$A:$A,"Amount (NIS)")+SUMIFS('Source 2026'!$F:$F,'Source 2026'!$B:$B,$A308,'Source 2026'!$A:$A,"Amount (NIS)")+SUMIFS('Source 2026'!$G:$G,'Source 2026'!$B:$B,$A308,'Source 2026'!$A:$A,"Amount (NIS)")+SUMIFS('Source 2026'!$J:$J,'Source 2026'!$B:$B,$A308,'Source 2026'!$A:$A,"Amount (NIS)")+SUMIFS('Source 2026'!$M:$M,'Source 2026'!$B:$B,$A308,'Source 2026'!$A:$A,"Amount (NIS)")</f>
        <v>2035</v>
      </c>
      <c r="J308" s="8" t="n">
        <f aca="false">I308*$J$5</f>
        <v>2790.85714285714</v>
      </c>
      <c r="K308" s="8" t="n">
        <f aca="false">J308-H308</f>
        <v>1177.55714285714</v>
      </c>
      <c r="L308" s="9" t="n">
        <f aca="false">IF(AND(H308=0,J308=0),0,IF(H308=0,"New",(J308-H308)/H308))</f>
        <v>0.729905871726984</v>
      </c>
    </row>
    <row r="309" customFormat="false" ht="15" hidden="false" customHeight="false" outlineLevel="0" collapsed="false">
      <c r="A309" s="7" t="n">
        <v>4420024</v>
      </c>
      <c r="B309" s="7" t="str">
        <f aca="false">IFERROR(INDEX('Source 2026'!$C:$C,MATCH($A309,'Source 2026'!$B:$B,0)),IFERROR(INDEX('Source 2025'!$C:$C,MATCH($A309,'Source 2025'!$B:$B,0)),""))</f>
        <v>LFריפוד סיליק.לכרית כף הרגל373</v>
      </c>
      <c r="C309" s="8" t="n">
        <f aca="false">SUMIFS('Source 2025'!$D:$D,'Source 2025'!$B:$B,$A309,'Source 2025'!$A:$A,"Quantity (units)")+SUMIFS('Source 2025'!$E:$E,'Source 2025'!$B:$B,$A309,'Source 2025'!$A:$A,"Quantity (units)")+SUMIFS('Source 2025'!$F:$F,'Source 2025'!$B:$B,$A309,'Source 2025'!$A:$A,"Quantity (units)")+SUMIFS('Source 2025'!$G:$G,'Source 2025'!$B:$B,$A309,'Source 2025'!$A:$A,"Quantity (units)")+SUMIFS('Source 2025'!$J:$J,'Source 2025'!$B:$B,$A309,'Source 2025'!$A:$A,"Quantity (units)")+SUMIFS('Source 2025'!$M:$M,'Source 2025'!$B:$B,$A309,'Source 2025'!$A:$A,"Quantity (units)")</f>
        <v>54</v>
      </c>
      <c r="D309" s="8" t="n">
        <f aca="false">SUMIFS('Source 2026'!$D:$D,'Source 2026'!$B:$B,$A309,'Source 2026'!$A:$A,"Quantity (units)")+SUMIFS('Source 2026'!$E:$E,'Source 2026'!$B:$B,$A309,'Source 2026'!$A:$A,"Quantity (units)")+SUMIFS('Source 2026'!$F:$F,'Source 2026'!$B:$B,$A309,'Source 2026'!$A:$A,"Quantity (units)")+SUMIFS('Source 2026'!$G:$G,'Source 2026'!$B:$B,$A309,'Source 2026'!$A:$A,"Quantity (units)")+SUMIFS('Source 2026'!$J:$J,'Source 2026'!$B:$B,$A309,'Source 2026'!$A:$A,"Quantity (units)")+SUMIFS('Source 2026'!$M:$M,'Source 2026'!$B:$B,$A309,'Source 2026'!$A:$A,"Quantity (units)")</f>
        <v>32</v>
      </c>
      <c r="E309" s="8" t="n">
        <f aca="false">D309*$J$5</f>
        <v>43.8857142857143</v>
      </c>
      <c r="F309" s="8" t="n">
        <f aca="false">E309-C309</f>
        <v>-10.1142857142857</v>
      </c>
      <c r="G309" s="9" t="n">
        <f aca="false">IF(AND(C309=0,E309=0),0,IF(C309=0,"New",(E309-C309)/C309))</f>
        <v>-0.187301587301587</v>
      </c>
      <c r="H309" s="8" t="n">
        <f aca="false">SUMIFS('Source 2025'!$D:$D,'Source 2025'!$B:$B,$A309,'Source 2025'!$A:$A,"Amount (NIS)")+SUMIFS('Source 2025'!$E:$E,'Source 2025'!$B:$B,$A309,'Source 2025'!$A:$A,"Amount (NIS)")+SUMIFS('Source 2025'!$F:$F,'Source 2025'!$B:$B,$A309,'Source 2025'!$A:$A,"Amount (NIS)")+SUMIFS('Source 2025'!$G:$G,'Source 2025'!$B:$B,$A309,'Source 2025'!$A:$A,"Amount (NIS)")+SUMIFS('Source 2025'!$J:$J,'Source 2025'!$B:$B,$A309,'Source 2025'!$A:$A,"Amount (NIS)")+SUMIFS('Source 2025'!$M:$M,'Source 2025'!$B:$B,$A309,'Source 2025'!$A:$A,"Amount (NIS)")</f>
        <v>1072.9</v>
      </c>
      <c r="I309" s="8" t="n">
        <f aca="false">SUMIFS('Source 2026'!$D:$D,'Source 2026'!$B:$B,$A309,'Source 2026'!$A:$A,"Amount (NIS)")+SUMIFS('Source 2026'!$E:$E,'Source 2026'!$B:$B,$A309,'Source 2026'!$A:$A,"Amount (NIS)")+SUMIFS('Source 2026'!$F:$F,'Source 2026'!$B:$B,$A309,'Source 2026'!$A:$A,"Amount (NIS)")+SUMIFS('Source 2026'!$G:$G,'Source 2026'!$B:$B,$A309,'Source 2026'!$A:$A,"Amount (NIS)")+SUMIFS('Source 2026'!$J:$J,'Source 2026'!$B:$B,$A309,'Source 2026'!$A:$A,"Amount (NIS)")+SUMIFS('Source 2026'!$M:$M,'Source 2026'!$B:$B,$A309,'Source 2026'!$A:$A,"Amount (NIS)")</f>
        <v>657.5</v>
      </c>
      <c r="J309" s="8" t="n">
        <f aca="false">I309*$J$5</f>
        <v>901.714285714286</v>
      </c>
      <c r="K309" s="8" t="n">
        <f aca="false">J309-H309</f>
        <v>-171.185714285714</v>
      </c>
      <c r="L309" s="9" t="n">
        <f aca="false">IF(AND(H309=0,J309=0),0,IF(H309=0,"New",(J309-H309)/H309))</f>
        <v>-0.159554212215224</v>
      </c>
    </row>
    <row r="310" customFormat="false" ht="15" hidden="false" customHeight="false" outlineLevel="0" collapsed="false">
      <c r="A310" s="7" t="n">
        <v>4413494</v>
      </c>
      <c r="B310" s="7" t="str">
        <f aca="false">IFERROR(INDEX('Source 2026'!$C:$C,MATCH($A310,'Source 2026'!$B:$B,0)),IFERROR(INDEX('Source 2025'!$C:$C,MATCH($A310,'Source 2025'!$B:$B,0)),""))</f>
        <v>35B XXL מגן קרסול שחור</v>
      </c>
      <c r="C310" s="8" t="n">
        <f aca="false">SUMIFS('Source 2025'!$D:$D,'Source 2025'!$B:$B,$A310,'Source 2025'!$A:$A,"Quantity (units)")+SUMIFS('Source 2025'!$E:$E,'Source 2025'!$B:$B,$A310,'Source 2025'!$A:$A,"Quantity (units)")+SUMIFS('Source 2025'!$F:$F,'Source 2025'!$B:$B,$A310,'Source 2025'!$A:$A,"Quantity (units)")+SUMIFS('Source 2025'!$G:$G,'Source 2025'!$B:$B,$A310,'Source 2025'!$A:$A,"Quantity (units)")+SUMIFS('Source 2025'!$J:$J,'Source 2025'!$B:$B,$A310,'Source 2025'!$A:$A,"Quantity (units)")+SUMIFS('Source 2025'!$M:$M,'Source 2025'!$B:$B,$A310,'Source 2025'!$A:$A,"Quantity (units)")</f>
        <v>47</v>
      </c>
      <c r="D310" s="8" t="n">
        <f aca="false">SUMIFS('Source 2026'!$D:$D,'Source 2026'!$B:$B,$A310,'Source 2026'!$A:$A,"Quantity (units)")+SUMIFS('Source 2026'!$E:$E,'Source 2026'!$B:$B,$A310,'Source 2026'!$A:$A,"Quantity (units)")+SUMIFS('Source 2026'!$F:$F,'Source 2026'!$B:$B,$A310,'Source 2026'!$A:$A,"Quantity (units)")+SUMIFS('Source 2026'!$G:$G,'Source 2026'!$B:$B,$A310,'Source 2026'!$A:$A,"Quantity (units)")+SUMIFS('Source 2026'!$J:$J,'Source 2026'!$B:$B,$A310,'Source 2026'!$A:$A,"Quantity (units)")+SUMIFS('Source 2026'!$M:$M,'Source 2026'!$B:$B,$A310,'Source 2026'!$A:$A,"Quantity (units)")</f>
        <v>33</v>
      </c>
      <c r="E310" s="8" t="n">
        <f aca="false">D310*$J$5</f>
        <v>45.2571428571429</v>
      </c>
      <c r="F310" s="8" t="n">
        <f aca="false">E310-C310</f>
        <v>-1.74285714285714</v>
      </c>
      <c r="G310" s="9" t="n">
        <f aca="false">IF(AND(C310=0,E310=0),0,IF(C310=0,"New",(E310-C310)/C310))</f>
        <v>-0.0370820668693009</v>
      </c>
      <c r="H310" s="8" t="n">
        <f aca="false">SUMIFS('Source 2025'!$D:$D,'Source 2025'!$B:$B,$A310,'Source 2025'!$A:$A,"Amount (NIS)")+SUMIFS('Source 2025'!$E:$E,'Source 2025'!$B:$B,$A310,'Source 2025'!$A:$A,"Amount (NIS)")+SUMIFS('Source 2025'!$F:$F,'Source 2025'!$B:$B,$A310,'Source 2025'!$A:$A,"Amount (NIS)")+SUMIFS('Source 2025'!$G:$G,'Source 2025'!$B:$B,$A310,'Source 2025'!$A:$A,"Amount (NIS)")+SUMIFS('Source 2025'!$J:$J,'Source 2025'!$B:$B,$A310,'Source 2025'!$A:$A,"Amount (NIS)")+SUMIFS('Source 2025'!$M:$M,'Source 2025'!$B:$B,$A310,'Source 2025'!$A:$A,"Amount (NIS)")</f>
        <v>1423</v>
      </c>
      <c r="I310" s="8" t="n">
        <f aca="false">SUMIFS('Source 2026'!$D:$D,'Source 2026'!$B:$B,$A310,'Source 2026'!$A:$A,"Amount (NIS)")+SUMIFS('Source 2026'!$E:$E,'Source 2026'!$B:$B,$A310,'Source 2026'!$A:$A,"Amount (NIS)")+SUMIFS('Source 2026'!$F:$F,'Source 2026'!$B:$B,$A310,'Source 2026'!$A:$A,"Amount (NIS)")+SUMIFS('Source 2026'!$G:$G,'Source 2026'!$B:$B,$A310,'Source 2026'!$A:$A,"Amount (NIS)")+SUMIFS('Source 2026'!$J:$J,'Source 2026'!$B:$B,$A310,'Source 2026'!$A:$A,"Amount (NIS)")+SUMIFS('Source 2026'!$M:$M,'Source 2026'!$B:$B,$A310,'Source 2026'!$A:$A,"Amount (NIS)")</f>
        <v>1009.1</v>
      </c>
      <c r="J310" s="8" t="n">
        <f aca="false">I310*$J$5</f>
        <v>1383.90857142857</v>
      </c>
      <c r="K310" s="8" t="n">
        <f aca="false">J310-H310</f>
        <v>-39.0914285714284</v>
      </c>
      <c r="L310" s="9" t="n">
        <f aca="false">IF(AND(H310=0,J310=0),0,IF(H310=0,"New",(J310-H310)/H310))</f>
        <v>-0.0274711374360003</v>
      </c>
    </row>
    <row r="311" customFormat="false" ht="15" hidden="false" customHeight="false" outlineLevel="0" collapsed="false">
      <c r="A311" s="7" t="n">
        <v>4411024</v>
      </c>
      <c r="B311" s="7" t="str">
        <f aca="false">IFERROR(INDEX('Source 2026'!$C:$C,MATCH($A311,'Source 2026'!$B:$B,0)),IFERROR(INDEX('Source 2025'!$C:$C,MATCH($A311,'Source 2025'!$B:$B,0)),""))</f>
        <v>212XL כפפות אגודל לחץ</v>
      </c>
      <c r="C311" s="8" t="n">
        <f aca="false">SUMIFS('Source 2025'!$D:$D,'Source 2025'!$B:$B,$A311,'Source 2025'!$A:$A,"Quantity (units)")+SUMIFS('Source 2025'!$E:$E,'Source 2025'!$B:$B,$A311,'Source 2025'!$A:$A,"Quantity (units)")+SUMIFS('Source 2025'!$F:$F,'Source 2025'!$B:$B,$A311,'Source 2025'!$A:$A,"Quantity (units)")+SUMIFS('Source 2025'!$G:$G,'Source 2025'!$B:$B,$A311,'Source 2025'!$A:$A,"Quantity (units)")+SUMIFS('Source 2025'!$J:$J,'Source 2025'!$B:$B,$A311,'Source 2025'!$A:$A,"Quantity (units)")+SUMIFS('Source 2025'!$M:$M,'Source 2025'!$B:$B,$A311,'Source 2025'!$A:$A,"Quantity (units)")</f>
        <v>16</v>
      </c>
      <c r="D311" s="8" t="n">
        <f aca="false">SUMIFS('Source 2026'!$D:$D,'Source 2026'!$B:$B,$A311,'Source 2026'!$A:$A,"Quantity (units)")+SUMIFS('Source 2026'!$E:$E,'Source 2026'!$B:$B,$A311,'Source 2026'!$A:$A,"Quantity (units)")+SUMIFS('Source 2026'!$F:$F,'Source 2026'!$B:$B,$A311,'Source 2026'!$A:$A,"Quantity (units)")+SUMIFS('Source 2026'!$G:$G,'Source 2026'!$B:$B,$A311,'Source 2026'!$A:$A,"Quantity (units)")+SUMIFS('Source 2026'!$J:$J,'Source 2026'!$B:$B,$A311,'Source 2026'!$A:$A,"Quantity (units)")+SUMIFS('Source 2026'!$M:$M,'Source 2026'!$B:$B,$A311,'Source 2026'!$A:$A,"Quantity (units)")</f>
        <v>5</v>
      </c>
      <c r="E311" s="8" t="n">
        <f aca="false">D311*$J$5</f>
        <v>6.85714285714286</v>
      </c>
      <c r="F311" s="8" t="n">
        <f aca="false">E311-C311</f>
        <v>-9.14285714285714</v>
      </c>
      <c r="G311" s="9" t="n">
        <f aca="false">IF(AND(C311=0,E311=0),0,IF(C311=0,"New",(E311-C311)/C311))</f>
        <v>-0.571428571428571</v>
      </c>
      <c r="H311" s="8" t="n">
        <f aca="false">SUMIFS('Source 2025'!$D:$D,'Source 2025'!$B:$B,$A311,'Source 2025'!$A:$A,"Amount (NIS)")+SUMIFS('Source 2025'!$E:$E,'Source 2025'!$B:$B,$A311,'Source 2025'!$A:$A,"Amount (NIS)")+SUMIFS('Source 2025'!$F:$F,'Source 2025'!$B:$B,$A311,'Source 2025'!$A:$A,"Amount (NIS)")+SUMIFS('Source 2025'!$G:$G,'Source 2025'!$B:$B,$A311,'Source 2025'!$A:$A,"Amount (NIS)")+SUMIFS('Source 2025'!$J:$J,'Source 2025'!$B:$B,$A311,'Source 2025'!$A:$A,"Amount (NIS)")+SUMIFS('Source 2025'!$M:$M,'Source 2025'!$B:$B,$A311,'Source 2025'!$A:$A,"Amount (NIS)")</f>
        <v>609.4</v>
      </c>
      <c r="I311" s="8" t="n">
        <f aca="false">SUMIFS('Source 2026'!$D:$D,'Source 2026'!$B:$B,$A311,'Source 2026'!$A:$A,"Amount (NIS)")+SUMIFS('Source 2026'!$E:$E,'Source 2026'!$B:$B,$A311,'Source 2026'!$A:$A,"Amount (NIS)")+SUMIFS('Source 2026'!$F:$F,'Source 2026'!$B:$B,$A311,'Source 2026'!$A:$A,"Amount (NIS)")+SUMIFS('Source 2026'!$G:$G,'Source 2026'!$B:$B,$A311,'Source 2026'!$A:$A,"Amount (NIS)")+SUMIFS('Source 2026'!$J:$J,'Source 2026'!$B:$B,$A311,'Source 2026'!$A:$A,"Amount (NIS)")+SUMIFS('Source 2026'!$M:$M,'Source 2026'!$B:$B,$A311,'Source 2026'!$A:$A,"Amount (NIS)")</f>
        <v>199</v>
      </c>
      <c r="J311" s="8" t="n">
        <f aca="false">I311*$J$5</f>
        <v>272.914285714286</v>
      </c>
      <c r="K311" s="8" t="n">
        <f aca="false">J311-H311</f>
        <v>-336.485714285714</v>
      </c>
      <c r="L311" s="9" t="n">
        <f aca="false">IF(AND(H311=0,J311=0),0,IF(H311=0,"New",(J311-H311)/H311))</f>
        <v>-0.552159032303437</v>
      </c>
    </row>
    <row r="312" customFormat="false" ht="15" hidden="false" customHeight="false" outlineLevel="0" collapsed="false">
      <c r="A312" s="7" t="n">
        <v>4413262</v>
      </c>
      <c r="B312" s="7" t="str">
        <f aca="false">IFERROR(INDEX('Source 2026'!$C:$C,MATCH($A312,'Source 2026'!$B:$B,0)),IFERROR(INDEX('Source 2025'!$C:$C,MATCH($A312,'Source 2025'!$B:$B,0)),""))</f>
        <v>76 XXL מישר כתפיים רחב</v>
      </c>
      <c r="C312" s="8" t="n">
        <f aca="false">SUMIFS('Source 2025'!$D:$D,'Source 2025'!$B:$B,$A312,'Source 2025'!$A:$A,"Quantity (units)")+SUMIFS('Source 2025'!$E:$E,'Source 2025'!$B:$B,$A312,'Source 2025'!$A:$A,"Quantity (units)")+SUMIFS('Source 2025'!$F:$F,'Source 2025'!$B:$B,$A312,'Source 2025'!$A:$A,"Quantity (units)")+SUMIFS('Source 2025'!$G:$G,'Source 2025'!$B:$B,$A312,'Source 2025'!$A:$A,"Quantity (units)")+SUMIFS('Source 2025'!$J:$J,'Source 2025'!$B:$B,$A312,'Source 2025'!$A:$A,"Quantity (units)")+SUMIFS('Source 2025'!$M:$M,'Source 2025'!$B:$B,$A312,'Source 2025'!$A:$A,"Quantity (units)")</f>
        <v>2</v>
      </c>
      <c r="D312" s="8" t="n">
        <f aca="false">SUMIFS('Source 2026'!$D:$D,'Source 2026'!$B:$B,$A312,'Source 2026'!$A:$A,"Quantity (units)")+SUMIFS('Source 2026'!$E:$E,'Source 2026'!$B:$B,$A312,'Source 2026'!$A:$A,"Quantity (units)")+SUMIFS('Source 2026'!$F:$F,'Source 2026'!$B:$B,$A312,'Source 2026'!$A:$A,"Quantity (units)")+SUMIFS('Source 2026'!$G:$G,'Source 2026'!$B:$B,$A312,'Source 2026'!$A:$A,"Quantity (units)")+SUMIFS('Source 2026'!$J:$J,'Source 2026'!$B:$B,$A312,'Source 2026'!$A:$A,"Quantity (units)")+SUMIFS('Source 2026'!$M:$M,'Source 2026'!$B:$B,$A312,'Source 2026'!$A:$A,"Quantity (units)")</f>
        <v>0</v>
      </c>
      <c r="E312" s="8" t="n">
        <f aca="false">D312*$J$5</f>
        <v>0</v>
      </c>
      <c r="F312" s="8" t="n">
        <f aca="false">E312-C312</f>
        <v>-2</v>
      </c>
      <c r="G312" s="9" t="n">
        <f aca="false">IF(AND(C312=0,E312=0),0,IF(C312=0,"New",(E312-C312)/C312))</f>
        <v>-1</v>
      </c>
      <c r="H312" s="8" t="n">
        <f aca="false">SUMIFS('Source 2025'!$D:$D,'Source 2025'!$B:$B,$A312,'Source 2025'!$A:$A,"Amount (NIS)")+SUMIFS('Source 2025'!$E:$E,'Source 2025'!$B:$B,$A312,'Source 2025'!$A:$A,"Amount (NIS)")+SUMIFS('Source 2025'!$F:$F,'Source 2025'!$B:$B,$A312,'Source 2025'!$A:$A,"Amount (NIS)")+SUMIFS('Source 2025'!$G:$G,'Source 2025'!$B:$B,$A312,'Source 2025'!$A:$A,"Amount (NIS)")+SUMIFS('Source 2025'!$J:$J,'Source 2025'!$B:$B,$A312,'Source 2025'!$A:$A,"Amount (NIS)")+SUMIFS('Source 2025'!$M:$M,'Source 2025'!$B:$B,$A312,'Source 2025'!$A:$A,"Amount (NIS)")</f>
        <v>409.4</v>
      </c>
      <c r="I312" s="8" t="n">
        <f aca="false">SUMIFS('Source 2026'!$D:$D,'Source 2026'!$B:$B,$A312,'Source 2026'!$A:$A,"Amount (NIS)")+SUMIFS('Source 2026'!$E:$E,'Source 2026'!$B:$B,$A312,'Source 2026'!$A:$A,"Amount (NIS)")+SUMIFS('Source 2026'!$F:$F,'Source 2026'!$B:$B,$A312,'Source 2026'!$A:$A,"Amount (NIS)")+SUMIFS('Source 2026'!$G:$G,'Source 2026'!$B:$B,$A312,'Source 2026'!$A:$A,"Amount (NIS)")+SUMIFS('Source 2026'!$J:$J,'Source 2026'!$B:$B,$A312,'Source 2026'!$A:$A,"Amount (NIS)")+SUMIFS('Source 2026'!$M:$M,'Source 2026'!$B:$B,$A312,'Source 2026'!$A:$A,"Amount (NIS)")</f>
        <v>0</v>
      </c>
      <c r="J312" s="8" t="n">
        <f aca="false">I312*$J$5</f>
        <v>0</v>
      </c>
      <c r="K312" s="8" t="n">
        <f aca="false">J312-H312</f>
        <v>-409.4</v>
      </c>
      <c r="L312" s="9" t="n">
        <f aca="false">IF(AND(H312=0,J312=0),0,IF(H312=0,"New",(J312-H312)/H312))</f>
        <v>-1</v>
      </c>
    </row>
    <row r="313" customFormat="false" ht="15" hidden="false" customHeight="false" outlineLevel="0" collapsed="false">
      <c r="A313" s="7" t="n">
        <v>4403004</v>
      </c>
      <c r="B313" s="7" t="str">
        <f aca="false">IFERROR(INDEX('Source 2026'!$C:$C,MATCH($A313,'Source 2026'!$B:$B,0)),IFERROR(INDEX('Source 2025'!$C:$C,MATCH($A313,'Source 2025'!$B:$B,0)),""))</f>
        <v>390G 39-42.גרב.כסף לסכרתיים אפ</v>
      </c>
      <c r="C313" s="8" t="n">
        <f aca="false">SUMIFS('Source 2025'!$D:$D,'Source 2025'!$B:$B,$A313,'Source 2025'!$A:$A,"Quantity (units)")+SUMIFS('Source 2025'!$E:$E,'Source 2025'!$B:$B,$A313,'Source 2025'!$A:$A,"Quantity (units)")+SUMIFS('Source 2025'!$F:$F,'Source 2025'!$B:$B,$A313,'Source 2025'!$A:$A,"Quantity (units)")+SUMIFS('Source 2025'!$G:$G,'Source 2025'!$B:$B,$A313,'Source 2025'!$A:$A,"Quantity (units)")+SUMIFS('Source 2025'!$J:$J,'Source 2025'!$B:$B,$A313,'Source 2025'!$A:$A,"Quantity (units)")+SUMIFS('Source 2025'!$M:$M,'Source 2025'!$B:$B,$A313,'Source 2025'!$A:$A,"Quantity (units)")</f>
        <v>16</v>
      </c>
      <c r="D313" s="8" t="n">
        <f aca="false">SUMIFS('Source 2026'!$D:$D,'Source 2026'!$B:$B,$A313,'Source 2026'!$A:$A,"Quantity (units)")+SUMIFS('Source 2026'!$E:$E,'Source 2026'!$B:$B,$A313,'Source 2026'!$A:$A,"Quantity (units)")+SUMIFS('Source 2026'!$F:$F,'Source 2026'!$B:$B,$A313,'Source 2026'!$A:$A,"Quantity (units)")+SUMIFS('Source 2026'!$G:$G,'Source 2026'!$B:$B,$A313,'Source 2026'!$A:$A,"Quantity (units)")+SUMIFS('Source 2026'!$J:$J,'Source 2026'!$B:$B,$A313,'Source 2026'!$A:$A,"Quantity (units)")+SUMIFS('Source 2026'!$M:$M,'Source 2026'!$B:$B,$A313,'Source 2026'!$A:$A,"Quantity (units)")</f>
        <v>4</v>
      </c>
      <c r="E313" s="8" t="n">
        <f aca="false">D313*$J$5</f>
        <v>5.48571428571429</v>
      </c>
      <c r="F313" s="8" t="n">
        <f aca="false">E313-C313</f>
        <v>-10.5142857142857</v>
      </c>
      <c r="G313" s="9" t="n">
        <f aca="false">IF(AND(C313=0,E313=0),0,IF(C313=0,"New",(E313-C313)/C313))</f>
        <v>-0.657142857142857</v>
      </c>
      <c r="H313" s="8" t="n">
        <f aca="false">SUMIFS('Source 2025'!$D:$D,'Source 2025'!$B:$B,$A313,'Source 2025'!$A:$A,"Amount (NIS)")+SUMIFS('Source 2025'!$E:$E,'Source 2025'!$B:$B,$A313,'Source 2025'!$A:$A,"Amount (NIS)")+SUMIFS('Source 2025'!$F:$F,'Source 2025'!$B:$B,$A313,'Source 2025'!$A:$A,"Amount (NIS)")+SUMIFS('Source 2025'!$G:$G,'Source 2025'!$B:$B,$A313,'Source 2025'!$A:$A,"Amount (NIS)")+SUMIFS('Source 2025'!$J:$J,'Source 2025'!$B:$B,$A313,'Source 2025'!$A:$A,"Amount (NIS)")+SUMIFS('Source 2025'!$M:$M,'Source 2025'!$B:$B,$A313,'Source 2025'!$A:$A,"Amount (NIS)")</f>
        <v>549.5</v>
      </c>
      <c r="I313" s="8" t="n">
        <f aca="false">SUMIFS('Source 2026'!$D:$D,'Source 2026'!$B:$B,$A313,'Source 2026'!$A:$A,"Amount (NIS)")+SUMIFS('Source 2026'!$E:$E,'Source 2026'!$B:$B,$A313,'Source 2026'!$A:$A,"Amount (NIS)")+SUMIFS('Source 2026'!$F:$F,'Source 2026'!$B:$B,$A313,'Source 2026'!$A:$A,"Amount (NIS)")+SUMIFS('Source 2026'!$G:$G,'Source 2026'!$B:$B,$A313,'Source 2026'!$A:$A,"Amount (NIS)")+SUMIFS('Source 2026'!$J:$J,'Source 2026'!$B:$B,$A313,'Source 2026'!$A:$A,"Amount (NIS)")+SUMIFS('Source 2026'!$M:$M,'Source 2026'!$B:$B,$A313,'Source 2026'!$A:$A,"Amount (NIS)")</f>
        <v>140.4</v>
      </c>
      <c r="J313" s="8" t="n">
        <f aca="false">I313*$J$5</f>
        <v>192.548571428571</v>
      </c>
      <c r="K313" s="8" t="n">
        <f aca="false">J313-H313</f>
        <v>-356.951428571429</v>
      </c>
      <c r="L313" s="9" t="n">
        <f aca="false">IF(AND(H313=0,J313=0),0,IF(H313=0,"New",(J313-H313)/H313))</f>
        <v>-0.649593136617704</v>
      </c>
    </row>
    <row r="314" customFormat="false" ht="15" hidden="false" customHeight="false" outlineLevel="0" collapsed="false">
      <c r="A314" s="7" t="n">
        <v>4413179</v>
      </c>
      <c r="B314" s="7" t="str">
        <f aca="false">IFERROR(INDEX('Source 2026'!$C:$C,MATCH($A314,'Source 2026'!$B:$B,0)),IFERROR(INDEX('Source 2025'!$C:$C,MATCH($A314,'Source 2025'!$B:$B,0)),""))</f>
        <v>T39  M מגן שוק</v>
      </c>
      <c r="C314" s="8" t="n">
        <f aca="false">SUMIFS('Source 2025'!$D:$D,'Source 2025'!$B:$B,$A314,'Source 2025'!$A:$A,"Quantity (units)")+SUMIFS('Source 2025'!$E:$E,'Source 2025'!$B:$B,$A314,'Source 2025'!$A:$A,"Quantity (units)")+SUMIFS('Source 2025'!$F:$F,'Source 2025'!$B:$B,$A314,'Source 2025'!$A:$A,"Quantity (units)")+SUMIFS('Source 2025'!$G:$G,'Source 2025'!$B:$B,$A314,'Source 2025'!$A:$A,"Quantity (units)")+SUMIFS('Source 2025'!$J:$J,'Source 2025'!$B:$B,$A314,'Source 2025'!$A:$A,"Quantity (units)")+SUMIFS('Source 2025'!$M:$M,'Source 2025'!$B:$B,$A314,'Source 2025'!$A:$A,"Quantity (units)")</f>
        <v>4</v>
      </c>
      <c r="D314" s="8" t="n">
        <f aca="false">SUMIFS('Source 2026'!$D:$D,'Source 2026'!$B:$B,$A314,'Source 2026'!$A:$A,"Quantity (units)")+SUMIFS('Source 2026'!$E:$E,'Source 2026'!$B:$B,$A314,'Source 2026'!$A:$A,"Quantity (units)")+SUMIFS('Source 2026'!$F:$F,'Source 2026'!$B:$B,$A314,'Source 2026'!$A:$A,"Quantity (units)")+SUMIFS('Source 2026'!$G:$G,'Source 2026'!$B:$B,$A314,'Source 2026'!$A:$A,"Quantity (units)")+SUMIFS('Source 2026'!$J:$J,'Source 2026'!$B:$B,$A314,'Source 2026'!$A:$A,"Quantity (units)")+SUMIFS('Source 2026'!$M:$M,'Source 2026'!$B:$B,$A314,'Source 2026'!$A:$A,"Quantity (units)")</f>
        <v>0</v>
      </c>
      <c r="E314" s="8" t="n">
        <f aca="false">D314*$J$5</f>
        <v>0</v>
      </c>
      <c r="F314" s="8" t="n">
        <f aca="false">E314-C314</f>
        <v>-4</v>
      </c>
      <c r="G314" s="9" t="n">
        <f aca="false">IF(AND(C314=0,E314=0),0,IF(C314=0,"New",(E314-C314)/C314))</f>
        <v>-1</v>
      </c>
      <c r="H314" s="8" t="n">
        <f aca="false">SUMIFS('Source 2025'!$D:$D,'Source 2025'!$B:$B,$A314,'Source 2025'!$A:$A,"Amount (NIS)")+SUMIFS('Source 2025'!$E:$E,'Source 2025'!$B:$B,$A314,'Source 2025'!$A:$A,"Amount (NIS)")+SUMIFS('Source 2025'!$F:$F,'Source 2025'!$B:$B,$A314,'Source 2025'!$A:$A,"Amount (NIS)")+SUMIFS('Source 2025'!$G:$G,'Source 2025'!$B:$B,$A314,'Source 2025'!$A:$A,"Amount (NIS)")+SUMIFS('Source 2025'!$J:$J,'Source 2025'!$B:$B,$A314,'Source 2025'!$A:$A,"Amount (NIS)")+SUMIFS('Source 2025'!$M:$M,'Source 2025'!$B:$B,$A314,'Source 2025'!$A:$A,"Amount (NIS)")</f>
        <v>402.3</v>
      </c>
      <c r="I314" s="8" t="n">
        <f aca="false">SUMIFS('Source 2026'!$D:$D,'Source 2026'!$B:$B,$A314,'Source 2026'!$A:$A,"Amount (NIS)")+SUMIFS('Source 2026'!$E:$E,'Source 2026'!$B:$B,$A314,'Source 2026'!$A:$A,"Amount (NIS)")+SUMIFS('Source 2026'!$F:$F,'Source 2026'!$B:$B,$A314,'Source 2026'!$A:$A,"Amount (NIS)")+SUMIFS('Source 2026'!$G:$G,'Source 2026'!$B:$B,$A314,'Source 2026'!$A:$A,"Amount (NIS)")+SUMIFS('Source 2026'!$J:$J,'Source 2026'!$B:$B,$A314,'Source 2026'!$A:$A,"Amount (NIS)")+SUMIFS('Source 2026'!$M:$M,'Source 2026'!$B:$B,$A314,'Source 2026'!$A:$A,"Amount (NIS)")</f>
        <v>0</v>
      </c>
      <c r="J314" s="8" t="n">
        <f aca="false">I314*$J$5</f>
        <v>0</v>
      </c>
      <c r="K314" s="8" t="n">
        <f aca="false">J314-H314</f>
        <v>-402.3</v>
      </c>
      <c r="L314" s="9" t="n">
        <f aca="false">IF(AND(H314=0,J314=0),0,IF(H314=0,"New",(J314-H314)/H314))</f>
        <v>-1</v>
      </c>
    </row>
    <row r="315" customFormat="false" ht="15" hidden="false" customHeight="false" outlineLevel="0" collapsed="false">
      <c r="A315" s="7" t="n">
        <v>4408114</v>
      </c>
      <c r="B315" s="7" t="str">
        <f aca="false">IFERROR(INDEX('Source 2026'!$C:$C,MATCH($A315,'Source 2026'!$B:$B,0)),IFERROR(INDEX('Source 2025'!$C:$C,MATCH($A315,'Source 2025'!$B:$B,0)),""))</f>
        <v>11EU M ח.בטן לאחר ניתוח</v>
      </c>
      <c r="C315" s="8" t="n">
        <f aca="false">SUMIFS('Source 2025'!$D:$D,'Source 2025'!$B:$B,$A315,'Source 2025'!$A:$A,"Quantity (units)")+SUMIFS('Source 2025'!$E:$E,'Source 2025'!$B:$B,$A315,'Source 2025'!$A:$A,"Quantity (units)")+SUMIFS('Source 2025'!$F:$F,'Source 2025'!$B:$B,$A315,'Source 2025'!$A:$A,"Quantity (units)")+SUMIFS('Source 2025'!$G:$G,'Source 2025'!$B:$B,$A315,'Source 2025'!$A:$A,"Quantity (units)")+SUMIFS('Source 2025'!$J:$J,'Source 2025'!$B:$B,$A315,'Source 2025'!$A:$A,"Quantity (units)")+SUMIFS('Source 2025'!$M:$M,'Source 2025'!$B:$B,$A315,'Source 2025'!$A:$A,"Quantity (units)")</f>
        <v>10</v>
      </c>
      <c r="D315" s="8" t="n">
        <f aca="false">SUMIFS('Source 2026'!$D:$D,'Source 2026'!$B:$B,$A315,'Source 2026'!$A:$A,"Quantity (units)")+SUMIFS('Source 2026'!$E:$E,'Source 2026'!$B:$B,$A315,'Source 2026'!$A:$A,"Quantity (units)")+SUMIFS('Source 2026'!$F:$F,'Source 2026'!$B:$B,$A315,'Source 2026'!$A:$A,"Quantity (units)")+SUMIFS('Source 2026'!$G:$G,'Source 2026'!$B:$B,$A315,'Source 2026'!$A:$A,"Quantity (units)")+SUMIFS('Source 2026'!$J:$J,'Source 2026'!$B:$B,$A315,'Source 2026'!$A:$A,"Quantity (units)")+SUMIFS('Source 2026'!$M:$M,'Source 2026'!$B:$B,$A315,'Source 2026'!$A:$A,"Quantity (units)")</f>
        <v>6</v>
      </c>
      <c r="E315" s="8" t="n">
        <f aca="false">D315*$J$5</f>
        <v>8.22857142857143</v>
      </c>
      <c r="F315" s="8" t="n">
        <f aca="false">E315-C315</f>
        <v>-1.77142857142857</v>
      </c>
      <c r="G315" s="9" t="n">
        <f aca="false">IF(AND(C315=0,E315=0),0,IF(C315=0,"New",(E315-C315)/C315))</f>
        <v>-0.177142857142857</v>
      </c>
      <c r="H315" s="8" t="n">
        <f aca="false">SUMIFS('Source 2025'!$D:$D,'Source 2025'!$B:$B,$A315,'Source 2025'!$A:$A,"Amount (NIS)")+SUMIFS('Source 2025'!$E:$E,'Source 2025'!$B:$B,$A315,'Source 2025'!$A:$A,"Amount (NIS)")+SUMIFS('Source 2025'!$F:$F,'Source 2025'!$B:$B,$A315,'Source 2025'!$A:$A,"Amount (NIS)")+SUMIFS('Source 2025'!$G:$G,'Source 2025'!$B:$B,$A315,'Source 2025'!$A:$A,"Amount (NIS)")+SUMIFS('Source 2025'!$J:$J,'Source 2025'!$B:$B,$A315,'Source 2025'!$A:$A,"Amount (NIS)")+SUMIFS('Source 2025'!$M:$M,'Source 2025'!$B:$B,$A315,'Source 2025'!$A:$A,"Amount (NIS)")</f>
        <v>1052.8</v>
      </c>
      <c r="I315" s="8" t="n">
        <f aca="false">SUMIFS('Source 2026'!$D:$D,'Source 2026'!$B:$B,$A315,'Source 2026'!$A:$A,"Amount (NIS)")+SUMIFS('Source 2026'!$E:$E,'Source 2026'!$B:$B,$A315,'Source 2026'!$A:$A,"Amount (NIS)")+SUMIFS('Source 2026'!$F:$F,'Source 2026'!$B:$B,$A315,'Source 2026'!$A:$A,"Amount (NIS)")+SUMIFS('Source 2026'!$G:$G,'Source 2026'!$B:$B,$A315,'Source 2026'!$A:$A,"Amount (NIS)")+SUMIFS('Source 2026'!$J:$J,'Source 2026'!$B:$B,$A315,'Source 2026'!$A:$A,"Amount (NIS)")+SUMIFS('Source 2026'!$M:$M,'Source 2026'!$B:$B,$A315,'Source 2026'!$A:$A,"Amount (NIS)")</f>
        <v>660.6</v>
      </c>
      <c r="J315" s="8" t="n">
        <f aca="false">I315*$J$5</f>
        <v>905.965714285714</v>
      </c>
      <c r="K315" s="8" t="n">
        <f aca="false">J315-H315</f>
        <v>-146.834285714286</v>
      </c>
      <c r="L315" s="9" t="n">
        <f aca="false">IF(AND(H315=0,J315=0),0,IF(H315=0,"New",(J315-H315)/H315))</f>
        <v>-0.139470256187581</v>
      </c>
    </row>
    <row r="316" customFormat="false" ht="15" hidden="false" customHeight="false" outlineLevel="0" collapsed="false">
      <c r="A316" s="7" t="n">
        <v>4413000</v>
      </c>
      <c r="B316" s="7" t="str">
        <f aca="false">IFERROR(INDEX('Source 2026'!$C:$C,MATCH($A316,'Source 2026'!$B:$B,0)),IFERROR(INDEX('Source 2025'!$C:$C,MATCH($A316,'Source 2025'!$B:$B,0)),""))</f>
        <v>30 S מגן קרסול מתכוון עם סקוטש</v>
      </c>
      <c r="C316" s="8" t="n">
        <f aca="false">SUMIFS('Source 2025'!$D:$D,'Source 2025'!$B:$B,$A316,'Source 2025'!$A:$A,"Quantity (units)")+SUMIFS('Source 2025'!$E:$E,'Source 2025'!$B:$B,$A316,'Source 2025'!$A:$A,"Quantity (units)")+SUMIFS('Source 2025'!$F:$F,'Source 2025'!$B:$B,$A316,'Source 2025'!$A:$A,"Quantity (units)")+SUMIFS('Source 2025'!$G:$G,'Source 2025'!$B:$B,$A316,'Source 2025'!$A:$A,"Quantity (units)")+SUMIFS('Source 2025'!$J:$J,'Source 2025'!$B:$B,$A316,'Source 2025'!$A:$A,"Quantity (units)")+SUMIFS('Source 2025'!$M:$M,'Source 2025'!$B:$B,$A316,'Source 2025'!$A:$A,"Quantity (units)")</f>
        <v>6</v>
      </c>
      <c r="D316" s="8" t="n">
        <f aca="false">SUMIFS('Source 2026'!$D:$D,'Source 2026'!$B:$B,$A316,'Source 2026'!$A:$A,"Quantity (units)")+SUMIFS('Source 2026'!$E:$E,'Source 2026'!$B:$B,$A316,'Source 2026'!$A:$A,"Quantity (units)")+SUMIFS('Source 2026'!$F:$F,'Source 2026'!$B:$B,$A316,'Source 2026'!$A:$A,"Quantity (units)")+SUMIFS('Source 2026'!$G:$G,'Source 2026'!$B:$B,$A316,'Source 2026'!$A:$A,"Quantity (units)")+SUMIFS('Source 2026'!$J:$J,'Source 2026'!$B:$B,$A316,'Source 2026'!$A:$A,"Quantity (units)")+SUMIFS('Source 2026'!$M:$M,'Source 2026'!$B:$B,$A316,'Source 2026'!$A:$A,"Quantity (units)")</f>
        <v>0</v>
      </c>
      <c r="E316" s="8" t="n">
        <f aca="false">D316*$J$5</f>
        <v>0</v>
      </c>
      <c r="F316" s="8" t="n">
        <f aca="false">E316-C316</f>
        <v>-6</v>
      </c>
      <c r="G316" s="9" t="n">
        <f aca="false">IF(AND(C316=0,E316=0),0,IF(C316=0,"New",(E316-C316)/C316))</f>
        <v>-1</v>
      </c>
      <c r="H316" s="8" t="n">
        <f aca="false">SUMIFS('Source 2025'!$D:$D,'Source 2025'!$B:$B,$A316,'Source 2025'!$A:$A,"Amount (NIS)")+SUMIFS('Source 2025'!$E:$E,'Source 2025'!$B:$B,$A316,'Source 2025'!$A:$A,"Amount (NIS)")+SUMIFS('Source 2025'!$F:$F,'Source 2025'!$B:$B,$A316,'Source 2025'!$A:$A,"Amount (NIS)")+SUMIFS('Source 2025'!$G:$G,'Source 2025'!$B:$B,$A316,'Source 2025'!$A:$A,"Amount (NIS)")+SUMIFS('Source 2025'!$J:$J,'Source 2025'!$B:$B,$A316,'Source 2025'!$A:$A,"Amount (NIS)")+SUMIFS('Source 2025'!$M:$M,'Source 2025'!$B:$B,$A316,'Source 2025'!$A:$A,"Amount (NIS)")</f>
        <v>388.7</v>
      </c>
      <c r="I316" s="8" t="n">
        <f aca="false">SUMIFS('Source 2026'!$D:$D,'Source 2026'!$B:$B,$A316,'Source 2026'!$A:$A,"Amount (NIS)")+SUMIFS('Source 2026'!$E:$E,'Source 2026'!$B:$B,$A316,'Source 2026'!$A:$A,"Amount (NIS)")+SUMIFS('Source 2026'!$F:$F,'Source 2026'!$B:$B,$A316,'Source 2026'!$A:$A,"Amount (NIS)")+SUMIFS('Source 2026'!$G:$G,'Source 2026'!$B:$B,$A316,'Source 2026'!$A:$A,"Amount (NIS)")+SUMIFS('Source 2026'!$J:$J,'Source 2026'!$B:$B,$A316,'Source 2026'!$A:$A,"Amount (NIS)")+SUMIFS('Source 2026'!$M:$M,'Source 2026'!$B:$B,$A316,'Source 2026'!$A:$A,"Amount (NIS)")</f>
        <v>0</v>
      </c>
      <c r="J316" s="8" t="n">
        <f aca="false">I316*$J$5</f>
        <v>0</v>
      </c>
      <c r="K316" s="8" t="n">
        <f aca="false">J316-H316</f>
        <v>-388.7</v>
      </c>
      <c r="L316" s="9" t="n">
        <f aca="false">IF(AND(H316=0,J316=0),0,IF(H316=0,"New",(J316-H316)/H316))</f>
        <v>-1</v>
      </c>
    </row>
    <row r="317" customFormat="false" ht="15" hidden="false" customHeight="false" outlineLevel="0" collapsed="false">
      <c r="A317" s="7" t="n">
        <v>4415019</v>
      </c>
      <c r="B317" s="7" t="str">
        <f aca="false">IFERROR(INDEX('Source 2026'!$C:$C,MATCH($A317,'Source 2026'!$B:$B,0)),IFERROR(INDEX('Source 2025'!$C:$C,MATCH($A317,'Source 2025'!$B:$B,0)),""))</f>
        <v>333 סד לקרסול עם כריות אויר</v>
      </c>
      <c r="C317" s="8" t="n">
        <f aca="false">SUMIFS('Source 2025'!$D:$D,'Source 2025'!$B:$B,$A317,'Source 2025'!$A:$A,"Quantity (units)")+SUMIFS('Source 2025'!$E:$E,'Source 2025'!$B:$B,$A317,'Source 2025'!$A:$A,"Quantity (units)")+SUMIFS('Source 2025'!$F:$F,'Source 2025'!$B:$B,$A317,'Source 2025'!$A:$A,"Quantity (units)")+SUMIFS('Source 2025'!$G:$G,'Source 2025'!$B:$B,$A317,'Source 2025'!$A:$A,"Quantity (units)")+SUMIFS('Source 2025'!$J:$J,'Source 2025'!$B:$B,$A317,'Source 2025'!$A:$A,"Quantity (units)")+SUMIFS('Source 2025'!$M:$M,'Source 2025'!$B:$B,$A317,'Source 2025'!$A:$A,"Quantity (units)")</f>
        <v>10</v>
      </c>
      <c r="D317" s="8" t="n">
        <f aca="false">SUMIFS('Source 2026'!$D:$D,'Source 2026'!$B:$B,$A317,'Source 2026'!$A:$A,"Quantity (units)")+SUMIFS('Source 2026'!$E:$E,'Source 2026'!$B:$B,$A317,'Source 2026'!$A:$A,"Quantity (units)")+SUMIFS('Source 2026'!$F:$F,'Source 2026'!$B:$B,$A317,'Source 2026'!$A:$A,"Quantity (units)")+SUMIFS('Source 2026'!$G:$G,'Source 2026'!$B:$B,$A317,'Source 2026'!$A:$A,"Quantity (units)")+SUMIFS('Source 2026'!$J:$J,'Source 2026'!$B:$B,$A317,'Source 2026'!$A:$A,"Quantity (units)")+SUMIFS('Source 2026'!$M:$M,'Source 2026'!$B:$B,$A317,'Source 2026'!$A:$A,"Quantity (units)")</f>
        <v>7</v>
      </c>
      <c r="E317" s="8" t="n">
        <f aca="false">D317*$J$5</f>
        <v>9.6</v>
      </c>
      <c r="F317" s="8" t="n">
        <f aca="false">E317-C317</f>
        <v>-0.4</v>
      </c>
      <c r="G317" s="9" t="n">
        <f aca="false">IF(AND(C317=0,E317=0),0,IF(C317=0,"New",(E317-C317)/C317))</f>
        <v>-0.04</v>
      </c>
      <c r="H317" s="8" t="n">
        <f aca="false">SUMIFS('Source 2025'!$D:$D,'Source 2025'!$B:$B,$A317,'Source 2025'!$A:$A,"Amount (NIS)")+SUMIFS('Source 2025'!$E:$E,'Source 2025'!$B:$B,$A317,'Source 2025'!$A:$A,"Amount (NIS)")+SUMIFS('Source 2025'!$F:$F,'Source 2025'!$B:$B,$A317,'Source 2025'!$A:$A,"Amount (NIS)")+SUMIFS('Source 2025'!$G:$G,'Source 2025'!$B:$B,$A317,'Source 2025'!$A:$A,"Amount (NIS)")+SUMIFS('Source 2025'!$J:$J,'Source 2025'!$B:$B,$A317,'Source 2025'!$A:$A,"Amount (NIS)")+SUMIFS('Source 2025'!$M:$M,'Source 2025'!$B:$B,$A317,'Source 2025'!$A:$A,"Amount (NIS)")</f>
        <v>1362.8</v>
      </c>
      <c r="I317" s="8" t="n">
        <f aca="false">SUMIFS('Source 2026'!$D:$D,'Source 2026'!$B:$B,$A317,'Source 2026'!$A:$A,"Amount (NIS)")+SUMIFS('Source 2026'!$E:$E,'Source 2026'!$B:$B,$A317,'Source 2026'!$A:$A,"Amount (NIS)")+SUMIFS('Source 2026'!$F:$F,'Source 2026'!$B:$B,$A317,'Source 2026'!$A:$A,"Amount (NIS)")+SUMIFS('Source 2026'!$G:$G,'Source 2026'!$B:$B,$A317,'Source 2026'!$A:$A,"Amount (NIS)")+SUMIFS('Source 2026'!$J:$J,'Source 2026'!$B:$B,$A317,'Source 2026'!$A:$A,"Amount (NIS)")+SUMIFS('Source 2026'!$M:$M,'Source 2026'!$B:$B,$A317,'Source 2026'!$A:$A,"Amount (NIS)")</f>
        <v>974.9</v>
      </c>
      <c r="J317" s="8" t="n">
        <f aca="false">I317*$J$5</f>
        <v>1337.00571428571</v>
      </c>
      <c r="K317" s="8" t="n">
        <f aca="false">J317-H317</f>
        <v>-25.7942857142857</v>
      </c>
      <c r="L317" s="9" t="n">
        <f aca="false">IF(AND(H317=0,J317=0),0,IF(H317=0,"New",(J317-H317)/H317))</f>
        <v>-0.0189274183403916</v>
      </c>
    </row>
    <row r="318" customFormat="false" ht="15" hidden="false" customHeight="false" outlineLevel="0" collapsed="false">
      <c r="A318" s="7" t="n">
        <v>4413417</v>
      </c>
      <c r="B318" s="7" t="str">
        <f aca="false">IFERROR(INDEX('Source 2026'!$C:$C,MATCH($A318,'Source 2026'!$B:$B,0)),IFERROR(INDEX('Source 2025'!$C:$C,MATCH($A318,'Source 2025'!$B:$B,0)),""))</f>
        <v>SC39  L מגן שוק</v>
      </c>
      <c r="C318" s="8" t="n">
        <f aca="false">SUMIFS('Source 2025'!$D:$D,'Source 2025'!$B:$B,$A318,'Source 2025'!$A:$A,"Quantity (units)")+SUMIFS('Source 2025'!$E:$E,'Source 2025'!$B:$B,$A318,'Source 2025'!$A:$A,"Quantity (units)")+SUMIFS('Source 2025'!$F:$F,'Source 2025'!$B:$B,$A318,'Source 2025'!$A:$A,"Quantity (units)")+SUMIFS('Source 2025'!$G:$G,'Source 2025'!$B:$B,$A318,'Source 2025'!$A:$A,"Quantity (units)")+SUMIFS('Source 2025'!$J:$J,'Source 2025'!$B:$B,$A318,'Source 2025'!$A:$A,"Quantity (units)")+SUMIFS('Source 2025'!$M:$M,'Source 2025'!$B:$B,$A318,'Source 2025'!$A:$A,"Quantity (units)")</f>
        <v>2</v>
      </c>
      <c r="D318" s="8" t="n">
        <f aca="false">SUMIFS('Source 2026'!$D:$D,'Source 2026'!$B:$B,$A318,'Source 2026'!$A:$A,"Quantity (units)")+SUMIFS('Source 2026'!$E:$E,'Source 2026'!$B:$B,$A318,'Source 2026'!$A:$A,"Quantity (units)")+SUMIFS('Source 2026'!$F:$F,'Source 2026'!$B:$B,$A318,'Source 2026'!$A:$A,"Quantity (units)")+SUMIFS('Source 2026'!$G:$G,'Source 2026'!$B:$B,$A318,'Source 2026'!$A:$A,"Quantity (units)")+SUMIFS('Source 2026'!$J:$J,'Source 2026'!$B:$B,$A318,'Source 2026'!$A:$A,"Quantity (units)")+SUMIFS('Source 2026'!$M:$M,'Source 2026'!$B:$B,$A318,'Source 2026'!$A:$A,"Quantity (units)")</f>
        <v>4</v>
      </c>
      <c r="E318" s="8" t="n">
        <f aca="false">D318*$J$5</f>
        <v>5.48571428571429</v>
      </c>
      <c r="F318" s="8" t="n">
        <f aca="false">E318-C318</f>
        <v>3.48571428571429</v>
      </c>
      <c r="G318" s="9" t="n">
        <f aca="false">IF(AND(C318=0,E318=0),0,IF(C318=0,"New",(E318-C318)/C318))</f>
        <v>1.74285714285714</v>
      </c>
      <c r="H318" s="8" t="n">
        <f aca="false">SUMIFS('Source 2025'!$D:$D,'Source 2025'!$B:$B,$A318,'Source 2025'!$A:$A,"Amount (NIS)")+SUMIFS('Source 2025'!$E:$E,'Source 2025'!$B:$B,$A318,'Source 2025'!$A:$A,"Amount (NIS)")+SUMIFS('Source 2025'!$F:$F,'Source 2025'!$B:$B,$A318,'Source 2025'!$A:$A,"Amount (NIS)")+SUMIFS('Source 2025'!$G:$G,'Source 2025'!$B:$B,$A318,'Source 2025'!$A:$A,"Amount (NIS)")+SUMIFS('Source 2025'!$J:$J,'Source 2025'!$B:$B,$A318,'Source 2025'!$A:$A,"Amount (NIS)")+SUMIFS('Source 2025'!$M:$M,'Source 2025'!$B:$B,$A318,'Source 2025'!$A:$A,"Amount (NIS)")</f>
        <v>290.5</v>
      </c>
      <c r="I318" s="8" t="n">
        <f aca="false">SUMIFS('Source 2026'!$D:$D,'Source 2026'!$B:$B,$A318,'Source 2026'!$A:$A,"Amount (NIS)")+SUMIFS('Source 2026'!$E:$E,'Source 2026'!$B:$B,$A318,'Source 2026'!$A:$A,"Amount (NIS)")+SUMIFS('Source 2026'!$F:$F,'Source 2026'!$B:$B,$A318,'Source 2026'!$A:$A,"Amount (NIS)")+SUMIFS('Source 2026'!$G:$G,'Source 2026'!$B:$B,$A318,'Source 2026'!$A:$A,"Amount (NIS)")+SUMIFS('Source 2026'!$J:$J,'Source 2026'!$B:$B,$A318,'Source 2026'!$A:$A,"Amount (NIS)")+SUMIFS('Source 2026'!$M:$M,'Source 2026'!$B:$B,$A318,'Source 2026'!$A:$A,"Amount (NIS)")</f>
        <v>678.3</v>
      </c>
      <c r="J318" s="8" t="n">
        <f aca="false">I318*$J$5</f>
        <v>930.24</v>
      </c>
      <c r="K318" s="8" t="n">
        <f aca="false">J318-H318</f>
        <v>639.74</v>
      </c>
      <c r="L318" s="9" t="n">
        <f aca="false">IF(AND(H318=0,J318=0),0,IF(H318=0,"New",(J318-H318)/H318))</f>
        <v>2.20220309810671</v>
      </c>
    </row>
    <row r="319" customFormat="false" ht="15" hidden="false" customHeight="false" outlineLevel="0" collapsed="false">
      <c r="A319" s="7" t="n">
        <v>4408153</v>
      </c>
      <c r="B319" s="7" t="str">
        <f aca="false">IFERROR(INDEX('Source 2026'!$C:$C,MATCH($A319,'Source 2026'!$B:$B,0)),IFERROR(INDEX('Source 2025'!$C:$C,MATCH($A319,'Source 2025'!$B:$B,0)),""))</f>
        <v>11TO XLחגורה למנותחי בית החזה</v>
      </c>
      <c r="C319" s="8" t="n">
        <f aca="false">SUMIFS('Source 2025'!$D:$D,'Source 2025'!$B:$B,$A319,'Source 2025'!$A:$A,"Quantity (units)")+SUMIFS('Source 2025'!$E:$E,'Source 2025'!$B:$B,$A319,'Source 2025'!$A:$A,"Quantity (units)")+SUMIFS('Source 2025'!$F:$F,'Source 2025'!$B:$B,$A319,'Source 2025'!$A:$A,"Quantity (units)")+SUMIFS('Source 2025'!$G:$G,'Source 2025'!$B:$B,$A319,'Source 2025'!$A:$A,"Quantity (units)")+SUMIFS('Source 2025'!$J:$J,'Source 2025'!$B:$B,$A319,'Source 2025'!$A:$A,"Quantity (units)")+SUMIFS('Source 2025'!$M:$M,'Source 2025'!$B:$B,$A319,'Source 2025'!$A:$A,"Quantity (units)")</f>
        <v>14</v>
      </c>
      <c r="D319" s="8" t="n">
        <f aca="false">SUMIFS('Source 2026'!$D:$D,'Source 2026'!$B:$B,$A319,'Source 2026'!$A:$A,"Quantity (units)")+SUMIFS('Source 2026'!$E:$E,'Source 2026'!$B:$B,$A319,'Source 2026'!$A:$A,"Quantity (units)")+SUMIFS('Source 2026'!$F:$F,'Source 2026'!$B:$B,$A319,'Source 2026'!$A:$A,"Quantity (units)")+SUMIFS('Source 2026'!$G:$G,'Source 2026'!$B:$B,$A319,'Source 2026'!$A:$A,"Quantity (units)")+SUMIFS('Source 2026'!$J:$J,'Source 2026'!$B:$B,$A319,'Source 2026'!$A:$A,"Quantity (units)")+SUMIFS('Source 2026'!$M:$M,'Source 2026'!$B:$B,$A319,'Source 2026'!$A:$A,"Quantity (units)")</f>
        <v>11</v>
      </c>
      <c r="E319" s="8" t="n">
        <f aca="false">D319*$J$5</f>
        <v>15.0857142857143</v>
      </c>
      <c r="F319" s="8" t="n">
        <f aca="false">E319-C319</f>
        <v>1.08571428571429</v>
      </c>
      <c r="G319" s="9" t="n">
        <f aca="false">IF(AND(C319=0,E319=0),0,IF(C319=0,"New",(E319-C319)/C319))</f>
        <v>0.0775510204081632</v>
      </c>
      <c r="H319" s="8" t="n">
        <f aca="false">SUMIFS('Source 2025'!$D:$D,'Source 2025'!$B:$B,$A319,'Source 2025'!$A:$A,"Amount (NIS)")+SUMIFS('Source 2025'!$E:$E,'Source 2025'!$B:$B,$A319,'Source 2025'!$A:$A,"Amount (NIS)")+SUMIFS('Source 2025'!$F:$F,'Source 2025'!$B:$B,$A319,'Source 2025'!$A:$A,"Amount (NIS)")+SUMIFS('Source 2025'!$G:$G,'Source 2025'!$B:$B,$A319,'Source 2025'!$A:$A,"Amount (NIS)")+SUMIFS('Source 2025'!$J:$J,'Source 2025'!$B:$B,$A319,'Source 2025'!$A:$A,"Amount (NIS)")+SUMIFS('Source 2025'!$M:$M,'Source 2025'!$B:$B,$A319,'Source 2025'!$A:$A,"Amount (NIS)")</f>
        <v>2112</v>
      </c>
      <c r="I319" s="8" t="n">
        <f aca="false">SUMIFS('Source 2026'!$D:$D,'Source 2026'!$B:$B,$A319,'Source 2026'!$A:$A,"Amount (NIS)")+SUMIFS('Source 2026'!$E:$E,'Source 2026'!$B:$B,$A319,'Source 2026'!$A:$A,"Amount (NIS)")+SUMIFS('Source 2026'!$F:$F,'Source 2026'!$B:$B,$A319,'Source 2026'!$A:$A,"Amount (NIS)")+SUMIFS('Source 2026'!$G:$G,'Source 2026'!$B:$B,$A319,'Source 2026'!$A:$A,"Amount (NIS)")+SUMIFS('Source 2026'!$J:$J,'Source 2026'!$B:$B,$A319,'Source 2026'!$A:$A,"Amount (NIS)")+SUMIFS('Source 2026'!$M:$M,'Source 2026'!$B:$B,$A319,'Source 2026'!$A:$A,"Amount (NIS)")</f>
        <v>1726.7</v>
      </c>
      <c r="J319" s="8" t="n">
        <f aca="false">I319*$J$5</f>
        <v>2368.04571428571</v>
      </c>
      <c r="K319" s="8" t="n">
        <f aca="false">J319-H319</f>
        <v>256.045714285714</v>
      </c>
      <c r="L319" s="9" t="n">
        <f aca="false">IF(AND(H319=0,J319=0),0,IF(H319=0,"New",(J319-H319)/H319))</f>
        <v>0.121233766233766</v>
      </c>
    </row>
    <row r="320" customFormat="false" ht="15" hidden="false" customHeight="false" outlineLevel="0" collapsed="false">
      <c r="A320" s="7" t="n">
        <v>4403005</v>
      </c>
      <c r="B320" s="7" t="str">
        <f aca="false">IFERROR(INDEX('Source 2026'!$C:$C,MATCH($A320,'Source 2026'!$B:$B,0)),IFERROR(INDEX('Source 2025'!$C:$C,MATCH($A320,'Source 2025'!$B:$B,0)),""))</f>
        <v>G390.43-46 גרבי כסף לסכרת מידה</v>
      </c>
      <c r="C320" s="8" t="n">
        <f aca="false">SUMIFS('Source 2025'!$D:$D,'Source 2025'!$B:$B,$A320,'Source 2025'!$A:$A,"Quantity (units)")+SUMIFS('Source 2025'!$E:$E,'Source 2025'!$B:$B,$A320,'Source 2025'!$A:$A,"Quantity (units)")+SUMIFS('Source 2025'!$F:$F,'Source 2025'!$B:$B,$A320,'Source 2025'!$A:$A,"Quantity (units)")+SUMIFS('Source 2025'!$G:$G,'Source 2025'!$B:$B,$A320,'Source 2025'!$A:$A,"Quantity (units)")+SUMIFS('Source 2025'!$J:$J,'Source 2025'!$B:$B,$A320,'Source 2025'!$A:$A,"Quantity (units)")+SUMIFS('Source 2025'!$M:$M,'Source 2025'!$B:$B,$A320,'Source 2025'!$A:$A,"Quantity (units)")</f>
        <v>12</v>
      </c>
      <c r="D320" s="8" t="n">
        <f aca="false">SUMIFS('Source 2026'!$D:$D,'Source 2026'!$B:$B,$A320,'Source 2026'!$A:$A,"Quantity (units)")+SUMIFS('Source 2026'!$E:$E,'Source 2026'!$B:$B,$A320,'Source 2026'!$A:$A,"Quantity (units)")+SUMIFS('Source 2026'!$F:$F,'Source 2026'!$B:$B,$A320,'Source 2026'!$A:$A,"Quantity (units)")+SUMIFS('Source 2026'!$G:$G,'Source 2026'!$B:$B,$A320,'Source 2026'!$A:$A,"Quantity (units)")+SUMIFS('Source 2026'!$J:$J,'Source 2026'!$B:$B,$A320,'Source 2026'!$A:$A,"Quantity (units)")+SUMIFS('Source 2026'!$M:$M,'Source 2026'!$B:$B,$A320,'Source 2026'!$A:$A,"Quantity (units)")</f>
        <v>0</v>
      </c>
      <c r="E320" s="8" t="n">
        <f aca="false">D320*$J$5</f>
        <v>0</v>
      </c>
      <c r="F320" s="8" t="n">
        <f aca="false">E320-C320</f>
        <v>-12</v>
      </c>
      <c r="G320" s="9" t="n">
        <f aca="false">IF(AND(C320=0,E320=0),0,IF(C320=0,"New",(E320-C320)/C320))</f>
        <v>-1</v>
      </c>
      <c r="H320" s="8" t="n">
        <f aca="false">SUMIFS('Source 2025'!$D:$D,'Source 2025'!$B:$B,$A320,'Source 2025'!$A:$A,"Amount (NIS)")+SUMIFS('Source 2025'!$E:$E,'Source 2025'!$B:$B,$A320,'Source 2025'!$A:$A,"Amount (NIS)")+SUMIFS('Source 2025'!$F:$F,'Source 2025'!$B:$B,$A320,'Source 2025'!$A:$A,"Amount (NIS)")+SUMIFS('Source 2025'!$G:$G,'Source 2025'!$B:$B,$A320,'Source 2025'!$A:$A,"Amount (NIS)")+SUMIFS('Source 2025'!$J:$J,'Source 2025'!$B:$B,$A320,'Source 2025'!$A:$A,"Amount (NIS)")+SUMIFS('Source 2025'!$M:$M,'Source 2025'!$B:$B,$A320,'Source 2025'!$A:$A,"Amount (NIS)")</f>
        <v>384.1</v>
      </c>
      <c r="I320" s="8" t="n">
        <f aca="false">SUMIFS('Source 2026'!$D:$D,'Source 2026'!$B:$B,$A320,'Source 2026'!$A:$A,"Amount (NIS)")+SUMIFS('Source 2026'!$E:$E,'Source 2026'!$B:$B,$A320,'Source 2026'!$A:$A,"Amount (NIS)")+SUMIFS('Source 2026'!$F:$F,'Source 2026'!$B:$B,$A320,'Source 2026'!$A:$A,"Amount (NIS)")+SUMIFS('Source 2026'!$G:$G,'Source 2026'!$B:$B,$A320,'Source 2026'!$A:$A,"Amount (NIS)")+SUMIFS('Source 2026'!$J:$J,'Source 2026'!$B:$B,$A320,'Source 2026'!$A:$A,"Amount (NIS)")+SUMIFS('Source 2026'!$M:$M,'Source 2026'!$B:$B,$A320,'Source 2026'!$A:$A,"Amount (NIS)")</f>
        <v>0</v>
      </c>
      <c r="J320" s="8" t="n">
        <f aca="false">I320*$J$5</f>
        <v>0</v>
      </c>
      <c r="K320" s="8" t="n">
        <f aca="false">J320-H320</f>
        <v>-384.1</v>
      </c>
      <c r="L320" s="9" t="n">
        <f aca="false">IF(AND(H320=0,J320=0),0,IF(H320=0,"New",(J320-H320)/H320))</f>
        <v>-1</v>
      </c>
    </row>
    <row r="321" customFormat="false" ht="15" hidden="false" customHeight="false" outlineLevel="0" collapsed="false">
      <c r="A321" s="7" t="n">
        <v>4413091</v>
      </c>
      <c r="B321" s="7" t="str">
        <f aca="false">IFERROR(INDEX('Source 2026'!$C:$C,MATCH($A321,'Source 2026'!$B:$B,0)),IFERROR(INDEX('Source 2025'!$C:$C,MATCH($A321,'Source 2025'!$B:$B,0)),""))</f>
        <v>422 XXLמ.ברך+כרית סיל.סב. פיקה</v>
      </c>
      <c r="C321" s="8" t="n">
        <f aca="false">SUMIFS('Source 2025'!$D:$D,'Source 2025'!$B:$B,$A321,'Source 2025'!$A:$A,"Quantity (units)")+SUMIFS('Source 2025'!$E:$E,'Source 2025'!$B:$B,$A321,'Source 2025'!$A:$A,"Quantity (units)")+SUMIFS('Source 2025'!$F:$F,'Source 2025'!$B:$B,$A321,'Source 2025'!$A:$A,"Quantity (units)")+SUMIFS('Source 2025'!$G:$G,'Source 2025'!$B:$B,$A321,'Source 2025'!$A:$A,"Quantity (units)")+SUMIFS('Source 2025'!$J:$J,'Source 2025'!$B:$B,$A321,'Source 2025'!$A:$A,"Quantity (units)")+SUMIFS('Source 2025'!$M:$M,'Source 2025'!$B:$B,$A321,'Source 2025'!$A:$A,"Quantity (units)")</f>
        <v>2</v>
      </c>
      <c r="D321" s="8" t="n">
        <f aca="false">SUMIFS('Source 2026'!$D:$D,'Source 2026'!$B:$B,$A321,'Source 2026'!$A:$A,"Quantity (units)")+SUMIFS('Source 2026'!$E:$E,'Source 2026'!$B:$B,$A321,'Source 2026'!$A:$A,"Quantity (units)")+SUMIFS('Source 2026'!$F:$F,'Source 2026'!$B:$B,$A321,'Source 2026'!$A:$A,"Quantity (units)")+SUMIFS('Source 2026'!$G:$G,'Source 2026'!$B:$B,$A321,'Source 2026'!$A:$A,"Quantity (units)")+SUMIFS('Source 2026'!$J:$J,'Source 2026'!$B:$B,$A321,'Source 2026'!$A:$A,"Quantity (units)")+SUMIFS('Source 2026'!$M:$M,'Source 2026'!$B:$B,$A321,'Source 2026'!$A:$A,"Quantity (units)")</f>
        <v>0</v>
      </c>
      <c r="E321" s="8" t="n">
        <f aca="false">D321*$J$5</f>
        <v>0</v>
      </c>
      <c r="F321" s="8" t="n">
        <f aca="false">E321-C321</f>
        <v>-2</v>
      </c>
      <c r="G321" s="9" t="n">
        <f aca="false">IF(AND(C321=0,E321=0),0,IF(C321=0,"New",(E321-C321)/C321))</f>
        <v>-1</v>
      </c>
      <c r="H321" s="8" t="n">
        <f aca="false">SUMIFS('Source 2025'!$D:$D,'Source 2025'!$B:$B,$A321,'Source 2025'!$A:$A,"Amount (NIS)")+SUMIFS('Source 2025'!$E:$E,'Source 2025'!$B:$B,$A321,'Source 2025'!$A:$A,"Amount (NIS)")+SUMIFS('Source 2025'!$F:$F,'Source 2025'!$B:$B,$A321,'Source 2025'!$A:$A,"Amount (NIS)")+SUMIFS('Source 2025'!$G:$G,'Source 2025'!$B:$B,$A321,'Source 2025'!$A:$A,"Amount (NIS)")+SUMIFS('Source 2025'!$J:$J,'Source 2025'!$B:$B,$A321,'Source 2025'!$A:$A,"Amount (NIS)")+SUMIFS('Source 2025'!$M:$M,'Source 2025'!$B:$B,$A321,'Source 2025'!$A:$A,"Amount (NIS)")</f>
        <v>374.9</v>
      </c>
      <c r="I321" s="8" t="n">
        <f aca="false">SUMIFS('Source 2026'!$D:$D,'Source 2026'!$B:$B,$A321,'Source 2026'!$A:$A,"Amount (NIS)")+SUMIFS('Source 2026'!$E:$E,'Source 2026'!$B:$B,$A321,'Source 2026'!$A:$A,"Amount (NIS)")+SUMIFS('Source 2026'!$F:$F,'Source 2026'!$B:$B,$A321,'Source 2026'!$A:$A,"Amount (NIS)")+SUMIFS('Source 2026'!$G:$G,'Source 2026'!$B:$B,$A321,'Source 2026'!$A:$A,"Amount (NIS)")+SUMIFS('Source 2026'!$J:$J,'Source 2026'!$B:$B,$A321,'Source 2026'!$A:$A,"Amount (NIS)")+SUMIFS('Source 2026'!$M:$M,'Source 2026'!$B:$B,$A321,'Source 2026'!$A:$A,"Amount (NIS)")</f>
        <v>0</v>
      </c>
      <c r="J321" s="8" t="n">
        <f aca="false">I321*$J$5</f>
        <v>0</v>
      </c>
      <c r="K321" s="8" t="n">
        <f aca="false">J321-H321</f>
        <v>-374.9</v>
      </c>
      <c r="L321" s="9" t="n">
        <f aca="false">IF(AND(H321=0,J321=0),0,IF(H321=0,"New",(J321-H321)/H321))</f>
        <v>-1</v>
      </c>
    </row>
    <row r="322" customFormat="false" ht="15" hidden="false" customHeight="false" outlineLevel="0" collapsed="false">
      <c r="A322" s="7" t="n">
        <v>4408090</v>
      </c>
      <c r="B322" s="7" t="str">
        <f aca="false">IFERROR(INDEX('Source 2026'!$C:$C,MATCH($A322,'Source 2026'!$B:$B,0)),IFERROR(INDEX('Source 2025'!$C:$C,MATCH($A322,'Source 2025'!$B:$B,0)),""))</f>
        <v>T11C L  חגורת גב פוג'יאמה</v>
      </c>
      <c r="C322" s="8" t="n">
        <f aca="false">SUMIFS('Source 2025'!$D:$D,'Source 2025'!$B:$B,$A322,'Source 2025'!$A:$A,"Quantity (units)")+SUMIFS('Source 2025'!$E:$E,'Source 2025'!$B:$B,$A322,'Source 2025'!$A:$A,"Quantity (units)")+SUMIFS('Source 2025'!$F:$F,'Source 2025'!$B:$B,$A322,'Source 2025'!$A:$A,"Quantity (units)")+SUMIFS('Source 2025'!$G:$G,'Source 2025'!$B:$B,$A322,'Source 2025'!$A:$A,"Quantity (units)")+SUMIFS('Source 2025'!$J:$J,'Source 2025'!$B:$B,$A322,'Source 2025'!$A:$A,"Quantity (units)")+SUMIFS('Source 2025'!$M:$M,'Source 2025'!$B:$B,$A322,'Source 2025'!$A:$A,"Quantity (units)")</f>
        <v>8</v>
      </c>
      <c r="D322" s="8" t="n">
        <f aca="false">SUMIFS('Source 2026'!$D:$D,'Source 2026'!$B:$B,$A322,'Source 2026'!$A:$A,"Quantity (units)")+SUMIFS('Source 2026'!$E:$E,'Source 2026'!$B:$B,$A322,'Source 2026'!$A:$A,"Quantity (units)")+SUMIFS('Source 2026'!$F:$F,'Source 2026'!$B:$B,$A322,'Source 2026'!$A:$A,"Quantity (units)")+SUMIFS('Source 2026'!$G:$G,'Source 2026'!$B:$B,$A322,'Source 2026'!$A:$A,"Quantity (units)")+SUMIFS('Source 2026'!$J:$J,'Source 2026'!$B:$B,$A322,'Source 2026'!$A:$A,"Quantity (units)")+SUMIFS('Source 2026'!$M:$M,'Source 2026'!$B:$B,$A322,'Source 2026'!$A:$A,"Quantity (units)")</f>
        <v>4</v>
      </c>
      <c r="E322" s="8" t="n">
        <f aca="false">D322*$J$5</f>
        <v>5.48571428571429</v>
      </c>
      <c r="F322" s="8" t="n">
        <f aca="false">E322-C322</f>
        <v>-2.51428571428571</v>
      </c>
      <c r="G322" s="9" t="n">
        <f aca="false">IF(AND(C322=0,E322=0),0,IF(C322=0,"New",(E322-C322)/C322))</f>
        <v>-0.314285714285714</v>
      </c>
      <c r="H322" s="8" t="n">
        <f aca="false">SUMIFS('Source 2025'!$D:$D,'Source 2025'!$B:$B,$A322,'Source 2025'!$A:$A,"Amount (NIS)")+SUMIFS('Source 2025'!$E:$E,'Source 2025'!$B:$B,$A322,'Source 2025'!$A:$A,"Amount (NIS)")+SUMIFS('Source 2025'!$F:$F,'Source 2025'!$B:$B,$A322,'Source 2025'!$A:$A,"Amount (NIS)")+SUMIFS('Source 2025'!$G:$G,'Source 2025'!$B:$B,$A322,'Source 2025'!$A:$A,"Amount (NIS)")+SUMIFS('Source 2025'!$J:$J,'Source 2025'!$B:$B,$A322,'Source 2025'!$A:$A,"Amount (NIS)")+SUMIFS('Source 2025'!$M:$M,'Source 2025'!$B:$B,$A322,'Source 2025'!$A:$A,"Amount (NIS)")</f>
        <v>740.1</v>
      </c>
      <c r="I322" s="8" t="n">
        <f aca="false">SUMIFS('Source 2026'!$D:$D,'Source 2026'!$B:$B,$A322,'Source 2026'!$A:$A,"Amount (NIS)")+SUMIFS('Source 2026'!$E:$E,'Source 2026'!$B:$B,$A322,'Source 2026'!$A:$A,"Amount (NIS)")+SUMIFS('Source 2026'!$F:$F,'Source 2026'!$B:$B,$A322,'Source 2026'!$A:$A,"Amount (NIS)")+SUMIFS('Source 2026'!$G:$G,'Source 2026'!$B:$B,$A322,'Source 2026'!$A:$A,"Amount (NIS)")+SUMIFS('Source 2026'!$J:$J,'Source 2026'!$B:$B,$A322,'Source 2026'!$A:$A,"Amount (NIS)")+SUMIFS('Source 2026'!$M:$M,'Source 2026'!$B:$B,$A322,'Source 2026'!$A:$A,"Amount (NIS)")</f>
        <v>365.9</v>
      </c>
      <c r="J322" s="8" t="n">
        <f aca="false">I322*$J$5</f>
        <v>501.805714285714</v>
      </c>
      <c r="K322" s="8" t="n">
        <f aca="false">J322-H322</f>
        <v>-238.294285714286</v>
      </c>
      <c r="L322" s="9" t="n">
        <f aca="false">IF(AND(H322=0,J322=0),0,IF(H322=0,"New",(J322-H322)/H322))</f>
        <v>-0.321975794776768</v>
      </c>
    </row>
    <row r="323" customFormat="false" ht="15" hidden="false" customHeight="false" outlineLevel="0" collapsed="false">
      <c r="A323" s="7" t="n">
        <v>4413003</v>
      </c>
      <c r="B323" s="7" t="str">
        <f aca="false">IFERROR(INDEX('Source 2026'!$C:$C,MATCH($A323,'Source 2026'!$B:$B,0)),IFERROR(INDEX('Source 2025'!$C:$C,MATCH($A323,'Source 2025'!$B:$B,0)),""))</f>
        <v>30 M מגן קרסול מתכוון עם סקוטש</v>
      </c>
      <c r="C323" s="8" t="n">
        <f aca="false">SUMIFS('Source 2025'!$D:$D,'Source 2025'!$B:$B,$A323,'Source 2025'!$A:$A,"Quantity (units)")+SUMIFS('Source 2025'!$E:$E,'Source 2025'!$B:$B,$A323,'Source 2025'!$A:$A,"Quantity (units)")+SUMIFS('Source 2025'!$F:$F,'Source 2025'!$B:$B,$A323,'Source 2025'!$A:$A,"Quantity (units)")+SUMIFS('Source 2025'!$G:$G,'Source 2025'!$B:$B,$A323,'Source 2025'!$A:$A,"Quantity (units)")+SUMIFS('Source 2025'!$J:$J,'Source 2025'!$B:$B,$A323,'Source 2025'!$A:$A,"Quantity (units)")+SUMIFS('Source 2025'!$M:$M,'Source 2025'!$B:$B,$A323,'Source 2025'!$A:$A,"Quantity (units)")</f>
        <v>6</v>
      </c>
      <c r="D323" s="8" t="n">
        <f aca="false">SUMIFS('Source 2026'!$D:$D,'Source 2026'!$B:$B,$A323,'Source 2026'!$A:$A,"Quantity (units)")+SUMIFS('Source 2026'!$E:$E,'Source 2026'!$B:$B,$A323,'Source 2026'!$A:$A,"Quantity (units)")+SUMIFS('Source 2026'!$F:$F,'Source 2026'!$B:$B,$A323,'Source 2026'!$A:$A,"Quantity (units)")+SUMIFS('Source 2026'!$G:$G,'Source 2026'!$B:$B,$A323,'Source 2026'!$A:$A,"Quantity (units)")+SUMIFS('Source 2026'!$J:$J,'Source 2026'!$B:$B,$A323,'Source 2026'!$A:$A,"Quantity (units)")+SUMIFS('Source 2026'!$M:$M,'Source 2026'!$B:$B,$A323,'Source 2026'!$A:$A,"Quantity (units)")</f>
        <v>0</v>
      </c>
      <c r="E323" s="8" t="n">
        <f aca="false">D323*$J$5</f>
        <v>0</v>
      </c>
      <c r="F323" s="8" t="n">
        <f aca="false">E323-C323</f>
        <v>-6</v>
      </c>
      <c r="G323" s="9" t="n">
        <f aca="false">IF(AND(C323=0,E323=0),0,IF(C323=0,"New",(E323-C323)/C323))</f>
        <v>-1</v>
      </c>
      <c r="H323" s="8" t="n">
        <f aca="false">SUMIFS('Source 2025'!$D:$D,'Source 2025'!$B:$B,$A323,'Source 2025'!$A:$A,"Amount (NIS)")+SUMIFS('Source 2025'!$E:$E,'Source 2025'!$B:$B,$A323,'Source 2025'!$A:$A,"Amount (NIS)")+SUMIFS('Source 2025'!$F:$F,'Source 2025'!$B:$B,$A323,'Source 2025'!$A:$A,"Amount (NIS)")+SUMIFS('Source 2025'!$G:$G,'Source 2025'!$B:$B,$A323,'Source 2025'!$A:$A,"Amount (NIS)")+SUMIFS('Source 2025'!$J:$J,'Source 2025'!$B:$B,$A323,'Source 2025'!$A:$A,"Amount (NIS)")+SUMIFS('Source 2025'!$M:$M,'Source 2025'!$B:$B,$A323,'Source 2025'!$A:$A,"Amount (NIS)")</f>
        <v>373.1</v>
      </c>
      <c r="I323" s="8" t="n">
        <f aca="false">SUMIFS('Source 2026'!$D:$D,'Source 2026'!$B:$B,$A323,'Source 2026'!$A:$A,"Amount (NIS)")+SUMIFS('Source 2026'!$E:$E,'Source 2026'!$B:$B,$A323,'Source 2026'!$A:$A,"Amount (NIS)")+SUMIFS('Source 2026'!$F:$F,'Source 2026'!$B:$B,$A323,'Source 2026'!$A:$A,"Amount (NIS)")+SUMIFS('Source 2026'!$G:$G,'Source 2026'!$B:$B,$A323,'Source 2026'!$A:$A,"Amount (NIS)")+SUMIFS('Source 2026'!$J:$J,'Source 2026'!$B:$B,$A323,'Source 2026'!$A:$A,"Amount (NIS)")+SUMIFS('Source 2026'!$M:$M,'Source 2026'!$B:$B,$A323,'Source 2026'!$A:$A,"Amount (NIS)")</f>
        <v>0</v>
      </c>
      <c r="J323" s="8" t="n">
        <f aca="false">I323*$J$5</f>
        <v>0</v>
      </c>
      <c r="K323" s="8" t="n">
        <f aca="false">J323-H323</f>
        <v>-373.1</v>
      </c>
      <c r="L323" s="9" t="n">
        <f aca="false">IF(AND(H323=0,J323=0),0,IF(H323=0,"New",(J323-H323)/H323))</f>
        <v>-1</v>
      </c>
    </row>
    <row r="324" customFormat="false" ht="15" hidden="false" customHeight="false" outlineLevel="0" collapsed="false">
      <c r="A324" s="7" t="n">
        <v>4413450</v>
      </c>
      <c r="B324" s="7" t="str">
        <f aca="false">IFERROR(INDEX('Source 2026'!$C:$C,MATCH($A324,'Source 2026'!$B:$B,0)),IFERROR(INDEX('Source 2025'!$C:$C,MATCH($A324,'Source 2025'!$B:$B,0)),""))</f>
        <v>LF378 M מדרס ג'ל לנעלי עקב</v>
      </c>
      <c r="C324" s="8" t="n">
        <f aca="false">SUMIFS('Source 2025'!$D:$D,'Source 2025'!$B:$B,$A324,'Source 2025'!$A:$A,"Quantity (units)")+SUMIFS('Source 2025'!$E:$E,'Source 2025'!$B:$B,$A324,'Source 2025'!$A:$A,"Quantity (units)")+SUMIFS('Source 2025'!$F:$F,'Source 2025'!$B:$B,$A324,'Source 2025'!$A:$A,"Quantity (units)")+SUMIFS('Source 2025'!$G:$G,'Source 2025'!$B:$B,$A324,'Source 2025'!$A:$A,"Quantity (units)")+SUMIFS('Source 2025'!$J:$J,'Source 2025'!$B:$B,$A324,'Source 2025'!$A:$A,"Quantity (units)")+SUMIFS('Source 2025'!$M:$M,'Source 2025'!$B:$B,$A324,'Source 2025'!$A:$A,"Quantity (units)")</f>
        <v>0</v>
      </c>
      <c r="D324" s="8" t="n">
        <f aca="false">SUMIFS('Source 2026'!$D:$D,'Source 2026'!$B:$B,$A324,'Source 2026'!$A:$A,"Quantity (units)")+SUMIFS('Source 2026'!$E:$E,'Source 2026'!$B:$B,$A324,'Source 2026'!$A:$A,"Quantity (units)")+SUMIFS('Source 2026'!$F:$F,'Source 2026'!$B:$B,$A324,'Source 2026'!$A:$A,"Quantity (units)")+SUMIFS('Source 2026'!$G:$G,'Source 2026'!$B:$B,$A324,'Source 2026'!$A:$A,"Quantity (units)")+SUMIFS('Source 2026'!$J:$J,'Source 2026'!$B:$B,$A324,'Source 2026'!$A:$A,"Quantity (units)")+SUMIFS('Source 2026'!$M:$M,'Source 2026'!$B:$B,$A324,'Source 2026'!$A:$A,"Quantity (units)")</f>
        <v>5</v>
      </c>
      <c r="E324" s="8" t="n">
        <f aca="false">D324*$J$5</f>
        <v>6.85714285714286</v>
      </c>
      <c r="F324" s="8" t="n">
        <f aca="false">E324-C324</f>
        <v>6.85714285714286</v>
      </c>
      <c r="G324" s="9" t="str">
        <f aca="false">IF(AND(C324=0,E324=0),0,IF(C324=0,"New",(E324-C324)/C324))</f>
        <v>New</v>
      </c>
      <c r="H324" s="8" t="n">
        <f aca="false">SUMIFS('Source 2025'!$D:$D,'Source 2025'!$B:$B,$A324,'Source 2025'!$A:$A,"Amount (NIS)")+SUMIFS('Source 2025'!$E:$E,'Source 2025'!$B:$B,$A324,'Source 2025'!$A:$A,"Amount (NIS)")+SUMIFS('Source 2025'!$F:$F,'Source 2025'!$B:$B,$A324,'Source 2025'!$A:$A,"Amount (NIS)")+SUMIFS('Source 2025'!$G:$G,'Source 2025'!$B:$B,$A324,'Source 2025'!$A:$A,"Amount (NIS)")+SUMIFS('Source 2025'!$J:$J,'Source 2025'!$B:$B,$A324,'Source 2025'!$A:$A,"Amount (NIS)")+SUMIFS('Source 2025'!$M:$M,'Source 2025'!$B:$B,$A324,'Source 2025'!$A:$A,"Amount (NIS)")</f>
        <v>0</v>
      </c>
      <c r="I324" s="8" t="n">
        <f aca="false">SUMIFS('Source 2026'!$D:$D,'Source 2026'!$B:$B,$A324,'Source 2026'!$A:$A,"Amount (NIS)")+SUMIFS('Source 2026'!$E:$E,'Source 2026'!$B:$B,$A324,'Source 2026'!$A:$A,"Amount (NIS)")+SUMIFS('Source 2026'!$F:$F,'Source 2026'!$B:$B,$A324,'Source 2026'!$A:$A,"Amount (NIS)")+SUMIFS('Source 2026'!$G:$G,'Source 2026'!$B:$B,$A324,'Source 2026'!$A:$A,"Amount (NIS)")+SUMIFS('Source 2026'!$J:$J,'Source 2026'!$B:$B,$A324,'Source 2026'!$A:$A,"Amount (NIS)")+SUMIFS('Source 2026'!$M:$M,'Source 2026'!$B:$B,$A324,'Source 2026'!$A:$A,"Amount (NIS)")</f>
        <v>367.7</v>
      </c>
      <c r="J324" s="8" t="n">
        <f aca="false">I324*$J$5</f>
        <v>504.274285714286</v>
      </c>
      <c r="K324" s="8" t="n">
        <f aca="false">J324-H324</f>
        <v>504.274285714286</v>
      </c>
      <c r="L324" s="9" t="str">
        <f aca="false">IF(AND(H324=0,J324=0),0,IF(H324=0,"New",(J324-H324)/H324))</f>
        <v>New</v>
      </c>
    </row>
    <row r="325" customFormat="false" ht="15" hidden="false" customHeight="false" outlineLevel="0" collapsed="false">
      <c r="A325" s="7" t="n">
        <v>4413172</v>
      </c>
      <c r="B325" s="7" t="str">
        <f aca="false">IFERROR(INDEX('Source 2026'!$C:$C,MATCH($A325,'Source 2026'!$B:$B,0)),IFERROR(INDEX('Source 2025'!$C:$C,MATCH($A325,'Source 2025'!$B:$B,0)),""))</f>
        <v>T402 XL מיצב פיקה</v>
      </c>
      <c r="C325" s="8" t="n">
        <f aca="false">SUMIFS('Source 2025'!$D:$D,'Source 2025'!$B:$B,$A325,'Source 2025'!$A:$A,"Quantity (units)")+SUMIFS('Source 2025'!$E:$E,'Source 2025'!$B:$B,$A325,'Source 2025'!$A:$A,"Quantity (units)")+SUMIFS('Source 2025'!$F:$F,'Source 2025'!$B:$B,$A325,'Source 2025'!$A:$A,"Quantity (units)")+SUMIFS('Source 2025'!$G:$G,'Source 2025'!$B:$B,$A325,'Source 2025'!$A:$A,"Quantity (units)")+SUMIFS('Source 2025'!$J:$J,'Source 2025'!$B:$B,$A325,'Source 2025'!$A:$A,"Quantity (units)")+SUMIFS('Source 2025'!$M:$M,'Source 2025'!$B:$B,$A325,'Source 2025'!$A:$A,"Quantity (units)")</f>
        <v>4</v>
      </c>
      <c r="D325" s="8" t="n">
        <f aca="false">SUMIFS('Source 2026'!$D:$D,'Source 2026'!$B:$B,$A325,'Source 2026'!$A:$A,"Quantity (units)")+SUMIFS('Source 2026'!$E:$E,'Source 2026'!$B:$B,$A325,'Source 2026'!$A:$A,"Quantity (units)")+SUMIFS('Source 2026'!$F:$F,'Source 2026'!$B:$B,$A325,'Source 2026'!$A:$A,"Quantity (units)")+SUMIFS('Source 2026'!$G:$G,'Source 2026'!$B:$B,$A325,'Source 2026'!$A:$A,"Quantity (units)")+SUMIFS('Source 2026'!$J:$J,'Source 2026'!$B:$B,$A325,'Source 2026'!$A:$A,"Quantity (units)")+SUMIFS('Source 2026'!$M:$M,'Source 2026'!$B:$B,$A325,'Source 2026'!$A:$A,"Quantity (units)")</f>
        <v>0</v>
      </c>
      <c r="E325" s="8" t="n">
        <f aca="false">D325*$J$5</f>
        <v>0</v>
      </c>
      <c r="F325" s="8" t="n">
        <f aca="false">E325-C325</f>
        <v>-4</v>
      </c>
      <c r="G325" s="9" t="n">
        <f aca="false">IF(AND(C325=0,E325=0),0,IF(C325=0,"New",(E325-C325)/C325))</f>
        <v>-1</v>
      </c>
      <c r="H325" s="8" t="n">
        <f aca="false">SUMIFS('Source 2025'!$D:$D,'Source 2025'!$B:$B,$A325,'Source 2025'!$A:$A,"Amount (NIS)")+SUMIFS('Source 2025'!$E:$E,'Source 2025'!$B:$B,$A325,'Source 2025'!$A:$A,"Amount (NIS)")+SUMIFS('Source 2025'!$F:$F,'Source 2025'!$B:$B,$A325,'Source 2025'!$A:$A,"Amount (NIS)")+SUMIFS('Source 2025'!$G:$G,'Source 2025'!$B:$B,$A325,'Source 2025'!$A:$A,"Amount (NIS)")+SUMIFS('Source 2025'!$J:$J,'Source 2025'!$B:$B,$A325,'Source 2025'!$A:$A,"Amount (NIS)")+SUMIFS('Source 2025'!$M:$M,'Source 2025'!$B:$B,$A325,'Source 2025'!$A:$A,"Amount (NIS)")</f>
        <v>365.6</v>
      </c>
      <c r="I325" s="8" t="n">
        <f aca="false">SUMIFS('Source 2026'!$D:$D,'Source 2026'!$B:$B,$A325,'Source 2026'!$A:$A,"Amount (NIS)")+SUMIFS('Source 2026'!$E:$E,'Source 2026'!$B:$B,$A325,'Source 2026'!$A:$A,"Amount (NIS)")+SUMIFS('Source 2026'!$F:$F,'Source 2026'!$B:$B,$A325,'Source 2026'!$A:$A,"Amount (NIS)")+SUMIFS('Source 2026'!$G:$G,'Source 2026'!$B:$B,$A325,'Source 2026'!$A:$A,"Amount (NIS)")+SUMIFS('Source 2026'!$J:$J,'Source 2026'!$B:$B,$A325,'Source 2026'!$A:$A,"Amount (NIS)")+SUMIFS('Source 2026'!$M:$M,'Source 2026'!$B:$B,$A325,'Source 2026'!$A:$A,"Amount (NIS)")</f>
        <v>0</v>
      </c>
      <c r="J325" s="8" t="n">
        <f aca="false">I325*$J$5</f>
        <v>0</v>
      </c>
      <c r="K325" s="8" t="n">
        <f aca="false">J325-H325</f>
        <v>-365.6</v>
      </c>
      <c r="L325" s="9" t="n">
        <f aca="false">IF(AND(H325=0,J325=0),0,IF(H325=0,"New",(J325-H325)/H325))</f>
        <v>-1</v>
      </c>
    </row>
    <row r="326" customFormat="false" ht="15" hidden="false" customHeight="false" outlineLevel="0" collapsed="false">
      <c r="A326" s="7" t="n">
        <v>4413089</v>
      </c>
      <c r="B326" s="7" t="str">
        <f aca="false">IFERROR(INDEX('Source 2026'!$C:$C,MATCH($A326,'Source 2026'!$B:$B,0)),IFERROR(INDEX('Source 2025'!$C:$C,MATCH($A326,'Source 2025'!$B:$B,0)),""))</f>
        <v>422 Sמ.ברך+כרית סיל.סביב לפיקה</v>
      </c>
      <c r="C326" s="8" t="n">
        <f aca="false">SUMIFS('Source 2025'!$D:$D,'Source 2025'!$B:$B,$A326,'Source 2025'!$A:$A,"Quantity (units)")+SUMIFS('Source 2025'!$E:$E,'Source 2025'!$B:$B,$A326,'Source 2025'!$A:$A,"Quantity (units)")+SUMIFS('Source 2025'!$F:$F,'Source 2025'!$B:$B,$A326,'Source 2025'!$A:$A,"Quantity (units)")+SUMIFS('Source 2025'!$G:$G,'Source 2025'!$B:$B,$A326,'Source 2025'!$A:$A,"Quantity (units)")+SUMIFS('Source 2025'!$J:$J,'Source 2025'!$B:$B,$A326,'Source 2025'!$A:$A,"Quantity (units)")+SUMIFS('Source 2025'!$M:$M,'Source 2025'!$B:$B,$A326,'Source 2025'!$A:$A,"Quantity (units)")</f>
        <v>0</v>
      </c>
      <c r="D326" s="8" t="n">
        <f aca="false">SUMIFS('Source 2026'!$D:$D,'Source 2026'!$B:$B,$A326,'Source 2026'!$A:$A,"Quantity (units)")+SUMIFS('Source 2026'!$E:$E,'Source 2026'!$B:$B,$A326,'Source 2026'!$A:$A,"Quantity (units)")+SUMIFS('Source 2026'!$F:$F,'Source 2026'!$B:$B,$A326,'Source 2026'!$A:$A,"Quantity (units)")+SUMIFS('Source 2026'!$G:$G,'Source 2026'!$B:$B,$A326,'Source 2026'!$A:$A,"Quantity (units)")+SUMIFS('Source 2026'!$J:$J,'Source 2026'!$B:$B,$A326,'Source 2026'!$A:$A,"Quantity (units)")+SUMIFS('Source 2026'!$M:$M,'Source 2026'!$B:$B,$A326,'Source 2026'!$A:$A,"Quantity (units)")</f>
        <v>2</v>
      </c>
      <c r="E326" s="8" t="n">
        <f aca="false">D326*$J$5</f>
        <v>2.74285714285714</v>
      </c>
      <c r="F326" s="8" t="n">
        <f aca="false">E326-C326</f>
        <v>2.74285714285714</v>
      </c>
      <c r="G326" s="9" t="str">
        <f aca="false">IF(AND(C326=0,E326=0),0,IF(C326=0,"New",(E326-C326)/C326))</f>
        <v>New</v>
      </c>
      <c r="H326" s="8" t="n">
        <f aca="false">SUMIFS('Source 2025'!$D:$D,'Source 2025'!$B:$B,$A326,'Source 2025'!$A:$A,"Amount (NIS)")+SUMIFS('Source 2025'!$E:$E,'Source 2025'!$B:$B,$A326,'Source 2025'!$A:$A,"Amount (NIS)")+SUMIFS('Source 2025'!$F:$F,'Source 2025'!$B:$B,$A326,'Source 2025'!$A:$A,"Amount (NIS)")+SUMIFS('Source 2025'!$G:$G,'Source 2025'!$B:$B,$A326,'Source 2025'!$A:$A,"Amount (NIS)")+SUMIFS('Source 2025'!$J:$J,'Source 2025'!$B:$B,$A326,'Source 2025'!$A:$A,"Amount (NIS)")+SUMIFS('Source 2025'!$M:$M,'Source 2025'!$B:$B,$A326,'Source 2025'!$A:$A,"Amount (NIS)")</f>
        <v>0</v>
      </c>
      <c r="I326" s="8" t="n">
        <f aca="false">SUMIFS('Source 2026'!$D:$D,'Source 2026'!$B:$B,$A326,'Source 2026'!$A:$A,"Amount (NIS)")+SUMIFS('Source 2026'!$E:$E,'Source 2026'!$B:$B,$A326,'Source 2026'!$A:$A,"Amount (NIS)")+SUMIFS('Source 2026'!$F:$F,'Source 2026'!$B:$B,$A326,'Source 2026'!$A:$A,"Amount (NIS)")+SUMIFS('Source 2026'!$G:$G,'Source 2026'!$B:$B,$A326,'Source 2026'!$A:$A,"Amount (NIS)")+SUMIFS('Source 2026'!$J:$J,'Source 2026'!$B:$B,$A326,'Source 2026'!$A:$A,"Amount (NIS)")+SUMIFS('Source 2026'!$M:$M,'Source 2026'!$B:$B,$A326,'Source 2026'!$A:$A,"Amount (NIS)")</f>
        <v>349.9</v>
      </c>
      <c r="J326" s="8" t="n">
        <f aca="false">I326*$J$5</f>
        <v>479.862857142857</v>
      </c>
      <c r="K326" s="8" t="n">
        <f aca="false">J326-H326</f>
        <v>479.862857142857</v>
      </c>
      <c r="L326" s="9" t="str">
        <f aca="false">IF(AND(H326=0,J326=0),0,IF(H326=0,"New",(J326-H326)/H326))</f>
        <v>New</v>
      </c>
    </row>
    <row r="327" customFormat="false" ht="15" hidden="false" customHeight="false" outlineLevel="0" collapsed="false">
      <c r="A327" s="7" t="n">
        <v>4413088</v>
      </c>
      <c r="B327" s="7" t="str">
        <f aca="false">IFERROR(INDEX('Source 2026'!$C:$C,MATCH($A327,'Source 2026'!$B:$B,0)),IFERROR(INDEX('Source 2025'!$C:$C,MATCH($A327,'Source 2025'!$B:$B,0)),""))</f>
        <v>422 Mמ.ברך+כרית סיל.סביב לפיקה</v>
      </c>
      <c r="C327" s="8" t="n">
        <f aca="false">SUMIFS('Source 2025'!$D:$D,'Source 2025'!$B:$B,$A327,'Source 2025'!$A:$A,"Quantity (units)")+SUMIFS('Source 2025'!$E:$E,'Source 2025'!$B:$B,$A327,'Source 2025'!$A:$A,"Quantity (units)")+SUMIFS('Source 2025'!$F:$F,'Source 2025'!$B:$B,$A327,'Source 2025'!$A:$A,"Quantity (units)")+SUMIFS('Source 2025'!$G:$G,'Source 2025'!$B:$B,$A327,'Source 2025'!$A:$A,"Quantity (units)")+SUMIFS('Source 2025'!$J:$J,'Source 2025'!$B:$B,$A327,'Source 2025'!$A:$A,"Quantity (units)")+SUMIFS('Source 2025'!$M:$M,'Source 2025'!$B:$B,$A327,'Source 2025'!$A:$A,"Quantity (units)")</f>
        <v>2</v>
      </c>
      <c r="D327" s="8" t="n">
        <f aca="false">SUMIFS('Source 2026'!$D:$D,'Source 2026'!$B:$B,$A327,'Source 2026'!$A:$A,"Quantity (units)")+SUMIFS('Source 2026'!$E:$E,'Source 2026'!$B:$B,$A327,'Source 2026'!$A:$A,"Quantity (units)")+SUMIFS('Source 2026'!$F:$F,'Source 2026'!$B:$B,$A327,'Source 2026'!$A:$A,"Quantity (units)")+SUMIFS('Source 2026'!$G:$G,'Source 2026'!$B:$B,$A327,'Source 2026'!$A:$A,"Quantity (units)")+SUMIFS('Source 2026'!$J:$J,'Source 2026'!$B:$B,$A327,'Source 2026'!$A:$A,"Quantity (units)")+SUMIFS('Source 2026'!$M:$M,'Source 2026'!$B:$B,$A327,'Source 2026'!$A:$A,"Quantity (units)")</f>
        <v>0</v>
      </c>
      <c r="E327" s="8" t="n">
        <f aca="false">D327*$J$5</f>
        <v>0</v>
      </c>
      <c r="F327" s="8" t="n">
        <f aca="false">E327-C327</f>
        <v>-2</v>
      </c>
      <c r="G327" s="9" t="n">
        <f aca="false">IF(AND(C327=0,E327=0),0,IF(C327=0,"New",(E327-C327)/C327))</f>
        <v>-1</v>
      </c>
      <c r="H327" s="8" t="n">
        <f aca="false">SUMIFS('Source 2025'!$D:$D,'Source 2025'!$B:$B,$A327,'Source 2025'!$A:$A,"Amount (NIS)")+SUMIFS('Source 2025'!$E:$E,'Source 2025'!$B:$B,$A327,'Source 2025'!$A:$A,"Amount (NIS)")+SUMIFS('Source 2025'!$F:$F,'Source 2025'!$B:$B,$A327,'Source 2025'!$A:$A,"Amount (NIS)")+SUMIFS('Source 2025'!$G:$G,'Source 2025'!$B:$B,$A327,'Source 2025'!$A:$A,"Amount (NIS)")+SUMIFS('Source 2025'!$J:$J,'Source 2025'!$B:$B,$A327,'Source 2025'!$A:$A,"Amount (NIS)")+SUMIFS('Source 2025'!$M:$M,'Source 2025'!$B:$B,$A327,'Source 2025'!$A:$A,"Amount (NIS)")</f>
        <v>349.7</v>
      </c>
      <c r="I327" s="8" t="n">
        <f aca="false">SUMIFS('Source 2026'!$D:$D,'Source 2026'!$B:$B,$A327,'Source 2026'!$A:$A,"Amount (NIS)")+SUMIFS('Source 2026'!$E:$E,'Source 2026'!$B:$B,$A327,'Source 2026'!$A:$A,"Amount (NIS)")+SUMIFS('Source 2026'!$F:$F,'Source 2026'!$B:$B,$A327,'Source 2026'!$A:$A,"Amount (NIS)")+SUMIFS('Source 2026'!$G:$G,'Source 2026'!$B:$B,$A327,'Source 2026'!$A:$A,"Amount (NIS)")+SUMIFS('Source 2026'!$J:$J,'Source 2026'!$B:$B,$A327,'Source 2026'!$A:$A,"Amount (NIS)")+SUMIFS('Source 2026'!$M:$M,'Source 2026'!$B:$B,$A327,'Source 2026'!$A:$A,"Amount (NIS)")</f>
        <v>0</v>
      </c>
      <c r="J327" s="8" t="n">
        <f aca="false">I327*$J$5</f>
        <v>0</v>
      </c>
      <c r="K327" s="8" t="n">
        <f aca="false">J327-H327</f>
        <v>-349.7</v>
      </c>
      <c r="L327" s="9" t="n">
        <f aca="false">IF(AND(H327=0,J327=0),0,IF(H327=0,"New",(J327-H327)/H327))</f>
        <v>-1</v>
      </c>
    </row>
    <row r="328" customFormat="false" ht="15" hidden="false" customHeight="false" outlineLevel="0" collapsed="false">
      <c r="A328" s="7" t="n">
        <v>4413303</v>
      </c>
      <c r="B328" s="7" t="str">
        <f aca="false">IFERROR(INDEX('Source 2026'!$C:$C,MATCH($A328,'Source 2026'!$B:$B,0)),IFERROR(INDEX('Source 2025'!$C:$C,MATCH($A328,'Source 2025'!$B:$B,0)),""))</f>
        <v>34+XXL מ.קרסול+עכב סגור+רצועות</v>
      </c>
      <c r="C328" s="8" t="n">
        <f aca="false">SUMIFS('Source 2025'!$D:$D,'Source 2025'!$B:$B,$A328,'Source 2025'!$A:$A,"Quantity (units)")+SUMIFS('Source 2025'!$E:$E,'Source 2025'!$B:$B,$A328,'Source 2025'!$A:$A,"Quantity (units)")+SUMIFS('Source 2025'!$F:$F,'Source 2025'!$B:$B,$A328,'Source 2025'!$A:$A,"Quantity (units)")+SUMIFS('Source 2025'!$G:$G,'Source 2025'!$B:$B,$A328,'Source 2025'!$A:$A,"Quantity (units)")+SUMIFS('Source 2025'!$J:$J,'Source 2025'!$B:$B,$A328,'Source 2025'!$A:$A,"Quantity (units)")+SUMIFS('Source 2025'!$M:$M,'Source 2025'!$B:$B,$A328,'Source 2025'!$A:$A,"Quantity (units)")</f>
        <v>5</v>
      </c>
      <c r="D328" s="8" t="n">
        <f aca="false">SUMIFS('Source 2026'!$D:$D,'Source 2026'!$B:$B,$A328,'Source 2026'!$A:$A,"Quantity (units)")+SUMIFS('Source 2026'!$E:$E,'Source 2026'!$B:$B,$A328,'Source 2026'!$A:$A,"Quantity (units)")+SUMIFS('Source 2026'!$F:$F,'Source 2026'!$B:$B,$A328,'Source 2026'!$A:$A,"Quantity (units)")+SUMIFS('Source 2026'!$G:$G,'Source 2026'!$B:$B,$A328,'Source 2026'!$A:$A,"Quantity (units)")+SUMIFS('Source 2026'!$J:$J,'Source 2026'!$B:$B,$A328,'Source 2026'!$A:$A,"Quantity (units)")+SUMIFS('Source 2026'!$M:$M,'Source 2026'!$B:$B,$A328,'Source 2026'!$A:$A,"Quantity (units)")</f>
        <v>0</v>
      </c>
      <c r="E328" s="8" t="n">
        <f aca="false">D328*$J$5</f>
        <v>0</v>
      </c>
      <c r="F328" s="8" t="n">
        <f aca="false">E328-C328</f>
        <v>-5</v>
      </c>
      <c r="G328" s="9" t="n">
        <f aca="false">IF(AND(C328=0,E328=0),0,IF(C328=0,"New",(E328-C328)/C328))</f>
        <v>-1</v>
      </c>
      <c r="H328" s="8" t="n">
        <f aca="false">SUMIFS('Source 2025'!$D:$D,'Source 2025'!$B:$B,$A328,'Source 2025'!$A:$A,"Amount (NIS)")+SUMIFS('Source 2025'!$E:$E,'Source 2025'!$B:$B,$A328,'Source 2025'!$A:$A,"Amount (NIS)")+SUMIFS('Source 2025'!$F:$F,'Source 2025'!$B:$B,$A328,'Source 2025'!$A:$A,"Amount (NIS)")+SUMIFS('Source 2025'!$G:$G,'Source 2025'!$B:$B,$A328,'Source 2025'!$A:$A,"Amount (NIS)")+SUMIFS('Source 2025'!$J:$J,'Source 2025'!$B:$B,$A328,'Source 2025'!$A:$A,"Amount (NIS)")+SUMIFS('Source 2025'!$M:$M,'Source 2025'!$B:$B,$A328,'Source 2025'!$A:$A,"Amount (NIS)")</f>
        <v>346.6</v>
      </c>
      <c r="I328" s="8" t="n">
        <f aca="false">SUMIFS('Source 2026'!$D:$D,'Source 2026'!$B:$B,$A328,'Source 2026'!$A:$A,"Amount (NIS)")+SUMIFS('Source 2026'!$E:$E,'Source 2026'!$B:$B,$A328,'Source 2026'!$A:$A,"Amount (NIS)")+SUMIFS('Source 2026'!$F:$F,'Source 2026'!$B:$B,$A328,'Source 2026'!$A:$A,"Amount (NIS)")+SUMIFS('Source 2026'!$G:$G,'Source 2026'!$B:$B,$A328,'Source 2026'!$A:$A,"Amount (NIS)")+SUMIFS('Source 2026'!$J:$J,'Source 2026'!$B:$B,$A328,'Source 2026'!$A:$A,"Amount (NIS)")+SUMIFS('Source 2026'!$M:$M,'Source 2026'!$B:$B,$A328,'Source 2026'!$A:$A,"Amount (NIS)")</f>
        <v>0</v>
      </c>
      <c r="J328" s="8" t="n">
        <f aca="false">I328*$J$5</f>
        <v>0</v>
      </c>
      <c r="K328" s="8" t="n">
        <f aca="false">J328-H328</f>
        <v>-346.6</v>
      </c>
      <c r="L328" s="9" t="n">
        <f aca="false">IF(AND(H328=0,J328=0),0,IF(H328=0,"New",(J328-H328)/H328))</f>
        <v>-1</v>
      </c>
    </row>
    <row r="329" customFormat="false" ht="15" hidden="false" customHeight="false" outlineLevel="0" collapsed="false">
      <c r="A329" s="7" t="n">
        <v>4413500</v>
      </c>
      <c r="B329" s="7" t="str">
        <f aca="false">IFERROR(INDEX('Source 2026'!$C:$C,MATCH($A329,'Source 2026'!$B:$B,0)),IFERROR(INDEX('Source 2025'!$C:$C,MATCH($A329,'Source 2025'!$B:$B,0)),""))</f>
        <v>95B L מגן מרפק שחור</v>
      </c>
      <c r="C329" s="8" t="n">
        <f aca="false">SUMIFS('Source 2025'!$D:$D,'Source 2025'!$B:$B,$A329,'Source 2025'!$A:$A,"Quantity (units)")+SUMIFS('Source 2025'!$E:$E,'Source 2025'!$B:$B,$A329,'Source 2025'!$A:$A,"Quantity (units)")+SUMIFS('Source 2025'!$F:$F,'Source 2025'!$B:$B,$A329,'Source 2025'!$A:$A,"Quantity (units)")+SUMIFS('Source 2025'!$G:$G,'Source 2025'!$B:$B,$A329,'Source 2025'!$A:$A,"Quantity (units)")+SUMIFS('Source 2025'!$J:$J,'Source 2025'!$B:$B,$A329,'Source 2025'!$A:$A,"Quantity (units)")+SUMIFS('Source 2025'!$M:$M,'Source 2025'!$B:$B,$A329,'Source 2025'!$A:$A,"Quantity (units)")</f>
        <v>94</v>
      </c>
      <c r="D329" s="8" t="n">
        <f aca="false">SUMIFS('Source 2026'!$D:$D,'Source 2026'!$B:$B,$A329,'Source 2026'!$A:$A,"Quantity (units)")+SUMIFS('Source 2026'!$E:$E,'Source 2026'!$B:$B,$A329,'Source 2026'!$A:$A,"Quantity (units)")+SUMIFS('Source 2026'!$F:$F,'Source 2026'!$B:$B,$A329,'Source 2026'!$A:$A,"Quantity (units)")+SUMIFS('Source 2026'!$G:$G,'Source 2026'!$B:$B,$A329,'Source 2026'!$A:$A,"Quantity (units)")+SUMIFS('Source 2026'!$J:$J,'Source 2026'!$B:$B,$A329,'Source 2026'!$A:$A,"Quantity (units)")+SUMIFS('Source 2026'!$M:$M,'Source 2026'!$B:$B,$A329,'Source 2026'!$A:$A,"Quantity (units)")</f>
        <v>76</v>
      </c>
      <c r="E329" s="8" t="n">
        <f aca="false">D329*$J$5</f>
        <v>104.228571428571</v>
      </c>
      <c r="F329" s="8" t="n">
        <f aca="false">E329-C329</f>
        <v>10.2285714285714</v>
      </c>
      <c r="G329" s="9" t="n">
        <f aca="false">IF(AND(C329=0,E329=0),0,IF(C329=0,"New",(E329-C329)/C329))</f>
        <v>0.108814589665653</v>
      </c>
      <c r="H329" s="8" t="n">
        <f aca="false">SUMIFS('Source 2025'!$D:$D,'Source 2025'!$B:$B,$A329,'Source 2025'!$A:$A,"Amount (NIS)")+SUMIFS('Source 2025'!$E:$E,'Source 2025'!$B:$B,$A329,'Source 2025'!$A:$A,"Amount (NIS)")+SUMIFS('Source 2025'!$F:$F,'Source 2025'!$B:$B,$A329,'Source 2025'!$A:$A,"Amount (NIS)")+SUMIFS('Source 2025'!$G:$G,'Source 2025'!$B:$B,$A329,'Source 2025'!$A:$A,"Amount (NIS)")+SUMIFS('Source 2025'!$J:$J,'Source 2025'!$B:$B,$A329,'Source 2025'!$A:$A,"Amount (NIS)")+SUMIFS('Source 2025'!$M:$M,'Source 2025'!$B:$B,$A329,'Source 2025'!$A:$A,"Amount (NIS)")</f>
        <v>2669.6</v>
      </c>
      <c r="I329" s="8" t="n">
        <f aca="false">SUMIFS('Source 2026'!$D:$D,'Source 2026'!$B:$B,$A329,'Source 2026'!$A:$A,"Amount (NIS)")+SUMIFS('Source 2026'!$E:$E,'Source 2026'!$B:$B,$A329,'Source 2026'!$A:$A,"Amount (NIS)")+SUMIFS('Source 2026'!$F:$F,'Source 2026'!$B:$B,$A329,'Source 2026'!$A:$A,"Amount (NIS)")+SUMIFS('Source 2026'!$G:$G,'Source 2026'!$B:$B,$A329,'Source 2026'!$A:$A,"Amount (NIS)")+SUMIFS('Source 2026'!$J:$J,'Source 2026'!$B:$B,$A329,'Source 2026'!$A:$A,"Amount (NIS)")+SUMIFS('Source 2026'!$M:$M,'Source 2026'!$B:$B,$A329,'Source 2026'!$A:$A,"Amount (NIS)")</f>
        <v>2323</v>
      </c>
      <c r="J329" s="8" t="n">
        <f aca="false">I329*$J$5</f>
        <v>3185.82857142857</v>
      </c>
      <c r="K329" s="8" t="n">
        <f aca="false">J329-H329</f>
        <v>516.228571428572</v>
      </c>
      <c r="L329" s="9" t="n">
        <f aca="false">IF(AND(H329=0,J329=0),0,IF(H329=0,"New",(J329-H329)/H329))</f>
        <v>0.193373003981335</v>
      </c>
    </row>
    <row r="330" customFormat="false" ht="15" hidden="false" customHeight="false" outlineLevel="0" collapsed="false">
      <c r="A330" s="7" t="n">
        <v>4413105</v>
      </c>
      <c r="B330" s="7" t="str">
        <f aca="false">IFERROR(INDEX('Source 2026'!$C:$C,MATCH($A330,'Source 2026'!$B:$B,0)),IFERROR(INDEX('Source 2025'!$C:$C,MATCH($A330,'Source 2025'!$B:$B,0)),""))</f>
        <v>45E XXLמגן ברך ארוך לבן</v>
      </c>
      <c r="C330" s="8" t="n">
        <f aca="false">SUMIFS('Source 2025'!$D:$D,'Source 2025'!$B:$B,$A330,'Source 2025'!$A:$A,"Quantity (units)")+SUMIFS('Source 2025'!$E:$E,'Source 2025'!$B:$B,$A330,'Source 2025'!$A:$A,"Quantity (units)")+SUMIFS('Source 2025'!$F:$F,'Source 2025'!$B:$B,$A330,'Source 2025'!$A:$A,"Quantity (units)")+SUMIFS('Source 2025'!$G:$G,'Source 2025'!$B:$B,$A330,'Source 2025'!$A:$A,"Quantity (units)")+SUMIFS('Source 2025'!$J:$J,'Source 2025'!$B:$B,$A330,'Source 2025'!$A:$A,"Quantity (units)")+SUMIFS('Source 2025'!$M:$M,'Source 2025'!$B:$B,$A330,'Source 2025'!$A:$A,"Quantity (units)")</f>
        <v>41</v>
      </c>
      <c r="D330" s="8" t="n">
        <f aca="false">SUMIFS('Source 2026'!$D:$D,'Source 2026'!$B:$B,$A330,'Source 2026'!$A:$A,"Quantity (units)")+SUMIFS('Source 2026'!$E:$E,'Source 2026'!$B:$B,$A330,'Source 2026'!$A:$A,"Quantity (units)")+SUMIFS('Source 2026'!$F:$F,'Source 2026'!$B:$B,$A330,'Source 2026'!$A:$A,"Quantity (units)")+SUMIFS('Source 2026'!$G:$G,'Source 2026'!$B:$B,$A330,'Source 2026'!$A:$A,"Quantity (units)")+SUMIFS('Source 2026'!$J:$J,'Source 2026'!$B:$B,$A330,'Source 2026'!$A:$A,"Quantity (units)")+SUMIFS('Source 2026'!$M:$M,'Source 2026'!$B:$B,$A330,'Source 2026'!$A:$A,"Quantity (units)")</f>
        <v>31</v>
      </c>
      <c r="E330" s="8" t="n">
        <f aca="false">D330*$J$5</f>
        <v>42.5142857142857</v>
      </c>
      <c r="F330" s="8" t="n">
        <f aca="false">E330-C330</f>
        <v>1.51428571428571</v>
      </c>
      <c r="G330" s="9" t="n">
        <f aca="false">IF(AND(C330=0,E330=0),0,IF(C330=0,"New",(E330-C330)/C330))</f>
        <v>0.0369337979094076</v>
      </c>
      <c r="H330" s="8" t="n">
        <f aca="false">SUMIFS('Source 2025'!$D:$D,'Source 2025'!$B:$B,$A330,'Source 2025'!$A:$A,"Amount (NIS)")+SUMIFS('Source 2025'!$E:$E,'Source 2025'!$B:$B,$A330,'Source 2025'!$A:$A,"Amount (NIS)")+SUMIFS('Source 2025'!$F:$F,'Source 2025'!$B:$B,$A330,'Source 2025'!$A:$A,"Amount (NIS)")+SUMIFS('Source 2025'!$G:$G,'Source 2025'!$B:$B,$A330,'Source 2025'!$A:$A,"Amount (NIS)")+SUMIFS('Source 2025'!$J:$J,'Source 2025'!$B:$B,$A330,'Source 2025'!$A:$A,"Amount (NIS)")+SUMIFS('Source 2025'!$M:$M,'Source 2025'!$B:$B,$A330,'Source 2025'!$A:$A,"Amount (NIS)")</f>
        <v>1476.1</v>
      </c>
      <c r="I330" s="8" t="n">
        <f aca="false">SUMIFS('Source 2026'!$D:$D,'Source 2026'!$B:$B,$A330,'Source 2026'!$A:$A,"Amount (NIS)")+SUMIFS('Source 2026'!$E:$E,'Source 2026'!$B:$B,$A330,'Source 2026'!$A:$A,"Amount (NIS)")+SUMIFS('Source 2026'!$F:$F,'Source 2026'!$B:$B,$A330,'Source 2026'!$A:$A,"Amount (NIS)")+SUMIFS('Source 2026'!$G:$G,'Source 2026'!$B:$B,$A330,'Source 2026'!$A:$A,"Amount (NIS)")+SUMIFS('Source 2026'!$J:$J,'Source 2026'!$B:$B,$A330,'Source 2026'!$A:$A,"Amount (NIS)")+SUMIFS('Source 2026'!$M:$M,'Source 2026'!$B:$B,$A330,'Source 2026'!$A:$A,"Amount (NIS)")</f>
        <v>1131.1</v>
      </c>
      <c r="J330" s="8" t="n">
        <f aca="false">I330*$J$5</f>
        <v>1551.22285714286</v>
      </c>
      <c r="K330" s="8" t="n">
        <f aca="false">J330-H330</f>
        <v>75.1228571428571</v>
      </c>
      <c r="L330" s="9" t="n">
        <f aca="false">IF(AND(H330=0,J330=0),0,IF(H330=0,"New",(J330-H330)/H330))</f>
        <v>0.0508927966552789</v>
      </c>
    </row>
    <row r="331" customFormat="false" ht="15" hidden="false" customHeight="false" outlineLevel="0" collapsed="false">
      <c r="A331" s="7" t="n">
        <v>4408082</v>
      </c>
      <c r="B331" s="7" t="str">
        <f aca="false">IFERROR(INDEX('Source 2026'!$C:$C,MATCH($A331,'Source 2026'!$B:$B,0)),IFERROR(INDEX('Source 2025'!$C:$C,MATCH($A331,'Source 2025'!$B:$B,0)),""))</f>
        <v>59R XL חגורת שבר לצד ימין</v>
      </c>
      <c r="C331" s="8" t="n">
        <f aca="false">SUMIFS('Source 2025'!$D:$D,'Source 2025'!$B:$B,$A331,'Source 2025'!$A:$A,"Quantity (units)")+SUMIFS('Source 2025'!$E:$E,'Source 2025'!$B:$B,$A331,'Source 2025'!$A:$A,"Quantity (units)")+SUMIFS('Source 2025'!$F:$F,'Source 2025'!$B:$B,$A331,'Source 2025'!$A:$A,"Quantity (units)")+SUMIFS('Source 2025'!$G:$G,'Source 2025'!$B:$B,$A331,'Source 2025'!$A:$A,"Quantity (units)")+SUMIFS('Source 2025'!$J:$J,'Source 2025'!$B:$B,$A331,'Source 2025'!$A:$A,"Quantity (units)")+SUMIFS('Source 2025'!$M:$M,'Source 2025'!$B:$B,$A331,'Source 2025'!$A:$A,"Quantity (units)")</f>
        <v>4</v>
      </c>
      <c r="D331" s="8" t="n">
        <f aca="false">SUMIFS('Source 2026'!$D:$D,'Source 2026'!$B:$B,$A331,'Source 2026'!$A:$A,"Quantity (units)")+SUMIFS('Source 2026'!$E:$E,'Source 2026'!$B:$B,$A331,'Source 2026'!$A:$A,"Quantity (units)")+SUMIFS('Source 2026'!$F:$F,'Source 2026'!$B:$B,$A331,'Source 2026'!$A:$A,"Quantity (units)")+SUMIFS('Source 2026'!$G:$G,'Source 2026'!$B:$B,$A331,'Source 2026'!$A:$A,"Quantity (units)")+SUMIFS('Source 2026'!$J:$J,'Source 2026'!$B:$B,$A331,'Source 2026'!$A:$A,"Quantity (units)")+SUMIFS('Source 2026'!$M:$M,'Source 2026'!$B:$B,$A331,'Source 2026'!$A:$A,"Quantity (units)")</f>
        <v>2</v>
      </c>
      <c r="E331" s="8" t="n">
        <f aca="false">D331*$J$5</f>
        <v>2.74285714285714</v>
      </c>
      <c r="F331" s="8" t="n">
        <f aca="false">E331-C331</f>
        <v>-1.25714285714286</v>
      </c>
      <c r="G331" s="9" t="n">
        <f aca="false">IF(AND(C331=0,E331=0),0,IF(C331=0,"New",(E331-C331)/C331))</f>
        <v>-0.314285714285714</v>
      </c>
      <c r="H331" s="8" t="n">
        <f aca="false">SUMIFS('Source 2025'!$D:$D,'Source 2025'!$B:$B,$A331,'Source 2025'!$A:$A,"Amount (NIS)")+SUMIFS('Source 2025'!$E:$E,'Source 2025'!$B:$B,$A331,'Source 2025'!$A:$A,"Amount (NIS)")+SUMIFS('Source 2025'!$F:$F,'Source 2025'!$B:$B,$A331,'Source 2025'!$A:$A,"Amount (NIS)")+SUMIFS('Source 2025'!$G:$G,'Source 2025'!$B:$B,$A331,'Source 2025'!$A:$A,"Amount (NIS)")+SUMIFS('Source 2025'!$J:$J,'Source 2025'!$B:$B,$A331,'Source 2025'!$A:$A,"Amount (NIS)")+SUMIFS('Source 2025'!$M:$M,'Source 2025'!$B:$B,$A331,'Source 2025'!$A:$A,"Amount (NIS)")</f>
        <v>718.9</v>
      </c>
      <c r="I331" s="8" t="n">
        <f aca="false">SUMIFS('Source 2026'!$D:$D,'Source 2026'!$B:$B,$A331,'Source 2026'!$A:$A,"Amount (NIS)")+SUMIFS('Source 2026'!$E:$E,'Source 2026'!$B:$B,$A331,'Source 2026'!$A:$A,"Amount (NIS)")+SUMIFS('Source 2026'!$F:$F,'Source 2026'!$B:$B,$A331,'Source 2026'!$A:$A,"Amount (NIS)")+SUMIFS('Source 2026'!$G:$G,'Source 2026'!$B:$B,$A331,'Source 2026'!$A:$A,"Amount (NIS)")+SUMIFS('Source 2026'!$J:$J,'Source 2026'!$B:$B,$A331,'Source 2026'!$A:$A,"Amount (NIS)")+SUMIFS('Source 2026'!$M:$M,'Source 2026'!$B:$B,$A331,'Source 2026'!$A:$A,"Amount (NIS)")</f>
        <v>374.9</v>
      </c>
      <c r="J331" s="8" t="n">
        <f aca="false">I331*$J$5</f>
        <v>514.148571428571</v>
      </c>
      <c r="K331" s="8" t="n">
        <f aca="false">J331-H331</f>
        <v>-204.751428571429</v>
      </c>
      <c r="L331" s="9" t="n">
        <f aca="false">IF(AND(H331=0,J331=0),0,IF(H331=0,"New",(J331-H331)/H331))</f>
        <v>-0.284812113745206</v>
      </c>
    </row>
    <row r="332" customFormat="false" ht="15" hidden="false" customHeight="false" outlineLevel="0" collapsed="false">
      <c r="A332" s="7" t="n">
        <v>4408262</v>
      </c>
      <c r="B332" s="7" t="str">
        <f aca="false">IFERROR(INDEX('Source 2026'!$C:$C,MATCH($A332,'Source 2026'!$B:$B,0)),IFERROR(INDEX('Source 2025'!$C:$C,MATCH($A332,'Source 2025'!$B:$B,0)),""))</f>
        <v>11STO XL  חגורה אחרי ניתוח</v>
      </c>
      <c r="C332" s="8" t="n">
        <f aca="false">SUMIFS('Source 2025'!$D:$D,'Source 2025'!$B:$B,$A332,'Source 2025'!$A:$A,"Quantity (units)")+SUMIFS('Source 2025'!$E:$E,'Source 2025'!$B:$B,$A332,'Source 2025'!$A:$A,"Quantity (units)")+SUMIFS('Source 2025'!$F:$F,'Source 2025'!$B:$B,$A332,'Source 2025'!$A:$A,"Quantity (units)")+SUMIFS('Source 2025'!$G:$G,'Source 2025'!$B:$B,$A332,'Source 2025'!$A:$A,"Quantity (units)")+SUMIFS('Source 2025'!$J:$J,'Source 2025'!$B:$B,$A332,'Source 2025'!$A:$A,"Quantity (units)")+SUMIFS('Source 2025'!$M:$M,'Source 2025'!$B:$B,$A332,'Source 2025'!$A:$A,"Quantity (units)")</f>
        <v>0</v>
      </c>
      <c r="D332" s="8" t="n">
        <f aca="false">SUMIFS('Source 2026'!$D:$D,'Source 2026'!$B:$B,$A332,'Source 2026'!$A:$A,"Quantity (units)")+SUMIFS('Source 2026'!$E:$E,'Source 2026'!$B:$B,$A332,'Source 2026'!$A:$A,"Quantity (units)")+SUMIFS('Source 2026'!$F:$F,'Source 2026'!$B:$B,$A332,'Source 2026'!$A:$A,"Quantity (units)")+SUMIFS('Source 2026'!$G:$G,'Source 2026'!$B:$B,$A332,'Source 2026'!$A:$A,"Quantity (units)")+SUMIFS('Source 2026'!$J:$J,'Source 2026'!$B:$B,$A332,'Source 2026'!$A:$A,"Quantity (units)")+SUMIFS('Source 2026'!$M:$M,'Source 2026'!$B:$B,$A332,'Source 2026'!$A:$A,"Quantity (units)")</f>
        <v>2</v>
      </c>
      <c r="E332" s="8" t="n">
        <f aca="false">D332*$J$5</f>
        <v>2.74285714285714</v>
      </c>
      <c r="F332" s="8" t="n">
        <f aca="false">E332-C332</f>
        <v>2.74285714285714</v>
      </c>
      <c r="G332" s="9" t="str">
        <f aca="false">IF(AND(C332=0,E332=0),0,IF(C332=0,"New",(E332-C332)/C332))</f>
        <v>New</v>
      </c>
      <c r="H332" s="8" t="n">
        <f aca="false">SUMIFS('Source 2025'!$D:$D,'Source 2025'!$B:$B,$A332,'Source 2025'!$A:$A,"Amount (NIS)")+SUMIFS('Source 2025'!$E:$E,'Source 2025'!$B:$B,$A332,'Source 2025'!$A:$A,"Amount (NIS)")+SUMIFS('Source 2025'!$F:$F,'Source 2025'!$B:$B,$A332,'Source 2025'!$A:$A,"Amount (NIS)")+SUMIFS('Source 2025'!$G:$G,'Source 2025'!$B:$B,$A332,'Source 2025'!$A:$A,"Amount (NIS)")+SUMIFS('Source 2025'!$J:$J,'Source 2025'!$B:$B,$A332,'Source 2025'!$A:$A,"Amount (NIS)")+SUMIFS('Source 2025'!$M:$M,'Source 2025'!$B:$B,$A332,'Source 2025'!$A:$A,"Amount (NIS)")</f>
        <v>0</v>
      </c>
      <c r="I332" s="8" t="n">
        <f aca="false">SUMIFS('Source 2026'!$D:$D,'Source 2026'!$B:$B,$A332,'Source 2026'!$A:$A,"Amount (NIS)")+SUMIFS('Source 2026'!$E:$E,'Source 2026'!$B:$B,$A332,'Source 2026'!$A:$A,"Amount (NIS)")+SUMIFS('Source 2026'!$F:$F,'Source 2026'!$B:$B,$A332,'Source 2026'!$A:$A,"Amount (NIS)")+SUMIFS('Source 2026'!$G:$G,'Source 2026'!$B:$B,$A332,'Source 2026'!$A:$A,"Amount (NIS)")+SUMIFS('Source 2026'!$J:$J,'Source 2026'!$B:$B,$A332,'Source 2026'!$A:$A,"Amount (NIS)")+SUMIFS('Source 2026'!$M:$M,'Source 2026'!$B:$B,$A332,'Source 2026'!$A:$A,"Amount (NIS)")</f>
        <v>332.7</v>
      </c>
      <c r="J332" s="8" t="n">
        <f aca="false">I332*$J$5</f>
        <v>456.274285714286</v>
      </c>
      <c r="K332" s="8" t="n">
        <f aca="false">J332-H332</f>
        <v>456.274285714286</v>
      </c>
      <c r="L332" s="9" t="str">
        <f aca="false">IF(AND(H332=0,J332=0),0,IF(H332=0,"New",(J332-H332)/H332))</f>
        <v>New</v>
      </c>
    </row>
    <row r="333" customFormat="false" ht="15" hidden="false" customHeight="false" outlineLevel="0" collapsed="false">
      <c r="A333" s="7" t="n">
        <v>4413112</v>
      </c>
      <c r="B333" s="7" t="str">
        <f aca="false">IFERROR(INDEX('Source 2026'!$C:$C,MATCH($A333,'Source 2026'!$B:$B,0)),IFERROR(INDEX('Source 2025'!$C:$C,MATCH($A333,'Source 2025'!$B:$B,0)),""))</f>
        <v>49  L מגן ירך</v>
      </c>
      <c r="C333" s="8" t="n">
        <f aca="false">SUMIFS('Source 2025'!$D:$D,'Source 2025'!$B:$B,$A333,'Source 2025'!$A:$A,"Quantity (units)")+SUMIFS('Source 2025'!$E:$E,'Source 2025'!$B:$B,$A333,'Source 2025'!$A:$A,"Quantity (units)")+SUMIFS('Source 2025'!$F:$F,'Source 2025'!$B:$B,$A333,'Source 2025'!$A:$A,"Quantity (units)")+SUMIFS('Source 2025'!$G:$G,'Source 2025'!$B:$B,$A333,'Source 2025'!$A:$A,"Quantity (units)")+SUMIFS('Source 2025'!$J:$J,'Source 2025'!$B:$B,$A333,'Source 2025'!$A:$A,"Quantity (units)")+SUMIFS('Source 2025'!$M:$M,'Source 2025'!$B:$B,$A333,'Source 2025'!$A:$A,"Quantity (units)")</f>
        <v>35</v>
      </c>
      <c r="D333" s="8" t="n">
        <f aca="false">SUMIFS('Source 2026'!$D:$D,'Source 2026'!$B:$B,$A333,'Source 2026'!$A:$A,"Quantity (units)")+SUMIFS('Source 2026'!$E:$E,'Source 2026'!$B:$B,$A333,'Source 2026'!$A:$A,"Quantity (units)")+SUMIFS('Source 2026'!$F:$F,'Source 2026'!$B:$B,$A333,'Source 2026'!$A:$A,"Quantity (units)")+SUMIFS('Source 2026'!$G:$G,'Source 2026'!$B:$B,$A333,'Source 2026'!$A:$A,"Quantity (units)")+SUMIFS('Source 2026'!$J:$J,'Source 2026'!$B:$B,$A333,'Source 2026'!$A:$A,"Quantity (units)")+SUMIFS('Source 2026'!$M:$M,'Source 2026'!$B:$B,$A333,'Source 2026'!$A:$A,"Quantity (units)")</f>
        <v>23</v>
      </c>
      <c r="E333" s="8" t="n">
        <f aca="false">D333*$J$5</f>
        <v>31.5428571428571</v>
      </c>
      <c r="F333" s="8" t="n">
        <f aca="false">E333-C333</f>
        <v>-3.45714285714286</v>
      </c>
      <c r="G333" s="9" t="n">
        <f aca="false">IF(AND(C333=0,E333=0),0,IF(C333=0,"New",(E333-C333)/C333))</f>
        <v>-0.0987755102040816</v>
      </c>
      <c r="H333" s="8" t="n">
        <f aca="false">SUMIFS('Source 2025'!$D:$D,'Source 2025'!$B:$B,$A333,'Source 2025'!$A:$A,"Amount (NIS)")+SUMIFS('Source 2025'!$E:$E,'Source 2025'!$B:$B,$A333,'Source 2025'!$A:$A,"Amount (NIS)")+SUMIFS('Source 2025'!$F:$F,'Source 2025'!$B:$B,$A333,'Source 2025'!$A:$A,"Amount (NIS)")+SUMIFS('Source 2025'!$G:$G,'Source 2025'!$B:$B,$A333,'Source 2025'!$A:$A,"Amount (NIS)")+SUMIFS('Source 2025'!$J:$J,'Source 2025'!$B:$B,$A333,'Source 2025'!$A:$A,"Amount (NIS)")+SUMIFS('Source 2025'!$M:$M,'Source 2025'!$B:$B,$A333,'Source 2025'!$A:$A,"Amount (NIS)")</f>
        <v>1129.3</v>
      </c>
      <c r="I333" s="8" t="n">
        <f aca="false">SUMIFS('Source 2026'!$D:$D,'Source 2026'!$B:$B,$A333,'Source 2026'!$A:$A,"Amount (NIS)")+SUMIFS('Source 2026'!$E:$E,'Source 2026'!$B:$B,$A333,'Source 2026'!$A:$A,"Amount (NIS)")+SUMIFS('Source 2026'!$F:$F,'Source 2026'!$B:$B,$A333,'Source 2026'!$A:$A,"Amount (NIS)")+SUMIFS('Source 2026'!$G:$G,'Source 2026'!$B:$B,$A333,'Source 2026'!$A:$A,"Amount (NIS)")+SUMIFS('Source 2026'!$J:$J,'Source 2026'!$B:$B,$A333,'Source 2026'!$A:$A,"Amount (NIS)")+SUMIFS('Source 2026'!$M:$M,'Source 2026'!$B:$B,$A333,'Source 2026'!$A:$A,"Amount (NIS)")</f>
        <v>798</v>
      </c>
      <c r="J333" s="8" t="n">
        <f aca="false">I333*$J$5</f>
        <v>1094.4</v>
      </c>
      <c r="K333" s="8" t="n">
        <f aca="false">J333-H333</f>
        <v>-34.9000000000001</v>
      </c>
      <c r="L333" s="9" t="n">
        <f aca="false">IF(AND(H333=0,J333=0),0,IF(H333=0,"New",(J333-H333)/H333))</f>
        <v>-0.0309040998848845</v>
      </c>
    </row>
    <row r="334" customFormat="false" ht="15" hidden="false" customHeight="false" outlineLevel="0" collapsed="false">
      <c r="A334" s="7" t="n">
        <v>4409013</v>
      </c>
      <c r="B334" s="7" t="str">
        <f aca="false">IFERROR(INDEX('Source 2026'!$C:$C,MATCH($A334,'Source 2026'!$B:$B,0)),IFERROR(INDEX('Source 2025'!$C:$C,MATCH($A334,'Source 2025'!$B:$B,0)),""))</f>
        <v>804AT-BL     טייפ חבישה לספורט</v>
      </c>
      <c r="C334" s="8" t="n">
        <f aca="false">SUMIFS('Source 2025'!$D:$D,'Source 2025'!$B:$B,$A334,'Source 2025'!$A:$A,"Quantity (units)")+SUMIFS('Source 2025'!$E:$E,'Source 2025'!$B:$B,$A334,'Source 2025'!$A:$A,"Quantity (units)")+SUMIFS('Source 2025'!$F:$F,'Source 2025'!$B:$B,$A334,'Source 2025'!$A:$A,"Quantity (units)")+SUMIFS('Source 2025'!$G:$G,'Source 2025'!$B:$B,$A334,'Source 2025'!$A:$A,"Quantity (units)")+SUMIFS('Source 2025'!$J:$J,'Source 2025'!$B:$B,$A334,'Source 2025'!$A:$A,"Quantity (units)")+SUMIFS('Source 2025'!$M:$M,'Source 2025'!$B:$B,$A334,'Source 2025'!$A:$A,"Quantity (units)")</f>
        <v>7</v>
      </c>
      <c r="D334" s="8" t="n">
        <f aca="false">SUMIFS('Source 2026'!$D:$D,'Source 2026'!$B:$B,$A334,'Source 2026'!$A:$A,"Quantity (units)")+SUMIFS('Source 2026'!$E:$E,'Source 2026'!$B:$B,$A334,'Source 2026'!$A:$A,"Quantity (units)")+SUMIFS('Source 2026'!$F:$F,'Source 2026'!$B:$B,$A334,'Source 2026'!$A:$A,"Quantity (units)")+SUMIFS('Source 2026'!$G:$G,'Source 2026'!$B:$B,$A334,'Source 2026'!$A:$A,"Quantity (units)")+SUMIFS('Source 2026'!$J:$J,'Source 2026'!$B:$B,$A334,'Source 2026'!$A:$A,"Quantity (units)")+SUMIFS('Source 2026'!$M:$M,'Source 2026'!$B:$B,$A334,'Source 2026'!$A:$A,"Quantity (units)")</f>
        <v>26</v>
      </c>
      <c r="E334" s="8" t="n">
        <f aca="false">D334*$J$5</f>
        <v>35.6571428571429</v>
      </c>
      <c r="F334" s="8" t="n">
        <f aca="false">E334-C334</f>
        <v>28.6571428571429</v>
      </c>
      <c r="G334" s="9" t="n">
        <f aca="false">IF(AND(C334=0,E334=0),0,IF(C334=0,"New",(E334-C334)/C334))</f>
        <v>4.09387755102041</v>
      </c>
      <c r="H334" s="8" t="n">
        <f aca="false">SUMIFS('Source 2025'!$D:$D,'Source 2025'!$B:$B,$A334,'Source 2025'!$A:$A,"Amount (NIS)")+SUMIFS('Source 2025'!$E:$E,'Source 2025'!$B:$B,$A334,'Source 2025'!$A:$A,"Amount (NIS)")+SUMIFS('Source 2025'!$F:$F,'Source 2025'!$B:$B,$A334,'Source 2025'!$A:$A,"Amount (NIS)")+SUMIFS('Source 2025'!$G:$G,'Source 2025'!$B:$B,$A334,'Source 2025'!$A:$A,"Amount (NIS)")+SUMIFS('Source 2025'!$J:$J,'Source 2025'!$B:$B,$A334,'Source 2025'!$A:$A,"Amount (NIS)")+SUMIFS('Source 2025'!$M:$M,'Source 2025'!$B:$B,$A334,'Source 2025'!$A:$A,"Amount (NIS)")</f>
        <v>118.8</v>
      </c>
      <c r="I334" s="8" t="n">
        <f aca="false">SUMIFS('Source 2026'!$D:$D,'Source 2026'!$B:$B,$A334,'Source 2026'!$A:$A,"Amount (NIS)")+SUMIFS('Source 2026'!$E:$E,'Source 2026'!$B:$B,$A334,'Source 2026'!$A:$A,"Amount (NIS)")+SUMIFS('Source 2026'!$F:$F,'Source 2026'!$B:$B,$A334,'Source 2026'!$A:$A,"Amount (NIS)")+SUMIFS('Source 2026'!$G:$G,'Source 2026'!$B:$B,$A334,'Source 2026'!$A:$A,"Amount (NIS)")+SUMIFS('Source 2026'!$J:$J,'Source 2026'!$B:$B,$A334,'Source 2026'!$A:$A,"Amount (NIS)")+SUMIFS('Source 2026'!$M:$M,'Source 2026'!$B:$B,$A334,'Source 2026'!$A:$A,"Amount (NIS)")</f>
        <v>449.7</v>
      </c>
      <c r="J334" s="8" t="n">
        <f aca="false">I334*$J$5</f>
        <v>616.731428571429</v>
      </c>
      <c r="K334" s="8" t="n">
        <f aca="false">J334-H334</f>
        <v>497.931428571429</v>
      </c>
      <c r="L334" s="9" t="n">
        <f aca="false">IF(AND(H334=0,J334=0),0,IF(H334=0,"New",(J334-H334)/H334))</f>
        <v>4.19134199134199</v>
      </c>
    </row>
    <row r="335" customFormat="false" ht="15" hidden="false" customHeight="false" outlineLevel="0" collapsed="false">
      <c r="A335" s="7" t="n">
        <v>4413073</v>
      </c>
      <c r="B335" s="7" t="str">
        <f aca="false">IFERROR(INDEX('Source 2026'!$C:$C,MATCH($A335,'Source 2026'!$B:$B,0)),IFERROR(INDEX('Source 2025'!$C:$C,MATCH($A335,'Source 2025'!$B:$B,0)),""))</f>
        <v>41 Mמ.ברך מוצלב+ספירלות בצדדים</v>
      </c>
      <c r="C335" s="8" t="n">
        <f aca="false">SUMIFS('Source 2025'!$D:$D,'Source 2025'!$B:$B,$A335,'Source 2025'!$A:$A,"Quantity (units)")+SUMIFS('Source 2025'!$E:$E,'Source 2025'!$B:$B,$A335,'Source 2025'!$A:$A,"Quantity (units)")+SUMIFS('Source 2025'!$F:$F,'Source 2025'!$B:$B,$A335,'Source 2025'!$A:$A,"Quantity (units)")+SUMIFS('Source 2025'!$G:$G,'Source 2025'!$B:$B,$A335,'Source 2025'!$A:$A,"Quantity (units)")+SUMIFS('Source 2025'!$J:$J,'Source 2025'!$B:$B,$A335,'Source 2025'!$A:$A,"Quantity (units)")+SUMIFS('Source 2025'!$M:$M,'Source 2025'!$B:$B,$A335,'Source 2025'!$A:$A,"Quantity (units)")</f>
        <v>4</v>
      </c>
      <c r="D335" s="8" t="n">
        <f aca="false">SUMIFS('Source 2026'!$D:$D,'Source 2026'!$B:$B,$A335,'Source 2026'!$A:$A,"Quantity (units)")+SUMIFS('Source 2026'!$E:$E,'Source 2026'!$B:$B,$A335,'Source 2026'!$A:$A,"Quantity (units)")+SUMIFS('Source 2026'!$F:$F,'Source 2026'!$B:$B,$A335,'Source 2026'!$A:$A,"Quantity (units)")+SUMIFS('Source 2026'!$G:$G,'Source 2026'!$B:$B,$A335,'Source 2026'!$A:$A,"Quantity (units)")+SUMIFS('Source 2026'!$J:$J,'Source 2026'!$B:$B,$A335,'Source 2026'!$A:$A,"Quantity (units)")+SUMIFS('Source 2026'!$M:$M,'Source 2026'!$B:$B,$A335,'Source 2026'!$A:$A,"Quantity (units)")</f>
        <v>6</v>
      </c>
      <c r="E335" s="8" t="n">
        <f aca="false">D335*$J$5</f>
        <v>8.22857142857143</v>
      </c>
      <c r="F335" s="8" t="n">
        <f aca="false">E335-C335</f>
        <v>4.22857142857143</v>
      </c>
      <c r="G335" s="9" t="n">
        <f aca="false">IF(AND(C335=0,E335=0),0,IF(C335=0,"New",(E335-C335)/C335))</f>
        <v>1.05714285714286</v>
      </c>
      <c r="H335" s="8" t="n">
        <f aca="false">SUMIFS('Source 2025'!$D:$D,'Source 2025'!$B:$B,$A335,'Source 2025'!$A:$A,"Amount (NIS)")+SUMIFS('Source 2025'!$E:$E,'Source 2025'!$B:$B,$A335,'Source 2025'!$A:$A,"Amount (NIS)")+SUMIFS('Source 2025'!$F:$F,'Source 2025'!$B:$B,$A335,'Source 2025'!$A:$A,"Amount (NIS)")+SUMIFS('Source 2025'!$G:$G,'Source 2025'!$B:$B,$A335,'Source 2025'!$A:$A,"Amount (NIS)")+SUMIFS('Source 2025'!$J:$J,'Source 2025'!$B:$B,$A335,'Source 2025'!$A:$A,"Amount (NIS)")+SUMIFS('Source 2025'!$M:$M,'Source 2025'!$B:$B,$A335,'Source 2025'!$A:$A,"Amount (NIS)")</f>
        <v>412.1</v>
      </c>
      <c r="I335" s="8" t="n">
        <f aca="false">SUMIFS('Source 2026'!$D:$D,'Source 2026'!$B:$B,$A335,'Source 2026'!$A:$A,"Amount (NIS)")+SUMIFS('Source 2026'!$E:$E,'Source 2026'!$B:$B,$A335,'Source 2026'!$A:$A,"Amount (NIS)")+SUMIFS('Source 2026'!$F:$F,'Source 2026'!$B:$B,$A335,'Source 2026'!$A:$A,"Amount (NIS)")+SUMIFS('Source 2026'!$G:$G,'Source 2026'!$B:$B,$A335,'Source 2026'!$A:$A,"Amount (NIS)")+SUMIFS('Source 2026'!$J:$J,'Source 2026'!$B:$B,$A335,'Source 2026'!$A:$A,"Amount (NIS)")+SUMIFS('Source 2026'!$M:$M,'Source 2026'!$B:$B,$A335,'Source 2026'!$A:$A,"Amount (NIS)")</f>
        <v>742.2</v>
      </c>
      <c r="J335" s="8" t="n">
        <f aca="false">I335*$J$5</f>
        <v>1017.87428571429</v>
      </c>
      <c r="K335" s="8" t="n">
        <f aca="false">J335-H335</f>
        <v>605.774285714286</v>
      </c>
      <c r="L335" s="9" t="n">
        <f aca="false">IF(AND(H335=0,J335=0),0,IF(H335=0,"New",(J335-H335)/H335))</f>
        <v>1.46996914757167</v>
      </c>
    </row>
    <row r="336" customFormat="false" ht="15" hidden="false" customHeight="false" outlineLevel="0" collapsed="false">
      <c r="A336" s="7" t="n">
        <v>4403003</v>
      </c>
      <c r="B336" s="7" t="str">
        <f aca="false">IFERROR(INDEX('Source 2026'!$C:$C,MATCH($A336,'Source 2026'!$B:$B,0)),IFERROR(INDEX('Source 2025'!$C:$C,MATCH($A336,'Source 2025'!$B:$B,0)),""))</f>
        <v>390G ג.כסף לסכרתיים אפור35-38</v>
      </c>
      <c r="C336" s="8" t="n">
        <f aca="false">SUMIFS('Source 2025'!$D:$D,'Source 2025'!$B:$B,$A336,'Source 2025'!$A:$A,"Quantity (units)")+SUMIFS('Source 2025'!$E:$E,'Source 2025'!$B:$B,$A336,'Source 2025'!$A:$A,"Quantity (units)")+SUMIFS('Source 2025'!$F:$F,'Source 2025'!$B:$B,$A336,'Source 2025'!$A:$A,"Quantity (units)")+SUMIFS('Source 2025'!$G:$G,'Source 2025'!$B:$B,$A336,'Source 2025'!$A:$A,"Quantity (units)")+SUMIFS('Source 2025'!$J:$J,'Source 2025'!$B:$B,$A336,'Source 2025'!$A:$A,"Quantity (units)")+SUMIFS('Source 2025'!$M:$M,'Source 2025'!$B:$B,$A336,'Source 2025'!$A:$A,"Quantity (units)")</f>
        <v>2</v>
      </c>
      <c r="D336" s="8" t="n">
        <f aca="false">SUMIFS('Source 2026'!$D:$D,'Source 2026'!$B:$B,$A336,'Source 2026'!$A:$A,"Quantity (units)")+SUMIFS('Source 2026'!$E:$E,'Source 2026'!$B:$B,$A336,'Source 2026'!$A:$A,"Quantity (units)")+SUMIFS('Source 2026'!$F:$F,'Source 2026'!$B:$B,$A336,'Source 2026'!$A:$A,"Quantity (units)")+SUMIFS('Source 2026'!$G:$G,'Source 2026'!$B:$B,$A336,'Source 2026'!$A:$A,"Quantity (units)")+SUMIFS('Source 2026'!$J:$J,'Source 2026'!$B:$B,$A336,'Source 2026'!$A:$A,"Quantity (units)")+SUMIFS('Source 2026'!$M:$M,'Source 2026'!$B:$B,$A336,'Source 2026'!$A:$A,"Quantity (units)")</f>
        <v>11</v>
      </c>
      <c r="E336" s="8" t="n">
        <f aca="false">D336*$J$5</f>
        <v>15.0857142857143</v>
      </c>
      <c r="F336" s="8" t="n">
        <f aca="false">E336-C336</f>
        <v>13.0857142857143</v>
      </c>
      <c r="G336" s="9" t="n">
        <f aca="false">IF(AND(C336=0,E336=0),0,IF(C336=0,"New",(E336-C336)/C336))</f>
        <v>6.54285714285714</v>
      </c>
      <c r="H336" s="8" t="n">
        <f aca="false">SUMIFS('Source 2025'!$D:$D,'Source 2025'!$B:$B,$A336,'Source 2025'!$A:$A,"Amount (NIS)")+SUMIFS('Source 2025'!$E:$E,'Source 2025'!$B:$B,$A336,'Source 2025'!$A:$A,"Amount (NIS)")+SUMIFS('Source 2025'!$F:$F,'Source 2025'!$B:$B,$A336,'Source 2025'!$A:$A,"Amount (NIS)")+SUMIFS('Source 2025'!$G:$G,'Source 2025'!$B:$B,$A336,'Source 2025'!$A:$A,"Amount (NIS)")+SUMIFS('Source 2025'!$J:$J,'Source 2025'!$B:$B,$A336,'Source 2025'!$A:$A,"Amount (NIS)")+SUMIFS('Source 2025'!$M:$M,'Source 2025'!$B:$B,$A336,'Source 2025'!$A:$A,"Amount (NIS)")</f>
        <v>51</v>
      </c>
      <c r="I336" s="8" t="n">
        <f aca="false">SUMIFS('Source 2026'!$D:$D,'Source 2026'!$B:$B,$A336,'Source 2026'!$A:$A,"Amount (NIS)")+SUMIFS('Source 2026'!$E:$E,'Source 2026'!$B:$B,$A336,'Source 2026'!$A:$A,"Amount (NIS)")+SUMIFS('Source 2026'!$F:$F,'Source 2026'!$B:$B,$A336,'Source 2026'!$A:$A,"Amount (NIS)")+SUMIFS('Source 2026'!$G:$G,'Source 2026'!$B:$B,$A336,'Source 2026'!$A:$A,"Amount (NIS)")+SUMIFS('Source 2026'!$J:$J,'Source 2026'!$B:$B,$A336,'Source 2026'!$A:$A,"Amount (NIS)")+SUMIFS('Source 2026'!$M:$M,'Source 2026'!$B:$B,$A336,'Source 2026'!$A:$A,"Amount (NIS)")</f>
        <v>376.8</v>
      </c>
      <c r="J336" s="8" t="n">
        <f aca="false">I336*$J$5</f>
        <v>516.754285714286</v>
      </c>
      <c r="K336" s="8" t="n">
        <f aca="false">J336-H336</f>
        <v>465.754285714286</v>
      </c>
      <c r="L336" s="9" t="n">
        <f aca="false">IF(AND(H336=0,J336=0),0,IF(H336=0,"New",(J336-H336)/H336))</f>
        <v>9.13243697478992</v>
      </c>
    </row>
    <row r="337" customFormat="false" ht="15" hidden="false" customHeight="false" outlineLevel="0" collapsed="false">
      <c r="A337" s="7" t="n">
        <v>4408080</v>
      </c>
      <c r="B337" s="7" t="str">
        <f aca="false">IFERROR(INDEX('Source 2026'!$C:$C,MATCH($A337,'Source 2026'!$B:$B,0)),IFERROR(INDEX('Source 2025'!$C:$C,MATCH($A337,'Source 2025'!$B:$B,0)),""))</f>
        <v>59R L חגורת שבר לצד ימין</v>
      </c>
      <c r="C337" s="8" t="n">
        <f aca="false">SUMIFS('Source 2025'!$D:$D,'Source 2025'!$B:$B,$A337,'Source 2025'!$A:$A,"Quantity (units)")+SUMIFS('Source 2025'!$E:$E,'Source 2025'!$B:$B,$A337,'Source 2025'!$A:$A,"Quantity (units)")+SUMIFS('Source 2025'!$F:$F,'Source 2025'!$B:$B,$A337,'Source 2025'!$A:$A,"Quantity (units)")+SUMIFS('Source 2025'!$G:$G,'Source 2025'!$B:$B,$A337,'Source 2025'!$A:$A,"Quantity (units)")+SUMIFS('Source 2025'!$J:$J,'Source 2025'!$B:$B,$A337,'Source 2025'!$A:$A,"Quantity (units)")+SUMIFS('Source 2025'!$M:$M,'Source 2025'!$B:$B,$A337,'Source 2025'!$A:$A,"Quantity (units)")</f>
        <v>6</v>
      </c>
      <c r="D337" s="8" t="n">
        <f aca="false">SUMIFS('Source 2026'!$D:$D,'Source 2026'!$B:$B,$A337,'Source 2026'!$A:$A,"Quantity (units)")+SUMIFS('Source 2026'!$E:$E,'Source 2026'!$B:$B,$A337,'Source 2026'!$A:$A,"Quantity (units)")+SUMIFS('Source 2026'!$F:$F,'Source 2026'!$B:$B,$A337,'Source 2026'!$A:$A,"Quantity (units)")+SUMIFS('Source 2026'!$G:$G,'Source 2026'!$B:$B,$A337,'Source 2026'!$A:$A,"Quantity (units)")+SUMIFS('Source 2026'!$J:$J,'Source 2026'!$B:$B,$A337,'Source 2026'!$A:$A,"Quantity (units)")+SUMIFS('Source 2026'!$M:$M,'Source 2026'!$B:$B,$A337,'Source 2026'!$A:$A,"Quantity (units)")</f>
        <v>4</v>
      </c>
      <c r="E337" s="8" t="n">
        <f aca="false">D337*$J$5</f>
        <v>5.48571428571429</v>
      </c>
      <c r="F337" s="8" t="n">
        <f aca="false">E337-C337</f>
        <v>-0.514285714285714</v>
      </c>
      <c r="G337" s="9" t="n">
        <f aca="false">IF(AND(C337=0,E337=0),0,IF(C337=0,"New",(E337-C337)/C337))</f>
        <v>-0.0857142857142857</v>
      </c>
      <c r="H337" s="8" t="n">
        <f aca="false">SUMIFS('Source 2025'!$D:$D,'Source 2025'!$B:$B,$A337,'Source 2025'!$A:$A,"Amount (NIS)")+SUMIFS('Source 2025'!$E:$E,'Source 2025'!$B:$B,$A337,'Source 2025'!$A:$A,"Amount (NIS)")+SUMIFS('Source 2025'!$F:$F,'Source 2025'!$B:$B,$A337,'Source 2025'!$A:$A,"Amount (NIS)")+SUMIFS('Source 2025'!$G:$G,'Source 2025'!$B:$B,$A337,'Source 2025'!$A:$A,"Amount (NIS)")+SUMIFS('Source 2025'!$J:$J,'Source 2025'!$B:$B,$A337,'Source 2025'!$A:$A,"Amount (NIS)")+SUMIFS('Source 2025'!$M:$M,'Source 2025'!$B:$B,$A337,'Source 2025'!$A:$A,"Amount (NIS)")</f>
        <v>1087.2</v>
      </c>
      <c r="I337" s="8" t="n">
        <f aca="false">SUMIFS('Source 2026'!$D:$D,'Source 2026'!$B:$B,$A337,'Source 2026'!$A:$A,"Amount (NIS)")+SUMIFS('Source 2026'!$E:$E,'Source 2026'!$B:$B,$A337,'Source 2026'!$A:$A,"Amount (NIS)")+SUMIFS('Source 2026'!$F:$F,'Source 2026'!$B:$B,$A337,'Source 2026'!$A:$A,"Amount (NIS)")+SUMIFS('Source 2026'!$G:$G,'Source 2026'!$B:$B,$A337,'Source 2026'!$A:$A,"Amount (NIS)")+SUMIFS('Source 2026'!$J:$J,'Source 2026'!$B:$B,$A337,'Source 2026'!$A:$A,"Amount (NIS)")+SUMIFS('Source 2026'!$M:$M,'Source 2026'!$B:$B,$A337,'Source 2026'!$A:$A,"Amount (NIS)")</f>
        <v>762.3</v>
      </c>
      <c r="J337" s="8" t="n">
        <f aca="false">I337*$J$5</f>
        <v>1045.44</v>
      </c>
      <c r="K337" s="8" t="n">
        <f aca="false">J337-H337</f>
        <v>-41.76</v>
      </c>
      <c r="L337" s="9" t="n">
        <f aca="false">IF(AND(H337=0,J337=0),0,IF(H337=0,"New",(J337-H337)/H337))</f>
        <v>-0.0384105960264901</v>
      </c>
    </row>
    <row r="338" customFormat="false" ht="15" hidden="false" customHeight="false" outlineLevel="0" collapsed="false">
      <c r="A338" s="7" t="n">
        <v>4408272</v>
      </c>
      <c r="B338" s="7" t="str">
        <f aca="false">IFERROR(INDEX('Source 2026'!$C:$C,MATCH($A338,'Source 2026'!$B:$B,0)),IFERROR(INDEX('Source 2025'!$C:$C,MATCH($A338,'Source 2025'!$B:$B,0)),""))</f>
        <v>70N S חגורת פאבליק</v>
      </c>
      <c r="C338" s="8" t="n">
        <f aca="false">SUMIFS('Source 2025'!$D:$D,'Source 2025'!$B:$B,$A338,'Source 2025'!$A:$A,"Quantity (units)")+SUMIFS('Source 2025'!$E:$E,'Source 2025'!$B:$B,$A338,'Source 2025'!$A:$A,"Quantity (units)")+SUMIFS('Source 2025'!$F:$F,'Source 2025'!$B:$B,$A338,'Source 2025'!$A:$A,"Quantity (units)")+SUMIFS('Source 2025'!$G:$G,'Source 2025'!$B:$B,$A338,'Source 2025'!$A:$A,"Quantity (units)")+SUMIFS('Source 2025'!$J:$J,'Source 2025'!$B:$B,$A338,'Source 2025'!$A:$A,"Quantity (units)")+SUMIFS('Source 2025'!$M:$M,'Source 2025'!$B:$B,$A338,'Source 2025'!$A:$A,"Quantity (units)")</f>
        <v>0</v>
      </c>
      <c r="D338" s="8" t="n">
        <f aca="false">SUMIFS('Source 2026'!$D:$D,'Source 2026'!$B:$B,$A338,'Source 2026'!$A:$A,"Quantity (units)")+SUMIFS('Source 2026'!$E:$E,'Source 2026'!$B:$B,$A338,'Source 2026'!$A:$A,"Quantity (units)")+SUMIFS('Source 2026'!$F:$F,'Source 2026'!$B:$B,$A338,'Source 2026'!$A:$A,"Quantity (units)")+SUMIFS('Source 2026'!$G:$G,'Source 2026'!$B:$B,$A338,'Source 2026'!$A:$A,"Quantity (units)")+SUMIFS('Source 2026'!$J:$J,'Source 2026'!$B:$B,$A338,'Source 2026'!$A:$A,"Quantity (units)")+SUMIFS('Source 2026'!$M:$M,'Source 2026'!$B:$B,$A338,'Source 2026'!$A:$A,"Quantity (units)")</f>
        <v>1</v>
      </c>
      <c r="E338" s="8" t="n">
        <f aca="false">D338*$J$5</f>
        <v>1.37142857142857</v>
      </c>
      <c r="F338" s="8" t="n">
        <f aca="false">E338-C338</f>
        <v>1.37142857142857</v>
      </c>
      <c r="G338" s="9" t="str">
        <f aca="false">IF(AND(C338=0,E338=0),0,IF(C338=0,"New",(E338-C338)/C338))</f>
        <v>New</v>
      </c>
      <c r="H338" s="8" t="n">
        <f aca="false">SUMIFS('Source 2025'!$D:$D,'Source 2025'!$B:$B,$A338,'Source 2025'!$A:$A,"Amount (NIS)")+SUMIFS('Source 2025'!$E:$E,'Source 2025'!$B:$B,$A338,'Source 2025'!$A:$A,"Amount (NIS)")+SUMIFS('Source 2025'!$F:$F,'Source 2025'!$B:$B,$A338,'Source 2025'!$A:$A,"Amount (NIS)")+SUMIFS('Source 2025'!$G:$G,'Source 2025'!$B:$B,$A338,'Source 2025'!$A:$A,"Amount (NIS)")+SUMIFS('Source 2025'!$J:$J,'Source 2025'!$B:$B,$A338,'Source 2025'!$A:$A,"Amount (NIS)")+SUMIFS('Source 2025'!$M:$M,'Source 2025'!$B:$B,$A338,'Source 2025'!$A:$A,"Amount (NIS)")</f>
        <v>0</v>
      </c>
      <c r="I338" s="8" t="n">
        <f aca="false">SUMIFS('Source 2026'!$D:$D,'Source 2026'!$B:$B,$A338,'Source 2026'!$A:$A,"Amount (NIS)")+SUMIFS('Source 2026'!$E:$E,'Source 2026'!$B:$B,$A338,'Source 2026'!$A:$A,"Amount (NIS)")+SUMIFS('Source 2026'!$F:$F,'Source 2026'!$B:$B,$A338,'Source 2026'!$A:$A,"Amount (NIS)")+SUMIFS('Source 2026'!$G:$G,'Source 2026'!$B:$B,$A338,'Source 2026'!$A:$A,"Amount (NIS)")+SUMIFS('Source 2026'!$J:$J,'Source 2026'!$B:$B,$A338,'Source 2026'!$A:$A,"Amount (NIS)")+SUMIFS('Source 2026'!$M:$M,'Source 2026'!$B:$B,$A338,'Source 2026'!$A:$A,"Amount (NIS)")</f>
        <v>323.4</v>
      </c>
      <c r="J338" s="8" t="n">
        <f aca="false">I338*$J$5</f>
        <v>443.52</v>
      </c>
      <c r="K338" s="8" t="n">
        <f aca="false">J338-H338</f>
        <v>443.52</v>
      </c>
      <c r="L338" s="9" t="str">
        <f aca="false">IF(AND(H338=0,J338=0),0,IF(H338=0,"New",(J338-H338)/H338))</f>
        <v>New</v>
      </c>
    </row>
    <row r="339" customFormat="false" ht="15" hidden="false" customHeight="false" outlineLevel="0" collapsed="false">
      <c r="A339" s="7" t="n">
        <v>4408273</v>
      </c>
      <c r="B339" s="7" t="str">
        <f aca="false">IFERROR(INDEX('Source 2026'!$C:$C,MATCH($A339,'Source 2026'!$B:$B,0)),IFERROR(INDEX('Source 2025'!$C:$C,MATCH($A339,'Source 2025'!$B:$B,0)),""))</f>
        <v>70N M חגורת פאבליק</v>
      </c>
      <c r="C339" s="8" t="n">
        <f aca="false">SUMIFS('Source 2025'!$D:$D,'Source 2025'!$B:$B,$A339,'Source 2025'!$A:$A,"Quantity (units)")+SUMIFS('Source 2025'!$E:$E,'Source 2025'!$B:$B,$A339,'Source 2025'!$A:$A,"Quantity (units)")+SUMIFS('Source 2025'!$F:$F,'Source 2025'!$B:$B,$A339,'Source 2025'!$A:$A,"Quantity (units)")+SUMIFS('Source 2025'!$G:$G,'Source 2025'!$B:$B,$A339,'Source 2025'!$A:$A,"Quantity (units)")+SUMIFS('Source 2025'!$J:$J,'Source 2025'!$B:$B,$A339,'Source 2025'!$A:$A,"Quantity (units)")+SUMIFS('Source 2025'!$M:$M,'Source 2025'!$B:$B,$A339,'Source 2025'!$A:$A,"Quantity (units)")</f>
        <v>0</v>
      </c>
      <c r="D339" s="8" t="n">
        <f aca="false">SUMIFS('Source 2026'!$D:$D,'Source 2026'!$B:$B,$A339,'Source 2026'!$A:$A,"Quantity (units)")+SUMIFS('Source 2026'!$E:$E,'Source 2026'!$B:$B,$A339,'Source 2026'!$A:$A,"Quantity (units)")+SUMIFS('Source 2026'!$F:$F,'Source 2026'!$B:$B,$A339,'Source 2026'!$A:$A,"Quantity (units)")+SUMIFS('Source 2026'!$G:$G,'Source 2026'!$B:$B,$A339,'Source 2026'!$A:$A,"Quantity (units)")+SUMIFS('Source 2026'!$J:$J,'Source 2026'!$B:$B,$A339,'Source 2026'!$A:$A,"Quantity (units)")+SUMIFS('Source 2026'!$M:$M,'Source 2026'!$B:$B,$A339,'Source 2026'!$A:$A,"Quantity (units)")</f>
        <v>1</v>
      </c>
      <c r="E339" s="8" t="n">
        <f aca="false">D339*$J$5</f>
        <v>1.37142857142857</v>
      </c>
      <c r="F339" s="8" t="n">
        <f aca="false">E339-C339</f>
        <v>1.37142857142857</v>
      </c>
      <c r="G339" s="9" t="str">
        <f aca="false">IF(AND(C339=0,E339=0),0,IF(C339=0,"New",(E339-C339)/C339))</f>
        <v>New</v>
      </c>
      <c r="H339" s="8" t="n">
        <f aca="false">SUMIFS('Source 2025'!$D:$D,'Source 2025'!$B:$B,$A339,'Source 2025'!$A:$A,"Amount (NIS)")+SUMIFS('Source 2025'!$E:$E,'Source 2025'!$B:$B,$A339,'Source 2025'!$A:$A,"Amount (NIS)")+SUMIFS('Source 2025'!$F:$F,'Source 2025'!$B:$B,$A339,'Source 2025'!$A:$A,"Amount (NIS)")+SUMIFS('Source 2025'!$G:$G,'Source 2025'!$B:$B,$A339,'Source 2025'!$A:$A,"Amount (NIS)")+SUMIFS('Source 2025'!$J:$J,'Source 2025'!$B:$B,$A339,'Source 2025'!$A:$A,"Amount (NIS)")+SUMIFS('Source 2025'!$M:$M,'Source 2025'!$B:$B,$A339,'Source 2025'!$A:$A,"Amount (NIS)")</f>
        <v>0</v>
      </c>
      <c r="I339" s="8" t="n">
        <f aca="false">SUMIFS('Source 2026'!$D:$D,'Source 2026'!$B:$B,$A339,'Source 2026'!$A:$A,"Amount (NIS)")+SUMIFS('Source 2026'!$E:$E,'Source 2026'!$B:$B,$A339,'Source 2026'!$A:$A,"Amount (NIS)")+SUMIFS('Source 2026'!$F:$F,'Source 2026'!$B:$B,$A339,'Source 2026'!$A:$A,"Amount (NIS)")+SUMIFS('Source 2026'!$G:$G,'Source 2026'!$B:$B,$A339,'Source 2026'!$A:$A,"Amount (NIS)")+SUMIFS('Source 2026'!$J:$J,'Source 2026'!$B:$B,$A339,'Source 2026'!$A:$A,"Amount (NIS)")+SUMIFS('Source 2026'!$M:$M,'Source 2026'!$B:$B,$A339,'Source 2026'!$A:$A,"Amount (NIS)")</f>
        <v>323.4</v>
      </c>
      <c r="J339" s="8" t="n">
        <f aca="false">I339*$J$5</f>
        <v>443.52</v>
      </c>
      <c r="K339" s="8" t="n">
        <f aca="false">J339-H339</f>
        <v>443.52</v>
      </c>
      <c r="L339" s="9" t="str">
        <f aca="false">IF(AND(H339=0,J339=0),0,IF(H339=0,"New",(J339-H339)/H339))</f>
        <v>New</v>
      </c>
    </row>
    <row r="340" customFormat="false" ht="15" hidden="false" customHeight="false" outlineLevel="0" collapsed="false">
      <c r="A340" s="7" t="n">
        <v>4408274</v>
      </c>
      <c r="B340" s="7" t="str">
        <f aca="false">IFERROR(INDEX('Source 2026'!$C:$C,MATCH($A340,'Source 2026'!$B:$B,0)),IFERROR(INDEX('Source 2025'!$C:$C,MATCH($A340,'Source 2025'!$B:$B,0)),""))</f>
        <v>70N L חגורת פאבליק</v>
      </c>
      <c r="C340" s="8" t="n">
        <f aca="false">SUMIFS('Source 2025'!$D:$D,'Source 2025'!$B:$B,$A340,'Source 2025'!$A:$A,"Quantity (units)")+SUMIFS('Source 2025'!$E:$E,'Source 2025'!$B:$B,$A340,'Source 2025'!$A:$A,"Quantity (units)")+SUMIFS('Source 2025'!$F:$F,'Source 2025'!$B:$B,$A340,'Source 2025'!$A:$A,"Quantity (units)")+SUMIFS('Source 2025'!$G:$G,'Source 2025'!$B:$B,$A340,'Source 2025'!$A:$A,"Quantity (units)")+SUMIFS('Source 2025'!$J:$J,'Source 2025'!$B:$B,$A340,'Source 2025'!$A:$A,"Quantity (units)")+SUMIFS('Source 2025'!$M:$M,'Source 2025'!$B:$B,$A340,'Source 2025'!$A:$A,"Quantity (units)")</f>
        <v>0</v>
      </c>
      <c r="D340" s="8" t="n">
        <f aca="false">SUMIFS('Source 2026'!$D:$D,'Source 2026'!$B:$B,$A340,'Source 2026'!$A:$A,"Quantity (units)")+SUMIFS('Source 2026'!$E:$E,'Source 2026'!$B:$B,$A340,'Source 2026'!$A:$A,"Quantity (units)")+SUMIFS('Source 2026'!$F:$F,'Source 2026'!$B:$B,$A340,'Source 2026'!$A:$A,"Quantity (units)")+SUMIFS('Source 2026'!$G:$G,'Source 2026'!$B:$B,$A340,'Source 2026'!$A:$A,"Quantity (units)")+SUMIFS('Source 2026'!$J:$J,'Source 2026'!$B:$B,$A340,'Source 2026'!$A:$A,"Quantity (units)")+SUMIFS('Source 2026'!$M:$M,'Source 2026'!$B:$B,$A340,'Source 2026'!$A:$A,"Quantity (units)")</f>
        <v>1</v>
      </c>
      <c r="E340" s="8" t="n">
        <f aca="false">D340*$J$5</f>
        <v>1.37142857142857</v>
      </c>
      <c r="F340" s="8" t="n">
        <f aca="false">E340-C340</f>
        <v>1.37142857142857</v>
      </c>
      <c r="G340" s="9" t="str">
        <f aca="false">IF(AND(C340=0,E340=0),0,IF(C340=0,"New",(E340-C340)/C340))</f>
        <v>New</v>
      </c>
      <c r="H340" s="8" t="n">
        <f aca="false">SUMIFS('Source 2025'!$D:$D,'Source 2025'!$B:$B,$A340,'Source 2025'!$A:$A,"Amount (NIS)")+SUMIFS('Source 2025'!$E:$E,'Source 2025'!$B:$B,$A340,'Source 2025'!$A:$A,"Amount (NIS)")+SUMIFS('Source 2025'!$F:$F,'Source 2025'!$B:$B,$A340,'Source 2025'!$A:$A,"Amount (NIS)")+SUMIFS('Source 2025'!$G:$G,'Source 2025'!$B:$B,$A340,'Source 2025'!$A:$A,"Amount (NIS)")+SUMIFS('Source 2025'!$J:$J,'Source 2025'!$B:$B,$A340,'Source 2025'!$A:$A,"Amount (NIS)")+SUMIFS('Source 2025'!$M:$M,'Source 2025'!$B:$B,$A340,'Source 2025'!$A:$A,"Amount (NIS)")</f>
        <v>0</v>
      </c>
      <c r="I340" s="8" t="n">
        <f aca="false">SUMIFS('Source 2026'!$D:$D,'Source 2026'!$B:$B,$A340,'Source 2026'!$A:$A,"Amount (NIS)")+SUMIFS('Source 2026'!$E:$E,'Source 2026'!$B:$B,$A340,'Source 2026'!$A:$A,"Amount (NIS)")+SUMIFS('Source 2026'!$F:$F,'Source 2026'!$B:$B,$A340,'Source 2026'!$A:$A,"Amount (NIS)")+SUMIFS('Source 2026'!$G:$G,'Source 2026'!$B:$B,$A340,'Source 2026'!$A:$A,"Amount (NIS)")+SUMIFS('Source 2026'!$J:$J,'Source 2026'!$B:$B,$A340,'Source 2026'!$A:$A,"Amount (NIS)")+SUMIFS('Source 2026'!$M:$M,'Source 2026'!$B:$B,$A340,'Source 2026'!$A:$A,"Amount (NIS)")</f>
        <v>323.4</v>
      </c>
      <c r="J340" s="8" t="n">
        <f aca="false">I340*$J$5</f>
        <v>443.52</v>
      </c>
      <c r="K340" s="8" t="n">
        <f aca="false">J340-H340</f>
        <v>443.52</v>
      </c>
      <c r="L340" s="9" t="str">
        <f aca="false">IF(AND(H340=0,J340=0),0,IF(H340=0,"New",(J340-H340)/H340))</f>
        <v>New</v>
      </c>
    </row>
    <row r="341" customFormat="false" ht="15" hidden="false" customHeight="false" outlineLevel="0" collapsed="false">
      <c r="A341" s="7" t="n">
        <v>4411023</v>
      </c>
      <c r="B341" s="7" t="str">
        <f aca="false">IFERROR(INDEX('Source 2026'!$C:$C,MATCH($A341,'Source 2026'!$B:$B,0)),IFERROR(INDEX('Source 2025'!$C:$C,MATCH($A341,'Source 2025'!$B:$B,0)),""))</f>
        <v>212S כפפות אגודל לחץ</v>
      </c>
      <c r="C341" s="8" t="n">
        <f aca="false">SUMIFS('Source 2025'!$D:$D,'Source 2025'!$B:$B,$A341,'Source 2025'!$A:$A,"Quantity (units)")+SUMIFS('Source 2025'!$E:$E,'Source 2025'!$B:$B,$A341,'Source 2025'!$A:$A,"Quantity (units)")+SUMIFS('Source 2025'!$F:$F,'Source 2025'!$B:$B,$A341,'Source 2025'!$A:$A,"Quantity (units)")+SUMIFS('Source 2025'!$G:$G,'Source 2025'!$B:$B,$A341,'Source 2025'!$A:$A,"Quantity (units)")+SUMIFS('Source 2025'!$J:$J,'Source 2025'!$B:$B,$A341,'Source 2025'!$A:$A,"Quantity (units)")+SUMIFS('Source 2025'!$M:$M,'Source 2025'!$B:$B,$A341,'Source 2025'!$A:$A,"Quantity (units)")</f>
        <v>35</v>
      </c>
      <c r="D341" s="8" t="n">
        <f aca="false">SUMIFS('Source 2026'!$D:$D,'Source 2026'!$B:$B,$A341,'Source 2026'!$A:$A,"Quantity (units)")+SUMIFS('Source 2026'!$E:$E,'Source 2026'!$B:$B,$A341,'Source 2026'!$A:$A,"Quantity (units)")+SUMIFS('Source 2026'!$F:$F,'Source 2026'!$B:$B,$A341,'Source 2026'!$A:$A,"Quantity (units)")+SUMIFS('Source 2026'!$G:$G,'Source 2026'!$B:$B,$A341,'Source 2026'!$A:$A,"Quantity (units)")+SUMIFS('Source 2026'!$J:$J,'Source 2026'!$B:$B,$A341,'Source 2026'!$A:$A,"Quantity (units)")+SUMIFS('Source 2026'!$M:$M,'Source 2026'!$B:$B,$A341,'Source 2026'!$A:$A,"Quantity (units)")</f>
        <v>26</v>
      </c>
      <c r="E341" s="8" t="n">
        <f aca="false">D341*$J$5</f>
        <v>35.6571428571429</v>
      </c>
      <c r="F341" s="8" t="n">
        <f aca="false">E341-C341</f>
        <v>0.657142857142858</v>
      </c>
      <c r="G341" s="9" t="n">
        <f aca="false">IF(AND(C341=0,E341=0),0,IF(C341=0,"New",(E341-C341)/C341))</f>
        <v>0.0187755102040817</v>
      </c>
      <c r="H341" s="8" t="n">
        <f aca="false">SUMIFS('Source 2025'!$D:$D,'Source 2025'!$B:$B,$A341,'Source 2025'!$A:$A,"Amount (NIS)")+SUMIFS('Source 2025'!$E:$E,'Source 2025'!$B:$B,$A341,'Source 2025'!$A:$A,"Amount (NIS)")+SUMIFS('Source 2025'!$F:$F,'Source 2025'!$B:$B,$A341,'Source 2025'!$A:$A,"Amount (NIS)")+SUMIFS('Source 2025'!$G:$G,'Source 2025'!$B:$B,$A341,'Source 2025'!$A:$A,"Amount (NIS)")+SUMIFS('Source 2025'!$J:$J,'Source 2025'!$B:$B,$A341,'Source 2025'!$A:$A,"Amount (NIS)")+SUMIFS('Source 2025'!$M:$M,'Source 2025'!$B:$B,$A341,'Source 2025'!$A:$A,"Amount (NIS)")</f>
        <v>1331.6</v>
      </c>
      <c r="I341" s="8" t="n">
        <f aca="false">SUMIFS('Source 2026'!$D:$D,'Source 2026'!$B:$B,$A341,'Source 2026'!$A:$A,"Amount (NIS)")+SUMIFS('Source 2026'!$E:$E,'Source 2026'!$B:$B,$A341,'Source 2026'!$A:$A,"Amount (NIS)")+SUMIFS('Source 2026'!$F:$F,'Source 2026'!$B:$B,$A341,'Source 2026'!$A:$A,"Amount (NIS)")+SUMIFS('Source 2026'!$G:$G,'Source 2026'!$B:$B,$A341,'Source 2026'!$A:$A,"Amount (NIS)")+SUMIFS('Source 2026'!$J:$J,'Source 2026'!$B:$B,$A341,'Source 2026'!$A:$A,"Amount (NIS)")+SUMIFS('Source 2026'!$M:$M,'Source 2026'!$B:$B,$A341,'Source 2026'!$A:$A,"Amount (NIS)")</f>
        <v>1016</v>
      </c>
      <c r="J341" s="8" t="n">
        <f aca="false">I341*$J$5</f>
        <v>1393.37142857143</v>
      </c>
      <c r="K341" s="8" t="n">
        <f aca="false">J341-H341</f>
        <v>61.7714285714287</v>
      </c>
      <c r="L341" s="9" t="n">
        <f aca="false">IF(AND(H341=0,J341=0),0,IF(H341=0,"New",(J341-H341)/H341))</f>
        <v>0.0463888769686308</v>
      </c>
    </row>
    <row r="342" customFormat="false" ht="15" hidden="false" customHeight="false" outlineLevel="0" collapsed="false">
      <c r="A342" s="7" t="n">
        <v>4413185</v>
      </c>
      <c r="B342" s="7" t="str">
        <f aca="false">IFERROR(INDEX('Source 2026'!$C:$C,MATCH($A342,'Source 2026'!$B:$B,0)),IFERROR(INDEX('Source 2025'!$C:$C,MATCH($A342,'Source 2025'!$B:$B,0)),""))</f>
        <v>T 45XL מגן ברך רגיל</v>
      </c>
      <c r="C342" s="8" t="n">
        <f aca="false">SUMIFS('Source 2025'!$D:$D,'Source 2025'!$B:$B,$A342,'Source 2025'!$A:$A,"Quantity (units)")+SUMIFS('Source 2025'!$E:$E,'Source 2025'!$B:$B,$A342,'Source 2025'!$A:$A,"Quantity (units)")+SUMIFS('Source 2025'!$F:$F,'Source 2025'!$B:$B,$A342,'Source 2025'!$A:$A,"Quantity (units)")+SUMIFS('Source 2025'!$G:$G,'Source 2025'!$B:$B,$A342,'Source 2025'!$A:$A,"Quantity (units)")+SUMIFS('Source 2025'!$J:$J,'Source 2025'!$B:$B,$A342,'Source 2025'!$A:$A,"Quantity (units)")+SUMIFS('Source 2025'!$M:$M,'Source 2025'!$B:$B,$A342,'Source 2025'!$A:$A,"Quantity (units)")</f>
        <v>5</v>
      </c>
      <c r="D342" s="8" t="n">
        <f aca="false">SUMIFS('Source 2026'!$D:$D,'Source 2026'!$B:$B,$A342,'Source 2026'!$A:$A,"Quantity (units)")+SUMIFS('Source 2026'!$E:$E,'Source 2026'!$B:$B,$A342,'Source 2026'!$A:$A,"Quantity (units)")+SUMIFS('Source 2026'!$F:$F,'Source 2026'!$B:$B,$A342,'Source 2026'!$A:$A,"Quantity (units)")+SUMIFS('Source 2026'!$G:$G,'Source 2026'!$B:$B,$A342,'Source 2026'!$A:$A,"Quantity (units)")+SUMIFS('Source 2026'!$J:$J,'Source 2026'!$B:$B,$A342,'Source 2026'!$A:$A,"Quantity (units)")+SUMIFS('Source 2026'!$M:$M,'Source 2026'!$B:$B,$A342,'Source 2026'!$A:$A,"Quantity (units)")</f>
        <v>2</v>
      </c>
      <c r="E342" s="8" t="n">
        <f aca="false">D342*$J$5</f>
        <v>2.74285714285714</v>
      </c>
      <c r="F342" s="8" t="n">
        <f aca="false">E342-C342</f>
        <v>-2.25714285714286</v>
      </c>
      <c r="G342" s="9" t="n">
        <f aca="false">IF(AND(C342=0,E342=0),0,IF(C342=0,"New",(E342-C342)/C342))</f>
        <v>-0.451428571428571</v>
      </c>
      <c r="H342" s="8" t="n">
        <f aca="false">SUMIFS('Source 2025'!$D:$D,'Source 2025'!$B:$B,$A342,'Source 2025'!$A:$A,"Amount (NIS)")+SUMIFS('Source 2025'!$E:$E,'Source 2025'!$B:$B,$A342,'Source 2025'!$A:$A,"Amount (NIS)")+SUMIFS('Source 2025'!$F:$F,'Source 2025'!$B:$B,$A342,'Source 2025'!$A:$A,"Amount (NIS)")+SUMIFS('Source 2025'!$G:$G,'Source 2025'!$B:$B,$A342,'Source 2025'!$A:$A,"Amount (NIS)")+SUMIFS('Source 2025'!$J:$J,'Source 2025'!$B:$B,$A342,'Source 2025'!$A:$A,"Amount (NIS)")+SUMIFS('Source 2025'!$M:$M,'Source 2025'!$B:$B,$A342,'Source 2025'!$A:$A,"Amount (NIS)")</f>
        <v>525.6</v>
      </c>
      <c r="I342" s="8" t="n">
        <f aca="false">SUMIFS('Source 2026'!$D:$D,'Source 2026'!$B:$B,$A342,'Source 2026'!$A:$A,"Amount (NIS)")+SUMIFS('Source 2026'!$E:$E,'Source 2026'!$B:$B,$A342,'Source 2026'!$A:$A,"Amount (NIS)")+SUMIFS('Source 2026'!$F:$F,'Source 2026'!$B:$B,$A342,'Source 2026'!$A:$A,"Amount (NIS)")+SUMIFS('Source 2026'!$G:$G,'Source 2026'!$B:$B,$A342,'Source 2026'!$A:$A,"Amount (NIS)")+SUMIFS('Source 2026'!$J:$J,'Source 2026'!$B:$B,$A342,'Source 2026'!$A:$A,"Amount (NIS)")+SUMIFS('Source 2026'!$M:$M,'Source 2026'!$B:$B,$A342,'Source 2026'!$A:$A,"Amount (NIS)")</f>
        <v>210.8</v>
      </c>
      <c r="J342" s="8" t="n">
        <f aca="false">I342*$J$5</f>
        <v>289.097142857143</v>
      </c>
      <c r="K342" s="8" t="n">
        <f aca="false">J342-H342</f>
        <v>-236.502857142857</v>
      </c>
      <c r="L342" s="9" t="n">
        <f aca="false">IF(AND(H342=0,J342=0),0,IF(H342=0,"New",(J342-H342)/H342))</f>
        <v>-0.44996738421396</v>
      </c>
    </row>
    <row r="343" customFormat="false" ht="15" hidden="false" customHeight="false" outlineLevel="0" collapsed="false">
      <c r="A343" s="7" t="n">
        <v>4408072</v>
      </c>
      <c r="B343" s="7" t="str">
        <f aca="false">IFERROR(INDEX('Source 2026'!$C:$C,MATCH($A343,'Source 2026'!$B:$B,0)),IFERROR(INDEX('Source 2025'!$C:$C,MATCH($A343,'Source 2025'!$B:$B,0)),""))</f>
        <v>59D M חגורת שבר דו צדדי</v>
      </c>
      <c r="C343" s="8" t="n">
        <f aca="false">SUMIFS('Source 2025'!$D:$D,'Source 2025'!$B:$B,$A343,'Source 2025'!$A:$A,"Quantity (units)")+SUMIFS('Source 2025'!$E:$E,'Source 2025'!$B:$B,$A343,'Source 2025'!$A:$A,"Quantity (units)")+SUMIFS('Source 2025'!$F:$F,'Source 2025'!$B:$B,$A343,'Source 2025'!$A:$A,"Quantity (units)")+SUMIFS('Source 2025'!$G:$G,'Source 2025'!$B:$B,$A343,'Source 2025'!$A:$A,"Quantity (units)")+SUMIFS('Source 2025'!$J:$J,'Source 2025'!$B:$B,$A343,'Source 2025'!$A:$A,"Quantity (units)")+SUMIFS('Source 2025'!$M:$M,'Source 2025'!$B:$B,$A343,'Source 2025'!$A:$A,"Quantity (units)")</f>
        <v>2</v>
      </c>
      <c r="D343" s="8" t="n">
        <f aca="false">SUMIFS('Source 2026'!$D:$D,'Source 2026'!$B:$B,$A343,'Source 2026'!$A:$A,"Quantity (units)")+SUMIFS('Source 2026'!$E:$E,'Source 2026'!$B:$B,$A343,'Source 2026'!$A:$A,"Quantity (units)")+SUMIFS('Source 2026'!$F:$F,'Source 2026'!$B:$B,$A343,'Source 2026'!$A:$A,"Quantity (units)")+SUMIFS('Source 2026'!$G:$G,'Source 2026'!$B:$B,$A343,'Source 2026'!$A:$A,"Quantity (units)")+SUMIFS('Source 2026'!$J:$J,'Source 2026'!$B:$B,$A343,'Source 2026'!$A:$A,"Quantity (units)")+SUMIFS('Source 2026'!$M:$M,'Source 2026'!$B:$B,$A343,'Source 2026'!$A:$A,"Quantity (units)")</f>
        <v>1</v>
      </c>
      <c r="E343" s="8" t="n">
        <f aca="false">D343*$J$5</f>
        <v>1.37142857142857</v>
      </c>
      <c r="F343" s="8" t="n">
        <f aca="false">E343-C343</f>
        <v>-0.628571428571429</v>
      </c>
      <c r="G343" s="9" t="n">
        <f aca="false">IF(AND(C343=0,E343=0),0,IF(C343=0,"New",(E343-C343)/C343))</f>
        <v>-0.314285714285714</v>
      </c>
      <c r="H343" s="8" t="n">
        <f aca="false">SUMIFS('Source 2025'!$D:$D,'Source 2025'!$B:$B,$A343,'Source 2025'!$A:$A,"Amount (NIS)")+SUMIFS('Source 2025'!$E:$E,'Source 2025'!$B:$B,$A343,'Source 2025'!$A:$A,"Amount (NIS)")+SUMIFS('Source 2025'!$F:$F,'Source 2025'!$B:$B,$A343,'Source 2025'!$A:$A,"Amount (NIS)")+SUMIFS('Source 2025'!$G:$G,'Source 2025'!$B:$B,$A343,'Source 2025'!$A:$A,"Amount (NIS)")+SUMIFS('Source 2025'!$J:$J,'Source 2025'!$B:$B,$A343,'Source 2025'!$A:$A,"Amount (NIS)")+SUMIFS('Source 2025'!$M:$M,'Source 2025'!$B:$B,$A343,'Source 2025'!$A:$A,"Amount (NIS)")</f>
        <v>628</v>
      </c>
      <c r="I343" s="8" t="n">
        <f aca="false">SUMIFS('Source 2026'!$D:$D,'Source 2026'!$B:$B,$A343,'Source 2026'!$A:$A,"Amount (NIS)")+SUMIFS('Source 2026'!$E:$E,'Source 2026'!$B:$B,$A343,'Source 2026'!$A:$A,"Amount (NIS)")+SUMIFS('Source 2026'!$F:$F,'Source 2026'!$B:$B,$A343,'Source 2026'!$A:$A,"Amount (NIS)")+SUMIFS('Source 2026'!$G:$G,'Source 2026'!$B:$B,$A343,'Source 2026'!$A:$A,"Amount (NIS)")+SUMIFS('Source 2026'!$J:$J,'Source 2026'!$B:$B,$A343,'Source 2026'!$A:$A,"Amount (NIS)")+SUMIFS('Source 2026'!$M:$M,'Source 2026'!$B:$B,$A343,'Source 2026'!$A:$A,"Amount (NIS)")</f>
        <v>314</v>
      </c>
      <c r="J343" s="8" t="n">
        <f aca="false">I343*$J$5</f>
        <v>430.628571428571</v>
      </c>
      <c r="K343" s="8" t="n">
        <f aca="false">J343-H343</f>
        <v>-197.371428571429</v>
      </c>
      <c r="L343" s="9" t="n">
        <f aca="false">IF(AND(H343=0,J343=0),0,IF(H343=0,"New",(J343-H343)/H343))</f>
        <v>-0.314285714285714</v>
      </c>
    </row>
    <row r="344" customFormat="false" ht="15" hidden="false" customHeight="false" outlineLevel="0" collapsed="false">
      <c r="A344" s="7" t="n">
        <v>4413184</v>
      </c>
      <c r="B344" s="7" t="str">
        <f aca="false">IFERROR(INDEX('Source 2026'!$C:$C,MATCH($A344,'Source 2026'!$B:$B,0)),IFERROR(INDEX('Source 2025'!$C:$C,MATCH($A344,'Source 2025'!$B:$B,0)),""))</f>
        <v>T 45 L מגן ברך רגיל</v>
      </c>
      <c r="C344" s="8" t="n">
        <f aca="false">SUMIFS('Source 2025'!$D:$D,'Source 2025'!$B:$B,$A344,'Source 2025'!$A:$A,"Quantity (units)")+SUMIFS('Source 2025'!$E:$E,'Source 2025'!$B:$B,$A344,'Source 2025'!$A:$A,"Quantity (units)")+SUMIFS('Source 2025'!$F:$F,'Source 2025'!$B:$B,$A344,'Source 2025'!$A:$A,"Quantity (units)")+SUMIFS('Source 2025'!$G:$G,'Source 2025'!$B:$B,$A344,'Source 2025'!$A:$A,"Quantity (units)")+SUMIFS('Source 2025'!$J:$J,'Source 2025'!$B:$B,$A344,'Source 2025'!$A:$A,"Quantity (units)")+SUMIFS('Source 2025'!$M:$M,'Source 2025'!$B:$B,$A344,'Source 2025'!$A:$A,"Quantity (units)")</f>
        <v>4</v>
      </c>
      <c r="D344" s="8" t="n">
        <f aca="false">SUMIFS('Source 2026'!$D:$D,'Source 2026'!$B:$B,$A344,'Source 2026'!$A:$A,"Quantity (units)")+SUMIFS('Source 2026'!$E:$E,'Source 2026'!$B:$B,$A344,'Source 2026'!$A:$A,"Quantity (units)")+SUMIFS('Source 2026'!$F:$F,'Source 2026'!$B:$B,$A344,'Source 2026'!$A:$A,"Quantity (units)")+SUMIFS('Source 2026'!$G:$G,'Source 2026'!$B:$B,$A344,'Source 2026'!$A:$A,"Quantity (units)")+SUMIFS('Source 2026'!$J:$J,'Source 2026'!$B:$B,$A344,'Source 2026'!$A:$A,"Quantity (units)")+SUMIFS('Source 2026'!$M:$M,'Source 2026'!$B:$B,$A344,'Source 2026'!$A:$A,"Quantity (units)")</f>
        <v>1</v>
      </c>
      <c r="E344" s="8" t="n">
        <f aca="false">D344*$J$5</f>
        <v>1.37142857142857</v>
      </c>
      <c r="F344" s="8" t="n">
        <f aca="false">E344-C344</f>
        <v>-2.62857142857143</v>
      </c>
      <c r="G344" s="9" t="n">
        <f aca="false">IF(AND(C344=0,E344=0),0,IF(C344=0,"New",(E344-C344)/C344))</f>
        <v>-0.657142857142857</v>
      </c>
      <c r="H344" s="8" t="n">
        <f aca="false">SUMIFS('Source 2025'!$D:$D,'Source 2025'!$B:$B,$A344,'Source 2025'!$A:$A,"Amount (NIS)")+SUMIFS('Source 2025'!$E:$E,'Source 2025'!$B:$B,$A344,'Source 2025'!$A:$A,"Amount (NIS)")+SUMIFS('Source 2025'!$F:$F,'Source 2025'!$B:$B,$A344,'Source 2025'!$A:$A,"Amount (NIS)")+SUMIFS('Source 2025'!$G:$G,'Source 2025'!$B:$B,$A344,'Source 2025'!$A:$A,"Amount (NIS)")+SUMIFS('Source 2025'!$J:$J,'Source 2025'!$B:$B,$A344,'Source 2025'!$A:$A,"Amount (NIS)")+SUMIFS('Source 2025'!$M:$M,'Source 2025'!$B:$B,$A344,'Source 2025'!$A:$A,"Amount (NIS)")</f>
        <v>417.5</v>
      </c>
      <c r="I344" s="8" t="n">
        <f aca="false">SUMIFS('Source 2026'!$D:$D,'Source 2026'!$B:$B,$A344,'Source 2026'!$A:$A,"Amount (NIS)")+SUMIFS('Source 2026'!$E:$E,'Source 2026'!$B:$B,$A344,'Source 2026'!$A:$A,"Amount (NIS)")+SUMIFS('Source 2026'!$F:$F,'Source 2026'!$B:$B,$A344,'Source 2026'!$A:$A,"Amount (NIS)")+SUMIFS('Source 2026'!$G:$G,'Source 2026'!$B:$B,$A344,'Source 2026'!$A:$A,"Amount (NIS)")+SUMIFS('Source 2026'!$J:$J,'Source 2026'!$B:$B,$A344,'Source 2026'!$A:$A,"Amount (NIS)")+SUMIFS('Source 2026'!$M:$M,'Source 2026'!$B:$B,$A344,'Source 2026'!$A:$A,"Amount (NIS)")</f>
        <v>105.4</v>
      </c>
      <c r="J344" s="8" t="n">
        <f aca="false">I344*$J$5</f>
        <v>144.548571428571</v>
      </c>
      <c r="K344" s="8" t="n">
        <f aca="false">J344-H344</f>
        <v>-272.951428571429</v>
      </c>
      <c r="L344" s="9" t="n">
        <f aca="false">IF(AND(H344=0,J344=0),0,IF(H344=0,"New",(J344-H344)/H344))</f>
        <v>-0.653775876817793</v>
      </c>
    </row>
    <row r="345" customFormat="false" ht="15" hidden="false" customHeight="false" outlineLevel="0" collapsed="false">
      <c r="A345" s="7" t="n">
        <v>4413286</v>
      </c>
      <c r="B345" s="7" t="str">
        <f aca="false">IFERROR(INDEX('Source 2026'!$C:$C,MATCH($A345,'Source 2026'!$B:$B,0)),IFERROR(INDEX('Source 2025'!$C:$C,MATCH($A345,'Source 2025'!$B:$B,0)),""))</f>
        <v>T45 XXL מגן ברך רגיל</v>
      </c>
      <c r="C345" s="8" t="n">
        <f aca="false">SUMIFS('Source 2025'!$D:$D,'Source 2025'!$B:$B,$A345,'Source 2025'!$A:$A,"Quantity (units)")+SUMIFS('Source 2025'!$E:$E,'Source 2025'!$B:$B,$A345,'Source 2025'!$A:$A,"Quantity (units)")+SUMIFS('Source 2025'!$F:$F,'Source 2025'!$B:$B,$A345,'Source 2025'!$A:$A,"Quantity (units)")+SUMIFS('Source 2025'!$G:$G,'Source 2025'!$B:$B,$A345,'Source 2025'!$A:$A,"Quantity (units)")+SUMIFS('Source 2025'!$J:$J,'Source 2025'!$B:$B,$A345,'Source 2025'!$A:$A,"Quantity (units)")+SUMIFS('Source 2025'!$M:$M,'Source 2025'!$B:$B,$A345,'Source 2025'!$A:$A,"Quantity (units)")</f>
        <v>0</v>
      </c>
      <c r="D345" s="8" t="n">
        <f aca="false">SUMIFS('Source 2026'!$D:$D,'Source 2026'!$B:$B,$A345,'Source 2026'!$A:$A,"Quantity (units)")+SUMIFS('Source 2026'!$E:$E,'Source 2026'!$B:$B,$A345,'Source 2026'!$A:$A,"Quantity (units)")+SUMIFS('Source 2026'!$F:$F,'Source 2026'!$B:$B,$A345,'Source 2026'!$A:$A,"Quantity (units)")+SUMIFS('Source 2026'!$G:$G,'Source 2026'!$B:$B,$A345,'Source 2026'!$A:$A,"Quantity (units)")+SUMIFS('Source 2026'!$J:$J,'Source 2026'!$B:$B,$A345,'Source 2026'!$A:$A,"Quantity (units)")+SUMIFS('Source 2026'!$M:$M,'Source 2026'!$B:$B,$A345,'Source 2026'!$A:$A,"Quantity (units)")</f>
        <v>3</v>
      </c>
      <c r="E345" s="8" t="n">
        <f aca="false">D345*$J$5</f>
        <v>4.11428571428571</v>
      </c>
      <c r="F345" s="8" t="n">
        <f aca="false">E345-C345</f>
        <v>4.11428571428571</v>
      </c>
      <c r="G345" s="9" t="str">
        <f aca="false">IF(AND(C345=0,E345=0),0,IF(C345=0,"New",(E345-C345)/C345))</f>
        <v>New</v>
      </c>
      <c r="H345" s="8" t="n">
        <f aca="false">SUMIFS('Source 2025'!$D:$D,'Source 2025'!$B:$B,$A345,'Source 2025'!$A:$A,"Amount (NIS)")+SUMIFS('Source 2025'!$E:$E,'Source 2025'!$B:$B,$A345,'Source 2025'!$A:$A,"Amount (NIS)")+SUMIFS('Source 2025'!$F:$F,'Source 2025'!$B:$B,$A345,'Source 2025'!$A:$A,"Amount (NIS)")+SUMIFS('Source 2025'!$G:$G,'Source 2025'!$B:$B,$A345,'Source 2025'!$A:$A,"Amount (NIS)")+SUMIFS('Source 2025'!$J:$J,'Source 2025'!$B:$B,$A345,'Source 2025'!$A:$A,"Amount (NIS)")+SUMIFS('Source 2025'!$M:$M,'Source 2025'!$B:$B,$A345,'Source 2025'!$A:$A,"Amount (NIS)")</f>
        <v>0</v>
      </c>
      <c r="I345" s="8" t="n">
        <f aca="false">SUMIFS('Source 2026'!$D:$D,'Source 2026'!$B:$B,$A345,'Source 2026'!$A:$A,"Amount (NIS)")+SUMIFS('Source 2026'!$E:$E,'Source 2026'!$B:$B,$A345,'Source 2026'!$A:$A,"Amount (NIS)")+SUMIFS('Source 2026'!$F:$F,'Source 2026'!$B:$B,$A345,'Source 2026'!$A:$A,"Amount (NIS)")+SUMIFS('Source 2026'!$G:$G,'Source 2026'!$B:$B,$A345,'Source 2026'!$A:$A,"Amount (NIS)")+SUMIFS('Source 2026'!$J:$J,'Source 2026'!$B:$B,$A345,'Source 2026'!$A:$A,"Amount (NIS)")+SUMIFS('Source 2026'!$M:$M,'Source 2026'!$B:$B,$A345,'Source 2026'!$A:$A,"Amount (NIS)")</f>
        <v>312</v>
      </c>
      <c r="J345" s="8" t="n">
        <f aca="false">I345*$J$5</f>
        <v>427.885714285714</v>
      </c>
      <c r="K345" s="8" t="n">
        <f aca="false">J345-H345</f>
        <v>427.885714285714</v>
      </c>
      <c r="L345" s="9" t="str">
        <f aca="false">IF(AND(H345=0,J345=0),0,IF(H345=0,"New",(J345-H345)/H345))</f>
        <v>New</v>
      </c>
    </row>
    <row r="346" customFormat="false" ht="15" hidden="false" customHeight="false" outlineLevel="0" collapsed="false">
      <c r="A346" s="7" t="n">
        <v>4408073</v>
      </c>
      <c r="B346" s="7" t="str">
        <f aca="false">IFERROR(INDEX('Source 2026'!$C:$C,MATCH($A346,'Source 2026'!$B:$B,0)),IFERROR(INDEX('Source 2025'!$C:$C,MATCH($A346,'Source 2025'!$B:$B,0)),""))</f>
        <v>59D XL חגורת שבר דו צדדי</v>
      </c>
      <c r="C346" s="8" t="n">
        <f aca="false">SUMIFS('Source 2025'!$D:$D,'Source 2025'!$B:$B,$A346,'Source 2025'!$A:$A,"Quantity (units)")+SUMIFS('Source 2025'!$E:$E,'Source 2025'!$B:$B,$A346,'Source 2025'!$A:$A,"Quantity (units)")+SUMIFS('Source 2025'!$F:$F,'Source 2025'!$B:$B,$A346,'Source 2025'!$A:$A,"Quantity (units)")+SUMIFS('Source 2025'!$G:$G,'Source 2025'!$B:$B,$A346,'Source 2025'!$A:$A,"Quantity (units)")+SUMIFS('Source 2025'!$J:$J,'Source 2025'!$B:$B,$A346,'Source 2025'!$A:$A,"Quantity (units)")+SUMIFS('Source 2025'!$M:$M,'Source 2025'!$B:$B,$A346,'Source 2025'!$A:$A,"Quantity (units)")</f>
        <v>2</v>
      </c>
      <c r="D346" s="8" t="n">
        <f aca="false">SUMIFS('Source 2026'!$D:$D,'Source 2026'!$B:$B,$A346,'Source 2026'!$A:$A,"Quantity (units)")+SUMIFS('Source 2026'!$E:$E,'Source 2026'!$B:$B,$A346,'Source 2026'!$A:$A,"Quantity (units)")+SUMIFS('Source 2026'!$F:$F,'Source 2026'!$B:$B,$A346,'Source 2026'!$A:$A,"Quantity (units)")+SUMIFS('Source 2026'!$G:$G,'Source 2026'!$B:$B,$A346,'Source 2026'!$A:$A,"Quantity (units)")+SUMIFS('Source 2026'!$J:$J,'Source 2026'!$B:$B,$A346,'Source 2026'!$A:$A,"Quantity (units)")+SUMIFS('Source 2026'!$M:$M,'Source 2026'!$B:$B,$A346,'Source 2026'!$A:$A,"Quantity (units)")</f>
        <v>1</v>
      </c>
      <c r="E346" s="8" t="n">
        <f aca="false">D346*$J$5</f>
        <v>1.37142857142857</v>
      </c>
      <c r="F346" s="8" t="n">
        <f aca="false">E346-C346</f>
        <v>-0.628571428571429</v>
      </c>
      <c r="G346" s="9" t="n">
        <f aca="false">IF(AND(C346=0,E346=0),0,IF(C346=0,"New",(E346-C346)/C346))</f>
        <v>-0.314285714285714</v>
      </c>
      <c r="H346" s="8" t="n">
        <f aca="false">SUMIFS('Source 2025'!$D:$D,'Source 2025'!$B:$B,$A346,'Source 2025'!$A:$A,"Amount (NIS)")+SUMIFS('Source 2025'!$E:$E,'Source 2025'!$B:$B,$A346,'Source 2025'!$A:$A,"Amount (NIS)")+SUMIFS('Source 2025'!$F:$F,'Source 2025'!$B:$B,$A346,'Source 2025'!$A:$A,"Amount (NIS)")+SUMIFS('Source 2025'!$G:$G,'Source 2025'!$B:$B,$A346,'Source 2025'!$A:$A,"Amount (NIS)")+SUMIFS('Source 2025'!$J:$J,'Source 2025'!$B:$B,$A346,'Source 2025'!$A:$A,"Amount (NIS)")+SUMIFS('Source 2025'!$M:$M,'Source 2025'!$B:$B,$A346,'Source 2025'!$A:$A,"Amount (NIS)")</f>
        <v>628</v>
      </c>
      <c r="I346" s="8" t="n">
        <f aca="false">SUMIFS('Source 2026'!$D:$D,'Source 2026'!$B:$B,$A346,'Source 2026'!$A:$A,"Amount (NIS)")+SUMIFS('Source 2026'!$E:$E,'Source 2026'!$B:$B,$A346,'Source 2026'!$A:$A,"Amount (NIS)")+SUMIFS('Source 2026'!$F:$F,'Source 2026'!$B:$B,$A346,'Source 2026'!$A:$A,"Amount (NIS)")+SUMIFS('Source 2026'!$G:$G,'Source 2026'!$B:$B,$A346,'Source 2026'!$A:$A,"Amount (NIS)")+SUMIFS('Source 2026'!$J:$J,'Source 2026'!$B:$B,$A346,'Source 2026'!$A:$A,"Amount (NIS)")+SUMIFS('Source 2026'!$M:$M,'Source 2026'!$B:$B,$A346,'Source 2026'!$A:$A,"Amount (NIS)")</f>
        <v>316.1</v>
      </c>
      <c r="J346" s="8" t="n">
        <f aca="false">I346*$J$5</f>
        <v>433.508571428572</v>
      </c>
      <c r="K346" s="8" t="n">
        <f aca="false">J346-H346</f>
        <v>-194.491428571429</v>
      </c>
      <c r="L346" s="9" t="n">
        <f aca="false">IF(AND(H346=0,J346=0),0,IF(H346=0,"New",(J346-H346)/H346))</f>
        <v>-0.309699727024568</v>
      </c>
    </row>
    <row r="347" customFormat="false" ht="15" hidden="false" customHeight="false" outlineLevel="0" collapsed="false">
      <c r="A347" s="7" t="n">
        <v>4408179</v>
      </c>
      <c r="B347" s="7" t="str">
        <f aca="false">IFERROR(INDEX('Source 2026'!$C:$C,MATCH($A347,'Source 2026'!$B:$B,0)),IFERROR(INDEX('Source 2025'!$C:$C,MATCH($A347,'Source 2025'!$B:$B,0)),""))</f>
        <v>13 XL חגורה לשבר טבור</v>
      </c>
      <c r="C347" s="8" t="n">
        <f aca="false">SUMIFS('Source 2025'!$D:$D,'Source 2025'!$B:$B,$A347,'Source 2025'!$A:$A,"Quantity (units)")+SUMIFS('Source 2025'!$E:$E,'Source 2025'!$B:$B,$A347,'Source 2025'!$A:$A,"Quantity (units)")+SUMIFS('Source 2025'!$F:$F,'Source 2025'!$B:$B,$A347,'Source 2025'!$A:$A,"Quantity (units)")+SUMIFS('Source 2025'!$G:$G,'Source 2025'!$B:$B,$A347,'Source 2025'!$A:$A,"Quantity (units)")+SUMIFS('Source 2025'!$J:$J,'Source 2025'!$B:$B,$A347,'Source 2025'!$A:$A,"Quantity (units)")+SUMIFS('Source 2025'!$M:$M,'Source 2025'!$B:$B,$A347,'Source 2025'!$A:$A,"Quantity (units)")</f>
        <v>3</v>
      </c>
      <c r="D347" s="8" t="n">
        <f aca="false">SUMIFS('Source 2026'!$D:$D,'Source 2026'!$B:$B,$A347,'Source 2026'!$A:$A,"Quantity (units)")+SUMIFS('Source 2026'!$E:$E,'Source 2026'!$B:$B,$A347,'Source 2026'!$A:$A,"Quantity (units)")+SUMIFS('Source 2026'!$F:$F,'Source 2026'!$B:$B,$A347,'Source 2026'!$A:$A,"Quantity (units)")+SUMIFS('Source 2026'!$G:$G,'Source 2026'!$B:$B,$A347,'Source 2026'!$A:$A,"Quantity (units)")+SUMIFS('Source 2026'!$J:$J,'Source 2026'!$B:$B,$A347,'Source 2026'!$A:$A,"Quantity (units)")+SUMIFS('Source 2026'!$M:$M,'Source 2026'!$B:$B,$A347,'Source 2026'!$A:$A,"Quantity (units)")</f>
        <v>1</v>
      </c>
      <c r="E347" s="8" t="n">
        <f aca="false">D347*$J$5</f>
        <v>1.37142857142857</v>
      </c>
      <c r="F347" s="8" t="n">
        <f aca="false">E347-C347</f>
        <v>-1.62857142857143</v>
      </c>
      <c r="G347" s="9" t="n">
        <f aca="false">IF(AND(C347=0,E347=0),0,IF(C347=0,"New",(E347-C347)/C347))</f>
        <v>-0.542857142857143</v>
      </c>
      <c r="H347" s="8" t="n">
        <f aca="false">SUMIFS('Source 2025'!$D:$D,'Source 2025'!$B:$B,$A347,'Source 2025'!$A:$A,"Amount (NIS)")+SUMIFS('Source 2025'!$E:$E,'Source 2025'!$B:$B,$A347,'Source 2025'!$A:$A,"Amount (NIS)")+SUMIFS('Source 2025'!$F:$F,'Source 2025'!$B:$B,$A347,'Source 2025'!$A:$A,"Amount (NIS)")+SUMIFS('Source 2025'!$G:$G,'Source 2025'!$B:$B,$A347,'Source 2025'!$A:$A,"Amount (NIS)")+SUMIFS('Source 2025'!$J:$J,'Source 2025'!$B:$B,$A347,'Source 2025'!$A:$A,"Amount (NIS)")+SUMIFS('Source 2025'!$M:$M,'Source 2025'!$B:$B,$A347,'Source 2025'!$A:$A,"Amount (NIS)")</f>
        <v>468.9</v>
      </c>
      <c r="I347" s="8" t="n">
        <f aca="false">SUMIFS('Source 2026'!$D:$D,'Source 2026'!$B:$B,$A347,'Source 2026'!$A:$A,"Amount (NIS)")+SUMIFS('Source 2026'!$E:$E,'Source 2026'!$B:$B,$A347,'Source 2026'!$A:$A,"Amount (NIS)")+SUMIFS('Source 2026'!$F:$F,'Source 2026'!$B:$B,$A347,'Source 2026'!$A:$A,"Amount (NIS)")+SUMIFS('Source 2026'!$G:$G,'Source 2026'!$B:$B,$A347,'Source 2026'!$A:$A,"Amount (NIS)")+SUMIFS('Source 2026'!$J:$J,'Source 2026'!$B:$B,$A347,'Source 2026'!$A:$A,"Amount (NIS)")+SUMIFS('Source 2026'!$M:$M,'Source 2026'!$B:$B,$A347,'Source 2026'!$A:$A,"Amount (NIS)")</f>
        <v>157</v>
      </c>
      <c r="J347" s="8" t="n">
        <f aca="false">I347*$J$5</f>
        <v>215.314285714286</v>
      </c>
      <c r="K347" s="8" t="n">
        <f aca="false">J347-H347</f>
        <v>-253.585714285714</v>
      </c>
      <c r="L347" s="9" t="n">
        <f aca="false">IF(AND(H347=0,J347=0),0,IF(H347=0,"New",(J347-H347)/H347))</f>
        <v>-0.540809798007495</v>
      </c>
    </row>
    <row r="348" customFormat="false" ht="15" hidden="false" customHeight="false" outlineLevel="0" collapsed="false">
      <c r="A348" s="7" t="n">
        <v>4413101</v>
      </c>
      <c r="B348" s="7" t="str">
        <f aca="false">IFERROR(INDEX('Source 2026'!$C:$C,MATCH($A348,'Source 2026'!$B:$B,0)),IFERROR(INDEX('Source 2025'!$C:$C,MATCH($A348,'Source 2025'!$B:$B,0)),""))</f>
        <v>45E Sמגן ברך ארוך לבן</v>
      </c>
      <c r="C348" s="8" t="n">
        <f aca="false">SUMIFS('Source 2025'!$D:$D,'Source 2025'!$B:$B,$A348,'Source 2025'!$A:$A,"Quantity (units)")+SUMIFS('Source 2025'!$E:$E,'Source 2025'!$B:$B,$A348,'Source 2025'!$A:$A,"Quantity (units)")+SUMIFS('Source 2025'!$F:$F,'Source 2025'!$B:$B,$A348,'Source 2025'!$A:$A,"Quantity (units)")+SUMIFS('Source 2025'!$G:$G,'Source 2025'!$B:$B,$A348,'Source 2025'!$A:$A,"Quantity (units)")+SUMIFS('Source 2025'!$J:$J,'Source 2025'!$B:$B,$A348,'Source 2025'!$A:$A,"Quantity (units)")+SUMIFS('Source 2025'!$M:$M,'Source 2025'!$B:$B,$A348,'Source 2025'!$A:$A,"Quantity (units)")</f>
        <v>36</v>
      </c>
      <c r="D348" s="8" t="n">
        <f aca="false">SUMIFS('Source 2026'!$D:$D,'Source 2026'!$B:$B,$A348,'Source 2026'!$A:$A,"Quantity (units)")+SUMIFS('Source 2026'!$E:$E,'Source 2026'!$B:$B,$A348,'Source 2026'!$A:$A,"Quantity (units)")+SUMIFS('Source 2026'!$F:$F,'Source 2026'!$B:$B,$A348,'Source 2026'!$A:$A,"Quantity (units)")+SUMIFS('Source 2026'!$G:$G,'Source 2026'!$B:$B,$A348,'Source 2026'!$A:$A,"Quantity (units)")+SUMIFS('Source 2026'!$J:$J,'Source 2026'!$B:$B,$A348,'Source 2026'!$A:$A,"Quantity (units)")+SUMIFS('Source 2026'!$M:$M,'Source 2026'!$B:$B,$A348,'Source 2026'!$A:$A,"Quantity (units)")</f>
        <v>28</v>
      </c>
      <c r="E348" s="8" t="n">
        <f aca="false">D348*$J$5</f>
        <v>38.4</v>
      </c>
      <c r="F348" s="8" t="n">
        <f aca="false">E348-C348</f>
        <v>2.4</v>
      </c>
      <c r="G348" s="9" t="n">
        <f aca="false">IF(AND(C348=0,E348=0),0,IF(C348=0,"New",(E348-C348)/C348))</f>
        <v>0.0666666666666666</v>
      </c>
      <c r="H348" s="8" t="n">
        <f aca="false">SUMIFS('Source 2025'!$D:$D,'Source 2025'!$B:$B,$A348,'Source 2025'!$A:$A,"Amount (NIS)")+SUMIFS('Source 2025'!$E:$E,'Source 2025'!$B:$B,$A348,'Source 2025'!$A:$A,"Amount (NIS)")+SUMIFS('Source 2025'!$F:$F,'Source 2025'!$B:$B,$A348,'Source 2025'!$A:$A,"Amount (NIS)")+SUMIFS('Source 2025'!$G:$G,'Source 2025'!$B:$B,$A348,'Source 2025'!$A:$A,"Amount (NIS)")+SUMIFS('Source 2025'!$J:$J,'Source 2025'!$B:$B,$A348,'Source 2025'!$A:$A,"Amount (NIS)")+SUMIFS('Source 2025'!$M:$M,'Source 2025'!$B:$B,$A348,'Source 2025'!$A:$A,"Amount (NIS)")</f>
        <v>1319.1</v>
      </c>
      <c r="I348" s="8" t="n">
        <f aca="false">SUMIFS('Source 2026'!$D:$D,'Source 2026'!$B:$B,$A348,'Source 2026'!$A:$A,"Amount (NIS)")+SUMIFS('Source 2026'!$E:$E,'Source 2026'!$B:$B,$A348,'Source 2026'!$A:$A,"Amount (NIS)")+SUMIFS('Source 2026'!$F:$F,'Source 2026'!$B:$B,$A348,'Source 2026'!$A:$A,"Amount (NIS)")+SUMIFS('Source 2026'!$G:$G,'Source 2026'!$B:$B,$A348,'Source 2026'!$A:$A,"Amount (NIS)")+SUMIFS('Source 2026'!$J:$J,'Source 2026'!$B:$B,$A348,'Source 2026'!$A:$A,"Amount (NIS)")+SUMIFS('Source 2026'!$M:$M,'Source 2026'!$B:$B,$A348,'Source 2026'!$A:$A,"Amount (NIS)")</f>
        <v>1008.7</v>
      </c>
      <c r="J348" s="8" t="n">
        <f aca="false">I348*$J$5</f>
        <v>1383.36</v>
      </c>
      <c r="K348" s="8" t="n">
        <f aca="false">J348-H348</f>
        <v>64.2599999999998</v>
      </c>
      <c r="L348" s="9" t="n">
        <f aca="false">IF(AND(H348=0,J348=0),0,IF(H348=0,"New",(J348-H348)/H348))</f>
        <v>0.0487150329770296</v>
      </c>
    </row>
    <row r="349" customFormat="false" ht="15" hidden="false" customHeight="false" outlineLevel="0" collapsed="false">
      <c r="A349" s="7" t="n">
        <v>4413181</v>
      </c>
      <c r="B349" s="7" t="str">
        <f aca="false">IFERROR(INDEX('Source 2026'!$C:$C,MATCH($A349,'Source 2026'!$B:$B,0)),IFERROR(INDEX('Source 2025'!$C:$C,MATCH($A349,'Source 2025'!$B:$B,0)),""))</f>
        <v>T39  L מגן שוק</v>
      </c>
      <c r="C349" s="8" t="n">
        <f aca="false">SUMIFS('Source 2025'!$D:$D,'Source 2025'!$B:$B,$A349,'Source 2025'!$A:$A,"Quantity (units)")+SUMIFS('Source 2025'!$E:$E,'Source 2025'!$B:$B,$A349,'Source 2025'!$A:$A,"Quantity (units)")+SUMIFS('Source 2025'!$F:$F,'Source 2025'!$B:$B,$A349,'Source 2025'!$A:$A,"Quantity (units)")+SUMIFS('Source 2025'!$G:$G,'Source 2025'!$B:$B,$A349,'Source 2025'!$A:$A,"Quantity (units)")+SUMIFS('Source 2025'!$J:$J,'Source 2025'!$B:$B,$A349,'Source 2025'!$A:$A,"Quantity (units)")+SUMIFS('Source 2025'!$M:$M,'Source 2025'!$B:$B,$A349,'Source 2025'!$A:$A,"Quantity (units)")</f>
        <v>3</v>
      </c>
      <c r="D349" s="8" t="n">
        <f aca="false">SUMIFS('Source 2026'!$D:$D,'Source 2026'!$B:$B,$A349,'Source 2026'!$A:$A,"Quantity (units)")+SUMIFS('Source 2026'!$E:$E,'Source 2026'!$B:$B,$A349,'Source 2026'!$A:$A,"Quantity (units)")+SUMIFS('Source 2026'!$F:$F,'Source 2026'!$B:$B,$A349,'Source 2026'!$A:$A,"Quantity (units)")+SUMIFS('Source 2026'!$G:$G,'Source 2026'!$B:$B,$A349,'Source 2026'!$A:$A,"Quantity (units)")+SUMIFS('Source 2026'!$J:$J,'Source 2026'!$B:$B,$A349,'Source 2026'!$A:$A,"Quantity (units)")+SUMIFS('Source 2026'!$M:$M,'Source 2026'!$B:$B,$A349,'Source 2026'!$A:$A,"Quantity (units)")</f>
        <v>0</v>
      </c>
      <c r="E349" s="8" t="n">
        <f aca="false">D349*$J$5</f>
        <v>0</v>
      </c>
      <c r="F349" s="8" t="n">
        <f aca="false">E349-C349</f>
        <v>-3</v>
      </c>
      <c r="G349" s="9" t="n">
        <f aca="false">IF(AND(C349=0,E349=0),0,IF(C349=0,"New",(E349-C349)/C349))</f>
        <v>-1</v>
      </c>
      <c r="H349" s="8" t="n">
        <f aca="false">SUMIFS('Source 2025'!$D:$D,'Source 2025'!$B:$B,$A349,'Source 2025'!$A:$A,"Amount (NIS)")+SUMIFS('Source 2025'!$E:$E,'Source 2025'!$B:$B,$A349,'Source 2025'!$A:$A,"Amount (NIS)")+SUMIFS('Source 2025'!$F:$F,'Source 2025'!$B:$B,$A349,'Source 2025'!$A:$A,"Amount (NIS)")+SUMIFS('Source 2025'!$G:$G,'Source 2025'!$B:$B,$A349,'Source 2025'!$A:$A,"Amount (NIS)")+SUMIFS('Source 2025'!$J:$J,'Source 2025'!$B:$B,$A349,'Source 2025'!$A:$A,"Amount (NIS)")+SUMIFS('Source 2025'!$M:$M,'Source 2025'!$B:$B,$A349,'Source 2025'!$A:$A,"Amount (NIS)")</f>
        <v>308.9</v>
      </c>
      <c r="I349" s="8" t="n">
        <f aca="false">SUMIFS('Source 2026'!$D:$D,'Source 2026'!$B:$B,$A349,'Source 2026'!$A:$A,"Amount (NIS)")+SUMIFS('Source 2026'!$E:$E,'Source 2026'!$B:$B,$A349,'Source 2026'!$A:$A,"Amount (NIS)")+SUMIFS('Source 2026'!$F:$F,'Source 2026'!$B:$B,$A349,'Source 2026'!$A:$A,"Amount (NIS)")+SUMIFS('Source 2026'!$G:$G,'Source 2026'!$B:$B,$A349,'Source 2026'!$A:$A,"Amount (NIS)")+SUMIFS('Source 2026'!$J:$J,'Source 2026'!$B:$B,$A349,'Source 2026'!$A:$A,"Amount (NIS)")+SUMIFS('Source 2026'!$M:$M,'Source 2026'!$B:$B,$A349,'Source 2026'!$A:$A,"Amount (NIS)")</f>
        <v>0</v>
      </c>
      <c r="J349" s="8" t="n">
        <f aca="false">I349*$J$5</f>
        <v>0</v>
      </c>
      <c r="K349" s="8" t="n">
        <f aca="false">J349-H349</f>
        <v>-308.9</v>
      </c>
      <c r="L349" s="9" t="n">
        <f aca="false">IF(AND(H349=0,J349=0),0,IF(H349=0,"New",(J349-H349)/H349))</f>
        <v>-1</v>
      </c>
    </row>
    <row r="350" customFormat="false" ht="15" hidden="false" customHeight="false" outlineLevel="0" collapsed="false">
      <c r="A350" s="7" t="n">
        <v>4413046</v>
      </c>
      <c r="B350" s="7" t="str">
        <f aca="false">IFERROR(INDEX('Source 2026'!$C:$C,MATCH($A350,'Source 2026'!$B:$B,0)),IFERROR(INDEX('Source 2025'!$C:$C,MATCH($A350,'Source 2025'!$B:$B,0)),""))</f>
        <v>34 XXL מגן קרסול עקב סגור</v>
      </c>
      <c r="C350" s="8" t="n">
        <f aca="false">SUMIFS('Source 2025'!$D:$D,'Source 2025'!$B:$B,$A350,'Source 2025'!$A:$A,"Quantity (units)")+SUMIFS('Source 2025'!$E:$E,'Source 2025'!$B:$B,$A350,'Source 2025'!$A:$A,"Quantity (units)")+SUMIFS('Source 2025'!$F:$F,'Source 2025'!$B:$B,$A350,'Source 2025'!$A:$A,"Quantity (units)")+SUMIFS('Source 2025'!$G:$G,'Source 2025'!$B:$B,$A350,'Source 2025'!$A:$A,"Quantity (units)")+SUMIFS('Source 2025'!$J:$J,'Source 2025'!$B:$B,$A350,'Source 2025'!$A:$A,"Quantity (units)")+SUMIFS('Source 2025'!$M:$M,'Source 2025'!$B:$B,$A350,'Source 2025'!$A:$A,"Quantity (units)")</f>
        <v>24</v>
      </c>
      <c r="D350" s="8" t="n">
        <f aca="false">SUMIFS('Source 2026'!$D:$D,'Source 2026'!$B:$B,$A350,'Source 2026'!$A:$A,"Quantity (units)")+SUMIFS('Source 2026'!$E:$E,'Source 2026'!$B:$B,$A350,'Source 2026'!$A:$A,"Quantity (units)")+SUMIFS('Source 2026'!$F:$F,'Source 2026'!$B:$B,$A350,'Source 2026'!$A:$A,"Quantity (units)")+SUMIFS('Source 2026'!$G:$G,'Source 2026'!$B:$B,$A350,'Source 2026'!$A:$A,"Quantity (units)")+SUMIFS('Source 2026'!$J:$J,'Source 2026'!$B:$B,$A350,'Source 2026'!$A:$A,"Quantity (units)")+SUMIFS('Source 2026'!$M:$M,'Source 2026'!$B:$B,$A350,'Source 2026'!$A:$A,"Quantity (units)")</f>
        <v>17</v>
      </c>
      <c r="E350" s="8" t="n">
        <f aca="false">D350*$J$5</f>
        <v>23.3142857142857</v>
      </c>
      <c r="F350" s="8" t="n">
        <f aca="false">E350-C350</f>
        <v>-0.685714285714287</v>
      </c>
      <c r="G350" s="9" t="n">
        <f aca="false">IF(AND(C350=0,E350=0),0,IF(C350=0,"New",(E350-C350)/C350))</f>
        <v>-0.0285714285714286</v>
      </c>
      <c r="H350" s="8" t="n">
        <f aca="false">SUMIFS('Source 2025'!$D:$D,'Source 2025'!$B:$B,$A350,'Source 2025'!$A:$A,"Amount (NIS)")+SUMIFS('Source 2025'!$E:$E,'Source 2025'!$B:$B,$A350,'Source 2025'!$A:$A,"Amount (NIS)")+SUMIFS('Source 2025'!$F:$F,'Source 2025'!$B:$B,$A350,'Source 2025'!$A:$A,"Amount (NIS)")+SUMIFS('Source 2025'!$G:$G,'Source 2025'!$B:$B,$A350,'Source 2025'!$A:$A,"Amount (NIS)")+SUMIFS('Source 2025'!$J:$J,'Source 2025'!$B:$B,$A350,'Source 2025'!$A:$A,"Amount (NIS)")+SUMIFS('Source 2025'!$M:$M,'Source 2025'!$B:$B,$A350,'Source 2025'!$A:$A,"Amount (NIS)")</f>
        <v>1092</v>
      </c>
      <c r="I350" s="8" t="n">
        <f aca="false">SUMIFS('Source 2026'!$D:$D,'Source 2026'!$B:$B,$A350,'Source 2026'!$A:$A,"Amount (NIS)")+SUMIFS('Source 2026'!$E:$E,'Source 2026'!$B:$B,$A350,'Source 2026'!$A:$A,"Amount (NIS)")+SUMIFS('Source 2026'!$F:$F,'Source 2026'!$B:$B,$A350,'Source 2026'!$A:$A,"Amount (NIS)")+SUMIFS('Source 2026'!$G:$G,'Source 2026'!$B:$B,$A350,'Source 2026'!$A:$A,"Amount (NIS)")+SUMIFS('Source 2026'!$J:$J,'Source 2026'!$B:$B,$A350,'Source 2026'!$A:$A,"Amount (NIS)")+SUMIFS('Source 2026'!$M:$M,'Source 2026'!$B:$B,$A350,'Source 2026'!$A:$A,"Amount (NIS)")</f>
        <v>785.9</v>
      </c>
      <c r="J350" s="8" t="n">
        <f aca="false">I350*$J$5</f>
        <v>1077.80571428571</v>
      </c>
      <c r="K350" s="8" t="n">
        <f aca="false">J350-H350</f>
        <v>-14.1942857142858</v>
      </c>
      <c r="L350" s="9" t="n">
        <f aca="false">IF(AND(H350=0,J350=0),0,IF(H350=0,"New",(J350-H350)/H350))</f>
        <v>-0.0129984301412874</v>
      </c>
    </row>
    <row r="351" customFormat="false" ht="15" hidden="false" customHeight="false" outlineLevel="0" collapsed="false">
      <c r="A351" s="7" t="n">
        <v>4413527</v>
      </c>
      <c r="B351" s="7" t="str">
        <f aca="false">IFERROR(INDEX('Source 2026'!$C:$C,MATCH($A351,'Source 2026'!$B:$B,0)),IFERROR(INDEX('Source 2025'!$C:$C,MATCH($A351,'Source 2025'!$B:$B,0)),""))</f>
        <v>35-38 מדרסי אפיק ג'ל עבודה</v>
      </c>
      <c r="C351" s="8" t="n">
        <f aca="false">SUMIFS('Source 2025'!$D:$D,'Source 2025'!$B:$B,$A351,'Source 2025'!$A:$A,"Quantity (units)")+SUMIFS('Source 2025'!$E:$E,'Source 2025'!$B:$B,$A351,'Source 2025'!$A:$A,"Quantity (units)")+SUMIFS('Source 2025'!$F:$F,'Source 2025'!$B:$B,$A351,'Source 2025'!$A:$A,"Quantity (units)")+SUMIFS('Source 2025'!$G:$G,'Source 2025'!$B:$B,$A351,'Source 2025'!$A:$A,"Quantity (units)")+SUMIFS('Source 2025'!$J:$J,'Source 2025'!$B:$B,$A351,'Source 2025'!$A:$A,"Quantity (units)")+SUMIFS('Source 2025'!$M:$M,'Source 2025'!$B:$B,$A351,'Source 2025'!$A:$A,"Quantity (units)")</f>
        <v>10</v>
      </c>
      <c r="D351" s="8" t="n">
        <f aca="false">SUMIFS('Source 2026'!$D:$D,'Source 2026'!$B:$B,$A351,'Source 2026'!$A:$A,"Quantity (units)")+SUMIFS('Source 2026'!$E:$E,'Source 2026'!$B:$B,$A351,'Source 2026'!$A:$A,"Quantity (units)")+SUMIFS('Source 2026'!$F:$F,'Source 2026'!$B:$B,$A351,'Source 2026'!$A:$A,"Quantity (units)")+SUMIFS('Source 2026'!$G:$G,'Source 2026'!$B:$B,$A351,'Source 2026'!$A:$A,"Quantity (units)")+SUMIFS('Source 2026'!$J:$J,'Source 2026'!$B:$B,$A351,'Source 2026'!$A:$A,"Quantity (units)")+SUMIFS('Source 2026'!$M:$M,'Source 2026'!$B:$B,$A351,'Source 2026'!$A:$A,"Quantity (units)")</f>
        <v>6</v>
      </c>
      <c r="E351" s="8" t="n">
        <f aca="false">D351*$J$5</f>
        <v>8.22857142857143</v>
      </c>
      <c r="F351" s="8" t="n">
        <f aca="false">E351-C351</f>
        <v>-1.77142857142857</v>
      </c>
      <c r="G351" s="9" t="n">
        <f aca="false">IF(AND(C351=0,E351=0),0,IF(C351=0,"New",(E351-C351)/C351))</f>
        <v>-0.177142857142857</v>
      </c>
      <c r="H351" s="8" t="n">
        <f aca="false">SUMIFS('Source 2025'!$D:$D,'Source 2025'!$B:$B,$A351,'Source 2025'!$A:$A,"Amount (NIS)")+SUMIFS('Source 2025'!$E:$E,'Source 2025'!$B:$B,$A351,'Source 2025'!$A:$A,"Amount (NIS)")+SUMIFS('Source 2025'!$F:$F,'Source 2025'!$B:$B,$A351,'Source 2025'!$A:$A,"Amount (NIS)")+SUMIFS('Source 2025'!$G:$G,'Source 2025'!$B:$B,$A351,'Source 2025'!$A:$A,"Amount (NIS)")+SUMIFS('Source 2025'!$J:$J,'Source 2025'!$B:$B,$A351,'Source 2025'!$A:$A,"Amount (NIS)")+SUMIFS('Source 2025'!$M:$M,'Source 2025'!$B:$B,$A351,'Source 2025'!$A:$A,"Amount (NIS)")</f>
        <v>902.8</v>
      </c>
      <c r="I351" s="8" t="n">
        <f aca="false">SUMIFS('Source 2026'!$D:$D,'Source 2026'!$B:$B,$A351,'Source 2026'!$A:$A,"Amount (NIS)")+SUMIFS('Source 2026'!$E:$E,'Source 2026'!$B:$B,$A351,'Source 2026'!$A:$A,"Amount (NIS)")+SUMIFS('Source 2026'!$F:$F,'Source 2026'!$B:$B,$A351,'Source 2026'!$A:$A,"Amount (NIS)")+SUMIFS('Source 2026'!$G:$G,'Source 2026'!$B:$B,$A351,'Source 2026'!$A:$A,"Amount (NIS)")+SUMIFS('Source 2026'!$J:$J,'Source 2026'!$B:$B,$A351,'Source 2026'!$A:$A,"Amount (NIS)")+SUMIFS('Source 2026'!$M:$M,'Source 2026'!$B:$B,$A351,'Source 2026'!$A:$A,"Amount (NIS)")</f>
        <v>598.3</v>
      </c>
      <c r="J351" s="8" t="n">
        <f aca="false">I351*$J$5</f>
        <v>820.525714285714</v>
      </c>
      <c r="K351" s="8" t="n">
        <f aca="false">J351-H351</f>
        <v>-82.2742857142857</v>
      </c>
      <c r="L351" s="9" t="n">
        <f aca="false">IF(AND(H351=0,J351=0),0,IF(H351=0,"New",(J351-H351)/H351))</f>
        <v>-0.0911323501487436</v>
      </c>
    </row>
    <row r="352" customFormat="false" ht="15" hidden="false" customHeight="false" outlineLevel="0" collapsed="false">
      <c r="A352" s="7" t="n">
        <v>4408132</v>
      </c>
      <c r="B352" s="7" t="str">
        <f aca="false">IFERROR(INDEX('Source 2026'!$C:$C,MATCH($A352,'Source 2026'!$B:$B,0)),IFERROR(INDEX('Source 2025'!$C:$C,MATCH($A352,'Source 2025'!$B:$B,0)),""))</f>
        <v>11EU XXL חגורת בטןלאחר ניתוח</v>
      </c>
      <c r="C352" s="8" t="n">
        <f aca="false">SUMIFS('Source 2025'!$D:$D,'Source 2025'!$B:$B,$A352,'Source 2025'!$A:$A,"Quantity (units)")+SUMIFS('Source 2025'!$E:$E,'Source 2025'!$B:$B,$A352,'Source 2025'!$A:$A,"Quantity (units)")+SUMIFS('Source 2025'!$F:$F,'Source 2025'!$B:$B,$A352,'Source 2025'!$A:$A,"Quantity (units)")+SUMIFS('Source 2025'!$G:$G,'Source 2025'!$B:$B,$A352,'Source 2025'!$A:$A,"Quantity (units)")+SUMIFS('Source 2025'!$J:$J,'Source 2025'!$B:$B,$A352,'Source 2025'!$A:$A,"Quantity (units)")+SUMIFS('Source 2025'!$M:$M,'Source 2025'!$B:$B,$A352,'Source 2025'!$A:$A,"Quantity (units)")</f>
        <v>22</v>
      </c>
      <c r="D352" s="8" t="n">
        <f aca="false">SUMIFS('Source 2026'!$D:$D,'Source 2026'!$B:$B,$A352,'Source 2026'!$A:$A,"Quantity (units)")+SUMIFS('Source 2026'!$E:$E,'Source 2026'!$B:$B,$A352,'Source 2026'!$A:$A,"Quantity (units)")+SUMIFS('Source 2026'!$F:$F,'Source 2026'!$B:$B,$A352,'Source 2026'!$A:$A,"Quantity (units)")+SUMIFS('Source 2026'!$G:$G,'Source 2026'!$B:$B,$A352,'Source 2026'!$A:$A,"Quantity (units)")+SUMIFS('Source 2026'!$J:$J,'Source 2026'!$B:$B,$A352,'Source 2026'!$A:$A,"Quantity (units)")+SUMIFS('Source 2026'!$M:$M,'Source 2026'!$B:$B,$A352,'Source 2026'!$A:$A,"Quantity (units)")</f>
        <v>18</v>
      </c>
      <c r="E352" s="8" t="n">
        <f aca="false">D352*$J$5</f>
        <v>24.6857142857143</v>
      </c>
      <c r="F352" s="8" t="n">
        <f aca="false">E352-C352</f>
        <v>2.68571428571429</v>
      </c>
      <c r="G352" s="9" t="n">
        <f aca="false">IF(AND(C352=0,E352=0),0,IF(C352=0,"New",(E352-C352)/C352))</f>
        <v>0.122077922077922</v>
      </c>
      <c r="H352" s="8" t="n">
        <f aca="false">SUMIFS('Source 2025'!$D:$D,'Source 2025'!$B:$B,$A352,'Source 2025'!$A:$A,"Amount (NIS)")+SUMIFS('Source 2025'!$E:$E,'Source 2025'!$B:$B,$A352,'Source 2025'!$A:$A,"Amount (NIS)")+SUMIFS('Source 2025'!$F:$F,'Source 2025'!$B:$B,$A352,'Source 2025'!$A:$A,"Amount (NIS)")+SUMIFS('Source 2025'!$G:$G,'Source 2025'!$B:$B,$A352,'Source 2025'!$A:$A,"Amount (NIS)")+SUMIFS('Source 2025'!$J:$J,'Source 2025'!$B:$B,$A352,'Source 2025'!$A:$A,"Amount (NIS)")+SUMIFS('Source 2025'!$M:$M,'Source 2025'!$B:$B,$A352,'Source 2025'!$A:$A,"Amount (NIS)")</f>
        <v>2284.5</v>
      </c>
      <c r="I352" s="8" t="n">
        <f aca="false">SUMIFS('Source 2026'!$D:$D,'Source 2026'!$B:$B,$A352,'Source 2026'!$A:$A,"Amount (NIS)")+SUMIFS('Source 2026'!$E:$E,'Source 2026'!$B:$B,$A352,'Source 2026'!$A:$A,"Amount (NIS)")+SUMIFS('Source 2026'!$F:$F,'Source 2026'!$B:$B,$A352,'Source 2026'!$A:$A,"Amount (NIS)")+SUMIFS('Source 2026'!$G:$G,'Source 2026'!$B:$B,$A352,'Source 2026'!$A:$A,"Amount (NIS)")+SUMIFS('Source 2026'!$J:$J,'Source 2026'!$B:$B,$A352,'Source 2026'!$A:$A,"Amount (NIS)")+SUMIFS('Source 2026'!$M:$M,'Source 2026'!$B:$B,$A352,'Source 2026'!$A:$A,"Amount (NIS)")</f>
        <v>1981.8</v>
      </c>
      <c r="J352" s="8" t="n">
        <f aca="false">I352*$J$5</f>
        <v>2717.89714285714</v>
      </c>
      <c r="K352" s="8" t="n">
        <f aca="false">J352-H352</f>
        <v>433.397142857143</v>
      </c>
      <c r="L352" s="9" t="n">
        <f aca="false">IF(AND(H352=0,J352=0),0,IF(H352=0,"New",(J352-H352)/H352))</f>
        <v>0.189712034518338</v>
      </c>
    </row>
    <row r="353" customFormat="false" ht="15" hidden="false" customHeight="false" outlineLevel="0" collapsed="false">
      <c r="A353" s="7" t="n">
        <v>4401011</v>
      </c>
      <c r="B353" s="7" t="str">
        <f aca="false">IFERROR(INDEX('Source 2026'!$C:$C,MATCH($A353,'Source 2026'!$B:$B,0)),IFERROR(INDEX('Source 2025'!$C:$C,MATCH($A353,'Source 2025'!$B:$B,0)),""))</f>
        <v>805AT-Cאתלטיק טייפ בז' 20מ""מ20</v>
      </c>
      <c r="C353" s="8" t="n">
        <f aca="false">SUMIFS('Source 2025'!$D:$D,'Source 2025'!$B:$B,$A353,'Source 2025'!$A:$A,"Quantity (units)")+SUMIFS('Source 2025'!$E:$E,'Source 2025'!$B:$B,$A353,'Source 2025'!$A:$A,"Quantity (units)")+SUMIFS('Source 2025'!$F:$F,'Source 2025'!$B:$B,$A353,'Source 2025'!$A:$A,"Quantity (units)")+SUMIFS('Source 2025'!$G:$G,'Source 2025'!$B:$B,$A353,'Source 2025'!$A:$A,"Quantity (units)")+SUMIFS('Source 2025'!$J:$J,'Source 2025'!$B:$B,$A353,'Source 2025'!$A:$A,"Quantity (units)")+SUMIFS('Source 2025'!$M:$M,'Source 2025'!$B:$B,$A353,'Source 2025'!$A:$A,"Quantity (units)")</f>
        <v>70</v>
      </c>
      <c r="D353" s="8" t="n">
        <f aca="false">SUMIFS('Source 2026'!$D:$D,'Source 2026'!$B:$B,$A353,'Source 2026'!$A:$A,"Quantity (units)")+SUMIFS('Source 2026'!$E:$E,'Source 2026'!$B:$B,$A353,'Source 2026'!$A:$A,"Quantity (units)")+SUMIFS('Source 2026'!$F:$F,'Source 2026'!$B:$B,$A353,'Source 2026'!$A:$A,"Quantity (units)")+SUMIFS('Source 2026'!$G:$G,'Source 2026'!$B:$B,$A353,'Source 2026'!$A:$A,"Quantity (units)")+SUMIFS('Source 2026'!$J:$J,'Source 2026'!$B:$B,$A353,'Source 2026'!$A:$A,"Quantity (units)")+SUMIFS('Source 2026'!$M:$M,'Source 2026'!$B:$B,$A353,'Source 2026'!$A:$A,"Quantity (units)")</f>
        <v>48</v>
      </c>
      <c r="E353" s="8" t="n">
        <f aca="false">D353*$J$5</f>
        <v>65.8285714285714</v>
      </c>
      <c r="F353" s="8" t="n">
        <f aca="false">E353-C353</f>
        <v>-4.17142857142858</v>
      </c>
      <c r="G353" s="9" t="n">
        <f aca="false">IF(AND(C353=0,E353=0),0,IF(C353=0,"New",(E353-C353)/C353))</f>
        <v>-0.059591836734694</v>
      </c>
      <c r="H353" s="8" t="n">
        <f aca="false">SUMIFS('Source 2025'!$D:$D,'Source 2025'!$B:$B,$A353,'Source 2025'!$A:$A,"Amount (NIS)")+SUMIFS('Source 2025'!$E:$E,'Source 2025'!$B:$B,$A353,'Source 2025'!$A:$A,"Amount (NIS)")+SUMIFS('Source 2025'!$F:$F,'Source 2025'!$B:$B,$A353,'Source 2025'!$A:$A,"Amount (NIS)")+SUMIFS('Source 2025'!$G:$G,'Source 2025'!$B:$B,$A353,'Source 2025'!$A:$A,"Amount (NIS)")+SUMIFS('Source 2025'!$J:$J,'Source 2025'!$B:$B,$A353,'Source 2025'!$A:$A,"Amount (NIS)")+SUMIFS('Source 2025'!$M:$M,'Source 2025'!$B:$B,$A353,'Source 2025'!$A:$A,"Amount (NIS)")</f>
        <v>1089.5</v>
      </c>
      <c r="I353" s="8" t="n">
        <f aca="false">SUMIFS('Source 2026'!$D:$D,'Source 2026'!$B:$B,$A353,'Source 2026'!$A:$A,"Amount (NIS)")+SUMIFS('Source 2026'!$E:$E,'Source 2026'!$B:$B,$A353,'Source 2026'!$A:$A,"Amount (NIS)")+SUMIFS('Source 2026'!$F:$F,'Source 2026'!$B:$B,$A353,'Source 2026'!$A:$A,"Amount (NIS)")+SUMIFS('Source 2026'!$G:$G,'Source 2026'!$B:$B,$A353,'Source 2026'!$A:$A,"Amount (NIS)")+SUMIFS('Source 2026'!$J:$J,'Source 2026'!$B:$B,$A353,'Source 2026'!$A:$A,"Amount (NIS)")+SUMIFS('Source 2026'!$M:$M,'Source 2026'!$B:$B,$A353,'Source 2026'!$A:$A,"Amount (NIS)")</f>
        <v>788.6</v>
      </c>
      <c r="J353" s="8" t="n">
        <f aca="false">I353*$J$5</f>
        <v>1081.50857142857</v>
      </c>
      <c r="K353" s="8" t="n">
        <f aca="false">J353-H353</f>
        <v>-7.99142857142851</v>
      </c>
      <c r="L353" s="9" t="n">
        <f aca="false">IF(AND(H353=0,J353=0),0,IF(H353=0,"New",(J353-H353)/H353))</f>
        <v>-0.00733495050154063</v>
      </c>
    </row>
    <row r="354" customFormat="false" ht="15" hidden="false" customHeight="false" outlineLevel="0" collapsed="false">
      <c r="A354" s="7" t="n">
        <v>4421008</v>
      </c>
      <c r="B354" s="7" t="str">
        <f aca="false">IFERROR(INDEX('Source 2026'!$C:$C,MATCH($A354,'Source 2026'!$B:$B,0)),IFERROR(INDEX('Source 2025'!$C:$C,MATCH($A354,'Source 2025'!$B:$B,0)),""))</f>
        <v>שרוול לגבס ארוך רגל</v>
      </c>
      <c r="C354" s="8" t="n">
        <f aca="false">SUMIFS('Source 2025'!$D:$D,'Source 2025'!$B:$B,$A354,'Source 2025'!$A:$A,"Quantity (units)")+SUMIFS('Source 2025'!$E:$E,'Source 2025'!$B:$B,$A354,'Source 2025'!$A:$A,"Quantity (units)")+SUMIFS('Source 2025'!$F:$F,'Source 2025'!$B:$B,$A354,'Source 2025'!$A:$A,"Quantity (units)")+SUMIFS('Source 2025'!$G:$G,'Source 2025'!$B:$B,$A354,'Source 2025'!$A:$A,"Quantity (units)")+SUMIFS('Source 2025'!$J:$J,'Source 2025'!$B:$B,$A354,'Source 2025'!$A:$A,"Quantity (units)")+SUMIFS('Source 2025'!$M:$M,'Source 2025'!$B:$B,$A354,'Source 2025'!$A:$A,"Quantity (units)")</f>
        <v>89</v>
      </c>
      <c r="D354" s="8" t="n">
        <f aca="false">SUMIFS('Source 2026'!$D:$D,'Source 2026'!$B:$B,$A354,'Source 2026'!$A:$A,"Quantity (units)")+SUMIFS('Source 2026'!$E:$E,'Source 2026'!$B:$B,$A354,'Source 2026'!$A:$A,"Quantity (units)")+SUMIFS('Source 2026'!$F:$F,'Source 2026'!$B:$B,$A354,'Source 2026'!$A:$A,"Quantity (units)")+SUMIFS('Source 2026'!$G:$G,'Source 2026'!$B:$B,$A354,'Source 2026'!$A:$A,"Quantity (units)")+SUMIFS('Source 2026'!$J:$J,'Source 2026'!$B:$B,$A354,'Source 2026'!$A:$A,"Quantity (units)")+SUMIFS('Source 2026'!$M:$M,'Source 2026'!$B:$B,$A354,'Source 2026'!$A:$A,"Quantity (units)")</f>
        <v>83</v>
      </c>
      <c r="E354" s="8" t="n">
        <f aca="false">D354*$J$5</f>
        <v>113.828571428571</v>
      </c>
      <c r="F354" s="8" t="n">
        <f aca="false">E354-C354</f>
        <v>24.8285714285714</v>
      </c>
      <c r="G354" s="9" t="n">
        <f aca="false">IF(AND(C354=0,E354=0),0,IF(C354=0,"New",(E354-C354)/C354))</f>
        <v>0.278972712680578</v>
      </c>
      <c r="H354" s="8" t="n">
        <f aca="false">SUMIFS('Source 2025'!$D:$D,'Source 2025'!$B:$B,$A354,'Source 2025'!$A:$A,"Amount (NIS)")+SUMIFS('Source 2025'!$E:$E,'Source 2025'!$B:$B,$A354,'Source 2025'!$A:$A,"Amount (NIS)")+SUMIFS('Source 2025'!$F:$F,'Source 2025'!$B:$B,$A354,'Source 2025'!$A:$A,"Amount (NIS)")+SUMIFS('Source 2025'!$G:$G,'Source 2025'!$B:$B,$A354,'Source 2025'!$A:$A,"Amount (NIS)")+SUMIFS('Source 2025'!$J:$J,'Source 2025'!$B:$B,$A354,'Source 2025'!$A:$A,"Amount (NIS)")+SUMIFS('Source 2025'!$M:$M,'Source 2025'!$B:$B,$A354,'Source 2025'!$A:$A,"Amount (NIS)")</f>
        <v>4014.8</v>
      </c>
      <c r="I354" s="8" t="n">
        <f aca="false">SUMIFS('Source 2026'!$D:$D,'Source 2026'!$B:$B,$A354,'Source 2026'!$A:$A,"Amount (NIS)")+SUMIFS('Source 2026'!$E:$E,'Source 2026'!$B:$B,$A354,'Source 2026'!$A:$A,"Amount (NIS)")+SUMIFS('Source 2026'!$F:$F,'Source 2026'!$B:$B,$A354,'Source 2026'!$A:$A,"Amount (NIS)")+SUMIFS('Source 2026'!$G:$G,'Source 2026'!$B:$B,$A354,'Source 2026'!$A:$A,"Amount (NIS)")+SUMIFS('Source 2026'!$J:$J,'Source 2026'!$B:$B,$A354,'Source 2026'!$A:$A,"Amount (NIS)")+SUMIFS('Source 2026'!$M:$M,'Source 2026'!$B:$B,$A354,'Source 2026'!$A:$A,"Amount (NIS)")</f>
        <v>3714.4</v>
      </c>
      <c r="J354" s="8" t="n">
        <f aca="false">I354*$J$5</f>
        <v>5094.03428571429</v>
      </c>
      <c r="K354" s="8" t="n">
        <f aca="false">J354-H354</f>
        <v>1079.23428571429</v>
      </c>
      <c r="L354" s="9" t="n">
        <f aca="false">IF(AND(H354=0,J354=0),0,IF(H354=0,"New",(J354-H354)/H354))</f>
        <v>0.268813959777395</v>
      </c>
    </row>
    <row r="355" customFormat="false" ht="15" hidden="false" customHeight="false" outlineLevel="0" collapsed="false">
      <c r="A355" s="7" t="n">
        <v>4413397</v>
      </c>
      <c r="B355" s="7" t="str">
        <f aca="false">IFERROR(INDEX('Source 2026'!$C:$C,MATCH($A355,'Source 2026'!$B:$B,0)),IFERROR(INDEX('Source 2025'!$C:$C,MATCH($A355,'Source 2025'!$B:$B,0)),""))</f>
        <v>45EC XL'מגן ברך ארוך בז</v>
      </c>
      <c r="C355" s="8" t="n">
        <f aca="false">SUMIFS('Source 2025'!$D:$D,'Source 2025'!$B:$B,$A355,'Source 2025'!$A:$A,"Quantity (units)")+SUMIFS('Source 2025'!$E:$E,'Source 2025'!$B:$B,$A355,'Source 2025'!$A:$A,"Quantity (units)")+SUMIFS('Source 2025'!$F:$F,'Source 2025'!$B:$B,$A355,'Source 2025'!$A:$A,"Quantity (units)")+SUMIFS('Source 2025'!$G:$G,'Source 2025'!$B:$B,$A355,'Source 2025'!$A:$A,"Quantity (units)")+SUMIFS('Source 2025'!$J:$J,'Source 2025'!$B:$B,$A355,'Source 2025'!$A:$A,"Quantity (units)")+SUMIFS('Source 2025'!$M:$M,'Source 2025'!$B:$B,$A355,'Source 2025'!$A:$A,"Quantity (units)")</f>
        <v>103</v>
      </c>
      <c r="D355" s="8" t="n">
        <f aca="false">SUMIFS('Source 2026'!$D:$D,'Source 2026'!$B:$B,$A355,'Source 2026'!$A:$A,"Quantity (units)")+SUMIFS('Source 2026'!$E:$E,'Source 2026'!$B:$B,$A355,'Source 2026'!$A:$A,"Quantity (units)")+SUMIFS('Source 2026'!$F:$F,'Source 2026'!$B:$B,$A355,'Source 2026'!$A:$A,"Quantity (units)")+SUMIFS('Source 2026'!$G:$G,'Source 2026'!$B:$B,$A355,'Source 2026'!$A:$A,"Quantity (units)")+SUMIFS('Source 2026'!$J:$J,'Source 2026'!$B:$B,$A355,'Source 2026'!$A:$A,"Quantity (units)")+SUMIFS('Source 2026'!$M:$M,'Source 2026'!$B:$B,$A355,'Source 2026'!$A:$A,"Quantity (units)")</f>
        <v>94</v>
      </c>
      <c r="E355" s="8" t="n">
        <f aca="false">D355*$J$5</f>
        <v>128.914285714286</v>
      </c>
      <c r="F355" s="8" t="n">
        <f aca="false">E355-C355</f>
        <v>25.9142857142857</v>
      </c>
      <c r="G355" s="9" t="n">
        <f aca="false">IF(AND(C355=0,E355=0),0,IF(C355=0,"New",(E355-C355)/C355))</f>
        <v>0.251595006934813</v>
      </c>
      <c r="H355" s="8" t="n">
        <f aca="false">SUMIFS('Source 2025'!$D:$D,'Source 2025'!$B:$B,$A355,'Source 2025'!$A:$A,"Amount (NIS)")+SUMIFS('Source 2025'!$E:$E,'Source 2025'!$B:$B,$A355,'Source 2025'!$A:$A,"Amount (NIS)")+SUMIFS('Source 2025'!$F:$F,'Source 2025'!$B:$B,$A355,'Source 2025'!$A:$A,"Amount (NIS)")+SUMIFS('Source 2025'!$G:$G,'Source 2025'!$B:$B,$A355,'Source 2025'!$A:$A,"Amount (NIS)")+SUMIFS('Source 2025'!$J:$J,'Source 2025'!$B:$B,$A355,'Source 2025'!$A:$A,"Amount (NIS)")+SUMIFS('Source 2025'!$M:$M,'Source 2025'!$B:$B,$A355,'Source 2025'!$A:$A,"Amount (NIS)")</f>
        <v>3709.6</v>
      </c>
      <c r="I355" s="8" t="n">
        <f aca="false">SUMIFS('Source 2026'!$D:$D,'Source 2026'!$B:$B,$A355,'Source 2026'!$A:$A,"Amount (NIS)")+SUMIFS('Source 2026'!$E:$E,'Source 2026'!$B:$B,$A355,'Source 2026'!$A:$A,"Amount (NIS)")+SUMIFS('Source 2026'!$F:$F,'Source 2026'!$B:$B,$A355,'Source 2026'!$A:$A,"Amount (NIS)")+SUMIFS('Source 2026'!$G:$G,'Source 2026'!$B:$B,$A355,'Source 2026'!$A:$A,"Amount (NIS)")+SUMIFS('Source 2026'!$J:$J,'Source 2026'!$B:$B,$A355,'Source 2026'!$A:$A,"Amount (NIS)")+SUMIFS('Source 2026'!$M:$M,'Source 2026'!$B:$B,$A355,'Source 2026'!$A:$A,"Amount (NIS)")</f>
        <v>3412.6</v>
      </c>
      <c r="J355" s="8" t="n">
        <f aca="false">I355*$J$5</f>
        <v>4680.13714285714</v>
      </c>
      <c r="K355" s="8" t="n">
        <f aca="false">J355-H355</f>
        <v>970.537142857143</v>
      </c>
      <c r="L355" s="9" t="n">
        <f aca="false">IF(AND(H355=0,J355=0),0,IF(H355=0,"New",(J355-H355)/H355))</f>
        <v>0.261628515973998</v>
      </c>
    </row>
    <row r="356" customFormat="false" ht="15" hidden="false" customHeight="false" outlineLevel="0" collapsed="false">
      <c r="A356" s="7" t="n">
        <v>4413449</v>
      </c>
      <c r="B356" s="7" t="str">
        <f aca="false">IFERROR(INDEX('Source 2026'!$C:$C,MATCH($A356,'Source 2026'!$B:$B,0)),IFERROR(INDEX('Source 2025'!$C:$C,MATCH($A356,'Source 2025'!$B:$B,0)),""))</f>
        <v>LF378 S מדרס ג'ל לנעלי עקב</v>
      </c>
      <c r="C356" s="8" t="n">
        <f aca="false">SUMIFS('Source 2025'!$D:$D,'Source 2025'!$B:$B,$A356,'Source 2025'!$A:$A,"Quantity (units)")+SUMIFS('Source 2025'!$E:$E,'Source 2025'!$B:$B,$A356,'Source 2025'!$A:$A,"Quantity (units)")+SUMIFS('Source 2025'!$F:$F,'Source 2025'!$B:$B,$A356,'Source 2025'!$A:$A,"Quantity (units)")+SUMIFS('Source 2025'!$G:$G,'Source 2025'!$B:$B,$A356,'Source 2025'!$A:$A,"Quantity (units)")+SUMIFS('Source 2025'!$J:$J,'Source 2025'!$B:$B,$A356,'Source 2025'!$A:$A,"Quantity (units)")+SUMIFS('Source 2025'!$M:$M,'Source 2025'!$B:$B,$A356,'Source 2025'!$A:$A,"Quantity (units)")</f>
        <v>0</v>
      </c>
      <c r="D356" s="8" t="n">
        <f aca="false">SUMIFS('Source 2026'!$D:$D,'Source 2026'!$B:$B,$A356,'Source 2026'!$A:$A,"Quantity (units)")+SUMIFS('Source 2026'!$E:$E,'Source 2026'!$B:$B,$A356,'Source 2026'!$A:$A,"Quantity (units)")+SUMIFS('Source 2026'!$F:$F,'Source 2026'!$B:$B,$A356,'Source 2026'!$A:$A,"Quantity (units)")+SUMIFS('Source 2026'!$G:$G,'Source 2026'!$B:$B,$A356,'Source 2026'!$A:$A,"Quantity (units)")+SUMIFS('Source 2026'!$J:$J,'Source 2026'!$B:$B,$A356,'Source 2026'!$A:$A,"Quantity (units)")+SUMIFS('Source 2026'!$M:$M,'Source 2026'!$B:$B,$A356,'Source 2026'!$A:$A,"Quantity (units)")</f>
        <v>4</v>
      </c>
      <c r="E356" s="8" t="n">
        <f aca="false">D356*$J$5</f>
        <v>5.48571428571429</v>
      </c>
      <c r="F356" s="8" t="n">
        <f aca="false">E356-C356</f>
        <v>5.48571428571429</v>
      </c>
      <c r="G356" s="9" t="str">
        <f aca="false">IF(AND(C356=0,E356=0),0,IF(C356=0,"New",(E356-C356)/C356))</f>
        <v>New</v>
      </c>
      <c r="H356" s="8" t="n">
        <f aca="false">SUMIFS('Source 2025'!$D:$D,'Source 2025'!$B:$B,$A356,'Source 2025'!$A:$A,"Amount (NIS)")+SUMIFS('Source 2025'!$E:$E,'Source 2025'!$B:$B,$A356,'Source 2025'!$A:$A,"Amount (NIS)")+SUMIFS('Source 2025'!$F:$F,'Source 2025'!$B:$B,$A356,'Source 2025'!$A:$A,"Amount (NIS)")+SUMIFS('Source 2025'!$G:$G,'Source 2025'!$B:$B,$A356,'Source 2025'!$A:$A,"Amount (NIS)")+SUMIFS('Source 2025'!$J:$J,'Source 2025'!$B:$B,$A356,'Source 2025'!$A:$A,"Amount (NIS)")+SUMIFS('Source 2025'!$M:$M,'Source 2025'!$B:$B,$A356,'Source 2025'!$A:$A,"Amount (NIS)")</f>
        <v>0</v>
      </c>
      <c r="I356" s="8" t="n">
        <f aca="false">SUMIFS('Source 2026'!$D:$D,'Source 2026'!$B:$B,$A356,'Source 2026'!$A:$A,"Amount (NIS)")+SUMIFS('Source 2026'!$E:$E,'Source 2026'!$B:$B,$A356,'Source 2026'!$A:$A,"Amount (NIS)")+SUMIFS('Source 2026'!$F:$F,'Source 2026'!$B:$B,$A356,'Source 2026'!$A:$A,"Amount (NIS)")+SUMIFS('Source 2026'!$G:$G,'Source 2026'!$B:$B,$A356,'Source 2026'!$A:$A,"Amount (NIS)")+SUMIFS('Source 2026'!$J:$J,'Source 2026'!$B:$B,$A356,'Source 2026'!$A:$A,"Amount (NIS)")+SUMIFS('Source 2026'!$M:$M,'Source 2026'!$B:$B,$A356,'Source 2026'!$A:$A,"Amount (NIS)")</f>
        <v>294.2</v>
      </c>
      <c r="J356" s="8" t="n">
        <f aca="false">I356*$J$5</f>
        <v>403.474285714286</v>
      </c>
      <c r="K356" s="8" t="n">
        <f aca="false">J356-H356</f>
        <v>403.474285714286</v>
      </c>
      <c r="L356" s="9" t="str">
        <f aca="false">IF(AND(H356=0,J356=0),0,IF(H356=0,"New",(J356-H356)/H356))</f>
        <v>New</v>
      </c>
    </row>
    <row r="357" customFormat="false" ht="15" hidden="false" customHeight="false" outlineLevel="0" collapsed="false">
      <c r="A357" s="7" t="n">
        <v>4408093</v>
      </c>
      <c r="B357" s="7" t="str">
        <f aca="false">IFERROR(INDEX('Source 2026'!$C:$C,MATCH($A357,'Source 2026'!$B:$B,0)),IFERROR(INDEX('Source 2025'!$C:$C,MATCH($A357,'Source 2025'!$B:$B,0)),""))</f>
        <v>T11C XXL חגורת גב פוג'יאמה</v>
      </c>
      <c r="C357" s="8" t="n">
        <f aca="false">SUMIFS('Source 2025'!$D:$D,'Source 2025'!$B:$B,$A357,'Source 2025'!$A:$A,"Quantity (units)")+SUMIFS('Source 2025'!$E:$E,'Source 2025'!$B:$B,$A357,'Source 2025'!$A:$A,"Quantity (units)")+SUMIFS('Source 2025'!$F:$F,'Source 2025'!$B:$B,$A357,'Source 2025'!$A:$A,"Quantity (units)")+SUMIFS('Source 2025'!$G:$G,'Source 2025'!$B:$B,$A357,'Source 2025'!$A:$A,"Quantity (units)")+SUMIFS('Source 2025'!$J:$J,'Source 2025'!$B:$B,$A357,'Source 2025'!$A:$A,"Quantity (units)")+SUMIFS('Source 2025'!$M:$M,'Source 2025'!$B:$B,$A357,'Source 2025'!$A:$A,"Quantity (units)")</f>
        <v>8</v>
      </c>
      <c r="D357" s="8" t="n">
        <f aca="false">SUMIFS('Source 2026'!$D:$D,'Source 2026'!$B:$B,$A357,'Source 2026'!$A:$A,"Quantity (units)")+SUMIFS('Source 2026'!$E:$E,'Source 2026'!$B:$B,$A357,'Source 2026'!$A:$A,"Quantity (units)")+SUMIFS('Source 2026'!$F:$F,'Source 2026'!$B:$B,$A357,'Source 2026'!$A:$A,"Quantity (units)")+SUMIFS('Source 2026'!$G:$G,'Source 2026'!$B:$B,$A357,'Source 2026'!$A:$A,"Quantity (units)")+SUMIFS('Source 2026'!$J:$J,'Source 2026'!$B:$B,$A357,'Source 2026'!$A:$A,"Quantity (units)")+SUMIFS('Source 2026'!$M:$M,'Source 2026'!$B:$B,$A357,'Source 2026'!$A:$A,"Quantity (units)")</f>
        <v>5</v>
      </c>
      <c r="E357" s="8" t="n">
        <f aca="false">D357*$J$5</f>
        <v>6.85714285714286</v>
      </c>
      <c r="F357" s="8" t="n">
        <f aca="false">E357-C357</f>
        <v>-1.14285714285714</v>
      </c>
      <c r="G357" s="9" t="n">
        <f aca="false">IF(AND(C357=0,E357=0),0,IF(C357=0,"New",(E357-C357)/C357))</f>
        <v>-0.142857142857143</v>
      </c>
      <c r="H357" s="8" t="n">
        <f aca="false">SUMIFS('Source 2025'!$D:$D,'Source 2025'!$B:$B,$A357,'Source 2025'!$A:$A,"Amount (NIS)")+SUMIFS('Source 2025'!$E:$E,'Source 2025'!$B:$B,$A357,'Source 2025'!$A:$A,"Amount (NIS)")+SUMIFS('Source 2025'!$F:$F,'Source 2025'!$B:$B,$A357,'Source 2025'!$A:$A,"Amount (NIS)")+SUMIFS('Source 2025'!$G:$G,'Source 2025'!$B:$B,$A357,'Source 2025'!$A:$A,"Amount (NIS)")+SUMIFS('Source 2025'!$J:$J,'Source 2025'!$B:$B,$A357,'Source 2025'!$A:$A,"Amount (NIS)")+SUMIFS('Source 2025'!$M:$M,'Source 2025'!$B:$B,$A357,'Source 2025'!$A:$A,"Amount (NIS)")</f>
        <v>752.9</v>
      </c>
      <c r="I357" s="8" t="n">
        <f aca="false">SUMIFS('Source 2026'!$D:$D,'Source 2026'!$B:$B,$A357,'Source 2026'!$A:$A,"Amount (NIS)")+SUMIFS('Source 2026'!$E:$E,'Source 2026'!$B:$B,$A357,'Source 2026'!$A:$A,"Amount (NIS)")+SUMIFS('Source 2026'!$F:$F,'Source 2026'!$B:$B,$A357,'Source 2026'!$A:$A,"Amount (NIS)")+SUMIFS('Source 2026'!$G:$G,'Source 2026'!$B:$B,$A357,'Source 2026'!$A:$A,"Amount (NIS)")+SUMIFS('Source 2026'!$J:$J,'Source 2026'!$B:$B,$A357,'Source 2026'!$A:$A,"Amount (NIS)")+SUMIFS('Source 2026'!$M:$M,'Source 2026'!$B:$B,$A357,'Source 2026'!$A:$A,"Amount (NIS)")</f>
        <v>460.5</v>
      </c>
      <c r="J357" s="8" t="n">
        <f aca="false">I357*$J$5</f>
        <v>631.542857142857</v>
      </c>
      <c r="K357" s="8" t="n">
        <f aca="false">J357-H357</f>
        <v>-121.357142857143</v>
      </c>
      <c r="L357" s="9" t="n">
        <f aca="false">IF(AND(H357=0,J357=0),0,IF(H357=0,"New",(J357-H357)/H357))</f>
        <v>-0.161186270231296</v>
      </c>
    </row>
    <row r="358" customFormat="false" ht="15" hidden="false" customHeight="false" outlineLevel="0" collapsed="false">
      <c r="A358" s="7" t="n">
        <v>4421005</v>
      </c>
      <c r="B358" s="7" t="str">
        <f aca="false">IFERROR(INDEX('Source 2026'!$C:$C,MATCH($A358,'Source 2026'!$B:$B,0)),IFERROR(INDEX('Source 2025'!$C:$C,MATCH($A358,'Source 2025'!$B:$B,0)),""))</f>
        <v>שרוול לגבס קצר יד</v>
      </c>
      <c r="C358" s="8" t="n">
        <f aca="false">SUMIFS('Source 2025'!$D:$D,'Source 2025'!$B:$B,$A358,'Source 2025'!$A:$A,"Quantity (units)")+SUMIFS('Source 2025'!$E:$E,'Source 2025'!$B:$B,$A358,'Source 2025'!$A:$A,"Quantity (units)")+SUMIFS('Source 2025'!$F:$F,'Source 2025'!$B:$B,$A358,'Source 2025'!$A:$A,"Quantity (units)")+SUMIFS('Source 2025'!$G:$G,'Source 2025'!$B:$B,$A358,'Source 2025'!$A:$A,"Quantity (units)")+SUMIFS('Source 2025'!$J:$J,'Source 2025'!$B:$B,$A358,'Source 2025'!$A:$A,"Quantity (units)")+SUMIFS('Source 2025'!$M:$M,'Source 2025'!$B:$B,$A358,'Source 2025'!$A:$A,"Quantity (units)")</f>
        <v>72</v>
      </c>
      <c r="D358" s="8" t="n">
        <f aca="false">SUMIFS('Source 2026'!$D:$D,'Source 2026'!$B:$B,$A358,'Source 2026'!$A:$A,"Quantity (units)")+SUMIFS('Source 2026'!$E:$E,'Source 2026'!$B:$B,$A358,'Source 2026'!$A:$A,"Quantity (units)")+SUMIFS('Source 2026'!$F:$F,'Source 2026'!$B:$B,$A358,'Source 2026'!$A:$A,"Quantity (units)")+SUMIFS('Source 2026'!$G:$G,'Source 2026'!$B:$B,$A358,'Source 2026'!$A:$A,"Quantity (units)")+SUMIFS('Source 2026'!$J:$J,'Source 2026'!$B:$B,$A358,'Source 2026'!$A:$A,"Quantity (units)")+SUMIFS('Source 2026'!$M:$M,'Source 2026'!$B:$B,$A358,'Source 2026'!$A:$A,"Quantity (units)")</f>
        <v>76</v>
      </c>
      <c r="E358" s="8" t="n">
        <f aca="false">D358*$J$5</f>
        <v>104.228571428571</v>
      </c>
      <c r="F358" s="8" t="n">
        <f aca="false">E358-C358</f>
        <v>32.2285714285714</v>
      </c>
      <c r="G358" s="9" t="n">
        <f aca="false">IF(AND(C358=0,E358=0),0,IF(C358=0,"New",(E358-C358)/C358))</f>
        <v>0.447619047619048</v>
      </c>
      <c r="H358" s="8" t="n">
        <f aca="false">SUMIFS('Source 2025'!$D:$D,'Source 2025'!$B:$B,$A358,'Source 2025'!$A:$A,"Amount (NIS)")+SUMIFS('Source 2025'!$E:$E,'Source 2025'!$B:$B,$A358,'Source 2025'!$A:$A,"Amount (NIS)")+SUMIFS('Source 2025'!$F:$F,'Source 2025'!$B:$B,$A358,'Source 2025'!$A:$A,"Amount (NIS)")+SUMIFS('Source 2025'!$G:$G,'Source 2025'!$B:$B,$A358,'Source 2025'!$A:$A,"Amount (NIS)")+SUMIFS('Source 2025'!$J:$J,'Source 2025'!$B:$B,$A358,'Source 2025'!$A:$A,"Amount (NIS)")+SUMIFS('Source 2025'!$M:$M,'Source 2025'!$B:$B,$A358,'Source 2025'!$A:$A,"Amount (NIS)")</f>
        <v>2651</v>
      </c>
      <c r="I358" s="8" t="n">
        <f aca="false">SUMIFS('Source 2026'!$D:$D,'Source 2026'!$B:$B,$A358,'Source 2026'!$A:$A,"Amount (NIS)")+SUMIFS('Source 2026'!$E:$E,'Source 2026'!$B:$B,$A358,'Source 2026'!$A:$A,"Amount (NIS)")+SUMIFS('Source 2026'!$F:$F,'Source 2026'!$B:$B,$A358,'Source 2026'!$A:$A,"Amount (NIS)")+SUMIFS('Source 2026'!$G:$G,'Source 2026'!$B:$B,$A358,'Source 2026'!$A:$A,"Amount (NIS)")+SUMIFS('Source 2026'!$J:$J,'Source 2026'!$B:$B,$A358,'Source 2026'!$A:$A,"Amount (NIS)")+SUMIFS('Source 2026'!$M:$M,'Source 2026'!$B:$B,$A358,'Source 2026'!$A:$A,"Amount (NIS)")</f>
        <v>2942</v>
      </c>
      <c r="J358" s="8" t="n">
        <f aca="false">I358*$J$5</f>
        <v>4034.74285714286</v>
      </c>
      <c r="K358" s="8" t="n">
        <f aca="false">J358-H358</f>
        <v>1383.74285714286</v>
      </c>
      <c r="L358" s="9" t="n">
        <f aca="false">IF(AND(H358=0,J358=0),0,IF(H358=0,"New",(J358-H358)/H358))</f>
        <v>0.521970146036536</v>
      </c>
    </row>
    <row r="359" customFormat="false" ht="15" hidden="false" customHeight="false" outlineLevel="0" collapsed="false">
      <c r="A359" s="7" t="n">
        <v>4408225</v>
      </c>
      <c r="B359" s="7" t="str">
        <f aca="false">IFERROR(INDEX('Source 2026'!$C:$C,MATCH($A359,'Source 2026'!$B:$B,0)),IFERROR(INDEX('Source 2025'!$C:$C,MATCH($A359,'Source 2025'!$B:$B,0)),""))</f>
        <v>M 11 אפורUG חגורת בטן</v>
      </c>
      <c r="C359" s="8" t="n">
        <f aca="false">SUMIFS('Source 2025'!$D:$D,'Source 2025'!$B:$B,$A359,'Source 2025'!$A:$A,"Quantity (units)")+SUMIFS('Source 2025'!$E:$E,'Source 2025'!$B:$B,$A359,'Source 2025'!$A:$A,"Quantity (units)")+SUMIFS('Source 2025'!$F:$F,'Source 2025'!$B:$B,$A359,'Source 2025'!$A:$A,"Quantity (units)")+SUMIFS('Source 2025'!$G:$G,'Source 2025'!$B:$B,$A359,'Source 2025'!$A:$A,"Quantity (units)")+SUMIFS('Source 2025'!$J:$J,'Source 2025'!$B:$B,$A359,'Source 2025'!$A:$A,"Quantity (units)")+SUMIFS('Source 2025'!$M:$M,'Source 2025'!$B:$B,$A359,'Source 2025'!$A:$A,"Quantity (units)")</f>
        <v>3</v>
      </c>
      <c r="D359" s="8" t="n">
        <f aca="false">SUMIFS('Source 2026'!$D:$D,'Source 2026'!$B:$B,$A359,'Source 2026'!$A:$A,"Quantity (units)")+SUMIFS('Source 2026'!$E:$E,'Source 2026'!$B:$B,$A359,'Source 2026'!$A:$A,"Quantity (units)")+SUMIFS('Source 2026'!$F:$F,'Source 2026'!$B:$B,$A359,'Source 2026'!$A:$A,"Quantity (units)")+SUMIFS('Source 2026'!$G:$G,'Source 2026'!$B:$B,$A359,'Source 2026'!$A:$A,"Quantity (units)")+SUMIFS('Source 2026'!$J:$J,'Source 2026'!$B:$B,$A359,'Source 2026'!$A:$A,"Quantity (units)")+SUMIFS('Source 2026'!$M:$M,'Source 2026'!$B:$B,$A359,'Source 2026'!$A:$A,"Quantity (units)")</f>
        <v>0</v>
      </c>
      <c r="E359" s="8" t="n">
        <f aca="false">D359*$J$5</f>
        <v>0</v>
      </c>
      <c r="F359" s="8" t="n">
        <f aca="false">E359-C359</f>
        <v>-3</v>
      </c>
      <c r="G359" s="9" t="n">
        <f aca="false">IF(AND(C359=0,E359=0),0,IF(C359=0,"New",(E359-C359)/C359))</f>
        <v>-1</v>
      </c>
      <c r="H359" s="8" t="n">
        <f aca="false">SUMIFS('Source 2025'!$D:$D,'Source 2025'!$B:$B,$A359,'Source 2025'!$A:$A,"Amount (NIS)")+SUMIFS('Source 2025'!$E:$E,'Source 2025'!$B:$B,$A359,'Source 2025'!$A:$A,"Amount (NIS)")+SUMIFS('Source 2025'!$F:$F,'Source 2025'!$B:$B,$A359,'Source 2025'!$A:$A,"Amount (NIS)")+SUMIFS('Source 2025'!$G:$G,'Source 2025'!$B:$B,$A359,'Source 2025'!$A:$A,"Amount (NIS)")+SUMIFS('Source 2025'!$J:$J,'Source 2025'!$B:$B,$A359,'Source 2025'!$A:$A,"Amount (NIS)")+SUMIFS('Source 2025'!$M:$M,'Source 2025'!$B:$B,$A359,'Source 2025'!$A:$A,"Amount (NIS)")</f>
        <v>288.7</v>
      </c>
      <c r="I359" s="8" t="n">
        <f aca="false">SUMIFS('Source 2026'!$D:$D,'Source 2026'!$B:$B,$A359,'Source 2026'!$A:$A,"Amount (NIS)")+SUMIFS('Source 2026'!$E:$E,'Source 2026'!$B:$B,$A359,'Source 2026'!$A:$A,"Amount (NIS)")+SUMIFS('Source 2026'!$F:$F,'Source 2026'!$B:$B,$A359,'Source 2026'!$A:$A,"Amount (NIS)")+SUMIFS('Source 2026'!$G:$G,'Source 2026'!$B:$B,$A359,'Source 2026'!$A:$A,"Amount (NIS)")+SUMIFS('Source 2026'!$J:$J,'Source 2026'!$B:$B,$A359,'Source 2026'!$A:$A,"Amount (NIS)")+SUMIFS('Source 2026'!$M:$M,'Source 2026'!$B:$B,$A359,'Source 2026'!$A:$A,"Amount (NIS)")</f>
        <v>0</v>
      </c>
      <c r="J359" s="8" t="n">
        <f aca="false">I359*$J$5</f>
        <v>0</v>
      </c>
      <c r="K359" s="8" t="n">
        <f aca="false">J359-H359</f>
        <v>-288.7</v>
      </c>
      <c r="L359" s="9" t="n">
        <f aca="false">IF(AND(H359=0,J359=0),0,IF(H359=0,"New",(J359-H359)/H359))</f>
        <v>-1</v>
      </c>
    </row>
    <row r="360" customFormat="false" ht="15" hidden="false" customHeight="false" outlineLevel="0" collapsed="false">
      <c r="A360" s="7" t="n">
        <v>4408092</v>
      </c>
      <c r="B360" s="7" t="str">
        <f aca="false">IFERROR(INDEX('Source 2026'!$C:$C,MATCH($A360,'Source 2026'!$B:$B,0)),IFERROR(INDEX('Source 2025'!$C:$C,MATCH($A360,'Source 2025'!$B:$B,0)),""))</f>
        <v>T11C XL חגורת גב פוג'יאמה</v>
      </c>
      <c r="C360" s="8" t="n">
        <f aca="false">SUMIFS('Source 2025'!$D:$D,'Source 2025'!$B:$B,$A360,'Source 2025'!$A:$A,"Quantity (units)")+SUMIFS('Source 2025'!$E:$E,'Source 2025'!$B:$B,$A360,'Source 2025'!$A:$A,"Quantity (units)")+SUMIFS('Source 2025'!$F:$F,'Source 2025'!$B:$B,$A360,'Source 2025'!$A:$A,"Quantity (units)")+SUMIFS('Source 2025'!$G:$G,'Source 2025'!$B:$B,$A360,'Source 2025'!$A:$A,"Quantity (units)")+SUMIFS('Source 2025'!$J:$J,'Source 2025'!$B:$B,$A360,'Source 2025'!$A:$A,"Quantity (units)")+SUMIFS('Source 2025'!$M:$M,'Source 2025'!$B:$B,$A360,'Source 2025'!$A:$A,"Quantity (units)")</f>
        <v>10</v>
      </c>
      <c r="D360" s="8" t="n">
        <f aca="false">SUMIFS('Source 2026'!$D:$D,'Source 2026'!$B:$B,$A360,'Source 2026'!$A:$A,"Quantity (units)")+SUMIFS('Source 2026'!$E:$E,'Source 2026'!$B:$B,$A360,'Source 2026'!$A:$A,"Quantity (units)")+SUMIFS('Source 2026'!$F:$F,'Source 2026'!$B:$B,$A360,'Source 2026'!$A:$A,"Quantity (units)")+SUMIFS('Source 2026'!$G:$G,'Source 2026'!$B:$B,$A360,'Source 2026'!$A:$A,"Quantity (units)")+SUMIFS('Source 2026'!$J:$J,'Source 2026'!$B:$B,$A360,'Source 2026'!$A:$A,"Quantity (units)")+SUMIFS('Source 2026'!$M:$M,'Source 2026'!$B:$B,$A360,'Source 2026'!$A:$A,"Quantity (units)")</f>
        <v>7</v>
      </c>
      <c r="E360" s="8" t="n">
        <f aca="false">D360*$J$5</f>
        <v>9.6</v>
      </c>
      <c r="F360" s="8" t="n">
        <f aca="false">E360-C360</f>
        <v>-0.4</v>
      </c>
      <c r="G360" s="9" t="n">
        <f aca="false">IF(AND(C360=0,E360=0),0,IF(C360=0,"New",(E360-C360)/C360))</f>
        <v>-0.04</v>
      </c>
      <c r="H360" s="8" t="n">
        <f aca="false">SUMIFS('Source 2025'!$D:$D,'Source 2025'!$B:$B,$A360,'Source 2025'!$A:$A,"Amount (NIS)")+SUMIFS('Source 2025'!$E:$E,'Source 2025'!$B:$B,$A360,'Source 2025'!$A:$A,"Amount (NIS)")+SUMIFS('Source 2025'!$F:$F,'Source 2025'!$B:$B,$A360,'Source 2025'!$A:$A,"Amount (NIS)")+SUMIFS('Source 2025'!$G:$G,'Source 2025'!$B:$B,$A360,'Source 2025'!$A:$A,"Amount (NIS)")+SUMIFS('Source 2025'!$J:$J,'Source 2025'!$B:$B,$A360,'Source 2025'!$A:$A,"Amount (NIS)")+SUMIFS('Source 2025'!$M:$M,'Source 2025'!$B:$B,$A360,'Source 2025'!$A:$A,"Amount (NIS)")</f>
        <v>925.7</v>
      </c>
      <c r="I360" s="8" t="n">
        <f aca="false">SUMIFS('Source 2026'!$D:$D,'Source 2026'!$B:$B,$A360,'Source 2026'!$A:$A,"Amount (NIS)")+SUMIFS('Source 2026'!$E:$E,'Source 2026'!$B:$B,$A360,'Source 2026'!$A:$A,"Amount (NIS)")+SUMIFS('Source 2026'!$F:$F,'Source 2026'!$B:$B,$A360,'Source 2026'!$A:$A,"Amount (NIS)")+SUMIFS('Source 2026'!$G:$G,'Source 2026'!$B:$B,$A360,'Source 2026'!$A:$A,"Amount (NIS)")+SUMIFS('Source 2026'!$J:$J,'Source 2026'!$B:$B,$A360,'Source 2026'!$A:$A,"Amount (NIS)")+SUMIFS('Source 2026'!$M:$M,'Source 2026'!$B:$B,$A360,'Source 2026'!$A:$A,"Amount (NIS)")</f>
        <v>637.3</v>
      </c>
      <c r="J360" s="8" t="n">
        <f aca="false">I360*$J$5</f>
        <v>874.011428571429</v>
      </c>
      <c r="K360" s="8" t="n">
        <f aca="false">J360-H360</f>
        <v>-51.6885714285716</v>
      </c>
      <c r="L360" s="9" t="n">
        <f aca="false">IF(AND(H360=0,J360=0),0,IF(H360=0,"New",(J360-H360)/H360))</f>
        <v>-0.0558372814395285</v>
      </c>
    </row>
    <row r="361" customFormat="false" ht="15" hidden="false" customHeight="false" outlineLevel="0" collapsed="false">
      <c r="A361" s="7" t="n">
        <v>4413427</v>
      </c>
      <c r="B361" s="7" t="str">
        <f aca="false">IFERROR(INDEX('Source 2026'!$C:$C,MATCH($A361,'Source 2026'!$B:$B,0)),IFERROR(INDEX('Source 2025'!$C:$C,MATCH($A361,'Source 2025'!$B:$B,0)),""))</f>
        <v>SC35R  XLמגן קרסול ימין</v>
      </c>
      <c r="C361" s="8" t="n">
        <f aca="false">SUMIFS('Source 2025'!$D:$D,'Source 2025'!$B:$B,$A361,'Source 2025'!$A:$A,"Quantity (units)")+SUMIFS('Source 2025'!$E:$E,'Source 2025'!$B:$B,$A361,'Source 2025'!$A:$A,"Quantity (units)")+SUMIFS('Source 2025'!$F:$F,'Source 2025'!$B:$B,$A361,'Source 2025'!$A:$A,"Quantity (units)")+SUMIFS('Source 2025'!$G:$G,'Source 2025'!$B:$B,$A361,'Source 2025'!$A:$A,"Quantity (units)")+SUMIFS('Source 2025'!$J:$J,'Source 2025'!$B:$B,$A361,'Source 2025'!$A:$A,"Quantity (units)")+SUMIFS('Source 2025'!$M:$M,'Source 2025'!$B:$B,$A361,'Source 2025'!$A:$A,"Quantity (units)")</f>
        <v>1</v>
      </c>
      <c r="D361" s="8" t="n">
        <f aca="false">SUMIFS('Source 2026'!$D:$D,'Source 2026'!$B:$B,$A361,'Source 2026'!$A:$A,"Quantity (units)")+SUMIFS('Source 2026'!$E:$E,'Source 2026'!$B:$B,$A361,'Source 2026'!$A:$A,"Quantity (units)")+SUMIFS('Source 2026'!$F:$F,'Source 2026'!$B:$B,$A361,'Source 2026'!$A:$A,"Quantity (units)")+SUMIFS('Source 2026'!$G:$G,'Source 2026'!$B:$B,$A361,'Source 2026'!$A:$A,"Quantity (units)")+SUMIFS('Source 2026'!$J:$J,'Source 2026'!$B:$B,$A361,'Source 2026'!$A:$A,"Quantity (units)")+SUMIFS('Source 2026'!$M:$M,'Source 2026'!$B:$B,$A361,'Source 2026'!$A:$A,"Quantity (units)")</f>
        <v>4</v>
      </c>
      <c r="E361" s="8" t="n">
        <f aca="false">D361*$J$5</f>
        <v>5.48571428571429</v>
      </c>
      <c r="F361" s="8" t="n">
        <f aca="false">E361-C361</f>
        <v>4.48571428571429</v>
      </c>
      <c r="G361" s="9" t="n">
        <f aca="false">IF(AND(C361=0,E361=0),0,IF(C361=0,"New",(E361-C361)/C361))</f>
        <v>4.48571428571429</v>
      </c>
      <c r="H361" s="8" t="n">
        <f aca="false">SUMIFS('Source 2025'!$D:$D,'Source 2025'!$B:$B,$A361,'Source 2025'!$A:$A,"Amount (NIS)")+SUMIFS('Source 2025'!$E:$E,'Source 2025'!$B:$B,$A361,'Source 2025'!$A:$A,"Amount (NIS)")+SUMIFS('Source 2025'!$F:$F,'Source 2025'!$B:$B,$A361,'Source 2025'!$A:$A,"Amount (NIS)")+SUMIFS('Source 2025'!$G:$G,'Source 2025'!$B:$B,$A361,'Source 2025'!$A:$A,"Amount (NIS)")+SUMIFS('Source 2025'!$J:$J,'Source 2025'!$B:$B,$A361,'Source 2025'!$A:$A,"Amount (NIS)")+SUMIFS('Source 2025'!$M:$M,'Source 2025'!$B:$B,$A361,'Source 2025'!$A:$A,"Amount (NIS)")</f>
        <v>77.3</v>
      </c>
      <c r="I361" s="8" t="n">
        <f aca="false">SUMIFS('Source 2026'!$D:$D,'Source 2026'!$B:$B,$A361,'Source 2026'!$A:$A,"Amount (NIS)")+SUMIFS('Source 2026'!$E:$E,'Source 2026'!$B:$B,$A361,'Source 2026'!$A:$A,"Amount (NIS)")+SUMIFS('Source 2026'!$F:$F,'Source 2026'!$B:$B,$A361,'Source 2026'!$A:$A,"Amount (NIS)")+SUMIFS('Source 2026'!$G:$G,'Source 2026'!$B:$B,$A361,'Source 2026'!$A:$A,"Amount (NIS)")+SUMIFS('Source 2026'!$J:$J,'Source 2026'!$B:$B,$A361,'Source 2026'!$A:$A,"Amount (NIS)")+SUMIFS('Source 2026'!$M:$M,'Source 2026'!$B:$B,$A361,'Source 2026'!$A:$A,"Amount (NIS)")</f>
        <v>362.2</v>
      </c>
      <c r="J361" s="8" t="n">
        <f aca="false">I361*$J$5</f>
        <v>496.731428571429</v>
      </c>
      <c r="K361" s="8" t="n">
        <f aca="false">J361-H361</f>
        <v>419.431428571429</v>
      </c>
      <c r="L361" s="9" t="n">
        <f aca="false">IF(AND(H361=0,J361=0),0,IF(H361=0,"New",(J361-H361)/H361))</f>
        <v>5.42602106819442</v>
      </c>
    </row>
    <row r="362" customFormat="false" ht="15" hidden="false" customHeight="false" outlineLevel="0" collapsed="false">
      <c r="A362" s="7" t="n">
        <v>4419011</v>
      </c>
      <c r="B362" s="7" t="str">
        <f aca="false">IFERROR(INDEX('Source 2026'!$C:$C,MATCH($A362,'Source 2026'!$B:$B,0)),IFERROR(INDEX('Source 2025'!$C:$C,MATCH($A362,'Source 2025'!$B:$B,0)),""))</f>
        <v>239B S-M STRAP4U</v>
      </c>
      <c r="C362" s="8" t="n">
        <f aca="false">SUMIFS('Source 2025'!$D:$D,'Source 2025'!$B:$B,$A362,'Source 2025'!$A:$A,"Quantity (units)")+SUMIFS('Source 2025'!$E:$E,'Source 2025'!$B:$B,$A362,'Source 2025'!$A:$A,"Quantity (units)")+SUMIFS('Source 2025'!$F:$F,'Source 2025'!$B:$B,$A362,'Source 2025'!$A:$A,"Quantity (units)")+SUMIFS('Source 2025'!$G:$G,'Source 2025'!$B:$B,$A362,'Source 2025'!$A:$A,"Quantity (units)")+SUMIFS('Source 2025'!$J:$J,'Source 2025'!$B:$B,$A362,'Source 2025'!$A:$A,"Quantity (units)")+SUMIFS('Source 2025'!$M:$M,'Source 2025'!$B:$B,$A362,'Source 2025'!$A:$A,"Quantity (units)")</f>
        <v>-4</v>
      </c>
      <c r="D362" s="8" t="n">
        <f aca="false">SUMIFS('Source 2026'!$D:$D,'Source 2026'!$B:$B,$A362,'Source 2026'!$A:$A,"Quantity (units)")+SUMIFS('Source 2026'!$E:$E,'Source 2026'!$B:$B,$A362,'Source 2026'!$A:$A,"Quantity (units)")+SUMIFS('Source 2026'!$F:$F,'Source 2026'!$B:$B,$A362,'Source 2026'!$A:$A,"Quantity (units)")+SUMIFS('Source 2026'!$G:$G,'Source 2026'!$B:$B,$A362,'Source 2026'!$A:$A,"Quantity (units)")+SUMIFS('Source 2026'!$J:$J,'Source 2026'!$B:$B,$A362,'Source 2026'!$A:$A,"Quantity (units)")+SUMIFS('Source 2026'!$M:$M,'Source 2026'!$B:$B,$A362,'Source 2026'!$A:$A,"Quantity (units)")</f>
        <v>12</v>
      </c>
      <c r="E362" s="8" t="n">
        <f aca="false">D362*$J$5</f>
        <v>16.4571428571429</v>
      </c>
      <c r="F362" s="8" t="n">
        <f aca="false">E362-C362</f>
        <v>20.4571428571429</v>
      </c>
      <c r="G362" s="9" t="n">
        <f aca="false">IF(AND(C362=0,E362=0),0,IF(C362=0,"New",(E362-C362)/C362))</f>
        <v>-5.11428571428571</v>
      </c>
      <c r="H362" s="8" t="n">
        <f aca="false">SUMIFS('Source 2025'!$D:$D,'Source 2025'!$B:$B,$A362,'Source 2025'!$A:$A,"Amount (NIS)")+SUMIFS('Source 2025'!$E:$E,'Source 2025'!$B:$B,$A362,'Source 2025'!$A:$A,"Amount (NIS)")+SUMIFS('Source 2025'!$F:$F,'Source 2025'!$B:$B,$A362,'Source 2025'!$A:$A,"Amount (NIS)")+SUMIFS('Source 2025'!$G:$G,'Source 2025'!$B:$B,$A362,'Source 2025'!$A:$A,"Amount (NIS)")+SUMIFS('Source 2025'!$J:$J,'Source 2025'!$B:$B,$A362,'Source 2025'!$A:$A,"Amount (NIS)")+SUMIFS('Source 2025'!$M:$M,'Source 2025'!$B:$B,$A362,'Source 2025'!$A:$A,"Amount (NIS)")</f>
        <v>-54.7</v>
      </c>
      <c r="I362" s="8" t="n">
        <f aca="false">SUMIFS('Source 2026'!$D:$D,'Source 2026'!$B:$B,$A362,'Source 2026'!$A:$A,"Amount (NIS)")+SUMIFS('Source 2026'!$E:$E,'Source 2026'!$B:$B,$A362,'Source 2026'!$A:$A,"Amount (NIS)")+SUMIFS('Source 2026'!$F:$F,'Source 2026'!$B:$B,$A362,'Source 2026'!$A:$A,"Amount (NIS)")+SUMIFS('Source 2026'!$G:$G,'Source 2026'!$B:$B,$A362,'Source 2026'!$A:$A,"Amount (NIS)")+SUMIFS('Source 2026'!$J:$J,'Source 2026'!$B:$B,$A362,'Source 2026'!$A:$A,"Amount (NIS)")+SUMIFS('Source 2026'!$M:$M,'Source 2026'!$B:$B,$A362,'Source 2026'!$A:$A,"Amount (NIS)")</f>
        <v>230</v>
      </c>
      <c r="J362" s="8" t="n">
        <f aca="false">I362*$J$5</f>
        <v>315.428571428571</v>
      </c>
      <c r="K362" s="8" t="n">
        <f aca="false">J362-H362</f>
        <v>370.128571428571</v>
      </c>
      <c r="L362" s="9" t="n">
        <f aca="false">IF(AND(H362=0,J362=0),0,IF(H362=0,"New",(J362-H362)/H362))</f>
        <v>-6.76651867328284</v>
      </c>
    </row>
    <row r="363" customFormat="false" ht="15" hidden="false" customHeight="false" outlineLevel="0" collapsed="false">
      <c r="A363" s="7" t="n">
        <v>4411020</v>
      </c>
      <c r="B363" s="7" t="str">
        <f aca="false">IFERROR(INDEX('Source 2026'!$C:$C,MATCH($A363,'Source 2026'!$B:$B,0)),IFERROR(INDEX('Source 2025'!$C:$C,MATCH($A363,'Source 2025'!$B:$B,0)),""))</f>
        <v>211XL כפפות לחץ</v>
      </c>
      <c r="C363" s="8" t="n">
        <f aca="false">SUMIFS('Source 2025'!$D:$D,'Source 2025'!$B:$B,$A363,'Source 2025'!$A:$A,"Quantity (units)")+SUMIFS('Source 2025'!$E:$E,'Source 2025'!$B:$B,$A363,'Source 2025'!$A:$A,"Quantity (units)")+SUMIFS('Source 2025'!$F:$F,'Source 2025'!$B:$B,$A363,'Source 2025'!$A:$A,"Quantity (units)")+SUMIFS('Source 2025'!$G:$G,'Source 2025'!$B:$B,$A363,'Source 2025'!$A:$A,"Quantity (units)")+SUMIFS('Source 2025'!$J:$J,'Source 2025'!$B:$B,$A363,'Source 2025'!$A:$A,"Quantity (units)")+SUMIFS('Source 2025'!$M:$M,'Source 2025'!$B:$B,$A363,'Source 2025'!$A:$A,"Quantity (units)")</f>
        <v>13</v>
      </c>
      <c r="D363" s="8" t="n">
        <f aca="false">SUMIFS('Source 2026'!$D:$D,'Source 2026'!$B:$B,$A363,'Source 2026'!$A:$A,"Quantity (units)")+SUMIFS('Source 2026'!$E:$E,'Source 2026'!$B:$B,$A363,'Source 2026'!$A:$A,"Quantity (units)")+SUMIFS('Source 2026'!$F:$F,'Source 2026'!$B:$B,$A363,'Source 2026'!$A:$A,"Quantity (units)")+SUMIFS('Source 2026'!$G:$G,'Source 2026'!$B:$B,$A363,'Source 2026'!$A:$A,"Quantity (units)")+SUMIFS('Source 2026'!$J:$J,'Source 2026'!$B:$B,$A363,'Source 2026'!$A:$A,"Quantity (units)")+SUMIFS('Source 2026'!$M:$M,'Source 2026'!$B:$B,$A363,'Source 2026'!$A:$A,"Quantity (units)")</f>
        <v>5</v>
      </c>
      <c r="E363" s="8" t="n">
        <f aca="false">D363*$J$5</f>
        <v>6.85714285714286</v>
      </c>
      <c r="F363" s="8" t="n">
        <f aca="false">E363-C363</f>
        <v>-6.14285714285714</v>
      </c>
      <c r="G363" s="9" t="n">
        <f aca="false">IF(AND(C363=0,E363=0),0,IF(C363=0,"New",(E363-C363)/C363))</f>
        <v>-0.472527472527473</v>
      </c>
      <c r="H363" s="8" t="n">
        <f aca="false">SUMIFS('Source 2025'!$D:$D,'Source 2025'!$B:$B,$A363,'Source 2025'!$A:$A,"Amount (NIS)")+SUMIFS('Source 2025'!$E:$E,'Source 2025'!$B:$B,$A363,'Source 2025'!$A:$A,"Amount (NIS)")+SUMIFS('Source 2025'!$F:$F,'Source 2025'!$B:$B,$A363,'Source 2025'!$A:$A,"Amount (NIS)")+SUMIFS('Source 2025'!$G:$G,'Source 2025'!$B:$B,$A363,'Source 2025'!$A:$A,"Amount (NIS)")+SUMIFS('Source 2025'!$J:$J,'Source 2025'!$B:$B,$A363,'Source 2025'!$A:$A,"Amount (NIS)")+SUMIFS('Source 2025'!$M:$M,'Source 2025'!$B:$B,$A363,'Source 2025'!$A:$A,"Amount (NIS)")</f>
        <v>469.4</v>
      </c>
      <c r="I363" s="8" t="n">
        <f aca="false">SUMIFS('Source 2026'!$D:$D,'Source 2026'!$B:$B,$A363,'Source 2026'!$A:$A,"Amount (NIS)")+SUMIFS('Source 2026'!$E:$E,'Source 2026'!$B:$B,$A363,'Source 2026'!$A:$A,"Amount (NIS)")+SUMIFS('Source 2026'!$F:$F,'Source 2026'!$B:$B,$A363,'Source 2026'!$A:$A,"Amount (NIS)")+SUMIFS('Source 2026'!$G:$G,'Source 2026'!$B:$B,$A363,'Source 2026'!$A:$A,"Amount (NIS)")+SUMIFS('Source 2026'!$J:$J,'Source 2026'!$B:$B,$A363,'Source 2026'!$A:$A,"Amount (NIS)")+SUMIFS('Source 2026'!$M:$M,'Source 2026'!$B:$B,$A363,'Source 2026'!$A:$A,"Amount (NIS)")</f>
        <v>184.8</v>
      </c>
      <c r="J363" s="8" t="n">
        <f aca="false">I363*$J$5</f>
        <v>253.44</v>
      </c>
      <c r="K363" s="8" t="n">
        <f aca="false">J363-H363</f>
        <v>-215.96</v>
      </c>
      <c r="L363" s="9" t="n">
        <f aca="false">IF(AND(H363=0,J363=0),0,IF(H363=0,"New",(J363-H363)/H363))</f>
        <v>-0.46007669365147</v>
      </c>
    </row>
    <row r="364" customFormat="false" ht="15" hidden="false" customHeight="false" outlineLevel="0" collapsed="false">
      <c r="A364" s="7" t="n">
        <v>4413339</v>
      </c>
      <c r="B364" s="7" t="str">
        <f aca="false">IFERROR(INDEX('Source 2026'!$C:$C,MATCH($A364,'Source 2026'!$B:$B,0)),IFERROR(INDEX('Source 2025'!$C:$C,MATCH($A364,'Source 2025'!$B:$B,0)),""))</f>
        <v>922XXLמגן מרפק+כרית סילקון</v>
      </c>
      <c r="C364" s="8" t="n">
        <f aca="false">SUMIFS('Source 2025'!$D:$D,'Source 2025'!$B:$B,$A364,'Source 2025'!$A:$A,"Quantity (units)")+SUMIFS('Source 2025'!$E:$E,'Source 2025'!$B:$B,$A364,'Source 2025'!$A:$A,"Quantity (units)")+SUMIFS('Source 2025'!$F:$F,'Source 2025'!$B:$B,$A364,'Source 2025'!$A:$A,"Quantity (units)")+SUMIFS('Source 2025'!$G:$G,'Source 2025'!$B:$B,$A364,'Source 2025'!$A:$A,"Quantity (units)")+SUMIFS('Source 2025'!$J:$J,'Source 2025'!$B:$B,$A364,'Source 2025'!$A:$A,"Quantity (units)")+SUMIFS('Source 2025'!$M:$M,'Source 2025'!$B:$B,$A364,'Source 2025'!$A:$A,"Quantity (units)")</f>
        <v>0</v>
      </c>
      <c r="D364" s="8" t="n">
        <f aca="false">SUMIFS('Source 2026'!$D:$D,'Source 2026'!$B:$B,$A364,'Source 2026'!$A:$A,"Quantity (units)")+SUMIFS('Source 2026'!$E:$E,'Source 2026'!$B:$B,$A364,'Source 2026'!$A:$A,"Quantity (units)")+SUMIFS('Source 2026'!$F:$F,'Source 2026'!$B:$B,$A364,'Source 2026'!$A:$A,"Quantity (units)")+SUMIFS('Source 2026'!$G:$G,'Source 2026'!$B:$B,$A364,'Source 2026'!$A:$A,"Quantity (units)")+SUMIFS('Source 2026'!$J:$J,'Source 2026'!$B:$B,$A364,'Source 2026'!$A:$A,"Quantity (units)")+SUMIFS('Source 2026'!$M:$M,'Source 2026'!$B:$B,$A364,'Source 2026'!$A:$A,"Quantity (units)")</f>
        <v>-2</v>
      </c>
      <c r="E364" s="8" t="n">
        <f aca="false">D364*$J$5</f>
        <v>-2.74285714285714</v>
      </c>
      <c r="F364" s="8" t="n">
        <f aca="false">E364-C364</f>
        <v>-2.74285714285714</v>
      </c>
      <c r="G364" s="9" t="str">
        <f aca="false">IF(AND(C364=0,E364=0),0,IF(C364=0,"New",(E364-C364)/C364))</f>
        <v>New</v>
      </c>
      <c r="H364" s="8" t="n">
        <f aca="false">SUMIFS('Source 2025'!$D:$D,'Source 2025'!$B:$B,$A364,'Source 2025'!$A:$A,"Amount (NIS)")+SUMIFS('Source 2025'!$E:$E,'Source 2025'!$B:$B,$A364,'Source 2025'!$A:$A,"Amount (NIS)")+SUMIFS('Source 2025'!$F:$F,'Source 2025'!$B:$B,$A364,'Source 2025'!$A:$A,"Amount (NIS)")+SUMIFS('Source 2025'!$G:$G,'Source 2025'!$B:$B,$A364,'Source 2025'!$A:$A,"Amount (NIS)")+SUMIFS('Source 2025'!$J:$J,'Source 2025'!$B:$B,$A364,'Source 2025'!$A:$A,"Amount (NIS)")+SUMIFS('Source 2025'!$M:$M,'Source 2025'!$B:$B,$A364,'Source 2025'!$A:$A,"Amount (NIS)")</f>
        <v>0</v>
      </c>
      <c r="I364" s="8" t="n">
        <f aca="false">SUMIFS('Source 2026'!$D:$D,'Source 2026'!$B:$B,$A364,'Source 2026'!$A:$A,"Amount (NIS)")+SUMIFS('Source 2026'!$E:$E,'Source 2026'!$B:$B,$A364,'Source 2026'!$A:$A,"Amount (NIS)")+SUMIFS('Source 2026'!$F:$F,'Source 2026'!$B:$B,$A364,'Source 2026'!$A:$A,"Amount (NIS)")+SUMIFS('Source 2026'!$G:$G,'Source 2026'!$B:$B,$A364,'Source 2026'!$A:$A,"Amount (NIS)")+SUMIFS('Source 2026'!$J:$J,'Source 2026'!$B:$B,$A364,'Source 2026'!$A:$A,"Amount (NIS)")+SUMIFS('Source 2026'!$M:$M,'Source 2026'!$B:$B,$A364,'Source 2026'!$A:$A,"Amount (NIS)")</f>
        <v>-283.5</v>
      </c>
      <c r="J364" s="8" t="n">
        <f aca="false">I364*$J$5</f>
        <v>-388.8</v>
      </c>
      <c r="K364" s="8" t="n">
        <f aca="false">J364-H364</f>
        <v>-388.8</v>
      </c>
      <c r="L364" s="9" t="str">
        <f aca="false">IF(AND(H364=0,J364=0),0,IF(H364=0,"New",(J364-H364)/H364))</f>
        <v>New</v>
      </c>
    </row>
    <row r="365" customFormat="false" ht="15" hidden="false" customHeight="false" outlineLevel="0" collapsed="false">
      <c r="A365" s="7" t="n">
        <v>4413405</v>
      </c>
      <c r="B365" s="7" t="str">
        <f aca="false">IFERROR(INDEX('Source 2026'!$C:$C,MATCH($A365,'Source 2026'!$B:$B,0)),IFERROR(INDEX('Source 2025'!$C:$C,MATCH($A365,'Source 2025'!$B:$B,0)),""))</f>
        <v>SC95 S מגן מרפק</v>
      </c>
      <c r="C365" s="8" t="n">
        <f aca="false">SUMIFS('Source 2025'!$D:$D,'Source 2025'!$B:$B,$A365,'Source 2025'!$A:$A,"Quantity (units)")+SUMIFS('Source 2025'!$E:$E,'Source 2025'!$B:$B,$A365,'Source 2025'!$A:$A,"Quantity (units)")+SUMIFS('Source 2025'!$F:$F,'Source 2025'!$B:$B,$A365,'Source 2025'!$A:$A,"Quantity (units)")+SUMIFS('Source 2025'!$G:$G,'Source 2025'!$B:$B,$A365,'Source 2025'!$A:$A,"Quantity (units)")+SUMIFS('Source 2025'!$J:$J,'Source 2025'!$B:$B,$A365,'Source 2025'!$A:$A,"Quantity (units)")+SUMIFS('Source 2025'!$M:$M,'Source 2025'!$B:$B,$A365,'Source 2025'!$A:$A,"Quantity (units)")</f>
        <v>0</v>
      </c>
      <c r="D365" s="8" t="n">
        <f aca="false">SUMIFS('Source 2026'!$D:$D,'Source 2026'!$B:$B,$A365,'Source 2026'!$A:$A,"Quantity (units)")+SUMIFS('Source 2026'!$E:$E,'Source 2026'!$B:$B,$A365,'Source 2026'!$A:$A,"Quantity (units)")+SUMIFS('Source 2026'!$F:$F,'Source 2026'!$B:$B,$A365,'Source 2026'!$A:$A,"Quantity (units)")+SUMIFS('Source 2026'!$G:$G,'Source 2026'!$B:$B,$A365,'Source 2026'!$A:$A,"Quantity (units)")+SUMIFS('Source 2026'!$J:$J,'Source 2026'!$B:$B,$A365,'Source 2026'!$A:$A,"Quantity (units)")+SUMIFS('Source 2026'!$M:$M,'Source 2026'!$B:$B,$A365,'Source 2026'!$A:$A,"Quantity (units)")</f>
        <v>3</v>
      </c>
      <c r="E365" s="8" t="n">
        <f aca="false">D365*$J$5</f>
        <v>4.11428571428571</v>
      </c>
      <c r="F365" s="8" t="n">
        <f aca="false">E365-C365</f>
        <v>4.11428571428571</v>
      </c>
      <c r="G365" s="9" t="str">
        <f aca="false">IF(AND(C365=0,E365=0),0,IF(C365=0,"New",(E365-C365)/C365))</f>
        <v>New</v>
      </c>
      <c r="H365" s="8" t="n">
        <f aca="false">SUMIFS('Source 2025'!$D:$D,'Source 2025'!$B:$B,$A365,'Source 2025'!$A:$A,"Amount (NIS)")+SUMIFS('Source 2025'!$E:$E,'Source 2025'!$B:$B,$A365,'Source 2025'!$A:$A,"Amount (NIS)")+SUMIFS('Source 2025'!$F:$F,'Source 2025'!$B:$B,$A365,'Source 2025'!$A:$A,"Amount (NIS)")+SUMIFS('Source 2025'!$G:$G,'Source 2025'!$B:$B,$A365,'Source 2025'!$A:$A,"Amount (NIS)")+SUMIFS('Source 2025'!$J:$J,'Source 2025'!$B:$B,$A365,'Source 2025'!$A:$A,"Amount (NIS)")+SUMIFS('Source 2025'!$M:$M,'Source 2025'!$B:$B,$A365,'Source 2025'!$A:$A,"Amount (NIS)")</f>
        <v>0</v>
      </c>
      <c r="I365" s="8" t="n">
        <f aca="false">SUMIFS('Source 2026'!$D:$D,'Source 2026'!$B:$B,$A365,'Source 2026'!$A:$A,"Amount (NIS)")+SUMIFS('Source 2026'!$E:$E,'Source 2026'!$B:$B,$A365,'Source 2026'!$A:$A,"Amount (NIS)")+SUMIFS('Source 2026'!$F:$F,'Source 2026'!$B:$B,$A365,'Source 2026'!$A:$A,"Amount (NIS)")+SUMIFS('Source 2026'!$G:$G,'Source 2026'!$B:$B,$A365,'Source 2026'!$A:$A,"Amount (NIS)")+SUMIFS('Source 2026'!$J:$J,'Source 2026'!$B:$B,$A365,'Source 2026'!$A:$A,"Amount (NIS)")+SUMIFS('Source 2026'!$M:$M,'Source 2026'!$B:$B,$A365,'Source 2026'!$A:$A,"Amount (NIS)")</f>
        <v>281</v>
      </c>
      <c r="J365" s="8" t="n">
        <f aca="false">I365*$J$5</f>
        <v>385.371428571429</v>
      </c>
      <c r="K365" s="8" t="n">
        <f aca="false">J365-H365</f>
        <v>385.371428571429</v>
      </c>
      <c r="L365" s="9" t="str">
        <f aca="false">IF(AND(H365=0,J365=0),0,IF(H365=0,"New",(J365-H365)/H365))</f>
        <v>New</v>
      </c>
    </row>
    <row r="366" customFormat="false" ht="15" hidden="false" customHeight="false" outlineLevel="0" collapsed="false">
      <c r="A366" s="7" t="n">
        <v>4413394</v>
      </c>
      <c r="B366" s="7" t="str">
        <f aca="false">IFERROR(INDEX('Source 2026'!$C:$C,MATCH($A366,'Source 2026'!$B:$B,0)),IFERROR(INDEX('Source 2025'!$C:$C,MATCH($A366,'Source 2025'!$B:$B,0)),""))</f>
        <v>45EC S 'מגן ברך ארוך בז</v>
      </c>
      <c r="C366" s="8" t="n">
        <f aca="false">SUMIFS('Source 2025'!$D:$D,'Source 2025'!$B:$B,$A366,'Source 2025'!$A:$A,"Quantity (units)")+SUMIFS('Source 2025'!$E:$E,'Source 2025'!$B:$B,$A366,'Source 2025'!$A:$A,"Quantity (units)")+SUMIFS('Source 2025'!$F:$F,'Source 2025'!$B:$B,$A366,'Source 2025'!$A:$A,"Quantity (units)")+SUMIFS('Source 2025'!$G:$G,'Source 2025'!$B:$B,$A366,'Source 2025'!$A:$A,"Quantity (units)")+SUMIFS('Source 2025'!$J:$J,'Source 2025'!$B:$B,$A366,'Source 2025'!$A:$A,"Quantity (units)")+SUMIFS('Source 2025'!$M:$M,'Source 2025'!$B:$B,$A366,'Source 2025'!$A:$A,"Quantity (units)")</f>
        <v>35</v>
      </c>
      <c r="D366" s="8" t="n">
        <f aca="false">SUMIFS('Source 2026'!$D:$D,'Source 2026'!$B:$B,$A366,'Source 2026'!$A:$A,"Quantity (units)")+SUMIFS('Source 2026'!$E:$E,'Source 2026'!$B:$B,$A366,'Source 2026'!$A:$A,"Quantity (units)")+SUMIFS('Source 2026'!$F:$F,'Source 2026'!$B:$B,$A366,'Source 2026'!$A:$A,"Quantity (units)")+SUMIFS('Source 2026'!$G:$G,'Source 2026'!$B:$B,$A366,'Source 2026'!$A:$A,"Quantity (units)")+SUMIFS('Source 2026'!$J:$J,'Source 2026'!$B:$B,$A366,'Source 2026'!$A:$A,"Quantity (units)")+SUMIFS('Source 2026'!$M:$M,'Source 2026'!$B:$B,$A366,'Source 2026'!$A:$A,"Quantity (units)")</f>
        <v>42</v>
      </c>
      <c r="E366" s="8" t="n">
        <f aca="false">D366*$J$5</f>
        <v>57.6</v>
      </c>
      <c r="F366" s="8" t="n">
        <f aca="false">E366-C366</f>
        <v>22.6</v>
      </c>
      <c r="G366" s="9" t="n">
        <f aca="false">IF(AND(C366=0,E366=0),0,IF(C366=0,"New",(E366-C366)/C366))</f>
        <v>0.645714285714286</v>
      </c>
      <c r="H366" s="8" t="n">
        <f aca="false">SUMIFS('Source 2025'!$D:$D,'Source 2025'!$B:$B,$A366,'Source 2025'!$A:$A,"Amount (NIS)")+SUMIFS('Source 2025'!$E:$E,'Source 2025'!$B:$B,$A366,'Source 2025'!$A:$A,"Amount (NIS)")+SUMIFS('Source 2025'!$F:$F,'Source 2025'!$B:$B,$A366,'Source 2025'!$A:$A,"Amount (NIS)")+SUMIFS('Source 2025'!$G:$G,'Source 2025'!$B:$B,$A366,'Source 2025'!$A:$A,"Amount (NIS)")+SUMIFS('Source 2025'!$J:$J,'Source 2025'!$B:$B,$A366,'Source 2025'!$A:$A,"Amount (NIS)")+SUMIFS('Source 2025'!$M:$M,'Source 2025'!$B:$B,$A366,'Source 2025'!$A:$A,"Amount (NIS)")</f>
        <v>1256.9</v>
      </c>
      <c r="I366" s="8" t="n">
        <f aca="false">SUMIFS('Source 2026'!$D:$D,'Source 2026'!$B:$B,$A366,'Source 2026'!$A:$A,"Amount (NIS)")+SUMIFS('Source 2026'!$E:$E,'Source 2026'!$B:$B,$A366,'Source 2026'!$A:$A,"Amount (NIS)")+SUMIFS('Source 2026'!$F:$F,'Source 2026'!$B:$B,$A366,'Source 2026'!$A:$A,"Amount (NIS)")+SUMIFS('Source 2026'!$G:$G,'Source 2026'!$B:$B,$A366,'Source 2026'!$A:$A,"Amount (NIS)")+SUMIFS('Source 2026'!$J:$J,'Source 2026'!$B:$B,$A366,'Source 2026'!$A:$A,"Amount (NIS)")+SUMIFS('Source 2026'!$M:$M,'Source 2026'!$B:$B,$A366,'Source 2026'!$A:$A,"Amount (NIS)")</f>
        <v>1533</v>
      </c>
      <c r="J366" s="8" t="n">
        <f aca="false">I366*$J$5</f>
        <v>2102.4</v>
      </c>
      <c r="K366" s="8" t="n">
        <f aca="false">J366-H366</f>
        <v>845.5</v>
      </c>
      <c r="L366" s="9" t="n">
        <f aca="false">IF(AND(H366=0,J366=0),0,IF(H366=0,"New",(J366-H366)/H366))</f>
        <v>0.672686769034927</v>
      </c>
    </row>
    <row r="367" customFormat="false" ht="15" hidden="false" customHeight="false" outlineLevel="0" collapsed="false">
      <c r="A367" s="7" t="n">
        <v>4408122</v>
      </c>
      <c r="B367" s="7" t="str">
        <f aca="false">IFERROR(INDEX('Source 2026'!$C:$C,MATCH($A367,'Source 2026'!$B:$B,0)),IFERROR(INDEX('Source 2025'!$C:$C,MATCH($A367,'Source 2025'!$B:$B,0)),""))</f>
        <v>15M L חגורת צלעות לגבר</v>
      </c>
      <c r="C367" s="8" t="n">
        <f aca="false">SUMIFS('Source 2025'!$D:$D,'Source 2025'!$B:$B,$A367,'Source 2025'!$A:$A,"Quantity (units)")+SUMIFS('Source 2025'!$E:$E,'Source 2025'!$B:$B,$A367,'Source 2025'!$A:$A,"Quantity (units)")+SUMIFS('Source 2025'!$F:$F,'Source 2025'!$B:$B,$A367,'Source 2025'!$A:$A,"Quantity (units)")+SUMIFS('Source 2025'!$G:$G,'Source 2025'!$B:$B,$A367,'Source 2025'!$A:$A,"Quantity (units)")+SUMIFS('Source 2025'!$J:$J,'Source 2025'!$B:$B,$A367,'Source 2025'!$A:$A,"Quantity (units)")+SUMIFS('Source 2025'!$M:$M,'Source 2025'!$B:$B,$A367,'Source 2025'!$A:$A,"Quantity (units)")</f>
        <v>2</v>
      </c>
      <c r="D367" s="8" t="n">
        <f aca="false">SUMIFS('Source 2026'!$D:$D,'Source 2026'!$B:$B,$A367,'Source 2026'!$A:$A,"Quantity (units)")+SUMIFS('Source 2026'!$E:$E,'Source 2026'!$B:$B,$A367,'Source 2026'!$A:$A,"Quantity (units)")+SUMIFS('Source 2026'!$F:$F,'Source 2026'!$B:$B,$A367,'Source 2026'!$A:$A,"Quantity (units)")+SUMIFS('Source 2026'!$G:$G,'Source 2026'!$B:$B,$A367,'Source 2026'!$A:$A,"Quantity (units)")+SUMIFS('Source 2026'!$J:$J,'Source 2026'!$B:$B,$A367,'Source 2026'!$A:$A,"Quantity (units)")+SUMIFS('Source 2026'!$M:$M,'Source 2026'!$B:$B,$A367,'Source 2026'!$A:$A,"Quantity (units)")</f>
        <v>0</v>
      </c>
      <c r="E367" s="8" t="n">
        <f aca="false">D367*$J$5</f>
        <v>0</v>
      </c>
      <c r="F367" s="8" t="n">
        <f aca="false">E367-C367</f>
        <v>-2</v>
      </c>
      <c r="G367" s="9" t="n">
        <f aca="false">IF(AND(C367=0,E367=0),0,IF(C367=0,"New",(E367-C367)/C367))</f>
        <v>-1</v>
      </c>
      <c r="H367" s="8" t="n">
        <f aca="false">SUMIFS('Source 2025'!$D:$D,'Source 2025'!$B:$B,$A367,'Source 2025'!$A:$A,"Amount (NIS)")+SUMIFS('Source 2025'!$E:$E,'Source 2025'!$B:$B,$A367,'Source 2025'!$A:$A,"Amount (NIS)")+SUMIFS('Source 2025'!$F:$F,'Source 2025'!$B:$B,$A367,'Source 2025'!$A:$A,"Amount (NIS)")+SUMIFS('Source 2025'!$G:$G,'Source 2025'!$B:$B,$A367,'Source 2025'!$A:$A,"Amount (NIS)")+SUMIFS('Source 2025'!$J:$J,'Source 2025'!$B:$B,$A367,'Source 2025'!$A:$A,"Amount (NIS)")+SUMIFS('Source 2025'!$M:$M,'Source 2025'!$B:$B,$A367,'Source 2025'!$A:$A,"Amount (NIS)")</f>
        <v>272.9</v>
      </c>
      <c r="I367" s="8" t="n">
        <f aca="false">SUMIFS('Source 2026'!$D:$D,'Source 2026'!$B:$B,$A367,'Source 2026'!$A:$A,"Amount (NIS)")+SUMIFS('Source 2026'!$E:$E,'Source 2026'!$B:$B,$A367,'Source 2026'!$A:$A,"Amount (NIS)")+SUMIFS('Source 2026'!$F:$F,'Source 2026'!$B:$B,$A367,'Source 2026'!$A:$A,"Amount (NIS)")+SUMIFS('Source 2026'!$G:$G,'Source 2026'!$B:$B,$A367,'Source 2026'!$A:$A,"Amount (NIS)")+SUMIFS('Source 2026'!$J:$J,'Source 2026'!$B:$B,$A367,'Source 2026'!$A:$A,"Amount (NIS)")+SUMIFS('Source 2026'!$M:$M,'Source 2026'!$B:$B,$A367,'Source 2026'!$A:$A,"Amount (NIS)")</f>
        <v>0</v>
      </c>
      <c r="J367" s="8" t="n">
        <f aca="false">I367*$J$5</f>
        <v>0</v>
      </c>
      <c r="K367" s="8" t="n">
        <f aca="false">J367-H367</f>
        <v>-272.9</v>
      </c>
      <c r="L367" s="9" t="n">
        <f aca="false">IF(AND(H367=0,J367=0),0,IF(H367=0,"New",(J367-H367)/H367))</f>
        <v>-1</v>
      </c>
    </row>
    <row r="368" customFormat="false" ht="15" hidden="false" customHeight="false" outlineLevel="0" collapsed="false">
      <c r="A368" s="7" t="n">
        <v>4408180</v>
      </c>
      <c r="B368" s="7" t="str">
        <f aca="false">IFERROR(INDEX('Source 2026'!$C:$C,MATCH($A368,'Source 2026'!$B:$B,0)),IFERROR(INDEX('Source 2025'!$C:$C,MATCH($A368,'Source 2025'!$B:$B,0)),""))</f>
        <v>13 XXL חגורה לשבר טבור</v>
      </c>
      <c r="C368" s="8" t="n">
        <f aca="false">SUMIFS('Source 2025'!$D:$D,'Source 2025'!$B:$B,$A368,'Source 2025'!$A:$A,"Quantity (units)")+SUMIFS('Source 2025'!$E:$E,'Source 2025'!$B:$B,$A368,'Source 2025'!$A:$A,"Quantity (units)")+SUMIFS('Source 2025'!$F:$F,'Source 2025'!$B:$B,$A368,'Source 2025'!$A:$A,"Quantity (units)")+SUMIFS('Source 2025'!$G:$G,'Source 2025'!$B:$B,$A368,'Source 2025'!$A:$A,"Quantity (units)")+SUMIFS('Source 2025'!$J:$J,'Source 2025'!$B:$B,$A368,'Source 2025'!$A:$A,"Quantity (units)")+SUMIFS('Source 2025'!$M:$M,'Source 2025'!$B:$B,$A368,'Source 2025'!$A:$A,"Quantity (units)")</f>
        <v>3</v>
      </c>
      <c r="D368" s="8" t="n">
        <f aca="false">SUMIFS('Source 2026'!$D:$D,'Source 2026'!$B:$B,$A368,'Source 2026'!$A:$A,"Quantity (units)")+SUMIFS('Source 2026'!$E:$E,'Source 2026'!$B:$B,$A368,'Source 2026'!$A:$A,"Quantity (units)")+SUMIFS('Source 2026'!$F:$F,'Source 2026'!$B:$B,$A368,'Source 2026'!$A:$A,"Quantity (units)")+SUMIFS('Source 2026'!$G:$G,'Source 2026'!$B:$B,$A368,'Source 2026'!$A:$A,"Quantity (units)")+SUMIFS('Source 2026'!$J:$J,'Source 2026'!$B:$B,$A368,'Source 2026'!$A:$A,"Quantity (units)")+SUMIFS('Source 2026'!$M:$M,'Source 2026'!$B:$B,$A368,'Source 2026'!$A:$A,"Quantity (units)")</f>
        <v>1</v>
      </c>
      <c r="E368" s="8" t="n">
        <f aca="false">D368*$J$5</f>
        <v>1.37142857142857</v>
      </c>
      <c r="F368" s="8" t="n">
        <f aca="false">E368-C368</f>
        <v>-1.62857142857143</v>
      </c>
      <c r="G368" s="9" t="n">
        <f aca="false">IF(AND(C368=0,E368=0),0,IF(C368=0,"New",(E368-C368)/C368))</f>
        <v>-0.542857142857143</v>
      </c>
      <c r="H368" s="8" t="n">
        <f aca="false">SUMIFS('Source 2025'!$D:$D,'Source 2025'!$B:$B,$A368,'Source 2025'!$A:$A,"Amount (NIS)")+SUMIFS('Source 2025'!$E:$E,'Source 2025'!$B:$B,$A368,'Source 2025'!$A:$A,"Amount (NIS)")+SUMIFS('Source 2025'!$F:$F,'Source 2025'!$B:$B,$A368,'Source 2025'!$A:$A,"Amount (NIS)")+SUMIFS('Source 2025'!$G:$G,'Source 2025'!$B:$B,$A368,'Source 2025'!$A:$A,"Amount (NIS)")+SUMIFS('Source 2025'!$J:$J,'Source 2025'!$B:$B,$A368,'Source 2025'!$A:$A,"Amount (NIS)")+SUMIFS('Source 2025'!$M:$M,'Source 2025'!$B:$B,$A368,'Source 2025'!$A:$A,"Amount (NIS)")</f>
        <v>429.1</v>
      </c>
      <c r="I368" s="8" t="n">
        <f aca="false">SUMIFS('Source 2026'!$D:$D,'Source 2026'!$B:$B,$A368,'Source 2026'!$A:$A,"Amount (NIS)")+SUMIFS('Source 2026'!$E:$E,'Source 2026'!$B:$B,$A368,'Source 2026'!$A:$A,"Amount (NIS)")+SUMIFS('Source 2026'!$F:$F,'Source 2026'!$B:$B,$A368,'Source 2026'!$A:$A,"Amount (NIS)")+SUMIFS('Source 2026'!$G:$G,'Source 2026'!$B:$B,$A368,'Source 2026'!$A:$A,"Amount (NIS)")+SUMIFS('Source 2026'!$J:$J,'Source 2026'!$B:$B,$A368,'Source 2026'!$A:$A,"Amount (NIS)")+SUMIFS('Source 2026'!$M:$M,'Source 2026'!$B:$B,$A368,'Source 2026'!$A:$A,"Amount (NIS)")</f>
        <v>157</v>
      </c>
      <c r="J368" s="8" t="n">
        <f aca="false">I368*$J$5</f>
        <v>215.314285714286</v>
      </c>
      <c r="K368" s="8" t="n">
        <f aca="false">J368-H368</f>
        <v>-213.785714285714</v>
      </c>
      <c r="L368" s="9" t="n">
        <f aca="false">IF(AND(H368=0,J368=0),0,IF(H368=0,"New",(J368-H368)/H368))</f>
        <v>-0.498218863401804</v>
      </c>
    </row>
    <row r="369" customFormat="false" ht="15" hidden="false" customHeight="false" outlineLevel="0" collapsed="false">
      <c r="A369" s="7" t="n">
        <v>4413171</v>
      </c>
      <c r="B369" s="7" t="str">
        <f aca="false">IFERROR(INDEX('Source 2026'!$C:$C,MATCH($A369,'Source 2026'!$B:$B,0)),IFERROR(INDEX('Source 2025'!$C:$C,MATCH($A369,'Source 2025'!$B:$B,0)),""))</f>
        <v>T402 L מיצב פיקה</v>
      </c>
      <c r="C369" s="8" t="n">
        <f aca="false">SUMIFS('Source 2025'!$D:$D,'Source 2025'!$B:$B,$A369,'Source 2025'!$A:$A,"Quantity (units)")+SUMIFS('Source 2025'!$E:$E,'Source 2025'!$B:$B,$A369,'Source 2025'!$A:$A,"Quantity (units)")+SUMIFS('Source 2025'!$F:$F,'Source 2025'!$B:$B,$A369,'Source 2025'!$A:$A,"Quantity (units)")+SUMIFS('Source 2025'!$G:$G,'Source 2025'!$B:$B,$A369,'Source 2025'!$A:$A,"Quantity (units)")+SUMIFS('Source 2025'!$J:$J,'Source 2025'!$B:$B,$A369,'Source 2025'!$A:$A,"Quantity (units)")+SUMIFS('Source 2025'!$M:$M,'Source 2025'!$B:$B,$A369,'Source 2025'!$A:$A,"Quantity (units)")</f>
        <v>3</v>
      </c>
      <c r="D369" s="8" t="n">
        <f aca="false">SUMIFS('Source 2026'!$D:$D,'Source 2026'!$B:$B,$A369,'Source 2026'!$A:$A,"Quantity (units)")+SUMIFS('Source 2026'!$E:$E,'Source 2026'!$B:$B,$A369,'Source 2026'!$A:$A,"Quantity (units)")+SUMIFS('Source 2026'!$F:$F,'Source 2026'!$B:$B,$A369,'Source 2026'!$A:$A,"Quantity (units)")+SUMIFS('Source 2026'!$G:$G,'Source 2026'!$B:$B,$A369,'Source 2026'!$A:$A,"Quantity (units)")+SUMIFS('Source 2026'!$J:$J,'Source 2026'!$B:$B,$A369,'Source 2026'!$A:$A,"Quantity (units)")+SUMIFS('Source 2026'!$M:$M,'Source 2026'!$B:$B,$A369,'Source 2026'!$A:$A,"Quantity (units)")</f>
        <v>0</v>
      </c>
      <c r="E369" s="8" t="n">
        <f aca="false">D369*$J$5</f>
        <v>0</v>
      </c>
      <c r="F369" s="8" t="n">
        <f aca="false">E369-C369</f>
        <v>-3</v>
      </c>
      <c r="G369" s="9" t="n">
        <f aca="false">IF(AND(C369=0,E369=0),0,IF(C369=0,"New",(E369-C369)/C369))</f>
        <v>-1</v>
      </c>
      <c r="H369" s="8" t="n">
        <f aca="false">SUMIFS('Source 2025'!$D:$D,'Source 2025'!$B:$B,$A369,'Source 2025'!$A:$A,"Amount (NIS)")+SUMIFS('Source 2025'!$E:$E,'Source 2025'!$B:$B,$A369,'Source 2025'!$A:$A,"Amount (NIS)")+SUMIFS('Source 2025'!$F:$F,'Source 2025'!$B:$B,$A369,'Source 2025'!$A:$A,"Amount (NIS)")+SUMIFS('Source 2025'!$G:$G,'Source 2025'!$B:$B,$A369,'Source 2025'!$A:$A,"Amount (NIS)")+SUMIFS('Source 2025'!$J:$J,'Source 2025'!$B:$B,$A369,'Source 2025'!$A:$A,"Amount (NIS)")+SUMIFS('Source 2025'!$M:$M,'Source 2025'!$B:$B,$A369,'Source 2025'!$A:$A,"Amount (NIS)")</f>
        <v>271.1</v>
      </c>
      <c r="I369" s="8" t="n">
        <f aca="false">SUMIFS('Source 2026'!$D:$D,'Source 2026'!$B:$B,$A369,'Source 2026'!$A:$A,"Amount (NIS)")+SUMIFS('Source 2026'!$E:$E,'Source 2026'!$B:$B,$A369,'Source 2026'!$A:$A,"Amount (NIS)")+SUMIFS('Source 2026'!$F:$F,'Source 2026'!$B:$B,$A369,'Source 2026'!$A:$A,"Amount (NIS)")+SUMIFS('Source 2026'!$G:$G,'Source 2026'!$B:$B,$A369,'Source 2026'!$A:$A,"Amount (NIS)")+SUMIFS('Source 2026'!$J:$J,'Source 2026'!$B:$B,$A369,'Source 2026'!$A:$A,"Amount (NIS)")+SUMIFS('Source 2026'!$M:$M,'Source 2026'!$B:$B,$A369,'Source 2026'!$A:$A,"Amount (NIS)")</f>
        <v>0</v>
      </c>
      <c r="J369" s="8" t="n">
        <f aca="false">I369*$J$5</f>
        <v>0</v>
      </c>
      <c r="K369" s="8" t="n">
        <f aca="false">J369-H369</f>
        <v>-271.1</v>
      </c>
      <c r="L369" s="9" t="n">
        <f aca="false">IF(AND(H369=0,J369=0),0,IF(H369=0,"New",(J369-H369)/H369))</f>
        <v>-1</v>
      </c>
    </row>
    <row r="370" customFormat="false" ht="15" hidden="false" customHeight="false" outlineLevel="0" collapsed="false">
      <c r="A370" s="7" t="n">
        <v>4408011</v>
      </c>
      <c r="B370" s="7" t="str">
        <f aca="false">IFERROR(INDEX('Source 2026'!$C:$C,MATCH($A370,'Source 2026'!$B:$B,0)),IFERROR(INDEX('Source 2025'!$C:$C,MATCH($A370,'Source 2025'!$B:$B,0)),""))</f>
        <v>079  M ח.גב סג.כפולה שחור+אדום</v>
      </c>
      <c r="C370" s="8" t="n">
        <f aca="false">SUMIFS('Source 2025'!$D:$D,'Source 2025'!$B:$B,$A370,'Source 2025'!$A:$A,"Quantity (units)")+SUMIFS('Source 2025'!$E:$E,'Source 2025'!$B:$B,$A370,'Source 2025'!$A:$A,"Quantity (units)")+SUMIFS('Source 2025'!$F:$F,'Source 2025'!$B:$B,$A370,'Source 2025'!$A:$A,"Quantity (units)")+SUMIFS('Source 2025'!$G:$G,'Source 2025'!$B:$B,$A370,'Source 2025'!$A:$A,"Quantity (units)")+SUMIFS('Source 2025'!$J:$J,'Source 2025'!$B:$B,$A370,'Source 2025'!$A:$A,"Quantity (units)")+SUMIFS('Source 2025'!$M:$M,'Source 2025'!$B:$B,$A370,'Source 2025'!$A:$A,"Quantity (units)")</f>
        <v>3</v>
      </c>
      <c r="D370" s="8" t="n">
        <f aca="false">SUMIFS('Source 2026'!$D:$D,'Source 2026'!$B:$B,$A370,'Source 2026'!$A:$A,"Quantity (units)")+SUMIFS('Source 2026'!$E:$E,'Source 2026'!$B:$B,$A370,'Source 2026'!$A:$A,"Quantity (units)")+SUMIFS('Source 2026'!$F:$F,'Source 2026'!$B:$B,$A370,'Source 2026'!$A:$A,"Quantity (units)")+SUMIFS('Source 2026'!$G:$G,'Source 2026'!$B:$B,$A370,'Source 2026'!$A:$A,"Quantity (units)")+SUMIFS('Source 2026'!$J:$J,'Source 2026'!$B:$B,$A370,'Source 2026'!$A:$A,"Quantity (units)")+SUMIFS('Source 2026'!$M:$M,'Source 2026'!$B:$B,$A370,'Source 2026'!$A:$A,"Quantity (units)")</f>
        <v>0</v>
      </c>
      <c r="E370" s="8" t="n">
        <f aca="false">D370*$J$5</f>
        <v>0</v>
      </c>
      <c r="F370" s="8" t="n">
        <f aca="false">E370-C370</f>
        <v>-3</v>
      </c>
      <c r="G370" s="9" t="n">
        <f aca="false">IF(AND(C370=0,E370=0),0,IF(C370=0,"New",(E370-C370)/C370))</f>
        <v>-1</v>
      </c>
      <c r="H370" s="8" t="n">
        <f aca="false">SUMIFS('Source 2025'!$D:$D,'Source 2025'!$B:$B,$A370,'Source 2025'!$A:$A,"Amount (NIS)")+SUMIFS('Source 2025'!$E:$E,'Source 2025'!$B:$B,$A370,'Source 2025'!$A:$A,"Amount (NIS)")+SUMIFS('Source 2025'!$F:$F,'Source 2025'!$B:$B,$A370,'Source 2025'!$A:$A,"Amount (NIS)")+SUMIFS('Source 2025'!$G:$G,'Source 2025'!$B:$B,$A370,'Source 2025'!$A:$A,"Amount (NIS)")+SUMIFS('Source 2025'!$J:$J,'Source 2025'!$B:$B,$A370,'Source 2025'!$A:$A,"Amount (NIS)")+SUMIFS('Source 2025'!$M:$M,'Source 2025'!$B:$B,$A370,'Source 2025'!$A:$A,"Amount (NIS)")</f>
        <v>268.1</v>
      </c>
      <c r="I370" s="8" t="n">
        <f aca="false">SUMIFS('Source 2026'!$D:$D,'Source 2026'!$B:$B,$A370,'Source 2026'!$A:$A,"Amount (NIS)")+SUMIFS('Source 2026'!$E:$E,'Source 2026'!$B:$B,$A370,'Source 2026'!$A:$A,"Amount (NIS)")+SUMIFS('Source 2026'!$F:$F,'Source 2026'!$B:$B,$A370,'Source 2026'!$A:$A,"Amount (NIS)")+SUMIFS('Source 2026'!$G:$G,'Source 2026'!$B:$B,$A370,'Source 2026'!$A:$A,"Amount (NIS)")+SUMIFS('Source 2026'!$J:$J,'Source 2026'!$B:$B,$A370,'Source 2026'!$A:$A,"Amount (NIS)")+SUMIFS('Source 2026'!$M:$M,'Source 2026'!$B:$B,$A370,'Source 2026'!$A:$A,"Amount (NIS)")</f>
        <v>0</v>
      </c>
      <c r="J370" s="8" t="n">
        <f aca="false">I370*$J$5</f>
        <v>0</v>
      </c>
      <c r="K370" s="8" t="n">
        <f aca="false">J370-H370</f>
        <v>-268.1</v>
      </c>
      <c r="L370" s="9" t="n">
        <f aca="false">IF(AND(H370=0,J370=0),0,IF(H370=0,"New",(J370-H370)/H370))</f>
        <v>-1</v>
      </c>
    </row>
    <row r="371" customFormat="false" ht="15" hidden="false" customHeight="false" outlineLevel="0" collapsed="false">
      <c r="A371" s="7" t="n">
        <v>4413452</v>
      </c>
      <c r="B371" s="7" t="str">
        <f aca="false">IFERROR(INDEX('Source 2026'!$C:$C,MATCH($A371,'Source 2026'!$B:$B,0)),IFERROR(INDEX('Source 2025'!$C:$C,MATCH($A371,'Source 2025'!$B:$B,0)),""))</f>
        <v>386  מיישר בוניון-האלוקס ולגוס</v>
      </c>
      <c r="C371" s="8" t="n">
        <f aca="false">SUMIFS('Source 2025'!$D:$D,'Source 2025'!$B:$B,$A371,'Source 2025'!$A:$A,"Quantity (units)")+SUMIFS('Source 2025'!$E:$E,'Source 2025'!$B:$B,$A371,'Source 2025'!$A:$A,"Quantity (units)")+SUMIFS('Source 2025'!$F:$F,'Source 2025'!$B:$B,$A371,'Source 2025'!$A:$A,"Quantity (units)")+SUMIFS('Source 2025'!$G:$G,'Source 2025'!$B:$B,$A371,'Source 2025'!$A:$A,"Quantity (units)")+SUMIFS('Source 2025'!$J:$J,'Source 2025'!$B:$B,$A371,'Source 2025'!$A:$A,"Quantity (units)")+SUMIFS('Source 2025'!$M:$M,'Source 2025'!$B:$B,$A371,'Source 2025'!$A:$A,"Quantity (units)")</f>
        <v>63</v>
      </c>
      <c r="D371" s="8" t="n">
        <f aca="false">SUMIFS('Source 2026'!$D:$D,'Source 2026'!$B:$B,$A371,'Source 2026'!$A:$A,"Quantity (units)")+SUMIFS('Source 2026'!$E:$E,'Source 2026'!$B:$B,$A371,'Source 2026'!$A:$A,"Quantity (units)")+SUMIFS('Source 2026'!$F:$F,'Source 2026'!$B:$B,$A371,'Source 2026'!$A:$A,"Quantity (units)")+SUMIFS('Source 2026'!$G:$G,'Source 2026'!$B:$B,$A371,'Source 2026'!$A:$A,"Quantity (units)")+SUMIFS('Source 2026'!$J:$J,'Source 2026'!$B:$B,$A371,'Source 2026'!$A:$A,"Quantity (units)")+SUMIFS('Source 2026'!$M:$M,'Source 2026'!$B:$B,$A371,'Source 2026'!$A:$A,"Quantity (units)")</f>
        <v>58</v>
      </c>
      <c r="E371" s="8" t="n">
        <f aca="false">D371*$J$5</f>
        <v>79.5428571428571</v>
      </c>
      <c r="F371" s="8" t="n">
        <f aca="false">E371-C371</f>
        <v>16.5428571428571</v>
      </c>
      <c r="G371" s="9" t="n">
        <f aca="false">IF(AND(C371=0,E371=0),0,IF(C371=0,"New",(E371-C371)/C371))</f>
        <v>0.262585034013605</v>
      </c>
      <c r="H371" s="8" t="n">
        <f aca="false">SUMIFS('Source 2025'!$D:$D,'Source 2025'!$B:$B,$A371,'Source 2025'!$A:$A,"Amount (NIS)")+SUMIFS('Source 2025'!$E:$E,'Source 2025'!$B:$B,$A371,'Source 2025'!$A:$A,"Amount (NIS)")+SUMIFS('Source 2025'!$F:$F,'Source 2025'!$B:$B,$A371,'Source 2025'!$A:$A,"Amount (NIS)")+SUMIFS('Source 2025'!$G:$G,'Source 2025'!$B:$B,$A371,'Source 2025'!$A:$A,"Amount (NIS)")+SUMIFS('Source 2025'!$J:$J,'Source 2025'!$B:$B,$A371,'Source 2025'!$A:$A,"Amount (NIS)")+SUMIFS('Source 2025'!$M:$M,'Source 2025'!$B:$B,$A371,'Source 2025'!$A:$A,"Amount (NIS)")</f>
        <v>2915.1</v>
      </c>
      <c r="I371" s="8" t="n">
        <f aca="false">SUMIFS('Source 2026'!$D:$D,'Source 2026'!$B:$B,$A371,'Source 2026'!$A:$A,"Amount (NIS)")+SUMIFS('Source 2026'!$E:$E,'Source 2026'!$B:$B,$A371,'Source 2026'!$A:$A,"Amount (NIS)")+SUMIFS('Source 2026'!$F:$F,'Source 2026'!$B:$B,$A371,'Source 2026'!$A:$A,"Amount (NIS)")+SUMIFS('Source 2026'!$G:$G,'Source 2026'!$B:$B,$A371,'Source 2026'!$A:$A,"Amount (NIS)")+SUMIFS('Source 2026'!$J:$J,'Source 2026'!$B:$B,$A371,'Source 2026'!$A:$A,"Amount (NIS)")+SUMIFS('Source 2026'!$M:$M,'Source 2026'!$B:$B,$A371,'Source 2026'!$A:$A,"Amount (NIS)")</f>
        <v>2648.4</v>
      </c>
      <c r="J371" s="8" t="n">
        <f aca="false">I371*$J$5</f>
        <v>3632.09142857143</v>
      </c>
      <c r="K371" s="8" t="n">
        <f aca="false">J371-H371</f>
        <v>716.991428571429</v>
      </c>
      <c r="L371" s="9" t="n">
        <f aca="false">IF(AND(H371=0,J371=0),0,IF(H371=0,"New",(J371-H371)/H371))</f>
        <v>0.245957747100075</v>
      </c>
    </row>
    <row r="372" customFormat="false" ht="15" hidden="false" customHeight="false" outlineLevel="0" collapsed="false">
      <c r="A372" s="7" t="n">
        <v>4408148</v>
      </c>
      <c r="B372" s="7" t="str">
        <f aca="false">IFERROR(INDEX('Source 2026'!$C:$C,MATCH($A372,'Source 2026'!$B:$B,0)),IFERROR(INDEX('Source 2025'!$C:$C,MATCH($A372,'Source 2025'!$B:$B,0)),""))</f>
        <v>11PS XLחגורה למנותחי בטן</v>
      </c>
      <c r="C372" s="8" t="n">
        <f aca="false">SUMIFS('Source 2025'!$D:$D,'Source 2025'!$B:$B,$A372,'Source 2025'!$A:$A,"Quantity (units)")+SUMIFS('Source 2025'!$E:$E,'Source 2025'!$B:$B,$A372,'Source 2025'!$A:$A,"Quantity (units)")+SUMIFS('Source 2025'!$F:$F,'Source 2025'!$B:$B,$A372,'Source 2025'!$A:$A,"Quantity (units)")+SUMIFS('Source 2025'!$G:$G,'Source 2025'!$B:$B,$A372,'Source 2025'!$A:$A,"Quantity (units)")+SUMIFS('Source 2025'!$J:$J,'Source 2025'!$B:$B,$A372,'Source 2025'!$A:$A,"Quantity (units)")+SUMIFS('Source 2025'!$M:$M,'Source 2025'!$B:$B,$A372,'Source 2025'!$A:$A,"Quantity (units)")</f>
        <v>2</v>
      </c>
      <c r="D372" s="8" t="n">
        <f aca="false">SUMIFS('Source 2026'!$D:$D,'Source 2026'!$B:$B,$A372,'Source 2026'!$A:$A,"Quantity (units)")+SUMIFS('Source 2026'!$E:$E,'Source 2026'!$B:$B,$A372,'Source 2026'!$A:$A,"Quantity (units)")+SUMIFS('Source 2026'!$F:$F,'Source 2026'!$B:$B,$A372,'Source 2026'!$A:$A,"Quantity (units)")+SUMIFS('Source 2026'!$G:$G,'Source 2026'!$B:$B,$A372,'Source 2026'!$A:$A,"Quantity (units)")+SUMIFS('Source 2026'!$J:$J,'Source 2026'!$B:$B,$A372,'Source 2026'!$A:$A,"Quantity (units)")+SUMIFS('Source 2026'!$M:$M,'Source 2026'!$B:$B,$A372,'Source 2026'!$A:$A,"Quantity (units)")</f>
        <v>0</v>
      </c>
      <c r="E372" s="8" t="n">
        <f aca="false">D372*$J$5</f>
        <v>0</v>
      </c>
      <c r="F372" s="8" t="n">
        <f aca="false">E372-C372</f>
        <v>-2</v>
      </c>
      <c r="G372" s="9" t="n">
        <f aca="false">IF(AND(C372=0,E372=0),0,IF(C372=0,"New",(E372-C372)/C372))</f>
        <v>-1</v>
      </c>
      <c r="H372" s="8" t="n">
        <f aca="false">SUMIFS('Source 2025'!$D:$D,'Source 2025'!$B:$B,$A372,'Source 2025'!$A:$A,"Amount (NIS)")+SUMIFS('Source 2025'!$E:$E,'Source 2025'!$B:$B,$A372,'Source 2025'!$A:$A,"Amount (NIS)")+SUMIFS('Source 2025'!$F:$F,'Source 2025'!$B:$B,$A372,'Source 2025'!$A:$A,"Amount (NIS)")+SUMIFS('Source 2025'!$G:$G,'Source 2025'!$B:$B,$A372,'Source 2025'!$A:$A,"Amount (NIS)")+SUMIFS('Source 2025'!$J:$J,'Source 2025'!$B:$B,$A372,'Source 2025'!$A:$A,"Amount (NIS)")+SUMIFS('Source 2025'!$M:$M,'Source 2025'!$B:$B,$A372,'Source 2025'!$A:$A,"Amount (NIS)")</f>
        <v>263.3</v>
      </c>
      <c r="I372" s="8" t="n">
        <f aca="false">SUMIFS('Source 2026'!$D:$D,'Source 2026'!$B:$B,$A372,'Source 2026'!$A:$A,"Amount (NIS)")+SUMIFS('Source 2026'!$E:$E,'Source 2026'!$B:$B,$A372,'Source 2026'!$A:$A,"Amount (NIS)")+SUMIFS('Source 2026'!$F:$F,'Source 2026'!$B:$B,$A372,'Source 2026'!$A:$A,"Amount (NIS)")+SUMIFS('Source 2026'!$G:$G,'Source 2026'!$B:$B,$A372,'Source 2026'!$A:$A,"Amount (NIS)")+SUMIFS('Source 2026'!$J:$J,'Source 2026'!$B:$B,$A372,'Source 2026'!$A:$A,"Amount (NIS)")+SUMIFS('Source 2026'!$M:$M,'Source 2026'!$B:$B,$A372,'Source 2026'!$A:$A,"Amount (NIS)")</f>
        <v>0</v>
      </c>
      <c r="J372" s="8" t="n">
        <f aca="false">I372*$J$5</f>
        <v>0</v>
      </c>
      <c r="K372" s="8" t="n">
        <f aca="false">J372-H372</f>
        <v>-263.3</v>
      </c>
      <c r="L372" s="9" t="n">
        <f aca="false">IF(AND(H372=0,J372=0),0,IF(H372=0,"New",(J372-H372)/H372))</f>
        <v>-1</v>
      </c>
    </row>
    <row r="373" customFormat="false" ht="15" hidden="false" customHeight="false" outlineLevel="0" collapsed="false">
      <c r="A373" s="7" t="n">
        <v>4413154</v>
      </c>
      <c r="B373" s="7" t="str">
        <f aca="false">IFERROR(INDEX('Source 2026'!$C:$C,MATCH($A373,'Source 2026'!$B:$B,0)),IFERROR(INDEX('Source 2025'!$C:$C,MATCH($A373,'Source 2025'!$B:$B,0)),""))</f>
        <v>305GA מדרס אורטופ.מתכוון37-38</v>
      </c>
      <c r="C373" s="8" t="n">
        <f aca="false">SUMIFS('Source 2025'!$D:$D,'Source 2025'!$B:$B,$A373,'Source 2025'!$A:$A,"Quantity (units)")+SUMIFS('Source 2025'!$E:$E,'Source 2025'!$B:$B,$A373,'Source 2025'!$A:$A,"Quantity (units)")+SUMIFS('Source 2025'!$F:$F,'Source 2025'!$B:$B,$A373,'Source 2025'!$A:$A,"Quantity (units)")+SUMIFS('Source 2025'!$G:$G,'Source 2025'!$B:$B,$A373,'Source 2025'!$A:$A,"Quantity (units)")+SUMIFS('Source 2025'!$J:$J,'Source 2025'!$B:$B,$A373,'Source 2025'!$A:$A,"Quantity (units)")+SUMIFS('Source 2025'!$M:$M,'Source 2025'!$B:$B,$A373,'Source 2025'!$A:$A,"Quantity (units)")</f>
        <v>6</v>
      </c>
      <c r="D373" s="8" t="n">
        <f aca="false">SUMIFS('Source 2026'!$D:$D,'Source 2026'!$B:$B,$A373,'Source 2026'!$A:$A,"Quantity (units)")+SUMIFS('Source 2026'!$E:$E,'Source 2026'!$B:$B,$A373,'Source 2026'!$A:$A,"Quantity (units)")+SUMIFS('Source 2026'!$F:$F,'Source 2026'!$B:$B,$A373,'Source 2026'!$A:$A,"Quantity (units)")+SUMIFS('Source 2026'!$G:$G,'Source 2026'!$B:$B,$A373,'Source 2026'!$A:$A,"Quantity (units)")+SUMIFS('Source 2026'!$J:$J,'Source 2026'!$B:$B,$A373,'Source 2026'!$A:$A,"Quantity (units)")+SUMIFS('Source 2026'!$M:$M,'Source 2026'!$B:$B,$A373,'Source 2026'!$A:$A,"Quantity (units)")</f>
        <v>3</v>
      </c>
      <c r="E373" s="8" t="n">
        <f aca="false">D373*$J$5</f>
        <v>4.11428571428571</v>
      </c>
      <c r="F373" s="8" t="n">
        <f aca="false">E373-C373</f>
        <v>-1.88571428571429</v>
      </c>
      <c r="G373" s="9" t="n">
        <f aca="false">IF(AND(C373=0,E373=0),0,IF(C373=0,"New",(E373-C373)/C373))</f>
        <v>-0.314285714285714</v>
      </c>
      <c r="H373" s="8" t="n">
        <f aca="false">SUMIFS('Source 2025'!$D:$D,'Source 2025'!$B:$B,$A373,'Source 2025'!$A:$A,"Amount (NIS)")+SUMIFS('Source 2025'!$E:$E,'Source 2025'!$B:$B,$A373,'Source 2025'!$A:$A,"Amount (NIS)")+SUMIFS('Source 2025'!$F:$F,'Source 2025'!$B:$B,$A373,'Source 2025'!$A:$A,"Amount (NIS)")+SUMIFS('Source 2025'!$G:$G,'Source 2025'!$B:$B,$A373,'Source 2025'!$A:$A,"Amount (NIS)")+SUMIFS('Source 2025'!$J:$J,'Source 2025'!$B:$B,$A373,'Source 2025'!$A:$A,"Amount (NIS)")+SUMIFS('Source 2025'!$M:$M,'Source 2025'!$B:$B,$A373,'Source 2025'!$A:$A,"Amount (NIS)")</f>
        <v>542.6</v>
      </c>
      <c r="I373" s="8" t="n">
        <f aca="false">SUMIFS('Source 2026'!$D:$D,'Source 2026'!$B:$B,$A373,'Source 2026'!$A:$A,"Amount (NIS)")+SUMIFS('Source 2026'!$E:$E,'Source 2026'!$B:$B,$A373,'Source 2026'!$A:$A,"Amount (NIS)")+SUMIFS('Source 2026'!$F:$F,'Source 2026'!$B:$B,$A373,'Source 2026'!$A:$A,"Amount (NIS)")+SUMIFS('Source 2026'!$G:$G,'Source 2026'!$B:$B,$A373,'Source 2026'!$A:$A,"Amount (NIS)")+SUMIFS('Source 2026'!$J:$J,'Source 2026'!$B:$B,$A373,'Source 2026'!$A:$A,"Amount (NIS)")+SUMIFS('Source 2026'!$M:$M,'Source 2026'!$B:$B,$A373,'Source 2026'!$A:$A,"Amount (NIS)")</f>
        <v>281.1</v>
      </c>
      <c r="J373" s="8" t="n">
        <f aca="false">I373*$J$5</f>
        <v>385.508571428572</v>
      </c>
      <c r="K373" s="8" t="n">
        <f aca="false">J373-H373</f>
        <v>-157.091428571429</v>
      </c>
      <c r="L373" s="9" t="n">
        <f aca="false">IF(AND(H373=0,J373=0),0,IF(H373=0,"New",(J373-H373)/H373))</f>
        <v>-0.289516086567321</v>
      </c>
    </row>
    <row r="374" customFormat="false" ht="15" hidden="false" customHeight="false" outlineLevel="0" collapsed="false">
      <c r="A374" s="7" t="n">
        <v>4403023</v>
      </c>
      <c r="B374" s="7" t="str">
        <f aca="false">IFERROR(INDEX('Source 2026'!$C:$C,MATCH($A374,'Source 2026'!$B:$B,0)),IFERROR(INDEX('Source 2025'!$C:$C,MATCH($A374,'Source 2025'!$B:$B,0)),""))</f>
        <v>394W 35-38 גרב.כסף לסכרתים לבן</v>
      </c>
      <c r="C374" s="8" t="n">
        <f aca="false">SUMIFS('Source 2025'!$D:$D,'Source 2025'!$B:$B,$A374,'Source 2025'!$A:$A,"Quantity (units)")+SUMIFS('Source 2025'!$E:$E,'Source 2025'!$B:$B,$A374,'Source 2025'!$A:$A,"Quantity (units)")+SUMIFS('Source 2025'!$F:$F,'Source 2025'!$B:$B,$A374,'Source 2025'!$A:$A,"Quantity (units)")+SUMIFS('Source 2025'!$G:$G,'Source 2025'!$B:$B,$A374,'Source 2025'!$A:$A,"Quantity (units)")+SUMIFS('Source 2025'!$J:$J,'Source 2025'!$B:$B,$A374,'Source 2025'!$A:$A,"Quantity (units)")+SUMIFS('Source 2025'!$M:$M,'Source 2025'!$B:$B,$A374,'Source 2025'!$A:$A,"Quantity (units)")</f>
        <v>34</v>
      </c>
      <c r="D374" s="8" t="n">
        <f aca="false">SUMIFS('Source 2026'!$D:$D,'Source 2026'!$B:$B,$A374,'Source 2026'!$A:$A,"Quantity (units)")+SUMIFS('Source 2026'!$E:$E,'Source 2026'!$B:$B,$A374,'Source 2026'!$A:$A,"Quantity (units)")+SUMIFS('Source 2026'!$F:$F,'Source 2026'!$B:$B,$A374,'Source 2026'!$A:$A,"Quantity (units)")+SUMIFS('Source 2026'!$G:$G,'Source 2026'!$B:$B,$A374,'Source 2026'!$A:$A,"Quantity (units)")+SUMIFS('Source 2026'!$J:$J,'Source 2026'!$B:$B,$A374,'Source 2026'!$A:$A,"Quantity (units)")+SUMIFS('Source 2026'!$M:$M,'Source 2026'!$B:$B,$A374,'Source 2026'!$A:$A,"Quantity (units)")</f>
        <v>22</v>
      </c>
      <c r="E374" s="8" t="n">
        <f aca="false">D374*$J$5</f>
        <v>30.1714285714286</v>
      </c>
      <c r="F374" s="8" t="n">
        <f aca="false">E374-C374</f>
        <v>-3.82857142857143</v>
      </c>
      <c r="G374" s="9" t="n">
        <f aca="false">IF(AND(C374=0,E374=0),0,IF(C374=0,"New",(E374-C374)/C374))</f>
        <v>-0.112605042016807</v>
      </c>
      <c r="H374" s="8" t="n">
        <f aca="false">SUMIFS('Source 2025'!$D:$D,'Source 2025'!$B:$B,$A374,'Source 2025'!$A:$A,"Amount (NIS)")+SUMIFS('Source 2025'!$E:$E,'Source 2025'!$B:$B,$A374,'Source 2025'!$A:$A,"Amount (NIS)")+SUMIFS('Source 2025'!$F:$F,'Source 2025'!$B:$B,$A374,'Source 2025'!$A:$A,"Amount (NIS)")+SUMIFS('Source 2025'!$G:$G,'Source 2025'!$B:$B,$A374,'Source 2025'!$A:$A,"Amount (NIS)")+SUMIFS('Source 2025'!$J:$J,'Source 2025'!$B:$B,$A374,'Source 2025'!$A:$A,"Amount (NIS)")+SUMIFS('Source 2025'!$M:$M,'Source 2025'!$B:$B,$A374,'Source 2025'!$A:$A,"Amount (NIS)")</f>
        <v>843.2</v>
      </c>
      <c r="I374" s="8" t="n">
        <f aca="false">SUMIFS('Source 2026'!$D:$D,'Source 2026'!$B:$B,$A374,'Source 2026'!$A:$A,"Amount (NIS)")+SUMIFS('Source 2026'!$E:$E,'Source 2026'!$B:$B,$A374,'Source 2026'!$A:$A,"Amount (NIS)")+SUMIFS('Source 2026'!$F:$F,'Source 2026'!$B:$B,$A374,'Source 2026'!$A:$A,"Amount (NIS)")+SUMIFS('Source 2026'!$G:$G,'Source 2026'!$B:$B,$A374,'Source 2026'!$A:$A,"Amount (NIS)")+SUMIFS('Source 2026'!$J:$J,'Source 2026'!$B:$B,$A374,'Source 2026'!$A:$A,"Amount (NIS)")+SUMIFS('Source 2026'!$M:$M,'Source 2026'!$B:$B,$A374,'Source 2026'!$A:$A,"Amount (NIS)")</f>
        <v>585.9</v>
      </c>
      <c r="J374" s="8" t="n">
        <f aca="false">I374*$J$5</f>
        <v>803.52</v>
      </c>
      <c r="K374" s="8" t="n">
        <f aca="false">J374-H374</f>
        <v>-39.6800000000001</v>
      </c>
      <c r="L374" s="9" t="n">
        <f aca="false">IF(AND(H374=0,J374=0),0,IF(H374=0,"New",(J374-H374)/H374))</f>
        <v>-0.0470588235294118</v>
      </c>
    </row>
    <row r="375" customFormat="false" ht="15" hidden="false" customHeight="false" outlineLevel="0" collapsed="false">
      <c r="A375" s="7" t="n">
        <v>4413335</v>
      </c>
      <c r="B375" s="7" t="str">
        <f aca="false">IFERROR(INDEX('Source 2026'!$C:$C,MATCH($A375,'Source 2026'!$B:$B,0)),IFERROR(INDEX('Source 2025'!$C:$C,MATCH($A375,'Source 2025'!$B:$B,0)),""))</f>
        <v>322-S מגן קרסול+כרית סילקון</v>
      </c>
      <c r="C375" s="8" t="n">
        <f aca="false">SUMIFS('Source 2025'!$D:$D,'Source 2025'!$B:$B,$A375,'Source 2025'!$A:$A,"Quantity (units)")+SUMIFS('Source 2025'!$E:$E,'Source 2025'!$B:$B,$A375,'Source 2025'!$A:$A,"Quantity (units)")+SUMIFS('Source 2025'!$F:$F,'Source 2025'!$B:$B,$A375,'Source 2025'!$A:$A,"Quantity (units)")+SUMIFS('Source 2025'!$G:$G,'Source 2025'!$B:$B,$A375,'Source 2025'!$A:$A,"Quantity (units)")+SUMIFS('Source 2025'!$J:$J,'Source 2025'!$B:$B,$A375,'Source 2025'!$A:$A,"Quantity (units)")+SUMIFS('Source 2025'!$M:$M,'Source 2025'!$B:$B,$A375,'Source 2025'!$A:$A,"Quantity (units)")</f>
        <v>2</v>
      </c>
      <c r="D375" s="8" t="n">
        <f aca="false">SUMIFS('Source 2026'!$D:$D,'Source 2026'!$B:$B,$A375,'Source 2026'!$A:$A,"Quantity (units)")+SUMIFS('Source 2026'!$E:$E,'Source 2026'!$B:$B,$A375,'Source 2026'!$A:$A,"Quantity (units)")+SUMIFS('Source 2026'!$F:$F,'Source 2026'!$B:$B,$A375,'Source 2026'!$A:$A,"Quantity (units)")+SUMIFS('Source 2026'!$G:$G,'Source 2026'!$B:$B,$A375,'Source 2026'!$A:$A,"Quantity (units)")+SUMIFS('Source 2026'!$J:$J,'Source 2026'!$B:$B,$A375,'Source 2026'!$A:$A,"Quantity (units)")+SUMIFS('Source 2026'!$M:$M,'Source 2026'!$B:$B,$A375,'Source 2026'!$A:$A,"Quantity (units)")</f>
        <v>0</v>
      </c>
      <c r="E375" s="8" t="n">
        <f aca="false">D375*$J$5</f>
        <v>0</v>
      </c>
      <c r="F375" s="8" t="n">
        <f aca="false">E375-C375</f>
        <v>-2</v>
      </c>
      <c r="G375" s="9" t="n">
        <f aca="false">IF(AND(C375=0,E375=0),0,IF(C375=0,"New",(E375-C375)/C375))</f>
        <v>-1</v>
      </c>
      <c r="H375" s="8" t="n">
        <f aca="false">SUMIFS('Source 2025'!$D:$D,'Source 2025'!$B:$B,$A375,'Source 2025'!$A:$A,"Amount (NIS)")+SUMIFS('Source 2025'!$E:$E,'Source 2025'!$B:$B,$A375,'Source 2025'!$A:$A,"Amount (NIS)")+SUMIFS('Source 2025'!$F:$F,'Source 2025'!$B:$B,$A375,'Source 2025'!$A:$A,"Amount (NIS)")+SUMIFS('Source 2025'!$G:$G,'Source 2025'!$B:$B,$A375,'Source 2025'!$A:$A,"Amount (NIS)")+SUMIFS('Source 2025'!$J:$J,'Source 2025'!$B:$B,$A375,'Source 2025'!$A:$A,"Amount (NIS)")+SUMIFS('Source 2025'!$M:$M,'Source 2025'!$B:$B,$A375,'Source 2025'!$A:$A,"Amount (NIS)")</f>
        <v>255.5</v>
      </c>
      <c r="I375" s="8" t="n">
        <f aca="false">SUMIFS('Source 2026'!$D:$D,'Source 2026'!$B:$B,$A375,'Source 2026'!$A:$A,"Amount (NIS)")+SUMIFS('Source 2026'!$E:$E,'Source 2026'!$B:$B,$A375,'Source 2026'!$A:$A,"Amount (NIS)")+SUMIFS('Source 2026'!$F:$F,'Source 2026'!$B:$B,$A375,'Source 2026'!$A:$A,"Amount (NIS)")+SUMIFS('Source 2026'!$G:$G,'Source 2026'!$B:$B,$A375,'Source 2026'!$A:$A,"Amount (NIS)")+SUMIFS('Source 2026'!$J:$J,'Source 2026'!$B:$B,$A375,'Source 2026'!$A:$A,"Amount (NIS)")+SUMIFS('Source 2026'!$M:$M,'Source 2026'!$B:$B,$A375,'Source 2026'!$A:$A,"Amount (NIS)")</f>
        <v>0</v>
      </c>
      <c r="J375" s="8" t="n">
        <f aca="false">I375*$J$5</f>
        <v>0</v>
      </c>
      <c r="K375" s="8" t="n">
        <f aca="false">J375-H375</f>
        <v>-255.5</v>
      </c>
      <c r="L375" s="9" t="n">
        <f aca="false">IF(AND(H375=0,J375=0),0,IF(H375=0,"New",(J375-H375)/H375))</f>
        <v>-1</v>
      </c>
    </row>
    <row r="376" customFormat="false" ht="15" hidden="false" customHeight="false" outlineLevel="0" collapsed="false">
      <c r="A376" s="7" t="n">
        <v>4420037</v>
      </c>
      <c r="B376" s="7" t="str">
        <f aca="false">IFERROR(INDEX('Source 2026'!$C:$C,MATCH($A376,'Source 2026'!$B:$B,0)),IFERROR(INDEX('Source 2025'!$C:$C,MATCH($A376,'Source 2025'!$B:$B,0)),""))</f>
        <v>301JW רפידת ג'ל כחול36-40</v>
      </c>
      <c r="C376" s="8" t="n">
        <f aca="false">SUMIFS('Source 2025'!$D:$D,'Source 2025'!$B:$B,$A376,'Source 2025'!$A:$A,"Quantity (units)")+SUMIFS('Source 2025'!$E:$E,'Source 2025'!$B:$B,$A376,'Source 2025'!$A:$A,"Quantity (units)")+SUMIFS('Source 2025'!$F:$F,'Source 2025'!$B:$B,$A376,'Source 2025'!$A:$A,"Quantity (units)")+SUMIFS('Source 2025'!$G:$G,'Source 2025'!$B:$B,$A376,'Source 2025'!$A:$A,"Quantity (units)")+SUMIFS('Source 2025'!$J:$J,'Source 2025'!$B:$B,$A376,'Source 2025'!$A:$A,"Quantity (units)")+SUMIFS('Source 2025'!$M:$M,'Source 2025'!$B:$B,$A376,'Source 2025'!$A:$A,"Quantity (units)")</f>
        <v>-2</v>
      </c>
      <c r="D376" s="8" t="n">
        <f aca="false">SUMIFS('Source 2026'!$D:$D,'Source 2026'!$B:$B,$A376,'Source 2026'!$A:$A,"Quantity (units)")+SUMIFS('Source 2026'!$E:$E,'Source 2026'!$B:$B,$A376,'Source 2026'!$A:$A,"Quantity (units)")+SUMIFS('Source 2026'!$F:$F,'Source 2026'!$B:$B,$A376,'Source 2026'!$A:$A,"Quantity (units)")+SUMIFS('Source 2026'!$G:$G,'Source 2026'!$B:$B,$A376,'Source 2026'!$A:$A,"Quantity (units)")+SUMIFS('Source 2026'!$J:$J,'Source 2026'!$B:$B,$A376,'Source 2026'!$A:$A,"Quantity (units)")+SUMIFS('Source 2026'!$M:$M,'Source 2026'!$B:$B,$A376,'Source 2026'!$A:$A,"Quantity (units)")</f>
        <v>2</v>
      </c>
      <c r="E376" s="8" t="n">
        <f aca="false">D376*$J$5</f>
        <v>2.74285714285714</v>
      </c>
      <c r="F376" s="8" t="n">
        <f aca="false">E376-C376</f>
        <v>4.74285714285714</v>
      </c>
      <c r="G376" s="9" t="n">
        <f aca="false">IF(AND(C376=0,E376=0),0,IF(C376=0,"New",(E376-C376)/C376))</f>
        <v>-2.37142857142857</v>
      </c>
      <c r="H376" s="8" t="n">
        <f aca="false">SUMIFS('Source 2025'!$D:$D,'Source 2025'!$B:$B,$A376,'Source 2025'!$A:$A,"Amount (NIS)")+SUMIFS('Source 2025'!$E:$E,'Source 2025'!$B:$B,$A376,'Source 2025'!$A:$A,"Amount (NIS)")+SUMIFS('Source 2025'!$F:$F,'Source 2025'!$B:$B,$A376,'Source 2025'!$A:$A,"Amount (NIS)")+SUMIFS('Source 2025'!$G:$G,'Source 2025'!$B:$B,$A376,'Source 2025'!$A:$A,"Amount (NIS)")+SUMIFS('Source 2025'!$J:$J,'Source 2025'!$B:$B,$A376,'Source 2025'!$A:$A,"Amount (NIS)")+SUMIFS('Source 2025'!$M:$M,'Source 2025'!$B:$B,$A376,'Source 2025'!$A:$A,"Amount (NIS)")</f>
        <v>-107.2</v>
      </c>
      <c r="I376" s="8" t="n">
        <f aca="false">SUMIFS('Source 2026'!$D:$D,'Source 2026'!$B:$B,$A376,'Source 2026'!$A:$A,"Amount (NIS)")+SUMIFS('Source 2026'!$E:$E,'Source 2026'!$B:$B,$A376,'Source 2026'!$A:$A,"Amount (NIS)")+SUMIFS('Source 2026'!$F:$F,'Source 2026'!$B:$B,$A376,'Source 2026'!$A:$A,"Amount (NIS)")+SUMIFS('Source 2026'!$G:$G,'Source 2026'!$B:$B,$A376,'Source 2026'!$A:$A,"Amount (NIS)")+SUMIFS('Source 2026'!$J:$J,'Source 2026'!$B:$B,$A376,'Source 2026'!$A:$A,"Amount (NIS)")+SUMIFS('Source 2026'!$M:$M,'Source 2026'!$B:$B,$A376,'Source 2026'!$A:$A,"Amount (NIS)")</f>
        <v>146.5</v>
      </c>
      <c r="J376" s="8" t="n">
        <f aca="false">I376*$J$5</f>
        <v>200.914285714286</v>
      </c>
      <c r="K376" s="8" t="n">
        <f aca="false">J376-H376</f>
        <v>308.114285714286</v>
      </c>
      <c r="L376" s="9" t="n">
        <f aca="false">IF(AND(H376=0,J376=0),0,IF(H376=0,"New",(J376-H376)/H376))</f>
        <v>-2.87420042643923</v>
      </c>
    </row>
    <row r="377" customFormat="false" ht="15" hidden="false" customHeight="false" outlineLevel="0" collapsed="false">
      <c r="A377" s="7" t="n">
        <v>4403000</v>
      </c>
      <c r="B377" s="7" t="str">
        <f aca="false">IFERROR(INDEX('Source 2026'!$C:$C,MATCH($A377,'Source 2026'!$B:$B,0)),IFERROR(INDEX('Source 2025'!$C:$C,MATCH($A377,'Source 2025'!$B:$B,0)),""))</f>
        <v>390B גרב.כסף לסכרתים שחור35-38</v>
      </c>
      <c r="C377" s="8" t="n">
        <f aca="false">SUMIFS('Source 2025'!$D:$D,'Source 2025'!$B:$B,$A377,'Source 2025'!$A:$A,"Quantity (units)")+SUMIFS('Source 2025'!$E:$E,'Source 2025'!$B:$B,$A377,'Source 2025'!$A:$A,"Quantity (units)")+SUMIFS('Source 2025'!$F:$F,'Source 2025'!$B:$B,$A377,'Source 2025'!$A:$A,"Quantity (units)")+SUMIFS('Source 2025'!$G:$G,'Source 2025'!$B:$B,$A377,'Source 2025'!$A:$A,"Quantity (units)")+SUMIFS('Source 2025'!$J:$J,'Source 2025'!$B:$B,$A377,'Source 2025'!$A:$A,"Quantity (units)")+SUMIFS('Source 2025'!$M:$M,'Source 2025'!$B:$B,$A377,'Source 2025'!$A:$A,"Quantity (units)")</f>
        <v>21</v>
      </c>
      <c r="D377" s="8" t="n">
        <f aca="false">SUMIFS('Source 2026'!$D:$D,'Source 2026'!$B:$B,$A377,'Source 2026'!$A:$A,"Quantity (units)")+SUMIFS('Source 2026'!$E:$E,'Source 2026'!$B:$B,$A377,'Source 2026'!$A:$A,"Quantity (units)")+SUMIFS('Source 2026'!$F:$F,'Source 2026'!$B:$B,$A377,'Source 2026'!$A:$A,"Quantity (units)")+SUMIFS('Source 2026'!$G:$G,'Source 2026'!$B:$B,$A377,'Source 2026'!$A:$A,"Quantity (units)")+SUMIFS('Source 2026'!$J:$J,'Source 2026'!$B:$B,$A377,'Source 2026'!$A:$A,"Quantity (units)")+SUMIFS('Source 2026'!$M:$M,'Source 2026'!$B:$B,$A377,'Source 2026'!$A:$A,"Quantity (units)")</f>
        <v>11</v>
      </c>
      <c r="E377" s="8" t="n">
        <f aca="false">D377*$J$5</f>
        <v>15.0857142857143</v>
      </c>
      <c r="F377" s="8" t="n">
        <f aca="false">E377-C377</f>
        <v>-5.91428571428572</v>
      </c>
      <c r="G377" s="9" t="n">
        <f aca="false">IF(AND(C377=0,E377=0),0,IF(C377=0,"New",(E377-C377)/C377))</f>
        <v>-0.281632653061225</v>
      </c>
      <c r="H377" s="8" t="n">
        <f aca="false">SUMIFS('Source 2025'!$D:$D,'Source 2025'!$B:$B,$A377,'Source 2025'!$A:$A,"Amount (NIS)")+SUMIFS('Source 2025'!$E:$E,'Source 2025'!$B:$B,$A377,'Source 2025'!$A:$A,"Amount (NIS)")+SUMIFS('Source 2025'!$F:$F,'Source 2025'!$B:$B,$A377,'Source 2025'!$A:$A,"Amount (NIS)")+SUMIFS('Source 2025'!$G:$G,'Source 2025'!$B:$B,$A377,'Source 2025'!$A:$A,"Amount (NIS)")+SUMIFS('Source 2025'!$J:$J,'Source 2025'!$B:$B,$A377,'Source 2025'!$A:$A,"Amount (NIS)")+SUMIFS('Source 2025'!$M:$M,'Source 2025'!$B:$B,$A377,'Source 2025'!$A:$A,"Amount (NIS)")</f>
        <v>614.1</v>
      </c>
      <c r="I377" s="8" t="n">
        <f aca="false">SUMIFS('Source 2026'!$D:$D,'Source 2026'!$B:$B,$A377,'Source 2026'!$A:$A,"Amount (NIS)")+SUMIFS('Source 2026'!$E:$E,'Source 2026'!$B:$B,$A377,'Source 2026'!$A:$A,"Amount (NIS)")+SUMIFS('Source 2026'!$F:$F,'Source 2026'!$B:$B,$A377,'Source 2026'!$A:$A,"Amount (NIS)")+SUMIFS('Source 2026'!$G:$G,'Source 2026'!$B:$B,$A377,'Source 2026'!$A:$A,"Amount (NIS)")+SUMIFS('Source 2026'!$J:$J,'Source 2026'!$B:$B,$A377,'Source 2026'!$A:$A,"Amount (NIS)")+SUMIFS('Source 2026'!$M:$M,'Source 2026'!$B:$B,$A377,'Source 2026'!$A:$A,"Amount (NIS)")</f>
        <v>360.4</v>
      </c>
      <c r="J377" s="8" t="n">
        <f aca="false">I377*$J$5</f>
        <v>494.262857142857</v>
      </c>
      <c r="K377" s="8" t="n">
        <f aca="false">J377-H377</f>
        <v>-119.837142857143</v>
      </c>
      <c r="L377" s="9" t="n">
        <f aca="false">IF(AND(H377=0,J377=0),0,IF(H377=0,"New",(J377-H377)/H377))</f>
        <v>-0.195142717565776</v>
      </c>
    </row>
    <row r="378" customFormat="false" ht="15" hidden="false" customHeight="false" outlineLevel="0" collapsed="false">
      <c r="A378" s="7" t="n">
        <v>4408009</v>
      </c>
      <c r="B378" s="7" t="str">
        <f aca="false">IFERROR(INDEX('Source 2026'!$C:$C,MATCH($A378,'Source 2026'!$B:$B,0)),IFERROR(INDEX('Source 2025'!$C:$C,MATCH($A378,'Source 2025'!$B:$B,0)),""))</f>
        <v>079 S ח.גב סג. כפולה שחור+אדום</v>
      </c>
      <c r="C378" s="8" t="n">
        <f aca="false">SUMIFS('Source 2025'!$D:$D,'Source 2025'!$B:$B,$A378,'Source 2025'!$A:$A,"Quantity (units)")+SUMIFS('Source 2025'!$E:$E,'Source 2025'!$B:$B,$A378,'Source 2025'!$A:$A,"Quantity (units)")+SUMIFS('Source 2025'!$F:$F,'Source 2025'!$B:$B,$A378,'Source 2025'!$A:$A,"Quantity (units)")+SUMIFS('Source 2025'!$G:$G,'Source 2025'!$B:$B,$A378,'Source 2025'!$A:$A,"Quantity (units)")+SUMIFS('Source 2025'!$J:$J,'Source 2025'!$B:$B,$A378,'Source 2025'!$A:$A,"Quantity (units)")+SUMIFS('Source 2025'!$M:$M,'Source 2025'!$B:$B,$A378,'Source 2025'!$A:$A,"Quantity (units)")</f>
        <v>3</v>
      </c>
      <c r="D378" s="8" t="n">
        <f aca="false">SUMIFS('Source 2026'!$D:$D,'Source 2026'!$B:$B,$A378,'Source 2026'!$A:$A,"Quantity (units)")+SUMIFS('Source 2026'!$E:$E,'Source 2026'!$B:$B,$A378,'Source 2026'!$A:$A,"Quantity (units)")+SUMIFS('Source 2026'!$F:$F,'Source 2026'!$B:$B,$A378,'Source 2026'!$A:$A,"Quantity (units)")+SUMIFS('Source 2026'!$G:$G,'Source 2026'!$B:$B,$A378,'Source 2026'!$A:$A,"Quantity (units)")+SUMIFS('Source 2026'!$J:$J,'Source 2026'!$B:$B,$A378,'Source 2026'!$A:$A,"Quantity (units)")+SUMIFS('Source 2026'!$M:$M,'Source 2026'!$B:$B,$A378,'Source 2026'!$A:$A,"Quantity (units)")</f>
        <v>0</v>
      </c>
      <c r="E378" s="8" t="n">
        <f aca="false">D378*$J$5</f>
        <v>0</v>
      </c>
      <c r="F378" s="8" t="n">
        <f aca="false">E378-C378</f>
        <v>-3</v>
      </c>
      <c r="G378" s="9" t="n">
        <f aca="false">IF(AND(C378=0,E378=0),0,IF(C378=0,"New",(E378-C378)/C378))</f>
        <v>-1</v>
      </c>
      <c r="H378" s="8" t="n">
        <f aca="false">SUMIFS('Source 2025'!$D:$D,'Source 2025'!$B:$B,$A378,'Source 2025'!$A:$A,"Amount (NIS)")+SUMIFS('Source 2025'!$E:$E,'Source 2025'!$B:$B,$A378,'Source 2025'!$A:$A,"Amount (NIS)")+SUMIFS('Source 2025'!$F:$F,'Source 2025'!$B:$B,$A378,'Source 2025'!$A:$A,"Amount (NIS)")+SUMIFS('Source 2025'!$G:$G,'Source 2025'!$B:$B,$A378,'Source 2025'!$A:$A,"Amount (NIS)")+SUMIFS('Source 2025'!$J:$J,'Source 2025'!$B:$B,$A378,'Source 2025'!$A:$A,"Amount (NIS)")+SUMIFS('Source 2025'!$M:$M,'Source 2025'!$B:$B,$A378,'Source 2025'!$A:$A,"Amount (NIS)")</f>
        <v>260.9</v>
      </c>
      <c r="I378" s="8" t="n">
        <f aca="false">SUMIFS('Source 2026'!$D:$D,'Source 2026'!$B:$B,$A378,'Source 2026'!$A:$A,"Amount (NIS)")+SUMIFS('Source 2026'!$E:$E,'Source 2026'!$B:$B,$A378,'Source 2026'!$A:$A,"Amount (NIS)")+SUMIFS('Source 2026'!$F:$F,'Source 2026'!$B:$B,$A378,'Source 2026'!$A:$A,"Amount (NIS)")+SUMIFS('Source 2026'!$G:$G,'Source 2026'!$B:$B,$A378,'Source 2026'!$A:$A,"Amount (NIS)")+SUMIFS('Source 2026'!$J:$J,'Source 2026'!$B:$B,$A378,'Source 2026'!$A:$A,"Amount (NIS)")+SUMIFS('Source 2026'!$M:$M,'Source 2026'!$B:$B,$A378,'Source 2026'!$A:$A,"Amount (NIS)")</f>
        <v>7.2</v>
      </c>
      <c r="J378" s="8" t="n">
        <f aca="false">I378*$J$5</f>
        <v>9.87428571428572</v>
      </c>
      <c r="K378" s="8" t="n">
        <f aca="false">J378-H378</f>
        <v>-251.025714285714</v>
      </c>
      <c r="L378" s="9" t="n">
        <f aca="false">IF(AND(H378=0,J378=0),0,IF(H378=0,"New",(J378-H378)/H378))</f>
        <v>-0.962152986913432</v>
      </c>
    </row>
    <row r="379" customFormat="false" ht="15" hidden="false" customHeight="false" outlineLevel="0" collapsed="false">
      <c r="A379" s="7" t="n">
        <v>4408232</v>
      </c>
      <c r="B379" s="7" t="str">
        <f aca="false">IFERROR(INDEX('Source 2026'!$C:$C,MATCH($A379,'Source 2026'!$B:$B,0)),IFERROR(INDEX('Source 2025'!$C:$C,MATCH($A379,'Source 2025'!$B:$B,0)),""))</f>
        <v>16 XXL חגורת הריון</v>
      </c>
      <c r="C379" s="8" t="n">
        <f aca="false">SUMIFS('Source 2025'!$D:$D,'Source 2025'!$B:$B,$A379,'Source 2025'!$A:$A,"Quantity (units)")+SUMIFS('Source 2025'!$E:$E,'Source 2025'!$B:$B,$A379,'Source 2025'!$A:$A,"Quantity (units)")+SUMIFS('Source 2025'!$F:$F,'Source 2025'!$B:$B,$A379,'Source 2025'!$A:$A,"Quantity (units)")+SUMIFS('Source 2025'!$G:$G,'Source 2025'!$B:$B,$A379,'Source 2025'!$A:$A,"Quantity (units)")+SUMIFS('Source 2025'!$J:$J,'Source 2025'!$B:$B,$A379,'Source 2025'!$A:$A,"Quantity (units)")+SUMIFS('Source 2025'!$M:$M,'Source 2025'!$B:$B,$A379,'Source 2025'!$A:$A,"Quantity (units)")</f>
        <v>2</v>
      </c>
      <c r="D379" s="8" t="n">
        <f aca="false">SUMIFS('Source 2026'!$D:$D,'Source 2026'!$B:$B,$A379,'Source 2026'!$A:$A,"Quantity (units)")+SUMIFS('Source 2026'!$E:$E,'Source 2026'!$B:$B,$A379,'Source 2026'!$A:$A,"Quantity (units)")+SUMIFS('Source 2026'!$F:$F,'Source 2026'!$B:$B,$A379,'Source 2026'!$A:$A,"Quantity (units)")+SUMIFS('Source 2026'!$G:$G,'Source 2026'!$B:$B,$A379,'Source 2026'!$A:$A,"Quantity (units)")+SUMIFS('Source 2026'!$J:$J,'Source 2026'!$B:$B,$A379,'Source 2026'!$A:$A,"Quantity (units)")+SUMIFS('Source 2026'!$M:$M,'Source 2026'!$B:$B,$A379,'Source 2026'!$A:$A,"Quantity (units)")</f>
        <v>4</v>
      </c>
      <c r="E379" s="8" t="n">
        <f aca="false">D379*$J$5</f>
        <v>5.48571428571429</v>
      </c>
      <c r="F379" s="8" t="n">
        <f aca="false">E379-C379</f>
        <v>3.48571428571429</v>
      </c>
      <c r="G379" s="9" t="n">
        <f aca="false">IF(AND(C379=0,E379=0),0,IF(C379=0,"New",(E379-C379)/C379))</f>
        <v>1.74285714285714</v>
      </c>
      <c r="H379" s="8" t="n">
        <f aca="false">SUMIFS('Source 2025'!$D:$D,'Source 2025'!$B:$B,$A379,'Source 2025'!$A:$A,"Amount (NIS)")+SUMIFS('Source 2025'!$E:$E,'Source 2025'!$B:$B,$A379,'Source 2025'!$A:$A,"Amount (NIS)")+SUMIFS('Source 2025'!$F:$F,'Source 2025'!$B:$B,$A379,'Source 2025'!$A:$A,"Amount (NIS)")+SUMIFS('Source 2025'!$G:$G,'Source 2025'!$B:$B,$A379,'Source 2025'!$A:$A,"Amount (NIS)")+SUMIFS('Source 2025'!$J:$J,'Source 2025'!$B:$B,$A379,'Source 2025'!$A:$A,"Amount (NIS)")+SUMIFS('Source 2025'!$M:$M,'Source 2025'!$B:$B,$A379,'Source 2025'!$A:$A,"Amount (NIS)")</f>
        <v>236.2</v>
      </c>
      <c r="I379" s="8" t="n">
        <f aca="false">SUMIFS('Source 2026'!$D:$D,'Source 2026'!$B:$B,$A379,'Source 2026'!$A:$A,"Amount (NIS)")+SUMIFS('Source 2026'!$E:$E,'Source 2026'!$B:$B,$A379,'Source 2026'!$A:$A,"Amount (NIS)")+SUMIFS('Source 2026'!$F:$F,'Source 2026'!$B:$B,$A379,'Source 2026'!$A:$A,"Amount (NIS)")+SUMIFS('Source 2026'!$G:$G,'Source 2026'!$B:$B,$A379,'Source 2026'!$A:$A,"Amount (NIS)")+SUMIFS('Source 2026'!$J:$J,'Source 2026'!$B:$B,$A379,'Source 2026'!$A:$A,"Amount (NIS)")+SUMIFS('Source 2026'!$M:$M,'Source 2026'!$B:$B,$A379,'Source 2026'!$A:$A,"Amount (NIS)")</f>
        <v>489.2</v>
      </c>
      <c r="J379" s="8" t="n">
        <f aca="false">I379*$J$5</f>
        <v>670.902857142857</v>
      </c>
      <c r="K379" s="8" t="n">
        <f aca="false">J379-H379</f>
        <v>434.702857142857</v>
      </c>
      <c r="L379" s="9" t="n">
        <f aca="false">IF(AND(H379=0,J379=0),0,IF(H379=0,"New",(J379-H379)/H379))</f>
        <v>1.84040159670981</v>
      </c>
    </row>
    <row r="380" customFormat="false" ht="15" hidden="false" customHeight="false" outlineLevel="0" collapsed="false">
      <c r="A380" s="7" t="n">
        <v>4408071</v>
      </c>
      <c r="B380" s="7" t="str">
        <f aca="false">IFERROR(INDEX('Source 2026'!$C:$C,MATCH($A380,'Source 2026'!$B:$B,0)),IFERROR(INDEX('Source 2025'!$C:$C,MATCH($A380,'Source 2025'!$B:$B,0)),""))</f>
        <v>59D L חגורת שבר דו צדדי</v>
      </c>
      <c r="C380" s="8" t="n">
        <f aca="false">SUMIFS('Source 2025'!$D:$D,'Source 2025'!$B:$B,$A380,'Source 2025'!$A:$A,"Quantity (units)")+SUMIFS('Source 2025'!$E:$E,'Source 2025'!$B:$B,$A380,'Source 2025'!$A:$A,"Quantity (units)")+SUMIFS('Source 2025'!$F:$F,'Source 2025'!$B:$B,$A380,'Source 2025'!$A:$A,"Quantity (units)")+SUMIFS('Source 2025'!$G:$G,'Source 2025'!$B:$B,$A380,'Source 2025'!$A:$A,"Quantity (units)")+SUMIFS('Source 2025'!$J:$J,'Source 2025'!$B:$B,$A380,'Source 2025'!$A:$A,"Quantity (units)")+SUMIFS('Source 2025'!$M:$M,'Source 2025'!$B:$B,$A380,'Source 2025'!$A:$A,"Quantity (units)")</f>
        <v>2</v>
      </c>
      <c r="D380" s="8" t="n">
        <f aca="false">SUMIFS('Source 2026'!$D:$D,'Source 2026'!$B:$B,$A380,'Source 2026'!$A:$A,"Quantity (units)")+SUMIFS('Source 2026'!$E:$E,'Source 2026'!$B:$B,$A380,'Source 2026'!$A:$A,"Quantity (units)")+SUMIFS('Source 2026'!$F:$F,'Source 2026'!$B:$B,$A380,'Source 2026'!$A:$A,"Quantity (units)")+SUMIFS('Source 2026'!$G:$G,'Source 2026'!$B:$B,$A380,'Source 2026'!$A:$A,"Quantity (units)")+SUMIFS('Source 2026'!$J:$J,'Source 2026'!$B:$B,$A380,'Source 2026'!$A:$A,"Quantity (units)")+SUMIFS('Source 2026'!$M:$M,'Source 2026'!$B:$B,$A380,'Source 2026'!$A:$A,"Quantity (units)")</f>
        <v>3</v>
      </c>
      <c r="E380" s="8" t="n">
        <f aca="false">D380*$J$5</f>
        <v>4.11428571428571</v>
      </c>
      <c r="F380" s="8" t="n">
        <f aca="false">E380-C380</f>
        <v>2.11428571428571</v>
      </c>
      <c r="G380" s="9" t="n">
        <f aca="false">IF(AND(C380=0,E380=0),0,IF(C380=0,"New",(E380-C380)/C380))</f>
        <v>1.05714285714286</v>
      </c>
      <c r="H380" s="8" t="n">
        <f aca="false">SUMIFS('Source 2025'!$D:$D,'Source 2025'!$B:$B,$A380,'Source 2025'!$A:$A,"Amount (NIS)")+SUMIFS('Source 2025'!$E:$E,'Source 2025'!$B:$B,$A380,'Source 2025'!$A:$A,"Amount (NIS)")+SUMIFS('Source 2025'!$F:$F,'Source 2025'!$B:$B,$A380,'Source 2025'!$A:$A,"Amount (NIS)")+SUMIFS('Source 2025'!$G:$G,'Source 2025'!$B:$B,$A380,'Source 2025'!$A:$A,"Amount (NIS)")+SUMIFS('Source 2025'!$J:$J,'Source 2025'!$B:$B,$A380,'Source 2025'!$A:$A,"Amount (NIS)")+SUMIFS('Source 2025'!$M:$M,'Source 2025'!$B:$B,$A380,'Source 2025'!$A:$A,"Amount (NIS)")</f>
        <v>628</v>
      </c>
      <c r="I380" s="8" t="n">
        <f aca="false">SUMIFS('Source 2026'!$D:$D,'Source 2026'!$B:$B,$A380,'Source 2026'!$A:$A,"Amount (NIS)")+SUMIFS('Source 2026'!$E:$E,'Source 2026'!$B:$B,$A380,'Source 2026'!$A:$A,"Amount (NIS)")+SUMIFS('Source 2026'!$F:$F,'Source 2026'!$B:$B,$A380,'Source 2026'!$A:$A,"Amount (NIS)")+SUMIFS('Source 2026'!$G:$G,'Source 2026'!$B:$B,$A380,'Source 2026'!$A:$A,"Amount (NIS)")+SUMIFS('Source 2026'!$J:$J,'Source 2026'!$B:$B,$A380,'Source 2026'!$A:$A,"Amount (NIS)")+SUMIFS('Source 2026'!$M:$M,'Source 2026'!$B:$B,$A380,'Source 2026'!$A:$A,"Amount (NIS)")</f>
        <v>879.2</v>
      </c>
      <c r="J380" s="8" t="n">
        <f aca="false">I380*$J$5</f>
        <v>1205.76</v>
      </c>
      <c r="K380" s="8" t="n">
        <f aca="false">J380-H380</f>
        <v>577.76</v>
      </c>
      <c r="L380" s="9" t="n">
        <f aca="false">IF(AND(H380=0,J380=0),0,IF(H380=0,"New",(J380-H380)/H380))</f>
        <v>0.92</v>
      </c>
    </row>
    <row r="381" customFormat="false" ht="15" hidden="false" customHeight="false" outlineLevel="0" collapsed="false">
      <c r="A381" s="7" t="n">
        <v>4408151</v>
      </c>
      <c r="B381" s="7" t="str">
        <f aca="false">IFERROR(INDEX('Source 2026'!$C:$C,MATCH($A381,'Source 2026'!$B:$B,0)),IFERROR(INDEX('Source 2025'!$C:$C,MATCH($A381,'Source 2025'!$B:$B,0)),""))</f>
        <v>11TO M חגורה למנותחי בית החזה</v>
      </c>
      <c r="C381" s="8" t="n">
        <f aca="false">SUMIFS('Source 2025'!$D:$D,'Source 2025'!$B:$B,$A381,'Source 2025'!$A:$A,"Quantity (units)")+SUMIFS('Source 2025'!$E:$E,'Source 2025'!$B:$B,$A381,'Source 2025'!$A:$A,"Quantity (units)")+SUMIFS('Source 2025'!$F:$F,'Source 2025'!$B:$B,$A381,'Source 2025'!$A:$A,"Quantity (units)")+SUMIFS('Source 2025'!$G:$G,'Source 2025'!$B:$B,$A381,'Source 2025'!$A:$A,"Quantity (units)")+SUMIFS('Source 2025'!$J:$J,'Source 2025'!$B:$B,$A381,'Source 2025'!$A:$A,"Quantity (units)")+SUMIFS('Source 2025'!$M:$M,'Source 2025'!$B:$B,$A381,'Source 2025'!$A:$A,"Quantity (units)")</f>
        <v>2</v>
      </c>
      <c r="D381" s="8" t="n">
        <f aca="false">SUMIFS('Source 2026'!$D:$D,'Source 2026'!$B:$B,$A381,'Source 2026'!$A:$A,"Quantity (units)")+SUMIFS('Source 2026'!$E:$E,'Source 2026'!$B:$B,$A381,'Source 2026'!$A:$A,"Quantity (units)")+SUMIFS('Source 2026'!$F:$F,'Source 2026'!$B:$B,$A381,'Source 2026'!$A:$A,"Quantity (units)")+SUMIFS('Source 2026'!$G:$G,'Source 2026'!$B:$B,$A381,'Source 2026'!$A:$A,"Quantity (units)")+SUMIFS('Source 2026'!$J:$J,'Source 2026'!$B:$B,$A381,'Source 2026'!$A:$A,"Quantity (units)")+SUMIFS('Source 2026'!$M:$M,'Source 2026'!$B:$B,$A381,'Source 2026'!$A:$A,"Quantity (units)")</f>
        <v>0</v>
      </c>
      <c r="E381" s="8" t="n">
        <f aca="false">D381*$J$5</f>
        <v>0</v>
      </c>
      <c r="F381" s="8" t="n">
        <f aca="false">E381-C381</f>
        <v>-2</v>
      </c>
      <c r="G381" s="9" t="n">
        <f aca="false">IF(AND(C381=0,E381=0),0,IF(C381=0,"New",(E381-C381)/C381))</f>
        <v>-1</v>
      </c>
      <c r="H381" s="8" t="n">
        <f aca="false">SUMIFS('Source 2025'!$D:$D,'Source 2025'!$B:$B,$A381,'Source 2025'!$A:$A,"Amount (NIS)")+SUMIFS('Source 2025'!$E:$E,'Source 2025'!$B:$B,$A381,'Source 2025'!$A:$A,"Amount (NIS)")+SUMIFS('Source 2025'!$F:$F,'Source 2025'!$B:$B,$A381,'Source 2025'!$A:$A,"Amount (NIS)")+SUMIFS('Source 2025'!$G:$G,'Source 2025'!$B:$B,$A381,'Source 2025'!$A:$A,"Amount (NIS)")+SUMIFS('Source 2025'!$J:$J,'Source 2025'!$B:$B,$A381,'Source 2025'!$A:$A,"Amount (NIS)")+SUMIFS('Source 2025'!$M:$M,'Source 2025'!$B:$B,$A381,'Source 2025'!$A:$A,"Amount (NIS)")</f>
        <v>282.6</v>
      </c>
      <c r="I381" s="8" t="n">
        <f aca="false">SUMIFS('Source 2026'!$D:$D,'Source 2026'!$B:$B,$A381,'Source 2026'!$A:$A,"Amount (NIS)")+SUMIFS('Source 2026'!$E:$E,'Source 2026'!$B:$B,$A381,'Source 2026'!$A:$A,"Amount (NIS)")+SUMIFS('Source 2026'!$F:$F,'Source 2026'!$B:$B,$A381,'Source 2026'!$A:$A,"Amount (NIS)")+SUMIFS('Source 2026'!$G:$G,'Source 2026'!$B:$B,$A381,'Source 2026'!$A:$A,"Amount (NIS)")+SUMIFS('Source 2026'!$J:$J,'Source 2026'!$B:$B,$A381,'Source 2026'!$A:$A,"Amount (NIS)")+SUMIFS('Source 2026'!$M:$M,'Source 2026'!$B:$B,$A381,'Source 2026'!$A:$A,"Amount (NIS)")</f>
        <v>31.4</v>
      </c>
      <c r="J381" s="8" t="n">
        <f aca="false">I381*$J$5</f>
        <v>43.0628571428571</v>
      </c>
      <c r="K381" s="8" t="n">
        <f aca="false">J381-H381</f>
        <v>-239.537142857143</v>
      </c>
      <c r="L381" s="9" t="n">
        <f aca="false">IF(AND(H381=0,J381=0),0,IF(H381=0,"New",(J381-H381)/H381))</f>
        <v>-0.847619047619048</v>
      </c>
    </row>
    <row r="382" customFormat="false" ht="15" hidden="false" customHeight="false" outlineLevel="0" collapsed="false">
      <c r="A382" s="7" t="n">
        <v>4408041</v>
      </c>
      <c r="B382" s="7" t="str">
        <f aca="false">IFERROR(INDEX('Source 2026'!$C:$C,MATCH($A382,'Source 2026'!$B:$B,0)),IFERROR(INDEX('Source 2025'!$C:$C,MATCH($A382,'Source 2025'!$B:$B,0)),""))</f>
        <v>18 S ח.הריון מכנס למניעת כאבים</v>
      </c>
      <c r="C382" s="8" t="n">
        <f aca="false">SUMIFS('Source 2025'!$D:$D,'Source 2025'!$B:$B,$A382,'Source 2025'!$A:$A,"Quantity (units)")+SUMIFS('Source 2025'!$E:$E,'Source 2025'!$B:$B,$A382,'Source 2025'!$A:$A,"Quantity (units)")+SUMIFS('Source 2025'!$F:$F,'Source 2025'!$B:$B,$A382,'Source 2025'!$A:$A,"Quantity (units)")+SUMIFS('Source 2025'!$G:$G,'Source 2025'!$B:$B,$A382,'Source 2025'!$A:$A,"Quantity (units)")+SUMIFS('Source 2025'!$J:$J,'Source 2025'!$B:$B,$A382,'Source 2025'!$A:$A,"Quantity (units)")+SUMIFS('Source 2025'!$M:$M,'Source 2025'!$B:$B,$A382,'Source 2025'!$A:$A,"Quantity (units)")</f>
        <v>0</v>
      </c>
      <c r="D382" s="8" t="n">
        <f aca="false">SUMIFS('Source 2026'!$D:$D,'Source 2026'!$B:$B,$A382,'Source 2026'!$A:$A,"Quantity (units)")+SUMIFS('Source 2026'!$E:$E,'Source 2026'!$B:$B,$A382,'Source 2026'!$A:$A,"Quantity (units)")+SUMIFS('Source 2026'!$F:$F,'Source 2026'!$B:$B,$A382,'Source 2026'!$A:$A,"Quantity (units)")+SUMIFS('Source 2026'!$G:$G,'Source 2026'!$B:$B,$A382,'Source 2026'!$A:$A,"Quantity (units)")+SUMIFS('Source 2026'!$J:$J,'Source 2026'!$B:$B,$A382,'Source 2026'!$A:$A,"Quantity (units)")+SUMIFS('Source 2026'!$M:$M,'Source 2026'!$B:$B,$A382,'Source 2026'!$A:$A,"Quantity (units)")</f>
        <v>-1</v>
      </c>
      <c r="E382" s="8" t="n">
        <f aca="false">D382*$J$5</f>
        <v>-1.37142857142857</v>
      </c>
      <c r="F382" s="8" t="n">
        <f aca="false">E382-C382</f>
        <v>-1.37142857142857</v>
      </c>
      <c r="G382" s="9" t="str">
        <f aca="false">IF(AND(C382=0,E382=0),0,IF(C382=0,"New",(E382-C382)/C382))</f>
        <v>New</v>
      </c>
      <c r="H382" s="8" t="n">
        <f aca="false">SUMIFS('Source 2025'!$D:$D,'Source 2025'!$B:$B,$A382,'Source 2025'!$A:$A,"Amount (NIS)")+SUMIFS('Source 2025'!$E:$E,'Source 2025'!$B:$B,$A382,'Source 2025'!$A:$A,"Amount (NIS)")+SUMIFS('Source 2025'!$F:$F,'Source 2025'!$B:$B,$A382,'Source 2025'!$A:$A,"Amount (NIS)")+SUMIFS('Source 2025'!$G:$G,'Source 2025'!$B:$B,$A382,'Source 2025'!$A:$A,"Amount (NIS)")+SUMIFS('Source 2025'!$J:$J,'Source 2025'!$B:$B,$A382,'Source 2025'!$A:$A,"Amount (NIS)")+SUMIFS('Source 2025'!$M:$M,'Source 2025'!$B:$B,$A382,'Source 2025'!$A:$A,"Amount (NIS)")</f>
        <v>0</v>
      </c>
      <c r="I382" s="8" t="n">
        <f aca="false">SUMIFS('Source 2026'!$D:$D,'Source 2026'!$B:$B,$A382,'Source 2026'!$A:$A,"Amount (NIS)")+SUMIFS('Source 2026'!$E:$E,'Source 2026'!$B:$B,$A382,'Source 2026'!$A:$A,"Amount (NIS)")+SUMIFS('Source 2026'!$F:$F,'Source 2026'!$B:$B,$A382,'Source 2026'!$A:$A,"Amount (NIS)")+SUMIFS('Source 2026'!$G:$G,'Source 2026'!$B:$B,$A382,'Source 2026'!$A:$A,"Amount (NIS)")+SUMIFS('Source 2026'!$J:$J,'Source 2026'!$B:$B,$A382,'Source 2026'!$A:$A,"Amount (NIS)")+SUMIFS('Source 2026'!$M:$M,'Source 2026'!$B:$B,$A382,'Source 2026'!$A:$A,"Amount (NIS)")</f>
        <v>-247.5</v>
      </c>
      <c r="J382" s="8" t="n">
        <f aca="false">I382*$J$5</f>
        <v>-339.428571428571</v>
      </c>
      <c r="K382" s="8" t="n">
        <f aca="false">J382-H382</f>
        <v>-339.428571428571</v>
      </c>
      <c r="L382" s="9" t="str">
        <f aca="false">IF(AND(H382=0,J382=0),0,IF(H382=0,"New",(J382-H382)/H382))</f>
        <v>New</v>
      </c>
    </row>
    <row r="383" customFormat="false" ht="15" hidden="false" customHeight="false" outlineLevel="0" collapsed="false">
      <c r="A383" s="7" t="n">
        <v>4408043</v>
      </c>
      <c r="B383" s="7" t="str">
        <f aca="false">IFERROR(INDEX('Source 2026'!$C:$C,MATCH($A383,'Source 2026'!$B:$B,0)),IFERROR(INDEX('Source 2025'!$C:$C,MATCH($A383,'Source 2025'!$B:$B,0)),""))</f>
        <v>18 M ח.הריון מכנס למניעת כאבים</v>
      </c>
      <c r="C383" s="8" t="n">
        <f aca="false">SUMIFS('Source 2025'!$D:$D,'Source 2025'!$B:$B,$A383,'Source 2025'!$A:$A,"Quantity (units)")+SUMIFS('Source 2025'!$E:$E,'Source 2025'!$B:$B,$A383,'Source 2025'!$A:$A,"Quantity (units)")+SUMIFS('Source 2025'!$F:$F,'Source 2025'!$B:$B,$A383,'Source 2025'!$A:$A,"Quantity (units)")+SUMIFS('Source 2025'!$G:$G,'Source 2025'!$B:$B,$A383,'Source 2025'!$A:$A,"Quantity (units)")+SUMIFS('Source 2025'!$J:$J,'Source 2025'!$B:$B,$A383,'Source 2025'!$A:$A,"Quantity (units)")+SUMIFS('Source 2025'!$M:$M,'Source 2025'!$B:$B,$A383,'Source 2025'!$A:$A,"Quantity (units)")</f>
        <v>0</v>
      </c>
      <c r="D383" s="8" t="n">
        <f aca="false">SUMIFS('Source 2026'!$D:$D,'Source 2026'!$B:$B,$A383,'Source 2026'!$A:$A,"Quantity (units)")+SUMIFS('Source 2026'!$E:$E,'Source 2026'!$B:$B,$A383,'Source 2026'!$A:$A,"Quantity (units)")+SUMIFS('Source 2026'!$F:$F,'Source 2026'!$B:$B,$A383,'Source 2026'!$A:$A,"Quantity (units)")+SUMIFS('Source 2026'!$G:$G,'Source 2026'!$B:$B,$A383,'Source 2026'!$A:$A,"Quantity (units)")+SUMIFS('Source 2026'!$J:$J,'Source 2026'!$B:$B,$A383,'Source 2026'!$A:$A,"Quantity (units)")+SUMIFS('Source 2026'!$M:$M,'Source 2026'!$B:$B,$A383,'Source 2026'!$A:$A,"Quantity (units)")</f>
        <v>-1</v>
      </c>
      <c r="E383" s="8" t="n">
        <f aca="false">D383*$J$5</f>
        <v>-1.37142857142857</v>
      </c>
      <c r="F383" s="8" t="n">
        <f aca="false">E383-C383</f>
        <v>-1.37142857142857</v>
      </c>
      <c r="G383" s="9" t="str">
        <f aca="false">IF(AND(C383=0,E383=0),0,IF(C383=0,"New",(E383-C383)/C383))</f>
        <v>New</v>
      </c>
      <c r="H383" s="8" t="n">
        <f aca="false">SUMIFS('Source 2025'!$D:$D,'Source 2025'!$B:$B,$A383,'Source 2025'!$A:$A,"Amount (NIS)")+SUMIFS('Source 2025'!$E:$E,'Source 2025'!$B:$B,$A383,'Source 2025'!$A:$A,"Amount (NIS)")+SUMIFS('Source 2025'!$F:$F,'Source 2025'!$B:$B,$A383,'Source 2025'!$A:$A,"Amount (NIS)")+SUMIFS('Source 2025'!$G:$G,'Source 2025'!$B:$B,$A383,'Source 2025'!$A:$A,"Amount (NIS)")+SUMIFS('Source 2025'!$J:$J,'Source 2025'!$B:$B,$A383,'Source 2025'!$A:$A,"Amount (NIS)")+SUMIFS('Source 2025'!$M:$M,'Source 2025'!$B:$B,$A383,'Source 2025'!$A:$A,"Amount (NIS)")</f>
        <v>0</v>
      </c>
      <c r="I383" s="8" t="n">
        <f aca="false">SUMIFS('Source 2026'!$D:$D,'Source 2026'!$B:$B,$A383,'Source 2026'!$A:$A,"Amount (NIS)")+SUMIFS('Source 2026'!$E:$E,'Source 2026'!$B:$B,$A383,'Source 2026'!$A:$A,"Amount (NIS)")+SUMIFS('Source 2026'!$F:$F,'Source 2026'!$B:$B,$A383,'Source 2026'!$A:$A,"Amount (NIS)")+SUMIFS('Source 2026'!$G:$G,'Source 2026'!$B:$B,$A383,'Source 2026'!$A:$A,"Amount (NIS)")+SUMIFS('Source 2026'!$J:$J,'Source 2026'!$B:$B,$A383,'Source 2026'!$A:$A,"Amount (NIS)")+SUMIFS('Source 2026'!$M:$M,'Source 2026'!$B:$B,$A383,'Source 2026'!$A:$A,"Amount (NIS)")</f>
        <v>-247.5</v>
      </c>
      <c r="J383" s="8" t="n">
        <f aca="false">I383*$J$5</f>
        <v>-339.428571428571</v>
      </c>
      <c r="K383" s="8" t="n">
        <f aca="false">J383-H383</f>
        <v>-339.428571428571</v>
      </c>
      <c r="L383" s="9" t="str">
        <f aca="false">IF(AND(H383=0,J383=0),0,IF(H383=0,"New",(J383-H383)/H383))</f>
        <v>New</v>
      </c>
    </row>
    <row r="384" customFormat="false" ht="15" hidden="false" customHeight="false" outlineLevel="0" collapsed="false">
      <c r="A384" s="7" t="n">
        <v>4408044</v>
      </c>
      <c r="B384" s="7" t="str">
        <f aca="false">IFERROR(INDEX('Source 2026'!$C:$C,MATCH($A384,'Source 2026'!$B:$B,0)),IFERROR(INDEX('Source 2025'!$C:$C,MATCH($A384,'Source 2025'!$B:$B,0)),""))</f>
        <v>18  XL.ח.הריון מכנס למניעת כאב</v>
      </c>
      <c r="C384" s="8" t="n">
        <f aca="false">SUMIFS('Source 2025'!$D:$D,'Source 2025'!$B:$B,$A384,'Source 2025'!$A:$A,"Quantity (units)")+SUMIFS('Source 2025'!$E:$E,'Source 2025'!$B:$B,$A384,'Source 2025'!$A:$A,"Quantity (units)")+SUMIFS('Source 2025'!$F:$F,'Source 2025'!$B:$B,$A384,'Source 2025'!$A:$A,"Quantity (units)")+SUMIFS('Source 2025'!$G:$G,'Source 2025'!$B:$B,$A384,'Source 2025'!$A:$A,"Quantity (units)")+SUMIFS('Source 2025'!$J:$J,'Source 2025'!$B:$B,$A384,'Source 2025'!$A:$A,"Quantity (units)")+SUMIFS('Source 2025'!$M:$M,'Source 2025'!$B:$B,$A384,'Source 2025'!$A:$A,"Quantity (units)")</f>
        <v>0</v>
      </c>
      <c r="D384" s="8" t="n">
        <f aca="false">SUMIFS('Source 2026'!$D:$D,'Source 2026'!$B:$B,$A384,'Source 2026'!$A:$A,"Quantity (units)")+SUMIFS('Source 2026'!$E:$E,'Source 2026'!$B:$B,$A384,'Source 2026'!$A:$A,"Quantity (units)")+SUMIFS('Source 2026'!$F:$F,'Source 2026'!$B:$B,$A384,'Source 2026'!$A:$A,"Quantity (units)")+SUMIFS('Source 2026'!$G:$G,'Source 2026'!$B:$B,$A384,'Source 2026'!$A:$A,"Quantity (units)")+SUMIFS('Source 2026'!$J:$J,'Source 2026'!$B:$B,$A384,'Source 2026'!$A:$A,"Quantity (units)")+SUMIFS('Source 2026'!$M:$M,'Source 2026'!$B:$B,$A384,'Source 2026'!$A:$A,"Quantity (units)")</f>
        <v>-1</v>
      </c>
      <c r="E384" s="8" t="n">
        <f aca="false">D384*$J$5</f>
        <v>-1.37142857142857</v>
      </c>
      <c r="F384" s="8" t="n">
        <f aca="false">E384-C384</f>
        <v>-1.37142857142857</v>
      </c>
      <c r="G384" s="9" t="str">
        <f aca="false">IF(AND(C384=0,E384=0),0,IF(C384=0,"New",(E384-C384)/C384))</f>
        <v>New</v>
      </c>
      <c r="H384" s="8" t="n">
        <f aca="false">SUMIFS('Source 2025'!$D:$D,'Source 2025'!$B:$B,$A384,'Source 2025'!$A:$A,"Amount (NIS)")+SUMIFS('Source 2025'!$E:$E,'Source 2025'!$B:$B,$A384,'Source 2025'!$A:$A,"Amount (NIS)")+SUMIFS('Source 2025'!$F:$F,'Source 2025'!$B:$B,$A384,'Source 2025'!$A:$A,"Amount (NIS)")+SUMIFS('Source 2025'!$G:$G,'Source 2025'!$B:$B,$A384,'Source 2025'!$A:$A,"Amount (NIS)")+SUMIFS('Source 2025'!$J:$J,'Source 2025'!$B:$B,$A384,'Source 2025'!$A:$A,"Amount (NIS)")+SUMIFS('Source 2025'!$M:$M,'Source 2025'!$B:$B,$A384,'Source 2025'!$A:$A,"Amount (NIS)")</f>
        <v>0</v>
      </c>
      <c r="I384" s="8" t="n">
        <f aca="false">SUMIFS('Source 2026'!$D:$D,'Source 2026'!$B:$B,$A384,'Source 2026'!$A:$A,"Amount (NIS)")+SUMIFS('Source 2026'!$E:$E,'Source 2026'!$B:$B,$A384,'Source 2026'!$A:$A,"Amount (NIS)")+SUMIFS('Source 2026'!$F:$F,'Source 2026'!$B:$B,$A384,'Source 2026'!$A:$A,"Amount (NIS)")+SUMIFS('Source 2026'!$G:$G,'Source 2026'!$B:$B,$A384,'Source 2026'!$A:$A,"Amount (NIS)")+SUMIFS('Source 2026'!$J:$J,'Source 2026'!$B:$B,$A384,'Source 2026'!$A:$A,"Amount (NIS)")+SUMIFS('Source 2026'!$M:$M,'Source 2026'!$B:$B,$A384,'Source 2026'!$A:$A,"Amount (NIS)")</f>
        <v>-247.5</v>
      </c>
      <c r="J384" s="8" t="n">
        <f aca="false">I384*$J$5</f>
        <v>-339.428571428571</v>
      </c>
      <c r="K384" s="8" t="n">
        <f aca="false">J384-H384</f>
        <v>-339.428571428571</v>
      </c>
      <c r="L384" s="9" t="str">
        <f aca="false">IF(AND(H384=0,J384=0),0,IF(H384=0,"New",(J384-H384)/H384))</f>
        <v>New</v>
      </c>
    </row>
    <row r="385" customFormat="false" ht="15" hidden="false" customHeight="false" outlineLevel="0" collapsed="false">
      <c r="A385" s="7" t="n">
        <v>4420010</v>
      </c>
      <c r="B385" s="7" t="str">
        <f aca="false">IFERROR(INDEX('Source 2026'!$C:$C,MATCH($A385,'Source 2026'!$B:$B,0)),IFERROR(INDEX('Source 2025'!$C:$C,MATCH($A385,'Source 2025'!$B:$B,0)),""))</f>
        <v>377  רפידה אורטופ.ספורט זוג41</v>
      </c>
      <c r="C385" s="8" t="n">
        <f aca="false">SUMIFS('Source 2025'!$D:$D,'Source 2025'!$B:$B,$A385,'Source 2025'!$A:$A,"Quantity (units)")+SUMIFS('Source 2025'!$E:$E,'Source 2025'!$B:$B,$A385,'Source 2025'!$A:$A,"Quantity (units)")+SUMIFS('Source 2025'!$F:$F,'Source 2025'!$B:$B,$A385,'Source 2025'!$A:$A,"Quantity (units)")+SUMIFS('Source 2025'!$G:$G,'Source 2025'!$B:$B,$A385,'Source 2025'!$A:$A,"Quantity (units)")+SUMIFS('Source 2025'!$J:$J,'Source 2025'!$B:$B,$A385,'Source 2025'!$A:$A,"Quantity (units)")+SUMIFS('Source 2025'!$M:$M,'Source 2025'!$B:$B,$A385,'Source 2025'!$A:$A,"Quantity (units)")</f>
        <v>6</v>
      </c>
      <c r="D385" s="8" t="n">
        <f aca="false">SUMIFS('Source 2026'!$D:$D,'Source 2026'!$B:$B,$A385,'Source 2026'!$A:$A,"Quantity (units)")+SUMIFS('Source 2026'!$E:$E,'Source 2026'!$B:$B,$A385,'Source 2026'!$A:$A,"Quantity (units)")+SUMIFS('Source 2026'!$F:$F,'Source 2026'!$B:$B,$A385,'Source 2026'!$A:$A,"Quantity (units)")+SUMIFS('Source 2026'!$G:$G,'Source 2026'!$B:$B,$A385,'Source 2026'!$A:$A,"Quantity (units)")+SUMIFS('Source 2026'!$J:$J,'Source 2026'!$B:$B,$A385,'Source 2026'!$A:$A,"Quantity (units)")+SUMIFS('Source 2026'!$M:$M,'Source 2026'!$B:$B,$A385,'Source 2026'!$A:$A,"Quantity (units)")</f>
        <v>0</v>
      </c>
      <c r="E385" s="8" t="n">
        <f aca="false">D385*$J$5</f>
        <v>0</v>
      </c>
      <c r="F385" s="8" t="n">
        <f aca="false">E385-C385</f>
        <v>-6</v>
      </c>
      <c r="G385" s="9" t="n">
        <f aca="false">IF(AND(C385=0,E385=0),0,IF(C385=0,"New",(E385-C385)/C385))</f>
        <v>-1</v>
      </c>
      <c r="H385" s="8" t="n">
        <f aca="false">SUMIFS('Source 2025'!$D:$D,'Source 2025'!$B:$B,$A385,'Source 2025'!$A:$A,"Amount (NIS)")+SUMIFS('Source 2025'!$E:$E,'Source 2025'!$B:$B,$A385,'Source 2025'!$A:$A,"Amount (NIS)")+SUMIFS('Source 2025'!$F:$F,'Source 2025'!$B:$B,$A385,'Source 2025'!$A:$A,"Amount (NIS)")+SUMIFS('Source 2025'!$G:$G,'Source 2025'!$B:$B,$A385,'Source 2025'!$A:$A,"Amount (NIS)")+SUMIFS('Source 2025'!$J:$J,'Source 2025'!$B:$B,$A385,'Source 2025'!$A:$A,"Amount (NIS)")+SUMIFS('Source 2025'!$M:$M,'Source 2025'!$B:$B,$A385,'Source 2025'!$A:$A,"Amount (NIS)")</f>
        <v>247.1</v>
      </c>
      <c r="I385" s="8" t="n">
        <f aca="false">SUMIFS('Source 2026'!$D:$D,'Source 2026'!$B:$B,$A385,'Source 2026'!$A:$A,"Amount (NIS)")+SUMIFS('Source 2026'!$E:$E,'Source 2026'!$B:$B,$A385,'Source 2026'!$A:$A,"Amount (NIS)")+SUMIFS('Source 2026'!$F:$F,'Source 2026'!$B:$B,$A385,'Source 2026'!$A:$A,"Amount (NIS)")+SUMIFS('Source 2026'!$G:$G,'Source 2026'!$B:$B,$A385,'Source 2026'!$A:$A,"Amount (NIS)")+SUMIFS('Source 2026'!$J:$J,'Source 2026'!$B:$B,$A385,'Source 2026'!$A:$A,"Amount (NIS)")+SUMIFS('Source 2026'!$M:$M,'Source 2026'!$B:$B,$A385,'Source 2026'!$A:$A,"Amount (NIS)")</f>
        <v>0</v>
      </c>
      <c r="J385" s="8" t="n">
        <f aca="false">I385*$J$5</f>
        <v>0</v>
      </c>
      <c r="K385" s="8" t="n">
        <f aca="false">J385-H385</f>
        <v>-247.1</v>
      </c>
      <c r="L385" s="9" t="n">
        <f aca="false">IF(AND(H385=0,J385=0),0,IF(H385=0,"New",(J385-H385)/H385))</f>
        <v>-1</v>
      </c>
    </row>
    <row r="386" customFormat="false" ht="15" hidden="false" customHeight="false" outlineLevel="0" collapsed="false">
      <c r="A386" s="7" t="n">
        <v>4413415</v>
      </c>
      <c r="B386" s="7" t="str">
        <f aca="false">IFERROR(INDEX('Source 2026'!$C:$C,MATCH($A386,'Source 2026'!$B:$B,0)),IFERROR(INDEX('Source 2025'!$C:$C,MATCH($A386,'Source 2025'!$B:$B,0)),""))</f>
        <v>SC39  S מגן שוק</v>
      </c>
      <c r="C386" s="8" t="n">
        <f aca="false">SUMIFS('Source 2025'!$D:$D,'Source 2025'!$B:$B,$A386,'Source 2025'!$A:$A,"Quantity (units)")+SUMIFS('Source 2025'!$E:$E,'Source 2025'!$B:$B,$A386,'Source 2025'!$A:$A,"Quantity (units)")+SUMIFS('Source 2025'!$F:$F,'Source 2025'!$B:$B,$A386,'Source 2025'!$A:$A,"Quantity (units)")+SUMIFS('Source 2025'!$G:$G,'Source 2025'!$B:$B,$A386,'Source 2025'!$A:$A,"Quantity (units)")+SUMIFS('Source 2025'!$J:$J,'Source 2025'!$B:$B,$A386,'Source 2025'!$A:$A,"Quantity (units)")+SUMIFS('Source 2025'!$M:$M,'Source 2025'!$B:$B,$A386,'Source 2025'!$A:$A,"Quantity (units)")</f>
        <v>3</v>
      </c>
      <c r="D386" s="8" t="n">
        <f aca="false">SUMIFS('Source 2026'!$D:$D,'Source 2026'!$B:$B,$A386,'Source 2026'!$A:$A,"Quantity (units)")+SUMIFS('Source 2026'!$E:$E,'Source 2026'!$B:$B,$A386,'Source 2026'!$A:$A,"Quantity (units)")+SUMIFS('Source 2026'!$F:$F,'Source 2026'!$B:$B,$A386,'Source 2026'!$A:$A,"Quantity (units)")+SUMIFS('Source 2026'!$G:$G,'Source 2026'!$B:$B,$A386,'Source 2026'!$A:$A,"Quantity (units)")+SUMIFS('Source 2026'!$J:$J,'Source 2026'!$B:$B,$A386,'Source 2026'!$A:$A,"Quantity (units)")+SUMIFS('Source 2026'!$M:$M,'Source 2026'!$B:$B,$A386,'Source 2026'!$A:$A,"Quantity (units)")</f>
        <v>4</v>
      </c>
      <c r="E386" s="8" t="n">
        <f aca="false">D386*$J$5</f>
        <v>5.48571428571429</v>
      </c>
      <c r="F386" s="8" t="n">
        <f aca="false">E386-C386</f>
        <v>2.48571428571429</v>
      </c>
      <c r="G386" s="9" t="n">
        <f aca="false">IF(AND(C386=0,E386=0),0,IF(C386=0,"New",(E386-C386)/C386))</f>
        <v>0.828571428571429</v>
      </c>
      <c r="H386" s="8" t="n">
        <f aca="false">SUMIFS('Source 2025'!$D:$D,'Source 2025'!$B:$B,$A386,'Source 2025'!$A:$A,"Amount (NIS)")+SUMIFS('Source 2025'!$E:$E,'Source 2025'!$B:$B,$A386,'Source 2025'!$A:$A,"Amount (NIS)")+SUMIFS('Source 2025'!$F:$F,'Source 2025'!$B:$B,$A386,'Source 2025'!$A:$A,"Amount (NIS)")+SUMIFS('Source 2025'!$G:$G,'Source 2025'!$B:$B,$A386,'Source 2025'!$A:$A,"Amount (NIS)")+SUMIFS('Source 2025'!$J:$J,'Source 2025'!$B:$B,$A386,'Source 2025'!$A:$A,"Amount (NIS)")+SUMIFS('Source 2025'!$M:$M,'Source 2025'!$B:$B,$A386,'Source 2025'!$A:$A,"Amount (NIS)")</f>
        <v>413.3</v>
      </c>
      <c r="I386" s="8" t="n">
        <f aca="false">SUMIFS('Source 2026'!$D:$D,'Source 2026'!$B:$B,$A386,'Source 2026'!$A:$A,"Amount (NIS)")+SUMIFS('Source 2026'!$E:$E,'Source 2026'!$B:$B,$A386,'Source 2026'!$A:$A,"Amount (NIS)")+SUMIFS('Source 2026'!$F:$F,'Source 2026'!$B:$B,$A386,'Source 2026'!$A:$A,"Amount (NIS)")+SUMIFS('Source 2026'!$G:$G,'Source 2026'!$B:$B,$A386,'Source 2026'!$A:$A,"Amount (NIS)")+SUMIFS('Source 2026'!$J:$J,'Source 2026'!$B:$B,$A386,'Source 2026'!$A:$A,"Amount (NIS)")+SUMIFS('Source 2026'!$M:$M,'Source 2026'!$B:$B,$A386,'Source 2026'!$A:$A,"Amount (NIS)")</f>
        <v>656.1</v>
      </c>
      <c r="J386" s="8" t="n">
        <f aca="false">I386*$J$5</f>
        <v>899.794285714286</v>
      </c>
      <c r="K386" s="8" t="n">
        <f aca="false">J386-H386</f>
        <v>486.494285714286</v>
      </c>
      <c r="L386" s="9" t="n">
        <f aca="false">IF(AND(H386=0,J386=0),0,IF(H386=0,"New",(J386-H386)/H386))</f>
        <v>1.17709723134354</v>
      </c>
    </row>
    <row r="387" customFormat="false" ht="15" hidden="false" customHeight="false" outlineLevel="0" collapsed="false">
      <c r="A387" s="7" t="n">
        <v>4413324</v>
      </c>
      <c r="B387" s="7" t="str">
        <f aca="false">IFERROR(INDEX('Source 2026'!$C:$C,MATCH($A387,'Source 2026'!$B:$B,0)),IFERROR(INDEX('Source 2025'!$C:$C,MATCH($A387,'Source 2025'!$B:$B,0)),""))</f>
        <v>35 XS מגן קרסול לבן</v>
      </c>
      <c r="C387" s="8" t="n">
        <f aca="false">SUMIFS('Source 2025'!$D:$D,'Source 2025'!$B:$B,$A387,'Source 2025'!$A:$A,"Quantity (units)")+SUMIFS('Source 2025'!$E:$E,'Source 2025'!$B:$B,$A387,'Source 2025'!$A:$A,"Quantity (units)")+SUMIFS('Source 2025'!$F:$F,'Source 2025'!$B:$B,$A387,'Source 2025'!$A:$A,"Quantity (units)")+SUMIFS('Source 2025'!$G:$G,'Source 2025'!$B:$B,$A387,'Source 2025'!$A:$A,"Quantity (units)")+SUMIFS('Source 2025'!$J:$J,'Source 2025'!$B:$B,$A387,'Source 2025'!$A:$A,"Quantity (units)")+SUMIFS('Source 2025'!$M:$M,'Source 2025'!$B:$B,$A387,'Source 2025'!$A:$A,"Quantity (units)")</f>
        <v>8</v>
      </c>
      <c r="D387" s="8" t="n">
        <f aca="false">SUMIFS('Source 2026'!$D:$D,'Source 2026'!$B:$B,$A387,'Source 2026'!$A:$A,"Quantity (units)")+SUMIFS('Source 2026'!$E:$E,'Source 2026'!$B:$B,$A387,'Source 2026'!$A:$A,"Quantity (units)")+SUMIFS('Source 2026'!$F:$F,'Source 2026'!$B:$B,$A387,'Source 2026'!$A:$A,"Quantity (units)")+SUMIFS('Source 2026'!$G:$G,'Source 2026'!$B:$B,$A387,'Source 2026'!$A:$A,"Quantity (units)")+SUMIFS('Source 2026'!$J:$J,'Source 2026'!$B:$B,$A387,'Source 2026'!$A:$A,"Quantity (units)")+SUMIFS('Source 2026'!$M:$M,'Source 2026'!$B:$B,$A387,'Source 2026'!$A:$A,"Quantity (units)")</f>
        <v>0</v>
      </c>
      <c r="E387" s="8" t="n">
        <f aca="false">D387*$J$5</f>
        <v>0</v>
      </c>
      <c r="F387" s="8" t="n">
        <f aca="false">E387-C387</f>
        <v>-8</v>
      </c>
      <c r="G387" s="9" t="n">
        <f aca="false">IF(AND(C387=0,E387=0),0,IF(C387=0,"New",(E387-C387)/C387))</f>
        <v>-1</v>
      </c>
      <c r="H387" s="8" t="n">
        <f aca="false">SUMIFS('Source 2025'!$D:$D,'Source 2025'!$B:$B,$A387,'Source 2025'!$A:$A,"Amount (NIS)")+SUMIFS('Source 2025'!$E:$E,'Source 2025'!$B:$B,$A387,'Source 2025'!$A:$A,"Amount (NIS)")+SUMIFS('Source 2025'!$F:$F,'Source 2025'!$B:$B,$A387,'Source 2025'!$A:$A,"Amount (NIS)")+SUMIFS('Source 2025'!$G:$G,'Source 2025'!$B:$B,$A387,'Source 2025'!$A:$A,"Amount (NIS)")+SUMIFS('Source 2025'!$J:$J,'Source 2025'!$B:$B,$A387,'Source 2025'!$A:$A,"Amount (NIS)")+SUMIFS('Source 2025'!$M:$M,'Source 2025'!$B:$B,$A387,'Source 2025'!$A:$A,"Amount (NIS)")</f>
        <v>240.9</v>
      </c>
      <c r="I387" s="8" t="n">
        <f aca="false">SUMIFS('Source 2026'!$D:$D,'Source 2026'!$B:$B,$A387,'Source 2026'!$A:$A,"Amount (NIS)")+SUMIFS('Source 2026'!$E:$E,'Source 2026'!$B:$B,$A387,'Source 2026'!$A:$A,"Amount (NIS)")+SUMIFS('Source 2026'!$F:$F,'Source 2026'!$B:$B,$A387,'Source 2026'!$A:$A,"Amount (NIS)")+SUMIFS('Source 2026'!$G:$G,'Source 2026'!$B:$B,$A387,'Source 2026'!$A:$A,"Amount (NIS)")+SUMIFS('Source 2026'!$J:$J,'Source 2026'!$B:$B,$A387,'Source 2026'!$A:$A,"Amount (NIS)")+SUMIFS('Source 2026'!$M:$M,'Source 2026'!$B:$B,$A387,'Source 2026'!$A:$A,"Amount (NIS)")</f>
        <v>0</v>
      </c>
      <c r="J387" s="8" t="n">
        <f aca="false">I387*$J$5</f>
        <v>0</v>
      </c>
      <c r="K387" s="8" t="n">
        <f aca="false">J387-H387</f>
        <v>-240.9</v>
      </c>
      <c r="L387" s="9" t="n">
        <f aca="false">IF(AND(H387=0,J387=0),0,IF(H387=0,"New",(J387-H387)/H387))</f>
        <v>-1</v>
      </c>
    </row>
    <row r="388" customFormat="false" ht="15" hidden="false" customHeight="false" outlineLevel="0" collapsed="false">
      <c r="A388" s="7" t="n">
        <v>4413123</v>
      </c>
      <c r="B388" s="7" t="str">
        <f aca="false">IFERROR(INDEX('Source 2026'!$C:$C,MATCH($A388,'Source 2026'!$B:$B,0)),IFERROR(INDEX('Source 2025'!$C:$C,MATCH($A388,'Source 2025'!$B:$B,0)),""))</f>
        <v>55 M מתלה אשכים לספורטאים</v>
      </c>
      <c r="C388" s="8" t="n">
        <f aca="false">SUMIFS('Source 2025'!$D:$D,'Source 2025'!$B:$B,$A388,'Source 2025'!$A:$A,"Quantity (units)")+SUMIFS('Source 2025'!$E:$E,'Source 2025'!$B:$B,$A388,'Source 2025'!$A:$A,"Quantity (units)")+SUMIFS('Source 2025'!$F:$F,'Source 2025'!$B:$B,$A388,'Source 2025'!$A:$A,"Quantity (units)")+SUMIFS('Source 2025'!$G:$G,'Source 2025'!$B:$B,$A388,'Source 2025'!$A:$A,"Quantity (units)")+SUMIFS('Source 2025'!$J:$J,'Source 2025'!$B:$B,$A388,'Source 2025'!$A:$A,"Quantity (units)")+SUMIFS('Source 2025'!$M:$M,'Source 2025'!$B:$B,$A388,'Source 2025'!$A:$A,"Quantity (units)")</f>
        <v>2</v>
      </c>
      <c r="D388" s="8" t="n">
        <f aca="false">SUMIFS('Source 2026'!$D:$D,'Source 2026'!$B:$B,$A388,'Source 2026'!$A:$A,"Quantity (units)")+SUMIFS('Source 2026'!$E:$E,'Source 2026'!$B:$B,$A388,'Source 2026'!$A:$A,"Quantity (units)")+SUMIFS('Source 2026'!$F:$F,'Source 2026'!$B:$B,$A388,'Source 2026'!$A:$A,"Quantity (units)")+SUMIFS('Source 2026'!$G:$G,'Source 2026'!$B:$B,$A388,'Source 2026'!$A:$A,"Quantity (units)")+SUMIFS('Source 2026'!$J:$J,'Source 2026'!$B:$B,$A388,'Source 2026'!$A:$A,"Quantity (units)")+SUMIFS('Source 2026'!$M:$M,'Source 2026'!$B:$B,$A388,'Source 2026'!$A:$A,"Quantity (units)")</f>
        <v>-1</v>
      </c>
      <c r="E388" s="8" t="n">
        <f aca="false">D388*$J$5</f>
        <v>-1.37142857142857</v>
      </c>
      <c r="F388" s="8" t="n">
        <f aca="false">E388-C388</f>
        <v>-3.37142857142857</v>
      </c>
      <c r="G388" s="9" t="n">
        <f aca="false">IF(AND(C388=0,E388=0),0,IF(C388=0,"New",(E388-C388)/C388))</f>
        <v>-1.68571428571429</v>
      </c>
      <c r="H388" s="8" t="n">
        <f aca="false">SUMIFS('Source 2025'!$D:$D,'Source 2025'!$B:$B,$A388,'Source 2025'!$A:$A,"Amount (NIS)")+SUMIFS('Source 2025'!$E:$E,'Source 2025'!$B:$B,$A388,'Source 2025'!$A:$A,"Amount (NIS)")+SUMIFS('Source 2025'!$F:$F,'Source 2025'!$B:$B,$A388,'Source 2025'!$A:$A,"Amount (NIS)")+SUMIFS('Source 2025'!$G:$G,'Source 2025'!$B:$B,$A388,'Source 2025'!$A:$A,"Amount (NIS)")+SUMIFS('Source 2025'!$J:$J,'Source 2025'!$B:$B,$A388,'Source 2025'!$A:$A,"Amount (NIS)")+SUMIFS('Source 2025'!$M:$M,'Source 2025'!$B:$B,$A388,'Source 2025'!$A:$A,"Amount (NIS)")</f>
        <v>160.6</v>
      </c>
      <c r="I388" s="8" t="n">
        <f aca="false">SUMIFS('Source 2026'!$D:$D,'Source 2026'!$B:$B,$A388,'Source 2026'!$A:$A,"Amount (NIS)")+SUMIFS('Source 2026'!$E:$E,'Source 2026'!$B:$B,$A388,'Source 2026'!$A:$A,"Amount (NIS)")+SUMIFS('Source 2026'!$F:$F,'Source 2026'!$B:$B,$A388,'Source 2026'!$A:$A,"Amount (NIS)")+SUMIFS('Source 2026'!$G:$G,'Source 2026'!$B:$B,$A388,'Source 2026'!$A:$A,"Amount (NIS)")+SUMIFS('Source 2026'!$J:$J,'Source 2026'!$B:$B,$A388,'Source 2026'!$A:$A,"Amount (NIS)")+SUMIFS('Source 2026'!$M:$M,'Source 2026'!$B:$B,$A388,'Source 2026'!$A:$A,"Amount (NIS)")</f>
        <v>-80.3</v>
      </c>
      <c r="J388" s="8" t="n">
        <f aca="false">I388*$J$5</f>
        <v>-110.125714285714</v>
      </c>
      <c r="K388" s="8" t="n">
        <f aca="false">J388-H388</f>
        <v>-270.725714285714</v>
      </c>
      <c r="L388" s="9" t="n">
        <f aca="false">IF(AND(H388=0,J388=0),0,IF(H388=0,"New",(J388-H388)/H388))</f>
        <v>-1.68571428571429</v>
      </c>
    </row>
    <row r="389" customFormat="false" ht="15" hidden="false" customHeight="false" outlineLevel="0" collapsed="false">
      <c r="A389" s="7" t="n">
        <v>4408248</v>
      </c>
      <c r="B389" s="7" t="str">
        <f aca="false">IFERROR(INDEX('Source 2026'!$C:$C,MATCH($A389,'Source 2026'!$B:$B,0)),IFERROR(INDEX('Source 2025'!$C:$C,MATCH($A389,'Source 2025'!$B:$B,0)),""))</f>
        <v>SC25  M חבק יד</v>
      </c>
      <c r="C389" s="8" t="n">
        <f aca="false">SUMIFS('Source 2025'!$D:$D,'Source 2025'!$B:$B,$A389,'Source 2025'!$A:$A,"Quantity (units)")+SUMIFS('Source 2025'!$E:$E,'Source 2025'!$B:$B,$A389,'Source 2025'!$A:$A,"Quantity (units)")+SUMIFS('Source 2025'!$F:$F,'Source 2025'!$B:$B,$A389,'Source 2025'!$A:$A,"Quantity (units)")+SUMIFS('Source 2025'!$G:$G,'Source 2025'!$B:$B,$A389,'Source 2025'!$A:$A,"Quantity (units)")+SUMIFS('Source 2025'!$J:$J,'Source 2025'!$B:$B,$A389,'Source 2025'!$A:$A,"Quantity (units)")+SUMIFS('Source 2025'!$M:$M,'Source 2025'!$B:$B,$A389,'Source 2025'!$A:$A,"Quantity (units)")</f>
        <v>13</v>
      </c>
      <c r="D389" s="8" t="n">
        <f aca="false">SUMIFS('Source 2026'!$D:$D,'Source 2026'!$B:$B,$A389,'Source 2026'!$A:$A,"Quantity (units)")+SUMIFS('Source 2026'!$E:$E,'Source 2026'!$B:$B,$A389,'Source 2026'!$A:$A,"Quantity (units)")+SUMIFS('Source 2026'!$F:$F,'Source 2026'!$B:$B,$A389,'Source 2026'!$A:$A,"Quantity (units)")+SUMIFS('Source 2026'!$G:$G,'Source 2026'!$B:$B,$A389,'Source 2026'!$A:$A,"Quantity (units)")+SUMIFS('Source 2026'!$J:$J,'Source 2026'!$B:$B,$A389,'Source 2026'!$A:$A,"Quantity (units)")+SUMIFS('Source 2026'!$M:$M,'Source 2026'!$B:$B,$A389,'Source 2026'!$A:$A,"Quantity (units)")</f>
        <v>15</v>
      </c>
      <c r="E389" s="8" t="n">
        <f aca="false">D389*$J$5</f>
        <v>20.5714285714286</v>
      </c>
      <c r="F389" s="8" t="n">
        <f aca="false">E389-C389</f>
        <v>7.57142857142857</v>
      </c>
      <c r="G389" s="9" t="n">
        <f aca="false">IF(AND(C389=0,E389=0),0,IF(C389=0,"New",(E389-C389)/C389))</f>
        <v>0.582417582417583</v>
      </c>
      <c r="H389" s="8" t="n">
        <f aca="false">SUMIFS('Source 2025'!$D:$D,'Source 2025'!$B:$B,$A389,'Source 2025'!$A:$A,"Amount (NIS)")+SUMIFS('Source 2025'!$E:$E,'Source 2025'!$B:$B,$A389,'Source 2025'!$A:$A,"Amount (NIS)")+SUMIFS('Source 2025'!$F:$F,'Source 2025'!$B:$B,$A389,'Source 2025'!$A:$A,"Amount (NIS)")+SUMIFS('Source 2025'!$G:$G,'Source 2025'!$B:$B,$A389,'Source 2025'!$A:$A,"Amount (NIS)")+SUMIFS('Source 2025'!$J:$J,'Source 2025'!$B:$B,$A389,'Source 2025'!$A:$A,"Amount (NIS)")+SUMIFS('Source 2025'!$M:$M,'Source 2025'!$B:$B,$A389,'Source 2025'!$A:$A,"Amount (NIS)")</f>
        <v>1102.3</v>
      </c>
      <c r="I389" s="8" t="n">
        <f aca="false">SUMIFS('Source 2026'!$D:$D,'Source 2026'!$B:$B,$A389,'Source 2026'!$A:$A,"Amount (NIS)")+SUMIFS('Source 2026'!$E:$E,'Source 2026'!$B:$B,$A389,'Source 2026'!$A:$A,"Amount (NIS)")+SUMIFS('Source 2026'!$F:$F,'Source 2026'!$B:$B,$A389,'Source 2026'!$A:$A,"Amount (NIS)")+SUMIFS('Source 2026'!$G:$G,'Source 2026'!$B:$B,$A389,'Source 2026'!$A:$A,"Amount (NIS)")+SUMIFS('Source 2026'!$J:$J,'Source 2026'!$B:$B,$A389,'Source 2026'!$A:$A,"Amount (NIS)")+SUMIFS('Source 2026'!$M:$M,'Source 2026'!$B:$B,$A389,'Source 2026'!$A:$A,"Amount (NIS)")</f>
        <v>1342.6</v>
      </c>
      <c r="J389" s="8" t="n">
        <f aca="false">I389*$J$5</f>
        <v>1841.28</v>
      </c>
      <c r="K389" s="8" t="n">
        <f aca="false">J389-H389</f>
        <v>738.98</v>
      </c>
      <c r="L389" s="9" t="n">
        <f aca="false">IF(AND(H389=0,J389=0),0,IF(H389=0,"New",(J389-H389)/H389))</f>
        <v>0.670398258187426</v>
      </c>
    </row>
    <row r="390" customFormat="false" ht="15" hidden="false" customHeight="false" outlineLevel="0" collapsed="false">
      <c r="A390" s="7" t="n">
        <v>4413018</v>
      </c>
      <c r="B390" s="7" t="str">
        <f aca="false">IFERROR(INDEX('Source 2026'!$C:$C,MATCH($A390,'Source 2026'!$B:$B,0)),IFERROR(INDEX('Source 2025'!$C:$C,MATCH($A390,'Source 2025'!$B:$B,0)),""))</f>
        <v>303 37-38 מדרסי סיליק.לח.סכרת</v>
      </c>
      <c r="C390" s="8" t="n">
        <f aca="false">SUMIFS('Source 2025'!$D:$D,'Source 2025'!$B:$B,$A390,'Source 2025'!$A:$A,"Quantity (units)")+SUMIFS('Source 2025'!$E:$E,'Source 2025'!$B:$B,$A390,'Source 2025'!$A:$A,"Quantity (units)")+SUMIFS('Source 2025'!$F:$F,'Source 2025'!$B:$B,$A390,'Source 2025'!$A:$A,"Quantity (units)")+SUMIFS('Source 2025'!$G:$G,'Source 2025'!$B:$B,$A390,'Source 2025'!$A:$A,"Quantity (units)")+SUMIFS('Source 2025'!$J:$J,'Source 2025'!$B:$B,$A390,'Source 2025'!$A:$A,"Quantity (units)")+SUMIFS('Source 2025'!$M:$M,'Source 2025'!$B:$B,$A390,'Source 2025'!$A:$A,"Quantity (units)")</f>
        <v>1</v>
      </c>
      <c r="D390" s="8" t="n">
        <f aca="false">SUMIFS('Source 2026'!$D:$D,'Source 2026'!$B:$B,$A390,'Source 2026'!$A:$A,"Quantity (units)")+SUMIFS('Source 2026'!$E:$E,'Source 2026'!$B:$B,$A390,'Source 2026'!$A:$A,"Quantity (units)")+SUMIFS('Source 2026'!$F:$F,'Source 2026'!$B:$B,$A390,'Source 2026'!$A:$A,"Quantity (units)")+SUMIFS('Source 2026'!$G:$G,'Source 2026'!$B:$B,$A390,'Source 2026'!$A:$A,"Quantity (units)")+SUMIFS('Source 2026'!$J:$J,'Source 2026'!$B:$B,$A390,'Source 2026'!$A:$A,"Quantity (units)")+SUMIFS('Source 2026'!$M:$M,'Source 2026'!$B:$B,$A390,'Source 2026'!$A:$A,"Quantity (units)")</f>
        <v>3</v>
      </c>
      <c r="E390" s="8" t="n">
        <f aca="false">D390*$J$5</f>
        <v>4.11428571428571</v>
      </c>
      <c r="F390" s="8" t="n">
        <f aca="false">E390-C390</f>
        <v>3.11428571428571</v>
      </c>
      <c r="G390" s="9" t="n">
        <f aca="false">IF(AND(C390=0,E390=0),0,IF(C390=0,"New",(E390-C390)/C390))</f>
        <v>3.11428571428571</v>
      </c>
      <c r="H390" s="8" t="n">
        <f aca="false">SUMIFS('Source 2025'!$D:$D,'Source 2025'!$B:$B,$A390,'Source 2025'!$A:$A,"Amount (NIS)")+SUMIFS('Source 2025'!$E:$E,'Source 2025'!$B:$B,$A390,'Source 2025'!$A:$A,"Amount (NIS)")+SUMIFS('Source 2025'!$F:$F,'Source 2025'!$B:$B,$A390,'Source 2025'!$A:$A,"Amount (NIS)")+SUMIFS('Source 2025'!$G:$G,'Source 2025'!$B:$B,$A390,'Source 2025'!$A:$A,"Amount (NIS)")+SUMIFS('Source 2025'!$J:$J,'Source 2025'!$B:$B,$A390,'Source 2025'!$A:$A,"Amount (NIS)")+SUMIFS('Source 2025'!$M:$M,'Source 2025'!$B:$B,$A390,'Source 2025'!$A:$A,"Amount (NIS)")</f>
        <v>118.5</v>
      </c>
      <c r="I390" s="8" t="n">
        <f aca="false">SUMIFS('Source 2026'!$D:$D,'Source 2026'!$B:$B,$A390,'Source 2026'!$A:$A,"Amount (NIS)")+SUMIFS('Source 2026'!$E:$E,'Source 2026'!$B:$B,$A390,'Source 2026'!$A:$A,"Amount (NIS)")+SUMIFS('Source 2026'!$F:$F,'Source 2026'!$B:$B,$A390,'Source 2026'!$A:$A,"Amount (NIS)")+SUMIFS('Source 2026'!$G:$G,'Source 2026'!$B:$B,$A390,'Source 2026'!$A:$A,"Amount (NIS)")+SUMIFS('Source 2026'!$J:$J,'Source 2026'!$B:$B,$A390,'Source 2026'!$A:$A,"Amount (NIS)")+SUMIFS('Source 2026'!$M:$M,'Source 2026'!$B:$B,$A390,'Source 2026'!$A:$A,"Amount (NIS)")</f>
        <v>355.6</v>
      </c>
      <c r="J390" s="8" t="n">
        <f aca="false">I390*$J$5</f>
        <v>487.68</v>
      </c>
      <c r="K390" s="8" t="n">
        <f aca="false">J390-H390</f>
        <v>369.18</v>
      </c>
      <c r="L390" s="9" t="n">
        <f aca="false">IF(AND(H390=0,J390=0),0,IF(H390=0,"New",(J390-H390)/H390))</f>
        <v>3.11544303797468</v>
      </c>
    </row>
    <row r="391" customFormat="false" ht="15" hidden="false" customHeight="false" outlineLevel="0" collapsed="false">
      <c r="A391" s="7" t="n">
        <v>4413226</v>
      </c>
      <c r="B391" s="7" t="str">
        <f aca="false">IFERROR(INDEX('Source 2026'!$C:$C,MATCH($A391,'Source 2026'!$B:$B,0)),IFERROR(INDEX('Source 2025'!$C:$C,MATCH($A391,'Source 2025'!$B:$B,0)),""))</f>
        <v>T45X L מגן ברך רגיל</v>
      </c>
      <c r="C391" s="8" t="n">
        <f aca="false">SUMIFS('Source 2025'!$D:$D,'Source 2025'!$B:$B,$A391,'Source 2025'!$A:$A,"Quantity (units)")+SUMIFS('Source 2025'!$E:$E,'Source 2025'!$B:$B,$A391,'Source 2025'!$A:$A,"Quantity (units)")+SUMIFS('Source 2025'!$F:$F,'Source 2025'!$B:$B,$A391,'Source 2025'!$A:$A,"Quantity (units)")+SUMIFS('Source 2025'!$G:$G,'Source 2025'!$B:$B,$A391,'Source 2025'!$A:$A,"Quantity (units)")+SUMIFS('Source 2025'!$J:$J,'Source 2025'!$B:$B,$A391,'Source 2025'!$A:$A,"Quantity (units)")+SUMIFS('Source 2025'!$M:$M,'Source 2025'!$B:$B,$A391,'Source 2025'!$A:$A,"Quantity (units)")</f>
        <v>2</v>
      </c>
      <c r="D391" s="8" t="n">
        <f aca="false">SUMIFS('Source 2026'!$D:$D,'Source 2026'!$B:$B,$A391,'Source 2026'!$A:$A,"Quantity (units)")+SUMIFS('Source 2026'!$E:$E,'Source 2026'!$B:$B,$A391,'Source 2026'!$A:$A,"Quantity (units)")+SUMIFS('Source 2026'!$F:$F,'Source 2026'!$B:$B,$A391,'Source 2026'!$A:$A,"Quantity (units)")+SUMIFS('Source 2026'!$G:$G,'Source 2026'!$B:$B,$A391,'Source 2026'!$A:$A,"Quantity (units)")+SUMIFS('Source 2026'!$J:$J,'Source 2026'!$B:$B,$A391,'Source 2026'!$A:$A,"Quantity (units)")+SUMIFS('Source 2026'!$M:$M,'Source 2026'!$B:$B,$A391,'Source 2026'!$A:$A,"Quantity (units)")</f>
        <v>0</v>
      </c>
      <c r="E391" s="8" t="n">
        <f aca="false">D391*$J$5</f>
        <v>0</v>
      </c>
      <c r="F391" s="8" t="n">
        <f aca="false">E391-C391</f>
        <v>-2</v>
      </c>
      <c r="G391" s="9" t="n">
        <f aca="false">IF(AND(C391=0,E391=0),0,IF(C391=0,"New",(E391-C391)/C391))</f>
        <v>-1</v>
      </c>
      <c r="H391" s="8" t="n">
        <f aca="false">SUMIFS('Source 2025'!$D:$D,'Source 2025'!$B:$B,$A391,'Source 2025'!$A:$A,"Amount (NIS)")+SUMIFS('Source 2025'!$E:$E,'Source 2025'!$B:$B,$A391,'Source 2025'!$A:$A,"Amount (NIS)")+SUMIFS('Source 2025'!$F:$F,'Source 2025'!$B:$B,$A391,'Source 2025'!$A:$A,"Amount (NIS)")+SUMIFS('Source 2025'!$G:$G,'Source 2025'!$B:$B,$A391,'Source 2025'!$A:$A,"Amount (NIS)")+SUMIFS('Source 2025'!$J:$J,'Source 2025'!$B:$B,$A391,'Source 2025'!$A:$A,"Amount (NIS)")+SUMIFS('Source 2025'!$M:$M,'Source 2025'!$B:$B,$A391,'Source 2025'!$A:$A,"Amount (NIS)")</f>
        <v>237.1</v>
      </c>
      <c r="I391" s="8" t="n">
        <f aca="false">SUMIFS('Source 2026'!$D:$D,'Source 2026'!$B:$B,$A391,'Source 2026'!$A:$A,"Amount (NIS)")+SUMIFS('Source 2026'!$E:$E,'Source 2026'!$B:$B,$A391,'Source 2026'!$A:$A,"Amount (NIS)")+SUMIFS('Source 2026'!$F:$F,'Source 2026'!$B:$B,$A391,'Source 2026'!$A:$A,"Amount (NIS)")+SUMIFS('Source 2026'!$G:$G,'Source 2026'!$B:$B,$A391,'Source 2026'!$A:$A,"Amount (NIS)")+SUMIFS('Source 2026'!$J:$J,'Source 2026'!$B:$B,$A391,'Source 2026'!$A:$A,"Amount (NIS)")+SUMIFS('Source 2026'!$M:$M,'Source 2026'!$B:$B,$A391,'Source 2026'!$A:$A,"Amount (NIS)")</f>
        <v>0</v>
      </c>
      <c r="J391" s="8" t="n">
        <f aca="false">I391*$J$5</f>
        <v>0</v>
      </c>
      <c r="K391" s="8" t="n">
        <f aca="false">J391-H391</f>
        <v>-237.1</v>
      </c>
      <c r="L391" s="9" t="n">
        <f aca="false">IF(AND(H391=0,J391=0),0,IF(H391=0,"New",(J391-H391)/H391))</f>
        <v>-1</v>
      </c>
    </row>
    <row r="392" customFormat="false" ht="15" hidden="false" customHeight="false" outlineLevel="0" collapsed="false">
      <c r="A392" s="7" t="n">
        <v>4411026</v>
      </c>
      <c r="B392" s="7" t="str">
        <f aca="false">IFERROR(INDEX('Source 2026'!$C:$C,MATCH($A392,'Source 2026'!$B:$B,0)),IFERROR(INDEX('Source 2025'!$C:$C,MATCH($A392,'Source 2025'!$B:$B,0)),""))</f>
        <v>213CTSL L שמאל CTS כפפות</v>
      </c>
      <c r="C392" s="8" t="n">
        <f aca="false">SUMIFS('Source 2025'!$D:$D,'Source 2025'!$B:$B,$A392,'Source 2025'!$A:$A,"Quantity (units)")+SUMIFS('Source 2025'!$E:$E,'Source 2025'!$B:$B,$A392,'Source 2025'!$A:$A,"Quantity (units)")+SUMIFS('Source 2025'!$F:$F,'Source 2025'!$B:$B,$A392,'Source 2025'!$A:$A,"Quantity (units)")+SUMIFS('Source 2025'!$G:$G,'Source 2025'!$B:$B,$A392,'Source 2025'!$A:$A,"Quantity (units)")+SUMIFS('Source 2025'!$J:$J,'Source 2025'!$B:$B,$A392,'Source 2025'!$A:$A,"Quantity (units)")+SUMIFS('Source 2025'!$M:$M,'Source 2025'!$B:$B,$A392,'Source 2025'!$A:$A,"Quantity (units)")</f>
        <v>0</v>
      </c>
      <c r="D392" s="8" t="n">
        <f aca="false">SUMIFS('Source 2026'!$D:$D,'Source 2026'!$B:$B,$A392,'Source 2026'!$A:$A,"Quantity (units)")+SUMIFS('Source 2026'!$E:$E,'Source 2026'!$B:$B,$A392,'Source 2026'!$A:$A,"Quantity (units)")+SUMIFS('Source 2026'!$F:$F,'Source 2026'!$B:$B,$A392,'Source 2026'!$A:$A,"Quantity (units)")+SUMIFS('Source 2026'!$G:$G,'Source 2026'!$B:$B,$A392,'Source 2026'!$A:$A,"Quantity (units)")+SUMIFS('Source 2026'!$J:$J,'Source 2026'!$B:$B,$A392,'Source 2026'!$A:$A,"Quantity (units)")+SUMIFS('Source 2026'!$M:$M,'Source 2026'!$B:$B,$A392,'Source 2026'!$A:$A,"Quantity (units)")</f>
        <v>2</v>
      </c>
      <c r="E392" s="8" t="n">
        <f aca="false">D392*$J$5</f>
        <v>2.74285714285714</v>
      </c>
      <c r="F392" s="8" t="n">
        <f aca="false">E392-C392</f>
        <v>2.74285714285714</v>
      </c>
      <c r="G392" s="9" t="str">
        <f aca="false">IF(AND(C392=0,E392=0),0,IF(C392=0,"New",(E392-C392)/C392))</f>
        <v>New</v>
      </c>
      <c r="H392" s="8" t="n">
        <f aca="false">SUMIFS('Source 2025'!$D:$D,'Source 2025'!$B:$B,$A392,'Source 2025'!$A:$A,"Amount (NIS)")+SUMIFS('Source 2025'!$E:$E,'Source 2025'!$B:$B,$A392,'Source 2025'!$A:$A,"Amount (NIS)")+SUMIFS('Source 2025'!$F:$F,'Source 2025'!$B:$B,$A392,'Source 2025'!$A:$A,"Amount (NIS)")+SUMIFS('Source 2025'!$G:$G,'Source 2025'!$B:$B,$A392,'Source 2025'!$A:$A,"Amount (NIS)")+SUMIFS('Source 2025'!$J:$J,'Source 2025'!$B:$B,$A392,'Source 2025'!$A:$A,"Amount (NIS)")+SUMIFS('Source 2025'!$M:$M,'Source 2025'!$B:$B,$A392,'Source 2025'!$A:$A,"Amount (NIS)")</f>
        <v>0</v>
      </c>
      <c r="I392" s="8" t="n">
        <f aca="false">SUMIFS('Source 2026'!$D:$D,'Source 2026'!$B:$B,$A392,'Source 2026'!$A:$A,"Amount (NIS)")+SUMIFS('Source 2026'!$E:$E,'Source 2026'!$B:$B,$A392,'Source 2026'!$A:$A,"Amount (NIS)")+SUMIFS('Source 2026'!$F:$F,'Source 2026'!$B:$B,$A392,'Source 2026'!$A:$A,"Amount (NIS)")+SUMIFS('Source 2026'!$G:$G,'Source 2026'!$B:$B,$A392,'Source 2026'!$A:$A,"Amount (NIS)")+SUMIFS('Source 2026'!$J:$J,'Source 2026'!$B:$B,$A392,'Source 2026'!$A:$A,"Amount (NIS)")+SUMIFS('Source 2026'!$M:$M,'Source 2026'!$B:$B,$A392,'Source 2026'!$A:$A,"Amount (NIS)")</f>
        <v>234.3</v>
      </c>
      <c r="J392" s="8" t="n">
        <f aca="false">I392*$J$5</f>
        <v>321.325714285714</v>
      </c>
      <c r="K392" s="8" t="n">
        <f aca="false">J392-H392</f>
        <v>321.325714285714</v>
      </c>
      <c r="L392" s="9" t="str">
        <f aca="false">IF(AND(H392=0,J392=0),0,IF(H392=0,"New",(J392-H392)/H392))</f>
        <v>New</v>
      </c>
    </row>
    <row r="393" customFormat="false" ht="15" hidden="false" customHeight="false" outlineLevel="0" collapsed="false">
      <c r="A393" s="7" t="n">
        <v>4411031</v>
      </c>
      <c r="B393" s="7" t="str">
        <f aca="false">IFERROR(INDEX('Source 2026'!$C:$C,MATCH($A393,'Source 2026'!$B:$B,0)),IFERROR(INDEX('Source 2025'!$C:$C,MATCH($A393,'Source 2025'!$B:$B,0)),""))</f>
        <v>213CTS  S ימין CTS כפפות</v>
      </c>
      <c r="C393" s="8" t="n">
        <f aca="false">SUMIFS('Source 2025'!$D:$D,'Source 2025'!$B:$B,$A393,'Source 2025'!$A:$A,"Quantity (units)")+SUMIFS('Source 2025'!$E:$E,'Source 2025'!$B:$B,$A393,'Source 2025'!$A:$A,"Quantity (units)")+SUMIFS('Source 2025'!$F:$F,'Source 2025'!$B:$B,$A393,'Source 2025'!$A:$A,"Quantity (units)")+SUMIFS('Source 2025'!$G:$G,'Source 2025'!$B:$B,$A393,'Source 2025'!$A:$A,"Quantity (units)")+SUMIFS('Source 2025'!$J:$J,'Source 2025'!$B:$B,$A393,'Source 2025'!$A:$A,"Quantity (units)")+SUMIFS('Source 2025'!$M:$M,'Source 2025'!$B:$B,$A393,'Source 2025'!$A:$A,"Quantity (units)")</f>
        <v>0</v>
      </c>
      <c r="D393" s="8" t="n">
        <f aca="false">SUMIFS('Source 2026'!$D:$D,'Source 2026'!$B:$B,$A393,'Source 2026'!$A:$A,"Quantity (units)")+SUMIFS('Source 2026'!$E:$E,'Source 2026'!$B:$B,$A393,'Source 2026'!$A:$A,"Quantity (units)")+SUMIFS('Source 2026'!$F:$F,'Source 2026'!$B:$B,$A393,'Source 2026'!$A:$A,"Quantity (units)")+SUMIFS('Source 2026'!$G:$G,'Source 2026'!$B:$B,$A393,'Source 2026'!$A:$A,"Quantity (units)")+SUMIFS('Source 2026'!$J:$J,'Source 2026'!$B:$B,$A393,'Source 2026'!$A:$A,"Quantity (units)")+SUMIFS('Source 2026'!$M:$M,'Source 2026'!$B:$B,$A393,'Source 2026'!$A:$A,"Quantity (units)")</f>
        <v>2</v>
      </c>
      <c r="E393" s="8" t="n">
        <f aca="false">D393*$J$5</f>
        <v>2.74285714285714</v>
      </c>
      <c r="F393" s="8" t="n">
        <f aca="false">E393-C393</f>
        <v>2.74285714285714</v>
      </c>
      <c r="G393" s="9" t="str">
        <f aca="false">IF(AND(C393=0,E393=0),0,IF(C393=0,"New",(E393-C393)/C393))</f>
        <v>New</v>
      </c>
      <c r="H393" s="8" t="n">
        <f aca="false">SUMIFS('Source 2025'!$D:$D,'Source 2025'!$B:$B,$A393,'Source 2025'!$A:$A,"Amount (NIS)")+SUMIFS('Source 2025'!$E:$E,'Source 2025'!$B:$B,$A393,'Source 2025'!$A:$A,"Amount (NIS)")+SUMIFS('Source 2025'!$F:$F,'Source 2025'!$B:$B,$A393,'Source 2025'!$A:$A,"Amount (NIS)")+SUMIFS('Source 2025'!$G:$G,'Source 2025'!$B:$B,$A393,'Source 2025'!$A:$A,"Amount (NIS)")+SUMIFS('Source 2025'!$J:$J,'Source 2025'!$B:$B,$A393,'Source 2025'!$A:$A,"Amount (NIS)")+SUMIFS('Source 2025'!$M:$M,'Source 2025'!$B:$B,$A393,'Source 2025'!$A:$A,"Amount (NIS)")</f>
        <v>0</v>
      </c>
      <c r="I393" s="8" t="n">
        <f aca="false">SUMIFS('Source 2026'!$D:$D,'Source 2026'!$B:$B,$A393,'Source 2026'!$A:$A,"Amount (NIS)")+SUMIFS('Source 2026'!$E:$E,'Source 2026'!$B:$B,$A393,'Source 2026'!$A:$A,"Amount (NIS)")+SUMIFS('Source 2026'!$F:$F,'Source 2026'!$B:$B,$A393,'Source 2026'!$A:$A,"Amount (NIS)")+SUMIFS('Source 2026'!$G:$G,'Source 2026'!$B:$B,$A393,'Source 2026'!$A:$A,"Amount (NIS)")+SUMIFS('Source 2026'!$J:$J,'Source 2026'!$B:$B,$A393,'Source 2026'!$A:$A,"Amount (NIS)")+SUMIFS('Source 2026'!$M:$M,'Source 2026'!$B:$B,$A393,'Source 2026'!$A:$A,"Amount (NIS)")</f>
        <v>234.3</v>
      </c>
      <c r="J393" s="8" t="n">
        <f aca="false">I393*$J$5</f>
        <v>321.325714285714</v>
      </c>
      <c r="K393" s="8" t="n">
        <f aca="false">J393-H393</f>
        <v>321.325714285714</v>
      </c>
      <c r="L393" s="9" t="str">
        <f aca="false">IF(AND(H393=0,J393=0),0,IF(H393=0,"New",(J393-H393)/H393))</f>
        <v>New</v>
      </c>
    </row>
    <row r="394" customFormat="false" ht="15" hidden="false" customHeight="false" outlineLevel="0" collapsed="false">
      <c r="A394" s="7" t="n">
        <v>4420016</v>
      </c>
      <c r="B394" s="7" t="str">
        <f aca="false">IFERROR(INDEX('Source 2026'!$C:$C,MATCH($A394,'Source 2026'!$B:$B,0)),IFERROR(INDEX('Source 2025'!$C:$C,MATCH($A394,'Source 2025'!$B:$B,0)),""))</f>
        <v>40-רצועת פיקה לברך</v>
      </c>
      <c r="C394" s="8" t="n">
        <f aca="false">SUMIFS('Source 2025'!$D:$D,'Source 2025'!$B:$B,$A394,'Source 2025'!$A:$A,"Quantity (units)")+SUMIFS('Source 2025'!$E:$E,'Source 2025'!$B:$B,$A394,'Source 2025'!$A:$A,"Quantity (units)")+SUMIFS('Source 2025'!$F:$F,'Source 2025'!$B:$B,$A394,'Source 2025'!$A:$A,"Quantity (units)")+SUMIFS('Source 2025'!$G:$G,'Source 2025'!$B:$B,$A394,'Source 2025'!$A:$A,"Quantity (units)")+SUMIFS('Source 2025'!$J:$J,'Source 2025'!$B:$B,$A394,'Source 2025'!$A:$A,"Quantity (units)")+SUMIFS('Source 2025'!$M:$M,'Source 2025'!$B:$B,$A394,'Source 2025'!$A:$A,"Quantity (units)")</f>
        <v>46</v>
      </c>
      <c r="D394" s="8" t="n">
        <f aca="false">SUMIFS('Source 2026'!$D:$D,'Source 2026'!$B:$B,$A394,'Source 2026'!$A:$A,"Quantity (units)")+SUMIFS('Source 2026'!$E:$E,'Source 2026'!$B:$B,$A394,'Source 2026'!$A:$A,"Quantity (units)")+SUMIFS('Source 2026'!$F:$F,'Source 2026'!$B:$B,$A394,'Source 2026'!$A:$A,"Quantity (units)")+SUMIFS('Source 2026'!$G:$G,'Source 2026'!$B:$B,$A394,'Source 2026'!$A:$A,"Quantity (units)")+SUMIFS('Source 2026'!$J:$J,'Source 2026'!$B:$B,$A394,'Source 2026'!$A:$A,"Quantity (units)")+SUMIFS('Source 2026'!$M:$M,'Source 2026'!$B:$B,$A394,'Source 2026'!$A:$A,"Quantity (units)")</f>
        <v>41</v>
      </c>
      <c r="E394" s="8" t="n">
        <f aca="false">D394*$J$5</f>
        <v>56.2285714285714</v>
      </c>
      <c r="F394" s="8" t="n">
        <f aca="false">E394-C394</f>
        <v>10.2285714285714</v>
      </c>
      <c r="G394" s="9" t="n">
        <f aca="false">IF(AND(C394=0,E394=0),0,IF(C394=0,"New",(E394-C394)/C394))</f>
        <v>0.222360248447205</v>
      </c>
      <c r="H394" s="8" t="n">
        <f aca="false">SUMIFS('Source 2025'!$D:$D,'Source 2025'!$B:$B,$A394,'Source 2025'!$A:$A,"Amount (NIS)")+SUMIFS('Source 2025'!$E:$E,'Source 2025'!$B:$B,$A394,'Source 2025'!$A:$A,"Amount (NIS)")+SUMIFS('Source 2025'!$F:$F,'Source 2025'!$B:$B,$A394,'Source 2025'!$A:$A,"Amount (NIS)")+SUMIFS('Source 2025'!$G:$G,'Source 2025'!$B:$B,$A394,'Source 2025'!$A:$A,"Amount (NIS)")+SUMIFS('Source 2025'!$J:$J,'Source 2025'!$B:$B,$A394,'Source 2025'!$A:$A,"Amount (NIS)")+SUMIFS('Source 2025'!$M:$M,'Source 2025'!$B:$B,$A394,'Source 2025'!$A:$A,"Amount (NIS)")</f>
        <v>2335.3</v>
      </c>
      <c r="I394" s="8" t="n">
        <f aca="false">SUMIFS('Source 2026'!$D:$D,'Source 2026'!$B:$B,$A394,'Source 2026'!$A:$A,"Amount (NIS)")+SUMIFS('Source 2026'!$E:$E,'Source 2026'!$B:$B,$A394,'Source 2026'!$A:$A,"Amount (NIS)")+SUMIFS('Source 2026'!$F:$F,'Source 2026'!$B:$B,$A394,'Source 2026'!$A:$A,"Amount (NIS)")+SUMIFS('Source 2026'!$G:$G,'Source 2026'!$B:$B,$A394,'Source 2026'!$A:$A,"Amount (NIS)")+SUMIFS('Source 2026'!$J:$J,'Source 2026'!$B:$B,$A394,'Source 2026'!$A:$A,"Amount (NIS)")+SUMIFS('Source 2026'!$M:$M,'Source 2026'!$B:$B,$A394,'Source 2026'!$A:$A,"Amount (NIS)")</f>
        <v>2103.5</v>
      </c>
      <c r="J394" s="8" t="n">
        <f aca="false">I394*$J$5</f>
        <v>2884.8</v>
      </c>
      <c r="K394" s="8" t="n">
        <f aca="false">J394-H394</f>
        <v>549.5</v>
      </c>
      <c r="L394" s="9" t="n">
        <f aca="false">IF(AND(H394=0,J394=0),0,IF(H394=0,"New",(J394-H394)/H394))</f>
        <v>0.235301674303087</v>
      </c>
    </row>
    <row r="395" customFormat="false" ht="15" hidden="false" customHeight="false" outlineLevel="0" collapsed="false">
      <c r="A395" s="7" t="n">
        <v>4408024</v>
      </c>
      <c r="B395" s="7" t="str">
        <f aca="false">IFERROR(INDEX('Source 2026'!$C:$C,MATCH($A395,'Source 2026'!$B:$B,0)),IFERROR(INDEX('Source 2025'!$C:$C,MATCH($A395,'Source 2025'!$B:$B,0)),""))</f>
        <v>07UC L-XLח.גב אמר+סגירה כפ.חום</v>
      </c>
      <c r="C395" s="8" t="n">
        <f aca="false">SUMIFS('Source 2025'!$D:$D,'Source 2025'!$B:$B,$A395,'Source 2025'!$A:$A,"Quantity (units)")+SUMIFS('Source 2025'!$E:$E,'Source 2025'!$B:$B,$A395,'Source 2025'!$A:$A,"Quantity (units)")+SUMIFS('Source 2025'!$F:$F,'Source 2025'!$B:$B,$A395,'Source 2025'!$A:$A,"Quantity (units)")+SUMIFS('Source 2025'!$G:$G,'Source 2025'!$B:$B,$A395,'Source 2025'!$A:$A,"Quantity (units)")+SUMIFS('Source 2025'!$J:$J,'Source 2025'!$B:$B,$A395,'Source 2025'!$A:$A,"Quantity (units)")+SUMIFS('Source 2025'!$M:$M,'Source 2025'!$B:$B,$A395,'Source 2025'!$A:$A,"Quantity (units)")</f>
        <v>1</v>
      </c>
      <c r="D395" s="8" t="n">
        <f aca="false">SUMIFS('Source 2026'!$D:$D,'Source 2026'!$B:$B,$A395,'Source 2026'!$A:$A,"Quantity (units)")+SUMIFS('Source 2026'!$E:$E,'Source 2026'!$B:$B,$A395,'Source 2026'!$A:$A,"Quantity (units)")+SUMIFS('Source 2026'!$F:$F,'Source 2026'!$B:$B,$A395,'Source 2026'!$A:$A,"Quantity (units)")+SUMIFS('Source 2026'!$G:$G,'Source 2026'!$B:$B,$A395,'Source 2026'!$A:$A,"Quantity (units)")+SUMIFS('Source 2026'!$J:$J,'Source 2026'!$B:$B,$A395,'Source 2026'!$A:$A,"Quantity (units)")+SUMIFS('Source 2026'!$M:$M,'Source 2026'!$B:$B,$A395,'Source 2026'!$A:$A,"Quantity (units)")</f>
        <v>0</v>
      </c>
      <c r="E395" s="8" t="n">
        <f aca="false">D395*$J$5</f>
        <v>0</v>
      </c>
      <c r="F395" s="8" t="n">
        <f aca="false">E395-C395</f>
        <v>-1</v>
      </c>
      <c r="G395" s="9" t="n">
        <f aca="false">IF(AND(C395=0,E395=0),0,IF(C395=0,"New",(E395-C395)/C395))</f>
        <v>-1</v>
      </c>
      <c r="H395" s="8" t="n">
        <f aca="false">SUMIFS('Source 2025'!$D:$D,'Source 2025'!$B:$B,$A395,'Source 2025'!$A:$A,"Amount (NIS)")+SUMIFS('Source 2025'!$E:$E,'Source 2025'!$B:$B,$A395,'Source 2025'!$A:$A,"Amount (NIS)")+SUMIFS('Source 2025'!$F:$F,'Source 2025'!$B:$B,$A395,'Source 2025'!$A:$A,"Amount (NIS)")+SUMIFS('Source 2025'!$G:$G,'Source 2025'!$B:$B,$A395,'Source 2025'!$A:$A,"Amount (NIS)")+SUMIFS('Source 2025'!$J:$J,'Source 2025'!$B:$B,$A395,'Source 2025'!$A:$A,"Amount (NIS)")+SUMIFS('Source 2025'!$M:$M,'Source 2025'!$B:$B,$A395,'Source 2025'!$A:$A,"Amount (NIS)")</f>
        <v>231.6</v>
      </c>
      <c r="I395" s="8" t="n">
        <f aca="false">SUMIFS('Source 2026'!$D:$D,'Source 2026'!$B:$B,$A395,'Source 2026'!$A:$A,"Amount (NIS)")+SUMIFS('Source 2026'!$E:$E,'Source 2026'!$B:$B,$A395,'Source 2026'!$A:$A,"Amount (NIS)")+SUMIFS('Source 2026'!$F:$F,'Source 2026'!$B:$B,$A395,'Source 2026'!$A:$A,"Amount (NIS)")+SUMIFS('Source 2026'!$G:$G,'Source 2026'!$B:$B,$A395,'Source 2026'!$A:$A,"Amount (NIS)")+SUMIFS('Source 2026'!$J:$J,'Source 2026'!$B:$B,$A395,'Source 2026'!$A:$A,"Amount (NIS)")+SUMIFS('Source 2026'!$M:$M,'Source 2026'!$B:$B,$A395,'Source 2026'!$A:$A,"Amount (NIS)")</f>
        <v>0</v>
      </c>
      <c r="J395" s="8" t="n">
        <f aca="false">I395*$J$5</f>
        <v>0</v>
      </c>
      <c r="K395" s="8" t="n">
        <f aca="false">J395-H395</f>
        <v>-231.6</v>
      </c>
      <c r="L395" s="9" t="n">
        <f aca="false">IF(AND(H395=0,J395=0),0,IF(H395=0,"New",(J395-H395)/H395))</f>
        <v>-1</v>
      </c>
    </row>
    <row r="396" customFormat="false" ht="15" hidden="false" customHeight="false" outlineLevel="0" collapsed="false">
      <c r="A396" s="7" t="n">
        <v>4413139</v>
      </c>
      <c r="B396" s="7" t="str">
        <f aca="false">IFERROR(INDEX('Source 2026'!$C:$C,MATCH($A396,'Source 2026'!$B:$B,0)),IFERROR(INDEX('Source 2025'!$C:$C,MATCH($A396,'Source 2025'!$B:$B,0)),""))</f>
        <v>95 L מגן מרפק רגיל לבן</v>
      </c>
      <c r="C396" s="8" t="n">
        <f aca="false">SUMIFS('Source 2025'!$D:$D,'Source 2025'!$B:$B,$A396,'Source 2025'!$A:$A,"Quantity (units)")+SUMIFS('Source 2025'!$E:$E,'Source 2025'!$B:$B,$A396,'Source 2025'!$A:$A,"Quantity (units)")+SUMIFS('Source 2025'!$F:$F,'Source 2025'!$B:$B,$A396,'Source 2025'!$A:$A,"Quantity (units)")+SUMIFS('Source 2025'!$G:$G,'Source 2025'!$B:$B,$A396,'Source 2025'!$A:$A,"Quantity (units)")+SUMIFS('Source 2025'!$J:$J,'Source 2025'!$B:$B,$A396,'Source 2025'!$A:$A,"Quantity (units)")+SUMIFS('Source 2025'!$M:$M,'Source 2025'!$B:$B,$A396,'Source 2025'!$A:$A,"Quantity (units)")</f>
        <v>105</v>
      </c>
      <c r="D396" s="8" t="n">
        <f aca="false">SUMIFS('Source 2026'!$D:$D,'Source 2026'!$B:$B,$A396,'Source 2026'!$A:$A,"Quantity (units)")+SUMIFS('Source 2026'!$E:$E,'Source 2026'!$B:$B,$A396,'Source 2026'!$A:$A,"Quantity (units)")+SUMIFS('Source 2026'!$F:$F,'Source 2026'!$B:$B,$A396,'Source 2026'!$A:$A,"Quantity (units)")+SUMIFS('Source 2026'!$G:$G,'Source 2026'!$B:$B,$A396,'Source 2026'!$A:$A,"Quantity (units)")+SUMIFS('Source 2026'!$J:$J,'Source 2026'!$B:$B,$A396,'Source 2026'!$A:$A,"Quantity (units)")+SUMIFS('Source 2026'!$M:$M,'Source 2026'!$B:$B,$A396,'Source 2026'!$A:$A,"Quantity (units)")</f>
        <v>97</v>
      </c>
      <c r="E396" s="8" t="n">
        <f aca="false">D396*$J$5</f>
        <v>133.028571428571</v>
      </c>
      <c r="F396" s="8" t="n">
        <f aca="false">E396-C396</f>
        <v>28.0285714285714</v>
      </c>
      <c r="G396" s="9" t="n">
        <f aca="false">IF(AND(C396=0,E396=0),0,IF(C396=0,"New",(E396-C396)/C396))</f>
        <v>0.266938775510204</v>
      </c>
      <c r="H396" s="8" t="n">
        <f aca="false">SUMIFS('Source 2025'!$D:$D,'Source 2025'!$B:$B,$A396,'Source 2025'!$A:$A,"Amount (NIS)")+SUMIFS('Source 2025'!$E:$E,'Source 2025'!$B:$B,$A396,'Source 2025'!$A:$A,"Amount (NIS)")+SUMIFS('Source 2025'!$F:$F,'Source 2025'!$B:$B,$A396,'Source 2025'!$A:$A,"Amount (NIS)")+SUMIFS('Source 2025'!$G:$G,'Source 2025'!$B:$B,$A396,'Source 2025'!$A:$A,"Amount (NIS)")+SUMIFS('Source 2025'!$J:$J,'Source 2025'!$B:$B,$A396,'Source 2025'!$A:$A,"Amount (NIS)")+SUMIFS('Source 2025'!$M:$M,'Source 2025'!$B:$B,$A396,'Source 2025'!$A:$A,"Amount (NIS)")</f>
        <v>3135.3</v>
      </c>
      <c r="I396" s="8" t="n">
        <f aca="false">SUMIFS('Source 2026'!$D:$D,'Source 2026'!$B:$B,$A396,'Source 2026'!$A:$A,"Amount (NIS)")+SUMIFS('Source 2026'!$E:$E,'Source 2026'!$B:$B,$A396,'Source 2026'!$A:$A,"Amount (NIS)")+SUMIFS('Source 2026'!$F:$F,'Source 2026'!$B:$B,$A396,'Source 2026'!$A:$A,"Amount (NIS)")+SUMIFS('Source 2026'!$G:$G,'Source 2026'!$B:$B,$A396,'Source 2026'!$A:$A,"Amount (NIS)")+SUMIFS('Source 2026'!$J:$J,'Source 2026'!$B:$B,$A396,'Source 2026'!$A:$A,"Amount (NIS)")+SUMIFS('Source 2026'!$M:$M,'Source 2026'!$B:$B,$A396,'Source 2026'!$A:$A,"Amount (NIS)")</f>
        <v>2909.9</v>
      </c>
      <c r="J396" s="8" t="n">
        <f aca="false">I396*$J$5</f>
        <v>3990.72</v>
      </c>
      <c r="K396" s="8" t="n">
        <f aca="false">J396-H396</f>
        <v>855.42</v>
      </c>
      <c r="L396" s="9" t="n">
        <f aca="false">IF(AND(H396=0,J396=0),0,IF(H396=0,"New",(J396-H396)/H396))</f>
        <v>0.272835135393742</v>
      </c>
    </row>
    <row r="397" customFormat="false" ht="15" hidden="false" customHeight="false" outlineLevel="0" collapsed="false">
      <c r="A397" s="7" t="n">
        <v>4415067</v>
      </c>
      <c r="B397" s="7" t="str">
        <f aca="false">IFERROR(INDEX('Source 2026'!$C:$C,MATCH($A397,'Source 2026'!$B:$B,0)),IFERROR(INDEX('Source 2025'!$C:$C,MATCH($A397,'Source 2025'!$B:$B,0)),""))</f>
        <v>T28 XL סד לאגודל כפפה</v>
      </c>
      <c r="C397" s="8" t="n">
        <f aca="false">SUMIFS('Source 2025'!$D:$D,'Source 2025'!$B:$B,$A397,'Source 2025'!$A:$A,"Quantity (units)")+SUMIFS('Source 2025'!$E:$E,'Source 2025'!$B:$B,$A397,'Source 2025'!$A:$A,"Quantity (units)")+SUMIFS('Source 2025'!$F:$F,'Source 2025'!$B:$B,$A397,'Source 2025'!$A:$A,"Quantity (units)")+SUMIFS('Source 2025'!$G:$G,'Source 2025'!$B:$B,$A397,'Source 2025'!$A:$A,"Quantity (units)")+SUMIFS('Source 2025'!$J:$J,'Source 2025'!$B:$B,$A397,'Source 2025'!$A:$A,"Quantity (units)")+SUMIFS('Source 2025'!$M:$M,'Source 2025'!$B:$B,$A397,'Source 2025'!$A:$A,"Quantity (units)")</f>
        <v>0</v>
      </c>
      <c r="D397" s="8" t="n">
        <f aca="false">SUMIFS('Source 2026'!$D:$D,'Source 2026'!$B:$B,$A397,'Source 2026'!$A:$A,"Quantity (units)")+SUMIFS('Source 2026'!$E:$E,'Source 2026'!$B:$B,$A397,'Source 2026'!$A:$A,"Quantity (units)")+SUMIFS('Source 2026'!$F:$F,'Source 2026'!$B:$B,$A397,'Source 2026'!$A:$A,"Quantity (units)")+SUMIFS('Source 2026'!$G:$G,'Source 2026'!$B:$B,$A397,'Source 2026'!$A:$A,"Quantity (units)")+SUMIFS('Source 2026'!$J:$J,'Source 2026'!$B:$B,$A397,'Source 2026'!$A:$A,"Quantity (units)")+SUMIFS('Source 2026'!$M:$M,'Source 2026'!$B:$B,$A397,'Source 2026'!$A:$A,"Quantity (units)")</f>
        <v>3</v>
      </c>
      <c r="E397" s="8" t="n">
        <f aca="false">D397*$J$5</f>
        <v>4.11428571428571</v>
      </c>
      <c r="F397" s="8" t="n">
        <f aca="false">E397-C397</f>
        <v>4.11428571428571</v>
      </c>
      <c r="G397" s="9" t="str">
        <f aca="false">IF(AND(C397=0,E397=0),0,IF(C397=0,"New",(E397-C397)/C397))</f>
        <v>New</v>
      </c>
      <c r="H397" s="8" t="n">
        <f aca="false">SUMIFS('Source 2025'!$D:$D,'Source 2025'!$B:$B,$A397,'Source 2025'!$A:$A,"Amount (NIS)")+SUMIFS('Source 2025'!$E:$E,'Source 2025'!$B:$B,$A397,'Source 2025'!$A:$A,"Amount (NIS)")+SUMIFS('Source 2025'!$F:$F,'Source 2025'!$B:$B,$A397,'Source 2025'!$A:$A,"Amount (NIS)")+SUMIFS('Source 2025'!$G:$G,'Source 2025'!$B:$B,$A397,'Source 2025'!$A:$A,"Amount (NIS)")+SUMIFS('Source 2025'!$J:$J,'Source 2025'!$B:$B,$A397,'Source 2025'!$A:$A,"Amount (NIS)")+SUMIFS('Source 2025'!$M:$M,'Source 2025'!$B:$B,$A397,'Source 2025'!$A:$A,"Amount (NIS)")</f>
        <v>-13</v>
      </c>
      <c r="I397" s="8" t="n">
        <f aca="false">SUMIFS('Source 2026'!$D:$D,'Source 2026'!$B:$B,$A397,'Source 2026'!$A:$A,"Amount (NIS)")+SUMIFS('Source 2026'!$E:$E,'Source 2026'!$B:$B,$A397,'Source 2026'!$A:$A,"Amount (NIS)")+SUMIFS('Source 2026'!$F:$F,'Source 2026'!$B:$B,$A397,'Source 2026'!$A:$A,"Amount (NIS)")+SUMIFS('Source 2026'!$G:$G,'Source 2026'!$B:$B,$A397,'Source 2026'!$A:$A,"Amount (NIS)")+SUMIFS('Source 2026'!$J:$J,'Source 2026'!$B:$B,$A397,'Source 2026'!$A:$A,"Amount (NIS)")+SUMIFS('Source 2026'!$M:$M,'Source 2026'!$B:$B,$A397,'Source 2026'!$A:$A,"Amount (NIS)")</f>
        <v>209.7</v>
      </c>
      <c r="J397" s="8" t="n">
        <f aca="false">I397*$J$5</f>
        <v>287.588571428571</v>
      </c>
      <c r="K397" s="8" t="n">
        <f aca="false">J397-H397</f>
        <v>300.588571428571</v>
      </c>
      <c r="L397" s="9" t="n">
        <f aca="false">IF(AND(H397=0,J397=0),0,IF(H397=0,"New",(J397-H397)/H397))</f>
        <v>-23.1221978021978</v>
      </c>
    </row>
    <row r="398" customFormat="false" ht="15" hidden="false" customHeight="false" outlineLevel="0" collapsed="false">
      <c r="A398" s="7" t="n">
        <v>4408113</v>
      </c>
      <c r="B398" s="7" t="str">
        <f aca="false">IFERROR(INDEX('Source 2026'!$C:$C,MATCH($A398,'Source 2026'!$B:$B,0)),IFERROR(INDEX('Source 2025'!$C:$C,MATCH($A398,'Source 2025'!$B:$B,0)),""))</f>
        <v>11EU S ח.בטן לאחר ניתוח</v>
      </c>
      <c r="C398" s="8" t="n">
        <f aca="false">SUMIFS('Source 2025'!$D:$D,'Source 2025'!$B:$B,$A398,'Source 2025'!$A:$A,"Quantity (units)")+SUMIFS('Source 2025'!$E:$E,'Source 2025'!$B:$B,$A398,'Source 2025'!$A:$A,"Quantity (units)")+SUMIFS('Source 2025'!$F:$F,'Source 2025'!$B:$B,$A398,'Source 2025'!$A:$A,"Quantity (units)")+SUMIFS('Source 2025'!$G:$G,'Source 2025'!$B:$B,$A398,'Source 2025'!$A:$A,"Quantity (units)")+SUMIFS('Source 2025'!$J:$J,'Source 2025'!$B:$B,$A398,'Source 2025'!$A:$A,"Quantity (units)")+SUMIFS('Source 2025'!$M:$M,'Source 2025'!$B:$B,$A398,'Source 2025'!$A:$A,"Quantity (units)")</f>
        <v>3</v>
      </c>
      <c r="D398" s="8" t="n">
        <f aca="false">SUMIFS('Source 2026'!$D:$D,'Source 2026'!$B:$B,$A398,'Source 2026'!$A:$A,"Quantity (units)")+SUMIFS('Source 2026'!$E:$E,'Source 2026'!$B:$B,$A398,'Source 2026'!$A:$A,"Quantity (units)")+SUMIFS('Source 2026'!$F:$F,'Source 2026'!$B:$B,$A398,'Source 2026'!$A:$A,"Quantity (units)")+SUMIFS('Source 2026'!$G:$G,'Source 2026'!$B:$B,$A398,'Source 2026'!$A:$A,"Quantity (units)")+SUMIFS('Source 2026'!$J:$J,'Source 2026'!$B:$B,$A398,'Source 2026'!$A:$A,"Quantity (units)")+SUMIFS('Source 2026'!$M:$M,'Source 2026'!$B:$B,$A398,'Source 2026'!$A:$A,"Quantity (units)")</f>
        <v>1</v>
      </c>
      <c r="E398" s="8" t="n">
        <f aca="false">D398*$J$5</f>
        <v>1.37142857142857</v>
      </c>
      <c r="F398" s="8" t="n">
        <f aca="false">E398-C398</f>
        <v>-1.62857142857143</v>
      </c>
      <c r="G398" s="9" t="n">
        <f aca="false">IF(AND(C398=0,E398=0),0,IF(C398=0,"New",(E398-C398)/C398))</f>
        <v>-0.542857142857143</v>
      </c>
      <c r="H398" s="8" t="n">
        <f aca="false">SUMIFS('Source 2025'!$D:$D,'Source 2025'!$B:$B,$A398,'Source 2025'!$A:$A,"Amount (NIS)")+SUMIFS('Source 2025'!$E:$E,'Source 2025'!$B:$B,$A398,'Source 2025'!$A:$A,"Amount (NIS)")+SUMIFS('Source 2025'!$F:$F,'Source 2025'!$B:$B,$A398,'Source 2025'!$A:$A,"Amount (NIS)")+SUMIFS('Source 2025'!$G:$G,'Source 2025'!$B:$B,$A398,'Source 2025'!$A:$A,"Amount (NIS)")+SUMIFS('Source 2025'!$J:$J,'Source 2025'!$B:$B,$A398,'Source 2025'!$A:$A,"Amount (NIS)")+SUMIFS('Source 2025'!$M:$M,'Source 2025'!$B:$B,$A398,'Source 2025'!$A:$A,"Amount (NIS)")</f>
        <v>324.2</v>
      </c>
      <c r="I398" s="8" t="n">
        <f aca="false">SUMIFS('Source 2026'!$D:$D,'Source 2026'!$B:$B,$A398,'Source 2026'!$A:$A,"Amount (NIS)")+SUMIFS('Source 2026'!$E:$E,'Source 2026'!$B:$B,$A398,'Source 2026'!$A:$A,"Amount (NIS)")+SUMIFS('Source 2026'!$F:$F,'Source 2026'!$B:$B,$A398,'Source 2026'!$A:$A,"Amount (NIS)")+SUMIFS('Source 2026'!$G:$G,'Source 2026'!$B:$B,$A398,'Source 2026'!$A:$A,"Amount (NIS)")+SUMIFS('Source 2026'!$J:$J,'Source 2026'!$B:$B,$A398,'Source 2026'!$A:$A,"Amount (NIS)")+SUMIFS('Source 2026'!$M:$M,'Source 2026'!$B:$B,$A398,'Source 2026'!$A:$A,"Amount (NIS)")</f>
        <v>102.8</v>
      </c>
      <c r="J398" s="8" t="n">
        <f aca="false">I398*$J$5</f>
        <v>140.982857142857</v>
      </c>
      <c r="K398" s="8" t="n">
        <f aca="false">J398-H398</f>
        <v>-183.217142857143</v>
      </c>
      <c r="L398" s="9" t="n">
        <f aca="false">IF(AND(H398=0,J398=0),0,IF(H398=0,"New",(J398-H398)/H398))</f>
        <v>-0.56513615933727</v>
      </c>
    </row>
    <row r="399" customFormat="false" ht="15" hidden="false" customHeight="false" outlineLevel="0" collapsed="false">
      <c r="A399" s="7" t="n">
        <v>4413451</v>
      </c>
      <c r="B399" s="7" t="str">
        <f aca="false">IFERROR(INDEX('Source 2026'!$C:$C,MATCH($A399,'Source 2026'!$B:$B,0)),IFERROR(INDEX('Source 2025'!$C:$C,MATCH($A399,'Source 2025'!$B:$B,0)),""))</f>
        <v>LF378 L מדרס ג'ל לנעלי עקב</v>
      </c>
      <c r="C399" s="8" t="n">
        <f aca="false">SUMIFS('Source 2025'!$D:$D,'Source 2025'!$B:$B,$A399,'Source 2025'!$A:$A,"Quantity (units)")+SUMIFS('Source 2025'!$E:$E,'Source 2025'!$B:$B,$A399,'Source 2025'!$A:$A,"Quantity (units)")+SUMIFS('Source 2025'!$F:$F,'Source 2025'!$B:$B,$A399,'Source 2025'!$A:$A,"Quantity (units)")+SUMIFS('Source 2025'!$G:$G,'Source 2025'!$B:$B,$A399,'Source 2025'!$A:$A,"Quantity (units)")+SUMIFS('Source 2025'!$J:$J,'Source 2025'!$B:$B,$A399,'Source 2025'!$A:$A,"Quantity (units)")+SUMIFS('Source 2025'!$M:$M,'Source 2025'!$B:$B,$A399,'Source 2025'!$A:$A,"Quantity (units)")</f>
        <v>0</v>
      </c>
      <c r="D399" s="8" t="n">
        <f aca="false">SUMIFS('Source 2026'!$D:$D,'Source 2026'!$B:$B,$A399,'Source 2026'!$A:$A,"Quantity (units)")+SUMIFS('Source 2026'!$E:$E,'Source 2026'!$B:$B,$A399,'Source 2026'!$A:$A,"Quantity (units)")+SUMIFS('Source 2026'!$F:$F,'Source 2026'!$B:$B,$A399,'Source 2026'!$A:$A,"Quantity (units)")+SUMIFS('Source 2026'!$G:$G,'Source 2026'!$B:$B,$A399,'Source 2026'!$A:$A,"Quantity (units)")+SUMIFS('Source 2026'!$J:$J,'Source 2026'!$B:$B,$A399,'Source 2026'!$A:$A,"Quantity (units)")+SUMIFS('Source 2026'!$M:$M,'Source 2026'!$B:$B,$A399,'Source 2026'!$A:$A,"Quantity (units)")</f>
        <v>3</v>
      </c>
      <c r="E399" s="8" t="n">
        <f aca="false">D399*$J$5</f>
        <v>4.11428571428571</v>
      </c>
      <c r="F399" s="8" t="n">
        <f aca="false">E399-C399</f>
        <v>4.11428571428571</v>
      </c>
      <c r="G399" s="9" t="str">
        <f aca="false">IF(AND(C399=0,E399=0),0,IF(C399=0,"New",(E399-C399)/C399))</f>
        <v>New</v>
      </c>
      <c r="H399" s="8" t="n">
        <f aca="false">SUMIFS('Source 2025'!$D:$D,'Source 2025'!$B:$B,$A399,'Source 2025'!$A:$A,"Amount (NIS)")+SUMIFS('Source 2025'!$E:$E,'Source 2025'!$B:$B,$A399,'Source 2025'!$A:$A,"Amount (NIS)")+SUMIFS('Source 2025'!$F:$F,'Source 2025'!$B:$B,$A399,'Source 2025'!$A:$A,"Amount (NIS)")+SUMIFS('Source 2025'!$G:$G,'Source 2025'!$B:$B,$A399,'Source 2025'!$A:$A,"Amount (NIS)")+SUMIFS('Source 2025'!$J:$J,'Source 2025'!$B:$B,$A399,'Source 2025'!$A:$A,"Amount (NIS)")+SUMIFS('Source 2025'!$M:$M,'Source 2025'!$B:$B,$A399,'Source 2025'!$A:$A,"Amount (NIS)")</f>
        <v>0</v>
      </c>
      <c r="I399" s="8" t="n">
        <f aca="false">SUMIFS('Source 2026'!$D:$D,'Source 2026'!$B:$B,$A399,'Source 2026'!$A:$A,"Amount (NIS)")+SUMIFS('Source 2026'!$E:$E,'Source 2026'!$B:$B,$A399,'Source 2026'!$A:$A,"Amount (NIS)")+SUMIFS('Source 2026'!$F:$F,'Source 2026'!$B:$B,$A399,'Source 2026'!$A:$A,"Amount (NIS)")+SUMIFS('Source 2026'!$G:$G,'Source 2026'!$B:$B,$A399,'Source 2026'!$A:$A,"Amount (NIS)")+SUMIFS('Source 2026'!$J:$J,'Source 2026'!$B:$B,$A399,'Source 2026'!$A:$A,"Amount (NIS)")+SUMIFS('Source 2026'!$M:$M,'Source 2026'!$B:$B,$A399,'Source 2026'!$A:$A,"Amount (NIS)")</f>
        <v>215.7</v>
      </c>
      <c r="J399" s="8" t="n">
        <f aca="false">I399*$J$5</f>
        <v>295.817142857143</v>
      </c>
      <c r="K399" s="8" t="n">
        <f aca="false">J399-H399</f>
        <v>295.817142857143</v>
      </c>
      <c r="L399" s="9" t="str">
        <f aca="false">IF(AND(H399=0,J399=0),0,IF(H399=0,"New",(J399-H399)/H399))</f>
        <v>New</v>
      </c>
    </row>
    <row r="400" customFormat="false" ht="15" hidden="false" customHeight="false" outlineLevel="0" collapsed="false">
      <c r="A400" s="7" t="n">
        <v>4408105</v>
      </c>
      <c r="B400" s="7" t="str">
        <f aca="false">IFERROR(INDEX('Source 2026'!$C:$C,MATCH($A400,'Source 2026'!$B:$B,0)),IFERROR(INDEX('Source 2025'!$C:$C,MATCH($A400,'Source 2025'!$B:$B,0)),""))</f>
        <v>19 S-M חגורת הריון בכאב חזק</v>
      </c>
      <c r="C400" s="8" t="n">
        <f aca="false">SUMIFS('Source 2025'!$D:$D,'Source 2025'!$B:$B,$A400,'Source 2025'!$A:$A,"Quantity (units)")+SUMIFS('Source 2025'!$E:$E,'Source 2025'!$B:$B,$A400,'Source 2025'!$A:$A,"Quantity (units)")+SUMIFS('Source 2025'!$F:$F,'Source 2025'!$B:$B,$A400,'Source 2025'!$A:$A,"Quantity (units)")+SUMIFS('Source 2025'!$G:$G,'Source 2025'!$B:$B,$A400,'Source 2025'!$A:$A,"Quantity (units)")+SUMIFS('Source 2025'!$J:$J,'Source 2025'!$B:$B,$A400,'Source 2025'!$A:$A,"Quantity (units)")+SUMIFS('Source 2025'!$M:$M,'Source 2025'!$B:$B,$A400,'Source 2025'!$A:$A,"Quantity (units)")</f>
        <v>1</v>
      </c>
      <c r="D400" s="8" t="n">
        <f aca="false">SUMIFS('Source 2026'!$D:$D,'Source 2026'!$B:$B,$A400,'Source 2026'!$A:$A,"Quantity (units)")+SUMIFS('Source 2026'!$E:$E,'Source 2026'!$B:$B,$A400,'Source 2026'!$A:$A,"Quantity (units)")+SUMIFS('Source 2026'!$F:$F,'Source 2026'!$B:$B,$A400,'Source 2026'!$A:$A,"Quantity (units)")+SUMIFS('Source 2026'!$G:$G,'Source 2026'!$B:$B,$A400,'Source 2026'!$A:$A,"Quantity (units)")+SUMIFS('Source 2026'!$J:$J,'Source 2026'!$B:$B,$A400,'Source 2026'!$A:$A,"Quantity (units)")+SUMIFS('Source 2026'!$M:$M,'Source 2026'!$B:$B,$A400,'Source 2026'!$A:$A,"Quantity (units)")</f>
        <v>0</v>
      </c>
      <c r="E400" s="8" t="n">
        <f aca="false">D400*$J$5</f>
        <v>0</v>
      </c>
      <c r="F400" s="8" t="n">
        <f aca="false">E400-C400</f>
        <v>-1</v>
      </c>
      <c r="G400" s="9" t="n">
        <f aca="false">IF(AND(C400=0,E400=0),0,IF(C400=0,"New",(E400-C400)/C400))</f>
        <v>-1</v>
      </c>
      <c r="H400" s="8" t="n">
        <f aca="false">SUMIFS('Source 2025'!$D:$D,'Source 2025'!$B:$B,$A400,'Source 2025'!$A:$A,"Amount (NIS)")+SUMIFS('Source 2025'!$E:$E,'Source 2025'!$B:$B,$A400,'Source 2025'!$A:$A,"Amount (NIS)")+SUMIFS('Source 2025'!$F:$F,'Source 2025'!$B:$B,$A400,'Source 2025'!$A:$A,"Amount (NIS)")+SUMIFS('Source 2025'!$G:$G,'Source 2025'!$B:$B,$A400,'Source 2025'!$A:$A,"Amount (NIS)")+SUMIFS('Source 2025'!$J:$J,'Source 2025'!$B:$B,$A400,'Source 2025'!$A:$A,"Amount (NIS)")+SUMIFS('Source 2025'!$M:$M,'Source 2025'!$B:$B,$A400,'Source 2025'!$A:$A,"Amount (NIS)")</f>
        <v>213</v>
      </c>
      <c r="I400" s="8" t="n">
        <f aca="false">SUMIFS('Source 2026'!$D:$D,'Source 2026'!$B:$B,$A400,'Source 2026'!$A:$A,"Amount (NIS)")+SUMIFS('Source 2026'!$E:$E,'Source 2026'!$B:$B,$A400,'Source 2026'!$A:$A,"Amount (NIS)")+SUMIFS('Source 2026'!$F:$F,'Source 2026'!$B:$B,$A400,'Source 2026'!$A:$A,"Amount (NIS)")+SUMIFS('Source 2026'!$G:$G,'Source 2026'!$B:$B,$A400,'Source 2026'!$A:$A,"Amount (NIS)")+SUMIFS('Source 2026'!$J:$J,'Source 2026'!$B:$B,$A400,'Source 2026'!$A:$A,"Amount (NIS)")+SUMIFS('Source 2026'!$M:$M,'Source 2026'!$B:$B,$A400,'Source 2026'!$A:$A,"Amount (NIS)")</f>
        <v>0</v>
      </c>
      <c r="J400" s="8" t="n">
        <f aca="false">I400*$J$5</f>
        <v>0</v>
      </c>
      <c r="K400" s="8" t="n">
        <f aca="false">J400-H400</f>
        <v>-213</v>
      </c>
      <c r="L400" s="9" t="n">
        <f aca="false">IF(AND(H400=0,J400=0),0,IF(H400=0,"New",(J400-H400)/H400))</f>
        <v>-1</v>
      </c>
    </row>
    <row r="401" customFormat="false" ht="15" hidden="false" customHeight="false" outlineLevel="0" collapsed="false">
      <c r="A401" s="7" t="n">
        <v>4408175</v>
      </c>
      <c r="B401" s="7" t="str">
        <f aca="false">IFERROR(INDEX('Source 2026'!$C:$C,MATCH($A401,'Source 2026'!$B:$B,0)),IFERROR(INDEX('Source 2025'!$C:$C,MATCH($A401,'Source 2025'!$B:$B,0)),""))</f>
        <v>11 XS  חגורת בטן</v>
      </c>
      <c r="C401" s="8" t="n">
        <f aca="false">SUMIFS('Source 2025'!$D:$D,'Source 2025'!$B:$B,$A401,'Source 2025'!$A:$A,"Quantity (units)")+SUMIFS('Source 2025'!$E:$E,'Source 2025'!$B:$B,$A401,'Source 2025'!$A:$A,"Quantity (units)")+SUMIFS('Source 2025'!$F:$F,'Source 2025'!$B:$B,$A401,'Source 2025'!$A:$A,"Quantity (units)")+SUMIFS('Source 2025'!$G:$G,'Source 2025'!$B:$B,$A401,'Source 2025'!$A:$A,"Quantity (units)")+SUMIFS('Source 2025'!$J:$J,'Source 2025'!$B:$B,$A401,'Source 2025'!$A:$A,"Quantity (units)")+SUMIFS('Source 2025'!$M:$M,'Source 2025'!$B:$B,$A401,'Source 2025'!$A:$A,"Quantity (units)")</f>
        <v>2</v>
      </c>
      <c r="D401" s="8" t="n">
        <f aca="false">SUMIFS('Source 2026'!$D:$D,'Source 2026'!$B:$B,$A401,'Source 2026'!$A:$A,"Quantity (units)")+SUMIFS('Source 2026'!$E:$E,'Source 2026'!$B:$B,$A401,'Source 2026'!$A:$A,"Quantity (units)")+SUMIFS('Source 2026'!$F:$F,'Source 2026'!$B:$B,$A401,'Source 2026'!$A:$A,"Quantity (units)")+SUMIFS('Source 2026'!$G:$G,'Source 2026'!$B:$B,$A401,'Source 2026'!$A:$A,"Quantity (units)")+SUMIFS('Source 2026'!$J:$J,'Source 2026'!$B:$B,$A401,'Source 2026'!$A:$A,"Quantity (units)")+SUMIFS('Source 2026'!$M:$M,'Source 2026'!$B:$B,$A401,'Source 2026'!$A:$A,"Quantity (units)")</f>
        <v>0</v>
      </c>
      <c r="E401" s="8" t="n">
        <f aca="false">D401*$J$5</f>
        <v>0</v>
      </c>
      <c r="F401" s="8" t="n">
        <f aca="false">E401-C401</f>
        <v>-2</v>
      </c>
      <c r="G401" s="9" t="n">
        <f aca="false">IF(AND(C401=0,E401=0),0,IF(C401=0,"New",(E401-C401)/C401))</f>
        <v>-1</v>
      </c>
      <c r="H401" s="8" t="n">
        <f aca="false">SUMIFS('Source 2025'!$D:$D,'Source 2025'!$B:$B,$A401,'Source 2025'!$A:$A,"Amount (NIS)")+SUMIFS('Source 2025'!$E:$E,'Source 2025'!$B:$B,$A401,'Source 2025'!$A:$A,"Amount (NIS)")+SUMIFS('Source 2025'!$F:$F,'Source 2025'!$B:$B,$A401,'Source 2025'!$A:$A,"Amount (NIS)")+SUMIFS('Source 2025'!$G:$G,'Source 2025'!$B:$B,$A401,'Source 2025'!$A:$A,"Amount (NIS)")+SUMIFS('Source 2025'!$J:$J,'Source 2025'!$B:$B,$A401,'Source 2025'!$A:$A,"Amount (NIS)")+SUMIFS('Source 2025'!$M:$M,'Source 2025'!$B:$B,$A401,'Source 2025'!$A:$A,"Amount (NIS)")</f>
        <v>211.7</v>
      </c>
      <c r="I401" s="8" t="n">
        <f aca="false">SUMIFS('Source 2026'!$D:$D,'Source 2026'!$B:$B,$A401,'Source 2026'!$A:$A,"Amount (NIS)")+SUMIFS('Source 2026'!$E:$E,'Source 2026'!$B:$B,$A401,'Source 2026'!$A:$A,"Amount (NIS)")+SUMIFS('Source 2026'!$F:$F,'Source 2026'!$B:$B,$A401,'Source 2026'!$A:$A,"Amount (NIS)")+SUMIFS('Source 2026'!$G:$G,'Source 2026'!$B:$B,$A401,'Source 2026'!$A:$A,"Amount (NIS)")+SUMIFS('Source 2026'!$J:$J,'Source 2026'!$B:$B,$A401,'Source 2026'!$A:$A,"Amount (NIS)")+SUMIFS('Source 2026'!$M:$M,'Source 2026'!$B:$B,$A401,'Source 2026'!$A:$A,"Amount (NIS)")</f>
        <v>0</v>
      </c>
      <c r="J401" s="8" t="n">
        <f aca="false">I401*$J$5</f>
        <v>0</v>
      </c>
      <c r="K401" s="8" t="n">
        <f aca="false">J401-H401</f>
        <v>-211.7</v>
      </c>
      <c r="L401" s="9" t="n">
        <f aca="false">IF(AND(H401=0,J401=0),0,IF(H401=0,"New",(J401-H401)/H401))</f>
        <v>-1</v>
      </c>
    </row>
    <row r="402" customFormat="false" ht="15" hidden="false" customHeight="false" outlineLevel="0" collapsed="false">
      <c r="A402" s="7" t="n">
        <v>4408150</v>
      </c>
      <c r="B402" s="7" t="str">
        <f aca="false">IFERROR(INDEX('Source 2026'!$C:$C,MATCH($A402,'Source 2026'!$B:$B,0)),IFERROR(INDEX('Source 2025'!$C:$C,MATCH($A402,'Source 2025'!$B:$B,0)),""))</f>
        <v>11TO S חגורה למנותחי בית החזה</v>
      </c>
      <c r="C402" s="8" t="n">
        <f aca="false">SUMIFS('Source 2025'!$D:$D,'Source 2025'!$B:$B,$A402,'Source 2025'!$A:$A,"Quantity (units)")+SUMIFS('Source 2025'!$E:$E,'Source 2025'!$B:$B,$A402,'Source 2025'!$A:$A,"Quantity (units)")+SUMIFS('Source 2025'!$F:$F,'Source 2025'!$B:$B,$A402,'Source 2025'!$A:$A,"Quantity (units)")+SUMIFS('Source 2025'!$G:$G,'Source 2025'!$B:$B,$A402,'Source 2025'!$A:$A,"Quantity (units)")+SUMIFS('Source 2025'!$J:$J,'Source 2025'!$B:$B,$A402,'Source 2025'!$A:$A,"Quantity (units)")+SUMIFS('Source 2025'!$M:$M,'Source 2025'!$B:$B,$A402,'Source 2025'!$A:$A,"Quantity (units)")</f>
        <v>-1</v>
      </c>
      <c r="D402" s="8" t="n">
        <f aca="false">SUMIFS('Source 2026'!$D:$D,'Source 2026'!$B:$B,$A402,'Source 2026'!$A:$A,"Quantity (units)")+SUMIFS('Source 2026'!$E:$E,'Source 2026'!$B:$B,$A402,'Source 2026'!$A:$A,"Quantity (units)")+SUMIFS('Source 2026'!$F:$F,'Source 2026'!$B:$B,$A402,'Source 2026'!$A:$A,"Quantity (units)")+SUMIFS('Source 2026'!$G:$G,'Source 2026'!$B:$B,$A402,'Source 2026'!$A:$A,"Quantity (units)")+SUMIFS('Source 2026'!$J:$J,'Source 2026'!$B:$B,$A402,'Source 2026'!$A:$A,"Quantity (units)")+SUMIFS('Source 2026'!$M:$M,'Source 2026'!$B:$B,$A402,'Source 2026'!$A:$A,"Quantity (units)")</f>
        <v>0</v>
      </c>
      <c r="E402" s="8" t="n">
        <f aca="false">D402*$J$5</f>
        <v>0</v>
      </c>
      <c r="F402" s="8" t="n">
        <f aca="false">E402-C402</f>
        <v>1</v>
      </c>
      <c r="G402" s="9" t="n">
        <f aca="false">IF(AND(C402=0,E402=0),0,IF(C402=0,"New",(E402-C402)/C402))</f>
        <v>-1</v>
      </c>
      <c r="H402" s="8" t="n">
        <f aca="false">SUMIFS('Source 2025'!$D:$D,'Source 2025'!$B:$B,$A402,'Source 2025'!$A:$A,"Amount (NIS)")+SUMIFS('Source 2025'!$E:$E,'Source 2025'!$B:$B,$A402,'Source 2025'!$A:$A,"Amount (NIS)")+SUMIFS('Source 2025'!$F:$F,'Source 2025'!$B:$B,$A402,'Source 2025'!$A:$A,"Amount (NIS)")+SUMIFS('Source 2025'!$G:$G,'Source 2025'!$B:$B,$A402,'Source 2025'!$A:$A,"Amount (NIS)")+SUMIFS('Source 2025'!$J:$J,'Source 2025'!$B:$B,$A402,'Source 2025'!$A:$A,"Amount (NIS)")+SUMIFS('Source 2025'!$M:$M,'Source 2025'!$B:$B,$A402,'Source 2025'!$A:$A,"Amount (NIS)")</f>
        <v>-209.3</v>
      </c>
      <c r="I402" s="8" t="n">
        <f aca="false">SUMIFS('Source 2026'!$D:$D,'Source 2026'!$B:$B,$A402,'Source 2026'!$A:$A,"Amount (NIS)")+SUMIFS('Source 2026'!$E:$E,'Source 2026'!$B:$B,$A402,'Source 2026'!$A:$A,"Amount (NIS)")+SUMIFS('Source 2026'!$F:$F,'Source 2026'!$B:$B,$A402,'Source 2026'!$A:$A,"Amount (NIS)")+SUMIFS('Source 2026'!$G:$G,'Source 2026'!$B:$B,$A402,'Source 2026'!$A:$A,"Amount (NIS)")+SUMIFS('Source 2026'!$J:$J,'Source 2026'!$B:$B,$A402,'Source 2026'!$A:$A,"Amount (NIS)")+SUMIFS('Source 2026'!$M:$M,'Source 2026'!$B:$B,$A402,'Source 2026'!$A:$A,"Amount (NIS)")</f>
        <v>0</v>
      </c>
      <c r="J402" s="8" t="n">
        <f aca="false">I402*$J$5</f>
        <v>0</v>
      </c>
      <c r="K402" s="8" t="n">
        <f aca="false">J402-H402</f>
        <v>209.3</v>
      </c>
      <c r="L402" s="9" t="n">
        <f aca="false">IF(AND(H402=0,J402=0),0,IF(H402=0,"New",(J402-H402)/H402))</f>
        <v>-1</v>
      </c>
    </row>
    <row r="403" customFormat="false" ht="15" hidden="false" customHeight="false" outlineLevel="0" collapsed="false">
      <c r="A403" s="7" t="n">
        <v>4413395</v>
      </c>
      <c r="B403" s="7" t="str">
        <f aca="false">IFERROR(INDEX('Source 2026'!$C:$C,MATCH($A403,'Source 2026'!$B:$B,0)),IFERROR(INDEX('Source 2025'!$C:$C,MATCH($A403,'Source 2025'!$B:$B,0)),""))</f>
        <v>45EC M 'מגן ברך ארוך בז</v>
      </c>
      <c r="C403" s="8" t="n">
        <f aca="false">SUMIFS('Source 2025'!$D:$D,'Source 2025'!$B:$B,$A403,'Source 2025'!$A:$A,"Quantity (units)")+SUMIFS('Source 2025'!$E:$E,'Source 2025'!$B:$B,$A403,'Source 2025'!$A:$A,"Quantity (units)")+SUMIFS('Source 2025'!$F:$F,'Source 2025'!$B:$B,$A403,'Source 2025'!$A:$A,"Quantity (units)")+SUMIFS('Source 2025'!$G:$G,'Source 2025'!$B:$B,$A403,'Source 2025'!$A:$A,"Quantity (units)")+SUMIFS('Source 2025'!$J:$J,'Source 2025'!$B:$B,$A403,'Source 2025'!$A:$A,"Quantity (units)")+SUMIFS('Source 2025'!$M:$M,'Source 2025'!$B:$B,$A403,'Source 2025'!$A:$A,"Quantity (units)")</f>
        <v>93</v>
      </c>
      <c r="D403" s="8" t="n">
        <f aca="false">SUMIFS('Source 2026'!$D:$D,'Source 2026'!$B:$B,$A403,'Source 2026'!$A:$A,"Quantity (units)")+SUMIFS('Source 2026'!$E:$E,'Source 2026'!$B:$B,$A403,'Source 2026'!$A:$A,"Quantity (units)")+SUMIFS('Source 2026'!$F:$F,'Source 2026'!$B:$B,$A403,'Source 2026'!$A:$A,"Quantity (units)")+SUMIFS('Source 2026'!$G:$G,'Source 2026'!$B:$B,$A403,'Source 2026'!$A:$A,"Quantity (units)")+SUMIFS('Source 2026'!$J:$J,'Source 2026'!$B:$B,$A403,'Source 2026'!$A:$A,"Quantity (units)")+SUMIFS('Source 2026'!$M:$M,'Source 2026'!$B:$B,$A403,'Source 2026'!$A:$A,"Quantity (units)")</f>
        <v>98</v>
      </c>
      <c r="E403" s="8" t="n">
        <f aca="false">D403*$J$5</f>
        <v>134.4</v>
      </c>
      <c r="F403" s="8" t="n">
        <f aca="false">E403-C403</f>
        <v>41.4</v>
      </c>
      <c r="G403" s="9" t="n">
        <f aca="false">IF(AND(C403=0,E403=0),0,IF(C403=0,"New",(E403-C403)/C403))</f>
        <v>0.445161290322581</v>
      </c>
      <c r="H403" s="8" t="n">
        <f aca="false">SUMIFS('Source 2025'!$D:$D,'Source 2025'!$B:$B,$A403,'Source 2025'!$A:$A,"Amount (NIS)")+SUMIFS('Source 2025'!$E:$E,'Source 2025'!$B:$B,$A403,'Source 2025'!$A:$A,"Amount (NIS)")+SUMIFS('Source 2025'!$F:$F,'Source 2025'!$B:$B,$A403,'Source 2025'!$A:$A,"Amount (NIS)")+SUMIFS('Source 2025'!$G:$G,'Source 2025'!$B:$B,$A403,'Source 2025'!$A:$A,"Amount (NIS)")+SUMIFS('Source 2025'!$J:$J,'Source 2025'!$B:$B,$A403,'Source 2025'!$A:$A,"Amount (NIS)")+SUMIFS('Source 2025'!$M:$M,'Source 2025'!$B:$B,$A403,'Source 2025'!$A:$A,"Amount (NIS)")</f>
        <v>3323.9</v>
      </c>
      <c r="I403" s="8" t="n">
        <f aca="false">SUMIFS('Source 2026'!$D:$D,'Source 2026'!$B:$B,$A403,'Source 2026'!$A:$A,"Amount (NIS)")+SUMIFS('Source 2026'!$E:$E,'Source 2026'!$B:$B,$A403,'Source 2026'!$A:$A,"Amount (NIS)")+SUMIFS('Source 2026'!$F:$F,'Source 2026'!$B:$B,$A403,'Source 2026'!$A:$A,"Amount (NIS)")+SUMIFS('Source 2026'!$G:$G,'Source 2026'!$B:$B,$A403,'Source 2026'!$A:$A,"Amount (NIS)")+SUMIFS('Source 2026'!$J:$J,'Source 2026'!$B:$B,$A403,'Source 2026'!$A:$A,"Amount (NIS)")+SUMIFS('Source 2026'!$M:$M,'Source 2026'!$B:$B,$A403,'Source 2026'!$A:$A,"Amount (NIS)")</f>
        <v>3532.9</v>
      </c>
      <c r="J403" s="8" t="n">
        <f aca="false">I403*$J$5</f>
        <v>4845.12</v>
      </c>
      <c r="K403" s="8" t="n">
        <f aca="false">J403-H403</f>
        <v>1521.22</v>
      </c>
      <c r="L403" s="9" t="n">
        <f aca="false">IF(AND(H403=0,J403=0),0,IF(H403=0,"New",(J403-H403)/H403))</f>
        <v>0.457661181142634</v>
      </c>
    </row>
    <row r="404" customFormat="false" ht="15" hidden="false" customHeight="false" outlineLevel="0" collapsed="false">
      <c r="A404" s="7" t="n">
        <v>4420035</v>
      </c>
      <c r="B404" s="7" t="str">
        <f aca="false">IFERROR(INDEX('Source 2026'!$C:$C,MATCH($A404,'Source 2026'!$B:$B,0)),IFERROR(INDEX('Source 2025'!$C:$C,MATCH($A404,'Source 2025'!$B:$B,0)),""))</f>
        <v>301CW 36-40 'רפידת ג'ל בז</v>
      </c>
      <c r="C404" s="8" t="n">
        <f aca="false">SUMIFS('Source 2025'!$D:$D,'Source 2025'!$B:$B,$A404,'Source 2025'!$A:$A,"Quantity (units)")+SUMIFS('Source 2025'!$E:$E,'Source 2025'!$B:$B,$A404,'Source 2025'!$A:$A,"Quantity (units)")+SUMIFS('Source 2025'!$F:$F,'Source 2025'!$B:$B,$A404,'Source 2025'!$A:$A,"Quantity (units)")+SUMIFS('Source 2025'!$G:$G,'Source 2025'!$B:$B,$A404,'Source 2025'!$A:$A,"Quantity (units)")+SUMIFS('Source 2025'!$J:$J,'Source 2025'!$B:$B,$A404,'Source 2025'!$A:$A,"Quantity (units)")+SUMIFS('Source 2025'!$M:$M,'Source 2025'!$B:$B,$A404,'Source 2025'!$A:$A,"Quantity (units)")</f>
        <v>8</v>
      </c>
      <c r="D404" s="8" t="n">
        <f aca="false">SUMIFS('Source 2026'!$D:$D,'Source 2026'!$B:$B,$A404,'Source 2026'!$A:$A,"Quantity (units)")+SUMIFS('Source 2026'!$E:$E,'Source 2026'!$B:$B,$A404,'Source 2026'!$A:$A,"Quantity (units)")+SUMIFS('Source 2026'!$F:$F,'Source 2026'!$B:$B,$A404,'Source 2026'!$A:$A,"Quantity (units)")+SUMIFS('Source 2026'!$G:$G,'Source 2026'!$B:$B,$A404,'Source 2026'!$A:$A,"Quantity (units)")+SUMIFS('Source 2026'!$J:$J,'Source 2026'!$B:$B,$A404,'Source 2026'!$A:$A,"Quantity (units)")+SUMIFS('Source 2026'!$M:$M,'Source 2026'!$B:$B,$A404,'Source 2026'!$A:$A,"Quantity (units)")</f>
        <v>3</v>
      </c>
      <c r="E404" s="8" t="n">
        <f aca="false">D404*$J$5</f>
        <v>4.11428571428571</v>
      </c>
      <c r="F404" s="8" t="n">
        <f aca="false">E404-C404</f>
        <v>-3.88571428571429</v>
      </c>
      <c r="G404" s="9" t="n">
        <f aca="false">IF(AND(C404=0,E404=0),0,IF(C404=0,"New",(E404-C404)/C404))</f>
        <v>-0.485714285714286</v>
      </c>
      <c r="H404" s="8" t="n">
        <f aca="false">SUMIFS('Source 2025'!$D:$D,'Source 2025'!$B:$B,$A404,'Source 2025'!$A:$A,"Amount (NIS)")+SUMIFS('Source 2025'!$E:$E,'Source 2025'!$B:$B,$A404,'Source 2025'!$A:$A,"Amount (NIS)")+SUMIFS('Source 2025'!$F:$F,'Source 2025'!$B:$B,$A404,'Source 2025'!$A:$A,"Amount (NIS)")+SUMIFS('Source 2025'!$G:$G,'Source 2025'!$B:$B,$A404,'Source 2025'!$A:$A,"Amount (NIS)")+SUMIFS('Source 2025'!$J:$J,'Source 2025'!$B:$B,$A404,'Source 2025'!$A:$A,"Amount (NIS)")+SUMIFS('Source 2025'!$M:$M,'Source 2025'!$B:$B,$A404,'Source 2025'!$A:$A,"Amount (NIS)")</f>
        <v>401</v>
      </c>
      <c r="I404" s="8" t="n">
        <f aca="false">SUMIFS('Source 2026'!$D:$D,'Source 2026'!$B:$B,$A404,'Source 2026'!$A:$A,"Amount (NIS)")+SUMIFS('Source 2026'!$E:$E,'Source 2026'!$B:$B,$A404,'Source 2026'!$A:$A,"Amount (NIS)")+SUMIFS('Source 2026'!$F:$F,'Source 2026'!$B:$B,$A404,'Source 2026'!$A:$A,"Amount (NIS)")+SUMIFS('Source 2026'!$G:$G,'Source 2026'!$B:$B,$A404,'Source 2026'!$A:$A,"Amount (NIS)")+SUMIFS('Source 2026'!$J:$J,'Source 2026'!$B:$B,$A404,'Source 2026'!$A:$A,"Amount (NIS)")+SUMIFS('Source 2026'!$M:$M,'Source 2026'!$B:$B,$A404,'Source 2026'!$A:$A,"Amount (NIS)")</f>
        <v>194.6</v>
      </c>
      <c r="J404" s="8" t="n">
        <f aca="false">I404*$J$5</f>
        <v>266.88</v>
      </c>
      <c r="K404" s="8" t="n">
        <f aca="false">J404-H404</f>
        <v>-134.12</v>
      </c>
      <c r="L404" s="9" t="n">
        <f aca="false">IF(AND(H404=0,J404=0),0,IF(H404=0,"New",(J404-H404)/H404))</f>
        <v>-0.334463840399003</v>
      </c>
    </row>
    <row r="405" customFormat="false" ht="15" hidden="false" customHeight="false" outlineLevel="0" collapsed="false">
      <c r="A405" s="7" t="n">
        <v>4408076</v>
      </c>
      <c r="B405" s="7" t="str">
        <f aca="false">IFERROR(INDEX('Source 2026'!$C:$C,MATCH($A405,'Source 2026'!$B:$B,0)),IFERROR(INDEX('Source 2025'!$C:$C,MATCH($A405,'Source 2025'!$B:$B,0)),""))</f>
        <v>59L L חגורת שבר לצד שמאל</v>
      </c>
      <c r="C405" s="8" t="n">
        <f aca="false">SUMIFS('Source 2025'!$D:$D,'Source 2025'!$B:$B,$A405,'Source 2025'!$A:$A,"Quantity (units)")+SUMIFS('Source 2025'!$E:$E,'Source 2025'!$B:$B,$A405,'Source 2025'!$A:$A,"Quantity (units)")+SUMIFS('Source 2025'!$F:$F,'Source 2025'!$B:$B,$A405,'Source 2025'!$A:$A,"Quantity (units)")+SUMIFS('Source 2025'!$G:$G,'Source 2025'!$B:$B,$A405,'Source 2025'!$A:$A,"Quantity (units)")+SUMIFS('Source 2025'!$J:$J,'Source 2025'!$B:$B,$A405,'Source 2025'!$A:$A,"Quantity (units)")+SUMIFS('Source 2025'!$M:$M,'Source 2025'!$B:$B,$A405,'Source 2025'!$A:$A,"Quantity (units)")</f>
        <v>4</v>
      </c>
      <c r="D405" s="8" t="n">
        <f aca="false">SUMIFS('Source 2026'!$D:$D,'Source 2026'!$B:$B,$A405,'Source 2026'!$A:$A,"Quantity (units)")+SUMIFS('Source 2026'!$E:$E,'Source 2026'!$B:$B,$A405,'Source 2026'!$A:$A,"Quantity (units)")+SUMIFS('Source 2026'!$F:$F,'Source 2026'!$B:$B,$A405,'Source 2026'!$A:$A,"Quantity (units)")+SUMIFS('Source 2026'!$G:$G,'Source 2026'!$B:$B,$A405,'Source 2026'!$A:$A,"Quantity (units)")+SUMIFS('Source 2026'!$J:$J,'Source 2026'!$B:$B,$A405,'Source 2026'!$A:$A,"Quantity (units)")+SUMIFS('Source 2026'!$M:$M,'Source 2026'!$B:$B,$A405,'Source 2026'!$A:$A,"Quantity (units)")</f>
        <v>3</v>
      </c>
      <c r="E405" s="8" t="n">
        <f aca="false">D405*$J$5</f>
        <v>4.11428571428571</v>
      </c>
      <c r="F405" s="8" t="n">
        <f aca="false">E405-C405</f>
        <v>0.114285714285714</v>
      </c>
      <c r="G405" s="9" t="n">
        <f aca="false">IF(AND(C405=0,E405=0),0,IF(C405=0,"New",(E405-C405)/C405))</f>
        <v>0.0285714285714285</v>
      </c>
      <c r="H405" s="8" t="n">
        <f aca="false">SUMIFS('Source 2025'!$D:$D,'Source 2025'!$B:$B,$A405,'Source 2025'!$A:$A,"Amount (NIS)")+SUMIFS('Source 2025'!$E:$E,'Source 2025'!$B:$B,$A405,'Source 2025'!$A:$A,"Amount (NIS)")+SUMIFS('Source 2025'!$F:$F,'Source 2025'!$B:$B,$A405,'Source 2025'!$A:$A,"Amount (NIS)")+SUMIFS('Source 2025'!$G:$G,'Source 2025'!$B:$B,$A405,'Source 2025'!$A:$A,"Amount (NIS)")+SUMIFS('Source 2025'!$J:$J,'Source 2025'!$B:$B,$A405,'Source 2025'!$A:$A,"Amount (NIS)")+SUMIFS('Source 2025'!$M:$M,'Source 2025'!$B:$B,$A405,'Source 2025'!$A:$A,"Amount (NIS)")</f>
        <v>743.5</v>
      </c>
      <c r="I405" s="8" t="n">
        <f aca="false">SUMIFS('Source 2026'!$D:$D,'Source 2026'!$B:$B,$A405,'Source 2026'!$A:$A,"Amount (NIS)")+SUMIFS('Source 2026'!$E:$E,'Source 2026'!$B:$B,$A405,'Source 2026'!$A:$A,"Amount (NIS)")+SUMIFS('Source 2026'!$F:$F,'Source 2026'!$B:$B,$A405,'Source 2026'!$A:$A,"Amount (NIS)")+SUMIFS('Source 2026'!$G:$G,'Source 2026'!$B:$B,$A405,'Source 2026'!$A:$A,"Amount (NIS)")+SUMIFS('Source 2026'!$J:$J,'Source 2026'!$B:$B,$A405,'Source 2026'!$A:$A,"Amount (NIS)")+SUMIFS('Source 2026'!$M:$M,'Source 2026'!$B:$B,$A405,'Source 2026'!$A:$A,"Amount (NIS)")</f>
        <v>537.3</v>
      </c>
      <c r="J405" s="8" t="n">
        <f aca="false">I405*$J$5</f>
        <v>736.868571428571</v>
      </c>
      <c r="K405" s="8" t="n">
        <f aca="false">J405-H405</f>
        <v>-6.63142857142861</v>
      </c>
      <c r="L405" s="9" t="n">
        <f aca="false">IF(AND(H405=0,J405=0),0,IF(H405=0,"New",(J405-H405)/H405))</f>
        <v>-0.00891920453453748</v>
      </c>
    </row>
    <row r="406" customFormat="false" ht="15" hidden="false" customHeight="false" outlineLevel="0" collapsed="false">
      <c r="A406" s="7" t="n">
        <v>4408226</v>
      </c>
      <c r="B406" s="7" t="str">
        <f aca="false">IFERROR(INDEX('Source 2026'!$C:$C,MATCH($A406,'Source 2026'!$B:$B,0)),IFERROR(INDEX('Source 2025'!$C:$C,MATCH($A406,'Source 2025'!$B:$B,0)),""))</f>
        <v>L 11 אפורUG חגורת בטן</v>
      </c>
      <c r="C406" s="8" t="n">
        <f aca="false">SUMIFS('Source 2025'!$D:$D,'Source 2025'!$B:$B,$A406,'Source 2025'!$A:$A,"Quantity (units)")+SUMIFS('Source 2025'!$E:$E,'Source 2025'!$B:$B,$A406,'Source 2025'!$A:$A,"Quantity (units)")+SUMIFS('Source 2025'!$F:$F,'Source 2025'!$B:$B,$A406,'Source 2025'!$A:$A,"Quantity (units)")+SUMIFS('Source 2025'!$G:$G,'Source 2025'!$B:$B,$A406,'Source 2025'!$A:$A,"Quantity (units)")+SUMIFS('Source 2025'!$J:$J,'Source 2025'!$B:$B,$A406,'Source 2025'!$A:$A,"Quantity (units)")+SUMIFS('Source 2025'!$M:$M,'Source 2025'!$B:$B,$A406,'Source 2025'!$A:$A,"Quantity (units)")</f>
        <v>2</v>
      </c>
      <c r="D406" s="8" t="n">
        <f aca="false">SUMIFS('Source 2026'!$D:$D,'Source 2026'!$B:$B,$A406,'Source 2026'!$A:$A,"Quantity (units)")+SUMIFS('Source 2026'!$E:$E,'Source 2026'!$B:$B,$A406,'Source 2026'!$A:$A,"Quantity (units)")+SUMIFS('Source 2026'!$F:$F,'Source 2026'!$B:$B,$A406,'Source 2026'!$A:$A,"Quantity (units)")+SUMIFS('Source 2026'!$G:$G,'Source 2026'!$B:$B,$A406,'Source 2026'!$A:$A,"Quantity (units)")+SUMIFS('Source 2026'!$J:$J,'Source 2026'!$B:$B,$A406,'Source 2026'!$A:$A,"Quantity (units)")+SUMIFS('Source 2026'!$M:$M,'Source 2026'!$B:$B,$A406,'Source 2026'!$A:$A,"Quantity (units)")</f>
        <v>0</v>
      </c>
      <c r="E406" s="8" t="n">
        <f aca="false">D406*$J$5</f>
        <v>0</v>
      </c>
      <c r="F406" s="8" t="n">
        <f aca="false">E406-C406</f>
        <v>-2</v>
      </c>
      <c r="G406" s="9" t="n">
        <f aca="false">IF(AND(C406=0,E406=0),0,IF(C406=0,"New",(E406-C406)/C406))</f>
        <v>-1</v>
      </c>
      <c r="H406" s="8" t="n">
        <f aca="false">SUMIFS('Source 2025'!$D:$D,'Source 2025'!$B:$B,$A406,'Source 2025'!$A:$A,"Amount (NIS)")+SUMIFS('Source 2025'!$E:$E,'Source 2025'!$B:$B,$A406,'Source 2025'!$A:$A,"Amount (NIS)")+SUMIFS('Source 2025'!$F:$F,'Source 2025'!$B:$B,$A406,'Source 2025'!$A:$A,"Amount (NIS)")+SUMIFS('Source 2025'!$G:$G,'Source 2025'!$B:$B,$A406,'Source 2025'!$A:$A,"Amount (NIS)")+SUMIFS('Source 2025'!$J:$J,'Source 2025'!$B:$B,$A406,'Source 2025'!$A:$A,"Amount (NIS)")+SUMIFS('Source 2025'!$M:$M,'Source 2025'!$B:$B,$A406,'Source 2025'!$A:$A,"Amount (NIS)")</f>
        <v>206.1</v>
      </c>
      <c r="I406" s="8" t="n">
        <f aca="false">SUMIFS('Source 2026'!$D:$D,'Source 2026'!$B:$B,$A406,'Source 2026'!$A:$A,"Amount (NIS)")+SUMIFS('Source 2026'!$E:$E,'Source 2026'!$B:$B,$A406,'Source 2026'!$A:$A,"Amount (NIS)")+SUMIFS('Source 2026'!$F:$F,'Source 2026'!$B:$B,$A406,'Source 2026'!$A:$A,"Amount (NIS)")+SUMIFS('Source 2026'!$G:$G,'Source 2026'!$B:$B,$A406,'Source 2026'!$A:$A,"Amount (NIS)")+SUMIFS('Source 2026'!$J:$J,'Source 2026'!$B:$B,$A406,'Source 2026'!$A:$A,"Amount (NIS)")+SUMIFS('Source 2026'!$M:$M,'Source 2026'!$B:$B,$A406,'Source 2026'!$A:$A,"Amount (NIS)")</f>
        <v>0</v>
      </c>
      <c r="J406" s="8" t="n">
        <f aca="false">I406*$J$5</f>
        <v>0</v>
      </c>
      <c r="K406" s="8" t="n">
        <f aca="false">J406-H406</f>
        <v>-206.1</v>
      </c>
      <c r="L406" s="9" t="n">
        <f aca="false">IF(AND(H406=0,J406=0),0,IF(H406=0,"New",(J406-H406)/H406))</f>
        <v>-1</v>
      </c>
    </row>
    <row r="407" customFormat="false" ht="15" hidden="false" customHeight="false" outlineLevel="0" collapsed="false">
      <c r="A407" s="7" t="n">
        <v>4419013</v>
      </c>
      <c r="B407" s="7" t="str">
        <f aca="false">IFERROR(INDEX('Source 2026'!$C:$C,MATCH($A407,'Source 2026'!$B:$B,0)),IFERROR(INDEX('Source 2025'!$C:$C,MATCH($A407,'Source 2025'!$B:$B,0)),""))</f>
        <v>239B L-XL STRAP4U</v>
      </c>
      <c r="C407" s="8" t="n">
        <f aca="false">SUMIFS('Source 2025'!$D:$D,'Source 2025'!$B:$B,$A407,'Source 2025'!$A:$A,"Quantity (units)")+SUMIFS('Source 2025'!$E:$E,'Source 2025'!$B:$B,$A407,'Source 2025'!$A:$A,"Quantity (units)")+SUMIFS('Source 2025'!$F:$F,'Source 2025'!$B:$B,$A407,'Source 2025'!$A:$A,"Quantity (units)")+SUMIFS('Source 2025'!$G:$G,'Source 2025'!$B:$B,$A407,'Source 2025'!$A:$A,"Quantity (units)")+SUMIFS('Source 2025'!$J:$J,'Source 2025'!$B:$B,$A407,'Source 2025'!$A:$A,"Quantity (units)")+SUMIFS('Source 2025'!$M:$M,'Source 2025'!$B:$B,$A407,'Source 2025'!$A:$A,"Quantity (units)")</f>
        <v>-6</v>
      </c>
      <c r="D407" s="8" t="n">
        <f aca="false">SUMIFS('Source 2026'!$D:$D,'Source 2026'!$B:$B,$A407,'Source 2026'!$A:$A,"Quantity (units)")+SUMIFS('Source 2026'!$E:$E,'Source 2026'!$B:$B,$A407,'Source 2026'!$A:$A,"Quantity (units)")+SUMIFS('Source 2026'!$F:$F,'Source 2026'!$B:$B,$A407,'Source 2026'!$A:$A,"Quantity (units)")+SUMIFS('Source 2026'!$G:$G,'Source 2026'!$B:$B,$A407,'Source 2026'!$A:$A,"Quantity (units)")+SUMIFS('Source 2026'!$J:$J,'Source 2026'!$B:$B,$A407,'Source 2026'!$A:$A,"Quantity (units)")+SUMIFS('Source 2026'!$M:$M,'Source 2026'!$B:$B,$A407,'Source 2026'!$A:$A,"Quantity (units)")</f>
        <v>6</v>
      </c>
      <c r="E407" s="8" t="n">
        <f aca="false">D407*$J$5</f>
        <v>8.22857142857143</v>
      </c>
      <c r="F407" s="8" t="n">
        <f aca="false">E407-C407</f>
        <v>14.2285714285714</v>
      </c>
      <c r="G407" s="9" t="n">
        <f aca="false">IF(AND(C407=0,E407=0),0,IF(C407=0,"New",(E407-C407)/C407))</f>
        <v>-2.37142857142857</v>
      </c>
      <c r="H407" s="8" t="n">
        <f aca="false">SUMIFS('Source 2025'!$D:$D,'Source 2025'!$B:$B,$A407,'Source 2025'!$A:$A,"Amount (NIS)")+SUMIFS('Source 2025'!$E:$E,'Source 2025'!$B:$B,$A407,'Source 2025'!$A:$A,"Amount (NIS)")+SUMIFS('Source 2025'!$F:$F,'Source 2025'!$B:$B,$A407,'Source 2025'!$A:$A,"Amount (NIS)")+SUMIFS('Source 2025'!$G:$G,'Source 2025'!$B:$B,$A407,'Source 2025'!$A:$A,"Amount (NIS)")+SUMIFS('Source 2025'!$J:$J,'Source 2025'!$B:$B,$A407,'Source 2025'!$A:$A,"Amount (NIS)")+SUMIFS('Source 2025'!$M:$M,'Source 2025'!$B:$B,$A407,'Source 2025'!$A:$A,"Amount (NIS)")</f>
        <v>-90.5</v>
      </c>
      <c r="I407" s="8" t="n">
        <f aca="false">SUMIFS('Source 2026'!$D:$D,'Source 2026'!$B:$B,$A407,'Source 2026'!$A:$A,"Amount (NIS)")+SUMIFS('Source 2026'!$E:$E,'Source 2026'!$B:$B,$A407,'Source 2026'!$A:$A,"Amount (NIS)")+SUMIFS('Source 2026'!$F:$F,'Source 2026'!$B:$B,$A407,'Source 2026'!$A:$A,"Amount (NIS)")+SUMIFS('Source 2026'!$G:$G,'Source 2026'!$B:$B,$A407,'Source 2026'!$A:$A,"Amount (NIS)")+SUMIFS('Source 2026'!$J:$J,'Source 2026'!$B:$B,$A407,'Source 2026'!$A:$A,"Amount (NIS)")+SUMIFS('Source 2026'!$M:$M,'Source 2026'!$B:$B,$A407,'Source 2026'!$A:$A,"Amount (NIS)")</f>
        <v>115</v>
      </c>
      <c r="J407" s="8" t="n">
        <f aca="false">I407*$J$5</f>
        <v>157.714285714286</v>
      </c>
      <c r="K407" s="8" t="n">
        <f aca="false">J407-H407</f>
        <v>248.214285714286</v>
      </c>
      <c r="L407" s="9" t="n">
        <f aca="false">IF(AND(H407=0,J407=0),0,IF(H407=0,"New",(J407-H407)/H407))</f>
        <v>-2.74269928966062</v>
      </c>
    </row>
    <row r="408" customFormat="false" ht="15" hidden="false" customHeight="false" outlineLevel="0" collapsed="false">
      <c r="A408" s="7" t="n">
        <v>4413284</v>
      </c>
      <c r="B408" s="7" t="str">
        <f aca="false">IFERROR(INDEX('Source 2026'!$C:$C,MATCH($A408,'Source 2026'!$B:$B,0)),IFERROR(INDEX('Source 2025'!$C:$C,MATCH($A408,'Source 2025'!$B:$B,0)),""))</f>
        <v>422E XXXL מגן ברך ארוך עם כרית</v>
      </c>
      <c r="C408" s="8" t="n">
        <f aca="false">SUMIFS('Source 2025'!$D:$D,'Source 2025'!$B:$B,$A408,'Source 2025'!$A:$A,"Quantity (units)")+SUMIFS('Source 2025'!$E:$E,'Source 2025'!$B:$B,$A408,'Source 2025'!$A:$A,"Quantity (units)")+SUMIFS('Source 2025'!$F:$F,'Source 2025'!$B:$B,$A408,'Source 2025'!$A:$A,"Quantity (units)")+SUMIFS('Source 2025'!$G:$G,'Source 2025'!$B:$B,$A408,'Source 2025'!$A:$A,"Quantity (units)")+SUMIFS('Source 2025'!$J:$J,'Source 2025'!$B:$B,$A408,'Source 2025'!$A:$A,"Quantity (units)")+SUMIFS('Source 2025'!$M:$M,'Source 2025'!$B:$B,$A408,'Source 2025'!$A:$A,"Quantity (units)")</f>
        <v>1</v>
      </c>
      <c r="D408" s="8" t="n">
        <f aca="false">SUMIFS('Source 2026'!$D:$D,'Source 2026'!$B:$B,$A408,'Source 2026'!$A:$A,"Quantity (units)")+SUMIFS('Source 2026'!$E:$E,'Source 2026'!$B:$B,$A408,'Source 2026'!$A:$A,"Quantity (units)")+SUMIFS('Source 2026'!$F:$F,'Source 2026'!$B:$B,$A408,'Source 2026'!$A:$A,"Quantity (units)")+SUMIFS('Source 2026'!$G:$G,'Source 2026'!$B:$B,$A408,'Source 2026'!$A:$A,"Quantity (units)")+SUMIFS('Source 2026'!$J:$J,'Source 2026'!$B:$B,$A408,'Source 2026'!$A:$A,"Quantity (units)")+SUMIFS('Source 2026'!$M:$M,'Source 2026'!$B:$B,$A408,'Source 2026'!$A:$A,"Quantity (units)")</f>
        <v>2</v>
      </c>
      <c r="E408" s="8" t="n">
        <f aca="false">D408*$J$5</f>
        <v>2.74285714285714</v>
      </c>
      <c r="F408" s="8" t="n">
        <f aca="false">E408-C408</f>
        <v>1.74285714285714</v>
      </c>
      <c r="G408" s="9" t="n">
        <f aca="false">IF(AND(C408=0,E408=0),0,IF(C408=0,"New",(E408-C408)/C408))</f>
        <v>1.74285714285714</v>
      </c>
      <c r="H408" s="8" t="n">
        <f aca="false">SUMIFS('Source 2025'!$D:$D,'Source 2025'!$B:$B,$A408,'Source 2025'!$A:$A,"Amount (NIS)")+SUMIFS('Source 2025'!$E:$E,'Source 2025'!$B:$B,$A408,'Source 2025'!$A:$A,"Amount (NIS)")+SUMIFS('Source 2025'!$F:$F,'Source 2025'!$B:$B,$A408,'Source 2025'!$A:$A,"Amount (NIS)")+SUMIFS('Source 2025'!$G:$G,'Source 2025'!$B:$B,$A408,'Source 2025'!$A:$A,"Amount (NIS)")+SUMIFS('Source 2025'!$J:$J,'Source 2025'!$B:$B,$A408,'Source 2025'!$A:$A,"Amount (NIS)")+SUMIFS('Source 2025'!$M:$M,'Source 2025'!$B:$B,$A408,'Source 2025'!$A:$A,"Amount (NIS)")</f>
        <v>203.4</v>
      </c>
      <c r="I408" s="8" t="n">
        <f aca="false">SUMIFS('Source 2026'!$D:$D,'Source 2026'!$B:$B,$A408,'Source 2026'!$A:$A,"Amount (NIS)")+SUMIFS('Source 2026'!$E:$E,'Source 2026'!$B:$B,$A408,'Source 2026'!$A:$A,"Amount (NIS)")+SUMIFS('Source 2026'!$F:$F,'Source 2026'!$B:$B,$A408,'Source 2026'!$A:$A,"Amount (NIS)")+SUMIFS('Source 2026'!$G:$G,'Source 2026'!$B:$B,$A408,'Source 2026'!$A:$A,"Amount (NIS)")+SUMIFS('Source 2026'!$J:$J,'Source 2026'!$B:$B,$A408,'Source 2026'!$A:$A,"Amount (NIS)")+SUMIFS('Source 2026'!$M:$M,'Source 2026'!$B:$B,$A408,'Source 2026'!$A:$A,"Amount (NIS)")</f>
        <v>406.8</v>
      </c>
      <c r="J408" s="8" t="n">
        <f aca="false">I408*$J$5</f>
        <v>557.897142857143</v>
      </c>
      <c r="K408" s="8" t="n">
        <f aca="false">J408-H408</f>
        <v>354.497142857143</v>
      </c>
      <c r="L408" s="9" t="n">
        <f aca="false">IF(AND(H408=0,J408=0),0,IF(H408=0,"New",(J408-H408)/H408))</f>
        <v>1.74285714285714</v>
      </c>
    </row>
    <row r="409" customFormat="false" ht="15" hidden="false" customHeight="false" outlineLevel="0" collapsed="false">
      <c r="A409" s="7" t="n">
        <v>4415071</v>
      </c>
      <c r="B409" s="7" t="str">
        <f aca="false">IFERROR(INDEX('Source 2026'!$C:$C,MATCH($A409,'Source 2026'!$B:$B,0)),IFERROR(INDEX('Source 2025'!$C:$C,MATCH($A409,'Source 2025'!$B:$B,0)),""))</f>
        <v>T28C  XL סד לאגודל כפפה</v>
      </c>
      <c r="C409" s="8" t="n">
        <f aca="false">SUMIFS('Source 2025'!$D:$D,'Source 2025'!$B:$B,$A409,'Source 2025'!$A:$A,"Quantity (units)")+SUMIFS('Source 2025'!$E:$E,'Source 2025'!$B:$B,$A409,'Source 2025'!$A:$A,"Quantity (units)")+SUMIFS('Source 2025'!$F:$F,'Source 2025'!$B:$B,$A409,'Source 2025'!$A:$A,"Quantity (units)")+SUMIFS('Source 2025'!$G:$G,'Source 2025'!$B:$B,$A409,'Source 2025'!$A:$A,"Quantity (units)")+SUMIFS('Source 2025'!$J:$J,'Source 2025'!$B:$B,$A409,'Source 2025'!$A:$A,"Quantity (units)")+SUMIFS('Source 2025'!$M:$M,'Source 2025'!$B:$B,$A409,'Source 2025'!$A:$A,"Quantity (units)")</f>
        <v>4</v>
      </c>
      <c r="D409" s="8" t="n">
        <f aca="false">SUMIFS('Source 2026'!$D:$D,'Source 2026'!$B:$B,$A409,'Source 2026'!$A:$A,"Quantity (units)")+SUMIFS('Source 2026'!$E:$E,'Source 2026'!$B:$B,$A409,'Source 2026'!$A:$A,"Quantity (units)")+SUMIFS('Source 2026'!$F:$F,'Source 2026'!$B:$B,$A409,'Source 2026'!$A:$A,"Quantity (units)")+SUMIFS('Source 2026'!$G:$G,'Source 2026'!$B:$B,$A409,'Source 2026'!$A:$A,"Quantity (units)")+SUMIFS('Source 2026'!$J:$J,'Source 2026'!$B:$B,$A409,'Source 2026'!$A:$A,"Quantity (units)")+SUMIFS('Source 2026'!$M:$M,'Source 2026'!$B:$B,$A409,'Source 2026'!$A:$A,"Quantity (units)")</f>
        <v>1</v>
      </c>
      <c r="E409" s="8" t="n">
        <f aca="false">D409*$J$5</f>
        <v>1.37142857142857</v>
      </c>
      <c r="F409" s="8" t="n">
        <f aca="false">E409-C409</f>
        <v>-2.62857142857143</v>
      </c>
      <c r="G409" s="9" t="n">
        <f aca="false">IF(AND(C409=0,E409=0),0,IF(C409=0,"New",(E409-C409)/C409))</f>
        <v>-0.657142857142857</v>
      </c>
      <c r="H409" s="8" t="n">
        <f aca="false">SUMIFS('Source 2025'!$D:$D,'Source 2025'!$B:$B,$A409,'Source 2025'!$A:$A,"Amount (NIS)")+SUMIFS('Source 2025'!$E:$E,'Source 2025'!$B:$B,$A409,'Source 2025'!$A:$A,"Amount (NIS)")+SUMIFS('Source 2025'!$F:$F,'Source 2025'!$B:$B,$A409,'Source 2025'!$A:$A,"Amount (NIS)")+SUMIFS('Source 2025'!$G:$G,'Source 2025'!$B:$B,$A409,'Source 2025'!$A:$A,"Amount (NIS)")+SUMIFS('Source 2025'!$J:$J,'Source 2025'!$B:$B,$A409,'Source 2025'!$A:$A,"Amount (NIS)")+SUMIFS('Source 2025'!$M:$M,'Source 2025'!$B:$B,$A409,'Source 2025'!$A:$A,"Amount (NIS)")</f>
        <v>274</v>
      </c>
      <c r="I409" s="8" t="n">
        <f aca="false">SUMIFS('Source 2026'!$D:$D,'Source 2026'!$B:$B,$A409,'Source 2026'!$A:$A,"Amount (NIS)")+SUMIFS('Source 2026'!$E:$E,'Source 2026'!$B:$B,$A409,'Source 2026'!$A:$A,"Amount (NIS)")+SUMIFS('Source 2026'!$F:$F,'Source 2026'!$B:$B,$A409,'Source 2026'!$A:$A,"Amount (NIS)")+SUMIFS('Source 2026'!$G:$G,'Source 2026'!$B:$B,$A409,'Source 2026'!$A:$A,"Amount (NIS)")+SUMIFS('Source 2026'!$J:$J,'Source 2026'!$B:$B,$A409,'Source 2026'!$A:$A,"Amount (NIS)")+SUMIFS('Source 2026'!$M:$M,'Source 2026'!$B:$B,$A409,'Source 2026'!$A:$A,"Amount (NIS)")</f>
        <v>70.9</v>
      </c>
      <c r="J409" s="8" t="n">
        <f aca="false">I409*$J$5</f>
        <v>97.2342857142857</v>
      </c>
      <c r="K409" s="8" t="n">
        <f aca="false">J409-H409</f>
        <v>-176.765714285714</v>
      </c>
      <c r="L409" s="9" t="n">
        <f aca="false">IF(AND(H409=0,J409=0),0,IF(H409=0,"New",(J409-H409)/H409))</f>
        <v>-0.645130344108446</v>
      </c>
    </row>
    <row r="410" customFormat="false" ht="15" hidden="false" customHeight="false" outlineLevel="0" collapsed="false">
      <c r="A410" s="7" t="n">
        <v>4420023</v>
      </c>
      <c r="B410" s="7" t="str">
        <f aca="false">IFERROR(INDEX('Source 2026'!$C:$C,MATCH($A410,'Source 2026'!$B:$B,0)),IFERROR(INDEX('Source 2025'!$C:$C,MATCH($A410,'Source 2025'!$B:$B,0)),""))</f>
        <v>LF371 ריפוד סיליקון לנעלי אצבע</v>
      </c>
      <c r="C410" s="8" t="n">
        <f aca="false">SUMIFS('Source 2025'!$D:$D,'Source 2025'!$B:$B,$A410,'Source 2025'!$A:$A,"Quantity (units)")+SUMIFS('Source 2025'!$E:$E,'Source 2025'!$B:$B,$A410,'Source 2025'!$A:$A,"Quantity (units)")+SUMIFS('Source 2025'!$F:$F,'Source 2025'!$B:$B,$A410,'Source 2025'!$A:$A,"Quantity (units)")+SUMIFS('Source 2025'!$G:$G,'Source 2025'!$B:$B,$A410,'Source 2025'!$A:$A,"Quantity (units)")+SUMIFS('Source 2025'!$J:$J,'Source 2025'!$B:$B,$A410,'Source 2025'!$A:$A,"Quantity (units)")+SUMIFS('Source 2025'!$M:$M,'Source 2025'!$B:$B,$A410,'Source 2025'!$A:$A,"Quantity (units)")</f>
        <v>7</v>
      </c>
      <c r="D410" s="8" t="n">
        <f aca="false">SUMIFS('Source 2026'!$D:$D,'Source 2026'!$B:$B,$A410,'Source 2026'!$A:$A,"Quantity (units)")+SUMIFS('Source 2026'!$E:$E,'Source 2026'!$B:$B,$A410,'Source 2026'!$A:$A,"Quantity (units)")+SUMIFS('Source 2026'!$F:$F,'Source 2026'!$B:$B,$A410,'Source 2026'!$A:$A,"Quantity (units)")+SUMIFS('Source 2026'!$G:$G,'Source 2026'!$B:$B,$A410,'Source 2026'!$A:$A,"Quantity (units)")+SUMIFS('Source 2026'!$J:$J,'Source 2026'!$B:$B,$A410,'Source 2026'!$A:$A,"Quantity (units)")+SUMIFS('Source 2026'!$M:$M,'Source 2026'!$B:$B,$A410,'Source 2026'!$A:$A,"Quantity (units)")</f>
        <v>-1</v>
      </c>
      <c r="E410" s="8" t="n">
        <f aca="false">D410*$J$5</f>
        <v>-1.37142857142857</v>
      </c>
      <c r="F410" s="8" t="n">
        <f aca="false">E410-C410</f>
        <v>-8.37142857142857</v>
      </c>
      <c r="G410" s="9" t="n">
        <f aca="false">IF(AND(C410=0,E410=0),0,IF(C410=0,"New",(E410-C410)/C410))</f>
        <v>-1.19591836734694</v>
      </c>
      <c r="H410" s="8" t="n">
        <f aca="false">SUMIFS('Source 2025'!$D:$D,'Source 2025'!$B:$B,$A410,'Source 2025'!$A:$A,"Amount (NIS)")+SUMIFS('Source 2025'!$E:$E,'Source 2025'!$B:$B,$A410,'Source 2025'!$A:$A,"Amount (NIS)")+SUMIFS('Source 2025'!$F:$F,'Source 2025'!$B:$B,$A410,'Source 2025'!$A:$A,"Amount (NIS)")+SUMIFS('Source 2025'!$G:$G,'Source 2025'!$B:$B,$A410,'Source 2025'!$A:$A,"Amount (NIS)")+SUMIFS('Source 2025'!$J:$J,'Source 2025'!$B:$B,$A410,'Source 2025'!$A:$A,"Amount (NIS)")+SUMIFS('Source 2025'!$M:$M,'Source 2025'!$B:$B,$A410,'Source 2025'!$A:$A,"Amount (NIS)")</f>
        <v>180.9</v>
      </c>
      <c r="I410" s="8" t="n">
        <f aca="false">SUMIFS('Source 2026'!$D:$D,'Source 2026'!$B:$B,$A410,'Source 2026'!$A:$A,"Amount (NIS)")+SUMIFS('Source 2026'!$E:$E,'Source 2026'!$B:$B,$A410,'Source 2026'!$A:$A,"Amount (NIS)")+SUMIFS('Source 2026'!$F:$F,'Source 2026'!$B:$B,$A410,'Source 2026'!$A:$A,"Amount (NIS)")+SUMIFS('Source 2026'!$G:$G,'Source 2026'!$B:$B,$A410,'Source 2026'!$A:$A,"Amount (NIS)")+SUMIFS('Source 2026'!$J:$J,'Source 2026'!$B:$B,$A410,'Source 2026'!$A:$A,"Amount (NIS)")+SUMIFS('Source 2026'!$M:$M,'Source 2026'!$B:$B,$A410,'Source 2026'!$A:$A,"Amount (NIS)")</f>
        <v>-21.9</v>
      </c>
      <c r="J410" s="8" t="n">
        <f aca="false">I410*$J$5</f>
        <v>-30.0342857142857</v>
      </c>
      <c r="K410" s="8" t="n">
        <f aca="false">J410-H410</f>
        <v>-210.934285714286</v>
      </c>
      <c r="L410" s="9" t="n">
        <f aca="false">IF(AND(H410=0,J410=0),0,IF(H410=0,"New",(J410-H410)/H410))</f>
        <v>-1.16602700781805</v>
      </c>
    </row>
    <row r="411" customFormat="false" ht="15" hidden="false" customHeight="false" outlineLevel="0" collapsed="false">
      <c r="A411" s="7" t="n">
        <v>4415025</v>
      </c>
      <c r="B411" s="7" t="str">
        <f aca="false">IFERROR(INDEX('Source 2026'!$C:$C,MATCH($A411,'Source 2026'!$B:$B,0)),IFERROR(INDEX('Source 2025'!$C:$C,MATCH($A411,'Source 2025'!$B:$B,0)),""))</f>
        <v>28-XS סד לאגודל לאחר שבר</v>
      </c>
      <c r="C411" s="8" t="n">
        <f aca="false">SUMIFS('Source 2025'!$D:$D,'Source 2025'!$B:$B,$A411,'Source 2025'!$A:$A,"Quantity (units)")+SUMIFS('Source 2025'!$E:$E,'Source 2025'!$B:$B,$A411,'Source 2025'!$A:$A,"Quantity (units)")+SUMIFS('Source 2025'!$F:$F,'Source 2025'!$B:$B,$A411,'Source 2025'!$A:$A,"Quantity (units)")+SUMIFS('Source 2025'!$G:$G,'Source 2025'!$B:$B,$A411,'Source 2025'!$A:$A,"Quantity (units)")+SUMIFS('Source 2025'!$J:$J,'Source 2025'!$B:$B,$A411,'Source 2025'!$A:$A,"Quantity (units)")+SUMIFS('Source 2025'!$M:$M,'Source 2025'!$B:$B,$A411,'Source 2025'!$A:$A,"Quantity (units)")</f>
        <v>2</v>
      </c>
      <c r="D411" s="8" t="n">
        <f aca="false">SUMIFS('Source 2026'!$D:$D,'Source 2026'!$B:$B,$A411,'Source 2026'!$A:$A,"Quantity (units)")+SUMIFS('Source 2026'!$E:$E,'Source 2026'!$B:$B,$A411,'Source 2026'!$A:$A,"Quantity (units)")+SUMIFS('Source 2026'!$F:$F,'Source 2026'!$B:$B,$A411,'Source 2026'!$A:$A,"Quantity (units)")+SUMIFS('Source 2026'!$G:$G,'Source 2026'!$B:$B,$A411,'Source 2026'!$A:$A,"Quantity (units)")+SUMIFS('Source 2026'!$J:$J,'Source 2026'!$B:$B,$A411,'Source 2026'!$A:$A,"Quantity (units)")+SUMIFS('Source 2026'!$M:$M,'Source 2026'!$B:$B,$A411,'Source 2026'!$A:$A,"Quantity (units)")</f>
        <v>0</v>
      </c>
      <c r="E411" s="8" t="n">
        <f aca="false">D411*$J$5</f>
        <v>0</v>
      </c>
      <c r="F411" s="8" t="n">
        <f aca="false">E411-C411</f>
        <v>-2</v>
      </c>
      <c r="G411" s="9" t="n">
        <f aca="false">IF(AND(C411=0,E411=0),0,IF(C411=0,"New",(E411-C411)/C411))</f>
        <v>-1</v>
      </c>
      <c r="H411" s="8" t="n">
        <f aca="false">SUMIFS('Source 2025'!$D:$D,'Source 2025'!$B:$B,$A411,'Source 2025'!$A:$A,"Amount (NIS)")+SUMIFS('Source 2025'!$E:$E,'Source 2025'!$B:$B,$A411,'Source 2025'!$A:$A,"Amount (NIS)")+SUMIFS('Source 2025'!$F:$F,'Source 2025'!$B:$B,$A411,'Source 2025'!$A:$A,"Amount (NIS)")+SUMIFS('Source 2025'!$G:$G,'Source 2025'!$B:$B,$A411,'Source 2025'!$A:$A,"Amount (NIS)")+SUMIFS('Source 2025'!$J:$J,'Source 2025'!$B:$B,$A411,'Source 2025'!$A:$A,"Amount (NIS)")+SUMIFS('Source 2025'!$M:$M,'Source 2025'!$B:$B,$A411,'Source 2025'!$A:$A,"Amount (NIS)")</f>
        <v>199.3</v>
      </c>
      <c r="I411" s="8" t="n">
        <f aca="false">SUMIFS('Source 2026'!$D:$D,'Source 2026'!$B:$B,$A411,'Source 2026'!$A:$A,"Amount (NIS)")+SUMIFS('Source 2026'!$E:$E,'Source 2026'!$B:$B,$A411,'Source 2026'!$A:$A,"Amount (NIS)")+SUMIFS('Source 2026'!$F:$F,'Source 2026'!$B:$B,$A411,'Source 2026'!$A:$A,"Amount (NIS)")+SUMIFS('Source 2026'!$G:$G,'Source 2026'!$B:$B,$A411,'Source 2026'!$A:$A,"Amount (NIS)")+SUMIFS('Source 2026'!$J:$J,'Source 2026'!$B:$B,$A411,'Source 2026'!$A:$A,"Amount (NIS)")+SUMIFS('Source 2026'!$M:$M,'Source 2026'!$B:$B,$A411,'Source 2026'!$A:$A,"Amount (NIS)")</f>
        <v>0</v>
      </c>
      <c r="J411" s="8" t="n">
        <f aca="false">I411*$J$5</f>
        <v>0</v>
      </c>
      <c r="K411" s="8" t="n">
        <f aca="false">J411-H411</f>
        <v>-199.3</v>
      </c>
      <c r="L411" s="9" t="n">
        <f aca="false">IF(AND(H411=0,J411=0),0,IF(H411=0,"New",(J411-H411)/H411))</f>
        <v>-1</v>
      </c>
    </row>
    <row r="412" customFormat="false" ht="15" hidden="false" customHeight="false" outlineLevel="0" collapsed="false">
      <c r="A412" s="7" t="n">
        <v>4415012</v>
      </c>
      <c r="B412" s="7" t="str">
        <f aca="false">IFERROR(INDEX('Source 2026'!$C:$C,MATCH($A412,'Source 2026'!$B:$B,0)),IFERROR(INDEX('Source 2025'!$C:$C,MATCH($A412,'Source 2025'!$B:$B,0)),""))</f>
        <v>32 M  סד קרסול+מוטות אלומיניום</v>
      </c>
      <c r="C412" s="8" t="n">
        <f aca="false">SUMIFS('Source 2025'!$D:$D,'Source 2025'!$B:$B,$A412,'Source 2025'!$A:$A,"Quantity (units)")+SUMIFS('Source 2025'!$E:$E,'Source 2025'!$B:$B,$A412,'Source 2025'!$A:$A,"Quantity (units)")+SUMIFS('Source 2025'!$F:$F,'Source 2025'!$B:$B,$A412,'Source 2025'!$A:$A,"Quantity (units)")+SUMIFS('Source 2025'!$G:$G,'Source 2025'!$B:$B,$A412,'Source 2025'!$A:$A,"Quantity (units)")+SUMIFS('Source 2025'!$J:$J,'Source 2025'!$B:$B,$A412,'Source 2025'!$A:$A,"Quantity (units)")+SUMIFS('Source 2025'!$M:$M,'Source 2025'!$B:$B,$A412,'Source 2025'!$A:$A,"Quantity (units)")</f>
        <v>1</v>
      </c>
      <c r="D412" s="8" t="n">
        <f aca="false">SUMIFS('Source 2026'!$D:$D,'Source 2026'!$B:$B,$A412,'Source 2026'!$A:$A,"Quantity (units)")+SUMIFS('Source 2026'!$E:$E,'Source 2026'!$B:$B,$A412,'Source 2026'!$A:$A,"Quantity (units)")+SUMIFS('Source 2026'!$F:$F,'Source 2026'!$B:$B,$A412,'Source 2026'!$A:$A,"Quantity (units)")+SUMIFS('Source 2026'!$G:$G,'Source 2026'!$B:$B,$A412,'Source 2026'!$A:$A,"Quantity (units)")+SUMIFS('Source 2026'!$J:$J,'Source 2026'!$B:$B,$A412,'Source 2026'!$A:$A,"Quantity (units)")+SUMIFS('Source 2026'!$M:$M,'Source 2026'!$B:$B,$A412,'Source 2026'!$A:$A,"Quantity (units)")</f>
        <v>0</v>
      </c>
      <c r="E412" s="8" t="n">
        <f aca="false">D412*$J$5</f>
        <v>0</v>
      </c>
      <c r="F412" s="8" t="n">
        <f aca="false">E412-C412</f>
        <v>-1</v>
      </c>
      <c r="G412" s="9" t="n">
        <f aca="false">IF(AND(C412=0,E412=0),0,IF(C412=0,"New",(E412-C412)/C412))</f>
        <v>-1</v>
      </c>
      <c r="H412" s="8" t="n">
        <f aca="false">SUMIFS('Source 2025'!$D:$D,'Source 2025'!$B:$B,$A412,'Source 2025'!$A:$A,"Amount (NIS)")+SUMIFS('Source 2025'!$E:$E,'Source 2025'!$B:$B,$A412,'Source 2025'!$A:$A,"Amount (NIS)")+SUMIFS('Source 2025'!$F:$F,'Source 2025'!$B:$B,$A412,'Source 2025'!$A:$A,"Amount (NIS)")+SUMIFS('Source 2025'!$G:$G,'Source 2025'!$B:$B,$A412,'Source 2025'!$A:$A,"Amount (NIS)")+SUMIFS('Source 2025'!$J:$J,'Source 2025'!$B:$B,$A412,'Source 2025'!$A:$A,"Amount (NIS)")+SUMIFS('Source 2025'!$M:$M,'Source 2025'!$B:$B,$A412,'Source 2025'!$A:$A,"Amount (NIS)")</f>
        <v>198.6</v>
      </c>
      <c r="I412" s="8" t="n">
        <f aca="false">SUMIFS('Source 2026'!$D:$D,'Source 2026'!$B:$B,$A412,'Source 2026'!$A:$A,"Amount (NIS)")+SUMIFS('Source 2026'!$E:$E,'Source 2026'!$B:$B,$A412,'Source 2026'!$A:$A,"Amount (NIS)")+SUMIFS('Source 2026'!$F:$F,'Source 2026'!$B:$B,$A412,'Source 2026'!$A:$A,"Amount (NIS)")+SUMIFS('Source 2026'!$G:$G,'Source 2026'!$B:$B,$A412,'Source 2026'!$A:$A,"Amount (NIS)")+SUMIFS('Source 2026'!$J:$J,'Source 2026'!$B:$B,$A412,'Source 2026'!$A:$A,"Amount (NIS)")+SUMIFS('Source 2026'!$M:$M,'Source 2026'!$B:$B,$A412,'Source 2026'!$A:$A,"Amount (NIS)")</f>
        <v>0</v>
      </c>
      <c r="J412" s="8" t="n">
        <f aca="false">I412*$J$5</f>
        <v>0</v>
      </c>
      <c r="K412" s="8" t="n">
        <f aca="false">J412-H412</f>
        <v>-198.6</v>
      </c>
      <c r="L412" s="9" t="n">
        <f aca="false">IF(AND(H412=0,J412=0),0,IF(H412=0,"New",(J412-H412)/H412))</f>
        <v>-1</v>
      </c>
    </row>
    <row r="413" customFormat="false" ht="15" hidden="false" customHeight="false" outlineLevel="0" collapsed="false">
      <c r="A413" s="7" t="n">
        <v>4408152</v>
      </c>
      <c r="B413" s="7" t="str">
        <f aca="false">IFERROR(INDEX('Source 2026'!$C:$C,MATCH($A413,'Source 2026'!$B:$B,0)),IFERROR(INDEX('Source 2025'!$C:$C,MATCH($A413,'Source 2025'!$B:$B,0)),""))</f>
        <v>11TO L חגורה למנותחי בית החזה</v>
      </c>
      <c r="C413" s="8" t="n">
        <f aca="false">SUMIFS('Source 2025'!$D:$D,'Source 2025'!$B:$B,$A413,'Source 2025'!$A:$A,"Quantity (units)")+SUMIFS('Source 2025'!$E:$E,'Source 2025'!$B:$B,$A413,'Source 2025'!$A:$A,"Quantity (units)")+SUMIFS('Source 2025'!$F:$F,'Source 2025'!$B:$B,$A413,'Source 2025'!$A:$A,"Quantity (units)")+SUMIFS('Source 2025'!$G:$G,'Source 2025'!$B:$B,$A413,'Source 2025'!$A:$A,"Quantity (units)")+SUMIFS('Source 2025'!$J:$J,'Source 2025'!$B:$B,$A413,'Source 2025'!$A:$A,"Quantity (units)")+SUMIFS('Source 2025'!$M:$M,'Source 2025'!$B:$B,$A413,'Source 2025'!$A:$A,"Quantity (units)")</f>
        <v>8</v>
      </c>
      <c r="D413" s="8" t="n">
        <f aca="false">SUMIFS('Source 2026'!$D:$D,'Source 2026'!$B:$B,$A413,'Source 2026'!$A:$A,"Quantity (units)")+SUMIFS('Source 2026'!$E:$E,'Source 2026'!$B:$B,$A413,'Source 2026'!$A:$A,"Quantity (units)")+SUMIFS('Source 2026'!$F:$F,'Source 2026'!$B:$B,$A413,'Source 2026'!$A:$A,"Quantity (units)")+SUMIFS('Source 2026'!$G:$G,'Source 2026'!$B:$B,$A413,'Source 2026'!$A:$A,"Quantity (units)")+SUMIFS('Source 2026'!$J:$J,'Source 2026'!$B:$B,$A413,'Source 2026'!$A:$A,"Quantity (units)")+SUMIFS('Source 2026'!$M:$M,'Source 2026'!$B:$B,$A413,'Source 2026'!$A:$A,"Quantity (units)")</f>
        <v>6</v>
      </c>
      <c r="E413" s="8" t="n">
        <f aca="false">D413*$J$5</f>
        <v>8.22857142857143</v>
      </c>
      <c r="F413" s="8" t="n">
        <f aca="false">E413-C413</f>
        <v>0.228571428571428</v>
      </c>
      <c r="G413" s="9" t="n">
        <f aca="false">IF(AND(C413=0,E413=0),0,IF(C413=0,"New",(E413-C413)/C413))</f>
        <v>0.0285714285714285</v>
      </c>
      <c r="H413" s="8" t="n">
        <f aca="false">SUMIFS('Source 2025'!$D:$D,'Source 2025'!$B:$B,$A413,'Source 2025'!$A:$A,"Amount (NIS)")+SUMIFS('Source 2025'!$E:$E,'Source 2025'!$B:$B,$A413,'Source 2025'!$A:$A,"Amount (NIS)")+SUMIFS('Source 2025'!$F:$F,'Source 2025'!$B:$B,$A413,'Source 2025'!$A:$A,"Amount (NIS)")+SUMIFS('Source 2025'!$G:$G,'Source 2025'!$B:$B,$A413,'Source 2025'!$A:$A,"Amount (NIS)")+SUMIFS('Source 2025'!$J:$J,'Source 2025'!$B:$B,$A413,'Source 2025'!$A:$A,"Amount (NIS)")+SUMIFS('Source 2025'!$M:$M,'Source 2025'!$B:$B,$A413,'Source 2025'!$A:$A,"Amount (NIS)")</f>
        <v>1118.9</v>
      </c>
      <c r="I413" s="8" t="n">
        <f aca="false">SUMIFS('Source 2026'!$D:$D,'Source 2026'!$B:$B,$A413,'Source 2026'!$A:$A,"Amount (NIS)")+SUMIFS('Source 2026'!$E:$E,'Source 2026'!$B:$B,$A413,'Source 2026'!$A:$A,"Amount (NIS)")+SUMIFS('Source 2026'!$F:$F,'Source 2026'!$B:$B,$A413,'Source 2026'!$A:$A,"Amount (NIS)")+SUMIFS('Source 2026'!$G:$G,'Source 2026'!$B:$B,$A413,'Source 2026'!$A:$A,"Amount (NIS)")+SUMIFS('Source 2026'!$J:$J,'Source 2026'!$B:$B,$A413,'Source 2026'!$A:$A,"Amount (NIS)")+SUMIFS('Source 2026'!$M:$M,'Source 2026'!$B:$B,$A413,'Source 2026'!$A:$A,"Amount (NIS)")</f>
        <v>920.9</v>
      </c>
      <c r="J413" s="8" t="n">
        <f aca="false">I413*$J$5</f>
        <v>1262.94857142857</v>
      </c>
      <c r="K413" s="8" t="n">
        <f aca="false">J413-H413</f>
        <v>144.048571428571</v>
      </c>
      <c r="L413" s="9" t="n">
        <f aca="false">IF(AND(H413=0,J413=0),0,IF(H413=0,"New",(J413-H413)/H413))</f>
        <v>0.128741238205891</v>
      </c>
    </row>
    <row r="414" customFormat="false" ht="15" hidden="false" customHeight="false" outlineLevel="0" collapsed="false">
      <c r="A414" s="7" t="n">
        <v>4408229</v>
      </c>
      <c r="B414" s="7" t="str">
        <f aca="false">IFERROR(INDEX('Source 2026'!$C:$C,MATCH($A414,'Source 2026'!$B:$B,0)),IFERROR(INDEX('Source 2025'!$C:$C,MATCH($A414,'Source 2025'!$B:$B,0)),""))</f>
        <v>XXL 11אפורUGחגורת בטן</v>
      </c>
      <c r="C414" s="8" t="n">
        <f aca="false">SUMIFS('Source 2025'!$D:$D,'Source 2025'!$B:$B,$A414,'Source 2025'!$A:$A,"Quantity (units)")+SUMIFS('Source 2025'!$E:$E,'Source 2025'!$B:$B,$A414,'Source 2025'!$A:$A,"Quantity (units)")+SUMIFS('Source 2025'!$F:$F,'Source 2025'!$B:$B,$A414,'Source 2025'!$A:$A,"Quantity (units)")+SUMIFS('Source 2025'!$G:$G,'Source 2025'!$B:$B,$A414,'Source 2025'!$A:$A,"Quantity (units)")+SUMIFS('Source 2025'!$J:$J,'Source 2025'!$B:$B,$A414,'Source 2025'!$A:$A,"Quantity (units)")+SUMIFS('Source 2025'!$M:$M,'Source 2025'!$B:$B,$A414,'Source 2025'!$A:$A,"Quantity (units)")</f>
        <v>1</v>
      </c>
      <c r="D414" s="8" t="n">
        <f aca="false">SUMIFS('Source 2026'!$D:$D,'Source 2026'!$B:$B,$A414,'Source 2026'!$A:$A,"Quantity (units)")+SUMIFS('Source 2026'!$E:$E,'Source 2026'!$B:$B,$A414,'Source 2026'!$A:$A,"Quantity (units)")+SUMIFS('Source 2026'!$F:$F,'Source 2026'!$B:$B,$A414,'Source 2026'!$A:$A,"Quantity (units)")+SUMIFS('Source 2026'!$G:$G,'Source 2026'!$B:$B,$A414,'Source 2026'!$A:$A,"Quantity (units)")+SUMIFS('Source 2026'!$J:$J,'Source 2026'!$B:$B,$A414,'Source 2026'!$A:$A,"Quantity (units)")+SUMIFS('Source 2026'!$M:$M,'Source 2026'!$B:$B,$A414,'Source 2026'!$A:$A,"Quantity (units)")</f>
        <v>-1</v>
      </c>
      <c r="E414" s="8" t="n">
        <f aca="false">D414*$J$5</f>
        <v>-1.37142857142857</v>
      </c>
      <c r="F414" s="8" t="n">
        <f aca="false">E414-C414</f>
        <v>-2.37142857142857</v>
      </c>
      <c r="G414" s="9" t="n">
        <f aca="false">IF(AND(C414=0,E414=0),0,IF(C414=0,"New",(E414-C414)/C414))</f>
        <v>-2.37142857142857</v>
      </c>
      <c r="H414" s="8" t="n">
        <f aca="false">SUMIFS('Source 2025'!$D:$D,'Source 2025'!$B:$B,$A414,'Source 2025'!$A:$A,"Amount (NIS)")+SUMIFS('Source 2025'!$E:$E,'Source 2025'!$B:$B,$A414,'Source 2025'!$A:$A,"Amount (NIS)")+SUMIFS('Source 2025'!$F:$F,'Source 2025'!$B:$B,$A414,'Source 2025'!$A:$A,"Amount (NIS)")+SUMIFS('Source 2025'!$G:$G,'Source 2025'!$B:$B,$A414,'Source 2025'!$A:$A,"Amount (NIS)")+SUMIFS('Source 2025'!$J:$J,'Source 2025'!$B:$B,$A414,'Source 2025'!$A:$A,"Amount (NIS)")+SUMIFS('Source 2025'!$M:$M,'Source 2025'!$B:$B,$A414,'Source 2025'!$A:$A,"Amount (NIS)")</f>
        <v>103.1</v>
      </c>
      <c r="I414" s="8" t="n">
        <f aca="false">SUMIFS('Source 2026'!$D:$D,'Source 2026'!$B:$B,$A414,'Source 2026'!$A:$A,"Amount (NIS)")+SUMIFS('Source 2026'!$E:$E,'Source 2026'!$B:$B,$A414,'Source 2026'!$A:$A,"Amount (NIS)")+SUMIFS('Source 2026'!$F:$F,'Source 2026'!$B:$B,$A414,'Source 2026'!$A:$A,"Amount (NIS)")+SUMIFS('Source 2026'!$G:$G,'Source 2026'!$B:$B,$A414,'Source 2026'!$A:$A,"Amount (NIS)")+SUMIFS('Source 2026'!$J:$J,'Source 2026'!$B:$B,$A414,'Source 2026'!$A:$A,"Amount (NIS)")+SUMIFS('Source 2026'!$M:$M,'Source 2026'!$B:$B,$A414,'Source 2026'!$A:$A,"Amount (NIS)")</f>
        <v>-92.8</v>
      </c>
      <c r="J414" s="8" t="n">
        <f aca="false">I414*$J$5</f>
        <v>-127.268571428571</v>
      </c>
      <c r="K414" s="8" t="n">
        <f aca="false">J414-H414</f>
        <v>-230.368571428571</v>
      </c>
      <c r="L414" s="9" t="n">
        <f aca="false">IF(AND(H414=0,J414=0),0,IF(H414=0,"New",(J414-H414)/H414))</f>
        <v>-2.23441873354579</v>
      </c>
    </row>
    <row r="415" customFormat="false" ht="15" hidden="false" customHeight="false" outlineLevel="0" collapsed="false">
      <c r="A415" s="7" t="n">
        <v>4415091</v>
      </c>
      <c r="B415" s="7" t="str">
        <f aca="false">IFERROR(INDEX('Source 2026'!$C:$C,MATCH($A415,'Source 2026'!$B:$B,0)),IFERROR(INDEX('Source 2025'!$C:$C,MATCH($A415,'Source 2025'!$B:$B,0)),""))</f>
        <v>27L XLסד ליד שמאל</v>
      </c>
      <c r="C415" s="8" t="n">
        <f aca="false">SUMIFS('Source 2025'!$D:$D,'Source 2025'!$B:$B,$A415,'Source 2025'!$A:$A,"Quantity (units)")+SUMIFS('Source 2025'!$E:$E,'Source 2025'!$B:$B,$A415,'Source 2025'!$A:$A,"Quantity (units)")+SUMIFS('Source 2025'!$F:$F,'Source 2025'!$B:$B,$A415,'Source 2025'!$A:$A,"Quantity (units)")+SUMIFS('Source 2025'!$G:$G,'Source 2025'!$B:$B,$A415,'Source 2025'!$A:$A,"Quantity (units)")+SUMIFS('Source 2025'!$J:$J,'Source 2025'!$B:$B,$A415,'Source 2025'!$A:$A,"Quantity (units)")+SUMIFS('Source 2025'!$M:$M,'Source 2025'!$B:$B,$A415,'Source 2025'!$A:$A,"Quantity (units)")</f>
        <v>0</v>
      </c>
      <c r="D415" s="8" t="n">
        <f aca="false">SUMIFS('Source 2026'!$D:$D,'Source 2026'!$B:$B,$A415,'Source 2026'!$A:$A,"Quantity (units)")+SUMIFS('Source 2026'!$E:$E,'Source 2026'!$B:$B,$A415,'Source 2026'!$A:$A,"Quantity (units)")+SUMIFS('Source 2026'!$F:$F,'Source 2026'!$B:$B,$A415,'Source 2026'!$A:$A,"Quantity (units)")+SUMIFS('Source 2026'!$G:$G,'Source 2026'!$B:$B,$A415,'Source 2026'!$A:$A,"Quantity (units)")+SUMIFS('Source 2026'!$J:$J,'Source 2026'!$B:$B,$A415,'Source 2026'!$A:$A,"Quantity (units)")+SUMIFS('Source 2026'!$M:$M,'Source 2026'!$B:$B,$A415,'Source 2026'!$A:$A,"Quantity (units)")</f>
        <v>-2</v>
      </c>
      <c r="E415" s="8" t="n">
        <f aca="false">D415*$J$5</f>
        <v>-2.74285714285714</v>
      </c>
      <c r="F415" s="8" t="n">
        <f aca="false">E415-C415</f>
        <v>-2.74285714285714</v>
      </c>
      <c r="G415" s="9" t="str">
        <f aca="false">IF(AND(C415=0,E415=0),0,IF(C415=0,"New",(E415-C415)/C415))</f>
        <v>New</v>
      </c>
      <c r="H415" s="8" t="n">
        <f aca="false">SUMIFS('Source 2025'!$D:$D,'Source 2025'!$B:$B,$A415,'Source 2025'!$A:$A,"Amount (NIS)")+SUMIFS('Source 2025'!$E:$E,'Source 2025'!$B:$B,$A415,'Source 2025'!$A:$A,"Amount (NIS)")+SUMIFS('Source 2025'!$F:$F,'Source 2025'!$B:$B,$A415,'Source 2025'!$A:$A,"Amount (NIS)")+SUMIFS('Source 2025'!$G:$G,'Source 2025'!$B:$B,$A415,'Source 2025'!$A:$A,"Amount (NIS)")+SUMIFS('Source 2025'!$J:$J,'Source 2025'!$B:$B,$A415,'Source 2025'!$A:$A,"Amount (NIS)")+SUMIFS('Source 2025'!$M:$M,'Source 2025'!$B:$B,$A415,'Source 2025'!$A:$A,"Amount (NIS)")</f>
        <v>0</v>
      </c>
      <c r="I415" s="8" t="n">
        <f aca="false">SUMIFS('Source 2026'!$D:$D,'Source 2026'!$B:$B,$A415,'Source 2026'!$A:$A,"Amount (NIS)")+SUMIFS('Source 2026'!$E:$E,'Source 2026'!$B:$B,$A415,'Source 2026'!$A:$A,"Amount (NIS)")+SUMIFS('Source 2026'!$F:$F,'Source 2026'!$B:$B,$A415,'Source 2026'!$A:$A,"Amount (NIS)")+SUMIFS('Source 2026'!$G:$G,'Source 2026'!$B:$B,$A415,'Source 2026'!$A:$A,"Amount (NIS)")+SUMIFS('Source 2026'!$J:$J,'Source 2026'!$B:$B,$A415,'Source 2026'!$A:$A,"Amount (NIS)")+SUMIFS('Source 2026'!$M:$M,'Source 2026'!$B:$B,$A415,'Source 2026'!$A:$A,"Amount (NIS)")</f>
        <v>-194</v>
      </c>
      <c r="J415" s="8" t="n">
        <f aca="false">I415*$J$5</f>
        <v>-266.057142857143</v>
      </c>
      <c r="K415" s="8" t="n">
        <f aca="false">J415-H415</f>
        <v>-266.057142857143</v>
      </c>
      <c r="L415" s="9" t="str">
        <f aca="false">IF(AND(H415=0,J415=0),0,IF(H415=0,"New",(J415-H415)/H415))</f>
        <v>New</v>
      </c>
    </row>
    <row r="416" customFormat="false" ht="15" hidden="false" customHeight="false" outlineLevel="0" collapsed="false">
      <c r="A416" s="7" t="n">
        <v>4413421</v>
      </c>
      <c r="B416" s="7" t="str">
        <f aca="false">IFERROR(INDEX('Source 2026'!$C:$C,MATCH($A416,'Source 2026'!$B:$B,0)),IFERROR(INDEX('Source 2025'!$C:$C,MATCH($A416,'Source 2025'!$B:$B,0)),""))</f>
        <v>SC35L  M מגן קרסול שמאל</v>
      </c>
      <c r="C416" s="8" t="n">
        <f aca="false">SUMIFS('Source 2025'!$D:$D,'Source 2025'!$B:$B,$A416,'Source 2025'!$A:$A,"Quantity (units)")+SUMIFS('Source 2025'!$E:$E,'Source 2025'!$B:$B,$A416,'Source 2025'!$A:$A,"Quantity (units)")+SUMIFS('Source 2025'!$F:$F,'Source 2025'!$B:$B,$A416,'Source 2025'!$A:$A,"Quantity (units)")+SUMIFS('Source 2025'!$G:$G,'Source 2025'!$B:$B,$A416,'Source 2025'!$A:$A,"Quantity (units)")+SUMIFS('Source 2025'!$J:$J,'Source 2025'!$B:$B,$A416,'Source 2025'!$A:$A,"Quantity (units)")+SUMIFS('Source 2025'!$M:$M,'Source 2025'!$B:$B,$A416,'Source 2025'!$A:$A,"Quantity (units)")</f>
        <v>6</v>
      </c>
      <c r="D416" s="8" t="n">
        <f aca="false">SUMIFS('Source 2026'!$D:$D,'Source 2026'!$B:$B,$A416,'Source 2026'!$A:$A,"Quantity (units)")+SUMIFS('Source 2026'!$E:$E,'Source 2026'!$B:$B,$A416,'Source 2026'!$A:$A,"Quantity (units)")+SUMIFS('Source 2026'!$F:$F,'Source 2026'!$B:$B,$A416,'Source 2026'!$A:$A,"Quantity (units)")+SUMIFS('Source 2026'!$G:$G,'Source 2026'!$B:$B,$A416,'Source 2026'!$A:$A,"Quantity (units)")+SUMIFS('Source 2026'!$J:$J,'Source 2026'!$B:$B,$A416,'Source 2026'!$A:$A,"Quantity (units)")+SUMIFS('Source 2026'!$M:$M,'Source 2026'!$B:$B,$A416,'Source 2026'!$A:$A,"Quantity (units)")</f>
        <v>3</v>
      </c>
      <c r="E416" s="8" t="n">
        <f aca="false">D416*$J$5</f>
        <v>4.11428571428571</v>
      </c>
      <c r="F416" s="8" t="n">
        <f aca="false">E416-C416</f>
        <v>-1.88571428571429</v>
      </c>
      <c r="G416" s="9" t="n">
        <f aca="false">IF(AND(C416=0,E416=0),0,IF(C416=0,"New",(E416-C416)/C416))</f>
        <v>-0.314285714285714</v>
      </c>
      <c r="H416" s="8" t="n">
        <f aca="false">SUMIFS('Source 2025'!$D:$D,'Source 2025'!$B:$B,$A416,'Source 2025'!$A:$A,"Amount (NIS)")+SUMIFS('Source 2025'!$E:$E,'Source 2025'!$B:$B,$A416,'Source 2025'!$A:$A,"Amount (NIS)")+SUMIFS('Source 2025'!$F:$F,'Source 2025'!$B:$B,$A416,'Source 2025'!$A:$A,"Amount (NIS)")+SUMIFS('Source 2025'!$G:$G,'Source 2025'!$B:$B,$A416,'Source 2025'!$A:$A,"Amount (NIS)")+SUMIFS('Source 2025'!$J:$J,'Source 2025'!$B:$B,$A416,'Source 2025'!$A:$A,"Amount (NIS)")+SUMIFS('Source 2025'!$M:$M,'Source 2025'!$B:$B,$A416,'Source 2025'!$A:$A,"Amount (NIS)")</f>
        <v>490.3</v>
      </c>
      <c r="I416" s="8" t="n">
        <f aca="false">SUMIFS('Source 2026'!$D:$D,'Source 2026'!$B:$B,$A416,'Source 2026'!$A:$A,"Amount (NIS)")+SUMIFS('Source 2026'!$E:$E,'Source 2026'!$B:$B,$A416,'Source 2026'!$A:$A,"Amount (NIS)")+SUMIFS('Source 2026'!$F:$F,'Source 2026'!$B:$B,$A416,'Source 2026'!$A:$A,"Amount (NIS)")+SUMIFS('Source 2026'!$G:$G,'Source 2026'!$B:$B,$A416,'Source 2026'!$A:$A,"Amount (NIS)")+SUMIFS('Source 2026'!$J:$J,'Source 2026'!$B:$B,$A416,'Source 2026'!$A:$A,"Amount (NIS)")+SUMIFS('Source 2026'!$M:$M,'Source 2026'!$B:$B,$A416,'Source 2026'!$A:$A,"Amount (NIS)")</f>
        <v>299.1</v>
      </c>
      <c r="J416" s="8" t="n">
        <f aca="false">I416*$J$5</f>
        <v>410.194285714286</v>
      </c>
      <c r="K416" s="8" t="n">
        <f aca="false">J416-H416</f>
        <v>-80.1057142857143</v>
      </c>
      <c r="L416" s="9" t="n">
        <f aca="false">IF(AND(H416=0,J416=0),0,IF(H416=0,"New",(J416-H416)/H416))</f>
        <v>-0.163381020366539</v>
      </c>
    </row>
    <row r="417" customFormat="false" ht="15" hidden="false" customHeight="false" outlineLevel="0" collapsed="false">
      <c r="A417" s="7" t="n">
        <v>4413283</v>
      </c>
      <c r="B417" s="7" t="str">
        <f aca="false">IFERROR(INDEX('Source 2026'!$C:$C,MATCH($A417,'Source 2026'!$B:$B,0)),IFERROR(INDEX('Source 2025'!$C:$C,MATCH($A417,'Source 2025'!$B:$B,0)),""))</f>
        <v>422E XXL מגן ברך ארוך עם כרית</v>
      </c>
      <c r="C417" s="8" t="n">
        <f aca="false">SUMIFS('Source 2025'!$D:$D,'Source 2025'!$B:$B,$A417,'Source 2025'!$A:$A,"Quantity (units)")+SUMIFS('Source 2025'!$E:$E,'Source 2025'!$B:$B,$A417,'Source 2025'!$A:$A,"Quantity (units)")+SUMIFS('Source 2025'!$F:$F,'Source 2025'!$B:$B,$A417,'Source 2025'!$A:$A,"Quantity (units)")+SUMIFS('Source 2025'!$G:$G,'Source 2025'!$B:$B,$A417,'Source 2025'!$A:$A,"Quantity (units)")+SUMIFS('Source 2025'!$J:$J,'Source 2025'!$B:$B,$A417,'Source 2025'!$A:$A,"Quantity (units)")+SUMIFS('Source 2025'!$M:$M,'Source 2025'!$B:$B,$A417,'Source 2025'!$A:$A,"Quantity (units)")</f>
        <v>1</v>
      </c>
      <c r="D417" s="8" t="n">
        <f aca="false">SUMIFS('Source 2026'!$D:$D,'Source 2026'!$B:$B,$A417,'Source 2026'!$A:$A,"Quantity (units)")+SUMIFS('Source 2026'!$E:$E,'Source 2026'!$B:$B,$A417,'Source 2026'!$A:$A,"Quantity (units)")+SUMIFS('Source 2026'!$F:$F,'Source 2026'!$B:$B,$A417,'Source 2026'!$A:$A,"Quantity (units)")+SUMIFS('Source 2026'!$G:$G,'Source 2026'!$B:$B,$A417,'Source 2026'!$A:$A,"Quantity (units)")+SUMIFS('Source 2026'!$J:$J,'Source 2026'!$B:$B,$A417,'Source 2026'!$A:$A,"Quantity (units)")+SUMIFS('Source 2026'!$M:$M,'Source 2026'!$B:$B,$A417,'Source 2026'!$A:$A,"Quantity (units)")</f>
        <v>0</v>
      </c>
      <c r="E417" s="8" t="n">
        <f aca="false">D417*$J$5</f>
        <v>0</v>
      </c>
      <c r="F417" s="8" t="n">
        <f aca="false">E417-C417</f>
        <v>-1</v>
      </c>
      <c r="G417" s="9" t="n">
        <f aca="false">IF(AND(C417=0,E417=0),0,IF(C417=0,"New",(E417-C417)/C417))</f>
        <v>-1</v>
      </c>
      <c r="H417" s="8" t="n">
        <f aca="false">SUMIFS('Source 2025'!$D:$D,'Source 2025'!$B:$B,$A417,'Source 2025'!$A:$A,"Amount (NIS)")+SUMIFS('Source 2025'!$E:$E,'Source 2025'!$B:$B,$A417,'Source 2025'!$A:$A,"Amount (NIS)")+SUMIFS('Source 2025'!$F:$F,'Source 2025'!$B:$B,$A417,'Source 2025'!$A:$A,"Amount (NIS)")+SUMIFS('Source 2025'!$G:$G,'Source 2025'!$B:$B,$A417,'Source 2025'!$A:$A,"Amount (NIS)")+SUMIFS('Source 2025'!$J:$J,'Source 2025'!$B:$B,$A417,'Source 2025'!$A:$A,"Amount (NIS)")+SUMIFS('Source 2025'!$M:$M,'Source 2025'!$B:$B,$A417,'Source 2025'!$A:$A,"Amount (NIS)")</f>
        <v>189.8</v>
      </c>
      <c r="I417" s="8" t="n">
        <f aca="false">SUMIFS('Source 2026'!$D:$D,'Source 2026'!$B:$B,$A417,'Source 2026'!$A:$A,"Amount (NIS)")+SUMIFS('Source 2026'!$E:$E,'Source 2026'!$B:$B,$A417,'Source 2026'!$A:$A,"Amount (NIS)")+SUMIFS('Source 2026'!$F:$F,'Source 2026'!$B:$B,$A417,'Source 2026'!$A:$A,"Amount (NIS)")+SUMIFS('Source 2026'!$G:$G,'Source 2026'!$B:$B,$A417,'Source 2026'!$A:$A,"Amount (NIS)")+SUMIFS('Source 2026'!$J:$J,'Source 2026'!$B:$B,$A417,'Source 2026'!$A:$A,"Amount (NIS)")+SUMIFS('Source 2026'!$M:$M,'Source 2026'!$B:$B,$A417,'Source 2026'!$A:$A,"Amount (NIS)")</f>
        <v>0</v>
      </c>
      <c r="J417" s="8" t="n">
        <f aca="false">I417*$J$5</f>
        <v>0</v>
      </c>
      <c r="K417" s="8" t="n">
        <f aca="false">J417-H417</f>
        <v>-189.8</v>
      </c>
      <c r="L417" s="9" t="n">
        <f aca="false">IF(AND(H417=0,J417=0),0,IF(H417=0,"New",(J417-H417)/H417))</f>
        <v>-1</v>
      </c>
    </row>
    <row r="418" customFormat="false" ht="15" hidden="false" customHeight="false" outlineLevel="0" collapsed="false">
      <c r="A418" s="7" t="n">
        <v>4408091</v>
      </c>
      <c r="B418" s="7" t="str">
        <f aca="false">IFERROR(INDEX('Source 2026'!$C:$C,MATCH($A418,'Source 2026'!$B:$B,0)),IFERROR(INDEX('Source 2025'!$C:$C,MATCH($A418,'Source 2025'!$B:$B,0)),""))</f>
        <v>T11C M  חגורת גב פוג'יאמה</v>
      </c>
      <c r="C418" s="8" t="n">
        <f aca="false">SUMIFS('Source 2025'!$D:$D,'Source 2025'!$B:$B,$A418,'Source 2025'!$A:$A,"Quantity (units)")+SUMIFS('Source 2025'!$E:$E,'Source 2025'!$B:$B,$A418,'Source 2025'!$A:$A,"Quantity (units)")+SUMIFS('Source 2025'!$F:$F,'Source 2025'!$B:$B,$A418,'Source 2025'!$A:$A,"Quantity (units)")+SUMIFS('Source 2025'!$G:$G,'Source 2025'!$B:$B,$A418,'Source 2025'!$A:$A,"Quantity (units)")+SUMIFS('Source 2025'!$J:$J,'Source 2025'!$B:$B,$A418,'Source 2025'!$A:$A,"Quantity (units)")+SUMIFS('Source 2025'!$M:$M,'Source 2025'!$B:$B,$A418,'Source 2025'!$A:$A,"Quantity (units)")</f>
        <v>0</v>
      </c>
      <c r="D418" s="8" t="n">
        <f aca="false">SUMIFS('Source 2026'!$D:$D,'Source 2026'!$B:$B,$A418,'Source 2026'!$A:$A,"Quantity (units)")+SUMIFS('Source 2026'!$E:$E,'Source 2026'!$B:$B,$A418,'Source 2026'!$A:$A,"Quantity (units)")+SUMIFS('Source 2026'!$F:$F,'Source 2026'!$B:$B,$A418,'Source 2026'!$A:$A,"Quantity (units)")+SUMIFS('Source 2026'!$G:$G,'Source 2026'!$B:$B,$A418,'Source 2026'!$A:$A,"Quantity (units)")+SUMIFS('Source 2026'!$J:$J,'Source 2026'!$B:$B,$A418,'Source 2026'!$A:$A,"Quantity (units)")+SUMIFS('Source 2026'!$M:$M,'Source 2026'!$B:$B,$A418,'Source 2026'!$A:$A,"Quantity (units)")</f>
        <v>2</v>
      </c>
      <c r="E418" s="8" t="n">
        <f aca="false">D418*$J$5</f>
        <v>2.74285714285714</v>
      </c>
      <c r="F418" s="8" t="n">
        <f aca="false">E418-C418</f>
        <v>2.74285714285714</v>
      </c>
      <c r="G418" s="9" t="str">
        <f aca="false">IF(AND(C418=0,E418=0),0,IF(C418=0,"New",(E418-C418)/C418))</f>
        <v>New</v>
      </c>
      <c r="H418" s="8" t="n">
        <f aca="false">SUMIFS('Source 2025'!$D:$D,'Source 2025'!$B:$B,$A418,'Source 2025'!$A:$A,"Amount (NIS)")+SUMIFS('Source 2025'!$E:$E,'Source 2025'!$B:$B,$A418,'Source 2025'!$A:$A,"Amount (NIS)")+SUMIFS('Source 2025'!$F:$F,'Source 2025'!$B:$B,$A418,'Source 2025'!$A:$A,"Amount (NIS)")+SUMIFS('Source 2025'!$G:$G,'Source 2025'!$B:$B,$A418,'Source 2025'!$A:$A,"Amount (NIS)")+SUMIFS('Source 2025'!$J:$J,'Source 2025'!$B:$B,$A418,'Source 2025'!$A:$A,"Amount (NIS)")+SUMIFS('Source 2025'!$M:$M,'Source 2025'!$B:$B,$A418,'Source 2025'!$A:$A,"Amount (NIS)")</f>
        <v>0.1</v>
      </c>
      <c r="I418" s="8" t="n">
        <f aca="false">SUMIFS('Source 2026'!$D:$D,'Source 2026'!$B:$B,$A418,'Source 2026'!$A:$A,"Amount (NIS)")+SUMIFS('Source 2026'!$E:$E,'Source 2026'!$B:$B,$A418,'Source 2026'!$A:$A,"Amount (NIS)")+SUMIFS('Source 2026'!$F:$F,'Source 2026'!$B:$B,$A418,'Source 2026'!$A:$A,"Amount (NIS)")+SUMIFS('Source 2026'!$G:$G,'Source 2026'!$B:$B,$A418,'Source 2026'!$A:$A,"Amount (NIS)")+SUMIFS('Source 2026'!$J:$J,'Source 2026'!$B:$B,$A418,'Source 2026'!$A:$A,"Amount (NIS)")+SUMIFS('Source 2026'!$M:$M,'Source 2026'!$B:$B,$A418,'Source 2026'!$A:$A,"Amount (NIS)")</f>
        <v>189.3</v>
      </c>
      <c r="J418" s="8" t="n">
        <f aca="false">I418*$J$5</f>
        <v>259.611428571429</v>
      </c>
      <c r="K418" s="8" t="n">
        <f aca="false">J418-H418</f>
        <v>259.511428571429</v>
      </c>
      <c r="L418" s="9" t="n">
        <f aca="false">IF(AND(H418=0,J418=0),0,IF(H418=0,"New",(J418-H418)/H418))</f>
        <v>2595.11428571429</v>
      </c>
    </row>
    <row r="419" customFormat="false" ht="15" hidden="false" customHeight="false" outlineLevel="0" collapsed="false">
      <c r="A419" s="7" t="n">
        <v>4413176</v>
      </c>
      <c r="B419" s="7" t="str">
        <f aca="false">IFERROR(INDEX('Source 2026'!$C:$C,MATCH($A419,'Source 2026'!$B:$B,0)),IFERROR(INDEX('Source 2025'!$C:$C,MATCH($A419,'Source 2025'!$B:$B,0)),""))</f>
        <v>85+ Lמתלה ליד)כיס(+רצועת חיזוק</v>
      </c>
      <c r="C419" s="8" t="n">
        <f aca="false">SUMIFS('Source 2025'!$D:$D,'Source 2025'!$B:$B,$A419,'Source 2025'!$A:$A,"Quantity (units)")+SUMIFS('Source 2025'!$E:$E,'Source 2025'!$B:$B,$A419,'Source 2025'!$A:$A,"Quantity (units)")+SUMIFS('Source 2025'!$F:$F,'Source 2025'!$B:$B,$A419,'Source 2025'!$A:$A,"Quantity (units)")+SUMIFS('Source 2025'!$G:$G,'Source 2025'!$B:$B,$A419,'Source 2025'!$A:$A,"Quantity (units)")+SUMIFS('Source 2025'!$J:$J,'Source 2025'!$B:$B,$A419,'Source 2025'!$A:$A,"Quantity (units)")+SUMIFS('Source 2025'!$M:$M,'Source 2025'!$B:$B,$A419,'Source 2025'!$A:$A,"Quantity (units)")</f>
        <v>3</v>
      </c>
      <c r="D419" s="8" t="n">
        <f aca="false">SUMIFS('Source 2026'!$D:$D,'Source 2026'!$B:$B,$A419,'Source 2026'!$A:$A,"Quantity (units)")+SUMIFS('Source 2026'!$E:$E,'Source 2026'!$B:$B,$A419,'Source 2026'!$A:$A,"Quantity (units)")+SUMIFS('Source 2026'!$F:$F,'Source 2026'!$B:$B,$A419,'Source 2026'!$A:$A,"Quantity (units)")+SUMIFS('Source 2026'!$G:$G,'Source 2026'!$B:$B,$A419,'Source 2026'!$A:$A,"Quantity (units)")+SUMIFS('Source 2026'!$J:$J,'Source 2026'!$B:$B,$A419,'Source 2026'!$A:$A,"Quantity (units)")+SUMIFS('Source 2026'!$M:$M,'Source 2026'!$B:$B,$A419,'Source 2026'!$A:$A,"Quantity (units)")</f>
        <v>1</v>
      </c>
      <c r="E419" s="8" t="n">
        <f aca="false">D419*$J$5</f>
        <v>1.37142857142857</v>
      </c>
      <c r="F419" s="8" t="n">
        <f aca="false">E419-C419</f>
        <v>-1.62857142857143</v>
      </c>
      <c r="G419" s="9" t="n">
        <f aca="false">IF(AND(C419=0,E419=0),0,IF(C419=0,"New",(E419-C419)/C419))</f>
        <v>-0.542857142857143</v>
      </c>
      <c r="H419" s="8" t="n">
        <f aca="false">SUMIFS('Source 2025'!$D:$D,'Source 2025'!$B:$B,$A419,'Source 2025'!$A:$A,"Amount (NIS)")+SUMIFS('Source 2025'!$E:$E,'Source 2025'!$B:$B,$A419,'Source 2025'!$A:$A,"Amount (NIS)")+SUMIFS('Source 2025'!$F:$F,'Source 2025'!$B:$B,$A419,'Source 2025'!$A:$A,"Amount (NIS)")+SUMIFS('Source 2025'!$G:$G,'Source 2025'!$B:$B,$A419,'Source 2025'!$A:$A,"Amount (NIS)")+SUMIFS('Source 2025'!$J:$J,'Source 2025'!$B:$B,$A419,'Source 2025'!$A:$A,"Amount (NIS)")+SUMIFS('Source 2025'!$M:$M,'Source 2025'!$B:$B,$A419,'Source 2025'!$A:$A,"Amount (NIS)")</f>
        <v>283.8</v>
      </c>
      <c r="I419" s="8" t="n">
        <f aca="false">SUMIFS('Source 2026'!$D:$D,'Source 2026'!$B:$B,$A419,'Source 2026'!$A:$A,"Amount (NIS)")+SUMIFS('Source 2026'!$E:$E,'Source 2026'!$B:$B,$A419,'Source 2026'!$A:$A,"Amount (NIS)")+SUMIFS('Source 2026'!$F:$F,'Source 2026'!$B:$B,$A419,'Source 2026'!$A:$A,"Amount (NIS)")+SUMIFS('Source 2026'!$G:$G,'Source 2026'!$B:$B,$A419,'Source 2026'!$A:$A,"Amount (NIS)")+SUMIFS('Source 2026'!$J:$J,'Source 2026'!$B:$B,$A419,'Source 2026'!$A:$A,"Amount (NIS)")+SUMIFS('Source 2026'!$M:$M,'Source 2026'!$B:$B,$A419,'Source 2026'!$A:$A,"Amount (NIS)")</f>
        <v>94.6</v>
      </c>
      <c r="J419" s="8" t="n">
        <f aca="false">I419*$J$5</f>
        <v>129.737142857143</v>
      </c>
      <c r="K419" s="8" t="n">
        <f aca="false">J419-H419</f>
        <v>-154.062857142857</v>
      </c>
      <c r="L419" s="9" t="n">
        <f aca="false">IF(AND(H419=0,J419=0),0,IF(H419=0,"New",(J419-H419)/H419))</f>
        <v>-0.542857142857143</v>
      </c>
    </row>
    <row r="420" customFormat="false" ht="15" hidden="false" customHeight="false" outlineLevel="0" collapsed="false">
      <c r="A420" s="7" t="n">
        <v>4408075</v>
      </c>
      <c r="B420" s="7" t="str">
        <f aca="false">IFERROR(INDEX('Source 2026'!$C:$C,MATCH($A420,'Source 2026'!$B:$B,0)),IFERROR(INDEX('Source 2025'!$C:$C,MATCH($A420,'Source 2025'!$B:$B,0)),""))</f>
        <v>59L S חגורת שבר לצד שמאל</v>
      </c>
      <c r="C420" s="8" t="n">
        <f aca="false">SUMIFS('Source 2025'!$D:$D,'Source 2025'!$B:$B,$A420,'Source 2025'!$A:$A,"Quantity (units)")+SUMIFS('Source 2025'!$E:$E,'Source 2025'!$B:$B,$A420,'Source 2025'!$A:$A,"Quantity (units)")+SUMIFS('Source 2025'!$F:$F,'Source 2025'!$B:$B,$A420,'Source 2025'!$A:$A,"Quantity (units)")+SUMIFS('Source 2025'!$G:$G,'Source 2025'!$B:$B,$A420,'Source 2025'!$A:$A,"Quantity (units)")+SUMIFS('Source 2025'!$J:$J,'Source 2025'!$B:$B,$A420,'Source 2025'!$A:$A,"Quantity (units)")+SUMIFS('Source 2025'!$M:$M,'Source 2025'!$B:$B,$A420,'Source 2025'!$A:$A,"Quantity (units)")</f>
        <v>0</v>
      </c>
      <c r="D420" s="8" t="n">
        <f aca="false">SUMIFS('Source 2026'!$D:$D,'Source 2026'!$B:$B,$A420,'Source 2026'!$A:$A,"Quantity (units)")+SUMIFS('Source 2026'!$E:$E,'Source 2026'!$B:$B,$A420,'Source 2026'!$A:$A,"Quantity (units)")+SUMIFS('Source 2026'!$F:$F,'Source 2026'!$B:$B,$A420,'Source 2026'!$A:$A,"Quantity (units)")+SUMIFS('Source 2026'!$G:$G,'Source 2026'!$B:$B,$A420,'Source 2026'!$A:$A,"Quantity (units)")+SUMIFS('Source 2026'!$J:$J,'Source 2026'!$B:$B,$A420,'Source 2026'!$A:$A,"Quantity (units)")+SUMIFS('Source 2026'!$M:$M,'Source 2026'!$B:$B,$A420,'Source 2026'!$A:$A,"Quantity (units)")</f>
        <v>1</v>
      </c>
      <c r="E420" s="8" t="n">
        <f aca="false">D420*$J$5</f>
        <v>1.37142857142857</v>
      </c>
      <c r="F420" s="8" t="n">
        <f aca="false">E420-C420</f>
        <v>1.37142857142857</v>
      </c>
      <c r="G420" s="9" t="str">
        <f aca="false">IF(AND(C420=0,E420=0),0,IF(C420=0,"New",(E420-C420)/C420))</f>
        <v>New</v>
      </c>
      <c r="H420" s="8" t="n">
        <f aca="false">SUMIFS('Source 2025'!$D:$D,'Source 2025'!$B:$B,$A420,'Source 2025'!$A:$A,"Amount (NIS)")+SUMIFS('Source 2025'!$E:$E,'Source 2025'!$B:$B,$A420,'Source 2025'!$A:$A,"Amount (NIS)")+SUMIFS('Source 2025'!$F:$F,'Source 2025'!$B:$B,$A420,'Source 2025'!$A:$A,"Amount (NIS)")+SUMIFS('Source 2025'!$G:$G,'Source 2025'!$B:$B,$A420,'Source 2025'!$A:$A,"Amount (NIS)")+SUMIFS('Source 2025'!$J:$J,'Source 2025'!$B:$B,$A420,'Source 2025'!$A:$A,"Amount (NIS)")+SUMIFS('Source 2025'!$M:$M,'Source 2025'!$B:$B,$A420,'Source 2025'!$A:$A,"Amount (NIS)")</f>
        <v>0</v>
      </c>
      <c r="I420" s="8" t="n">
        <f aca="false">SUMIFS('Source 2026'!$D:$D,'Source 2026'!$B:$B,$A420,'Source 2026'!$A:$A,"Amount (NIS)")+SUMIFS('Source 2026'!$E:$E,'Source 2026'!$B:$B,$A420,'Source 2026'!$A:$A,"Amount (NIS)")+SUMIFS('Source 2026'!$F:$F,'Source 2026'!$B:$B,$A420,'Source 2026'!$A:$A,"Amount (NIS)")+SUMIFS('Source 2026'!$G:$G,'Source 2026'!$B:$B,$A420,'Source 2026'!$A:$A,"Amount (NIS)")+SUMIFS('Source 2026'!$J:$J,'Source 2026'!$B:$B,$A420,'Source 2026'!$A:$A,"Amount (NIS)")+SUMIFS('Source 2026'!$M:$M,'Source 2026'!$B:$B,$A420,'Source 2026'!$A:$A,"Amount (NIS)")</f>
        <v>187.4</v>
      </c>
      <c r="J420" s="8" t="n">
        <f aca="false">I420*$J$5</f>
        <v>257.005714285714</v>
      </c>
      <c r="K420" s="8" t="n">
        <f aca="false">J420-H420</f>
        <v>257.005714285714</v>
      </c>
      <c r="L420" s="9" t="str">
        <f aca="false">IF(AND(H420=0,J420=0),0,IF(H420=0,"New",(J420-H420)/H420))</f>
        <v>New</v>
      </c>
    </row>
    <row r="421" customFormat="false" ht="15" hidden="false" customHeight="false" outlineLevel="0" collapsed="false">
      <c r="A421" s="7" t="n">
        <v>4408078</v>
      </c>
      <c r="B421" s="7" t="str">
        <f aca="false">IFERROR(INDEX('Source 2026'!$C:$C,MATCH($A421,'Source 2026'!$B:$B,0)),IFERROR(INDEX('Source 2025'!$C:$C,MATCH($A421,'Source 2025'!$B:$B,0)),""))</f>
        <v>59L XLחגורת שבר לצד שמאל</v>
      </c>
      <c r="C421" s="8" t="n">
        <f aca="false">SUMIFS('Source 2025'!$D:$D,'Source 2025'!$B:$B,$A421,'Source 2025'!$A:$A,"Quantity (units)")+SUMIFS('Source 2025'!$E:$E,'Source 2025'!$B:$B,$A421,'Source 2025'!$A:$A,"Quantity (units)")+SUMIFS('Source 2025'!$F:$F,'Source 2025'!$B:$B,$A421,'Source 2025'!$A:$A,"Quantity (units)")+SUMIFS('Source 2025'!$G:$G,'Source 2025'!$B:$B,$A421,'Source 2025'!$A:$A,"Quantity (units)")+SUMIFS('Source 2025'!$J:$J,'Source 2025'!$B:$B,$A421,'Source 2025'!$A:$A,"Quantity (units)")+SUMIFS('Source 2025'!$M:$M,'Source 2025'!$B:$B,$A421,'Source 2025'!$A:$A,"Quantity (units)")</f>
        <v>0</v>
      </c>
      <c r="D421" s="8" t="n">
        <f aca="false">SUMIFS('Source 2026'!$D:$D,'Source 2026'!$B:$B,$A421,'Source 2026'!$A:$A,"Quantity (units)")+SUMIFS('Source 2026'!$E:$E,'Source 2026'!$B:$B,$A421,'Source 2026'!$A:$A,"Quantity (units)")+SUMIFS('Source 2026'!$F:$F,'Source 2026'!$B:$B,$A421,'Source 2026'!$A:$A,"Quantity (units)")+SUMIFS('Source 2026'!$G:$G,'Source 2026'!$B:$B,$A421,'Source 2026'!$A:$A,"Quantity (units)")+SUMIFS('Source 2026'!$J:$J,'Source 2026'!$B:$B,$A421,'Source 2026'!$A:$A,"Quantity (units)")+SUMIFS('Source 2026'!$M:$M,'Source 2026'!$B:$B,$A421,'Source 2026'!$A:$A,"Quantity (units)")</f>
        <v>1</v>
      </c>
      <c r="E421" s="8" t="n">
        <f aca="false">D421*$J$5</f>
        <v>1.37142857142857</v>
      </c>
      <c r="F421" s="8" t="n">
        <f aca="false">E421-C421</f>
        <v>1.37142857142857</v>
      </c>
      <c r="G421" s="9" t="str">
        <f aca="false">IF(AND(C421=0,E421=0),0,IF(C421=0,"New",(E421-C421)/C421))</f>
        <v>New</v>
      </c>
      <c r="H421" s="8" t="n">
        <f aca="false">SUMIFS('Source 2025'!$D:$D,'Source 2025'!$B:$B,$A421,'Source 2025'!$A:$A,"Amount (NIS)")+SUMIFS('Source 2025'!$E:$E,'Source 2025'!$B:$B,$A421,'Source 2025'!$A:$A,"Amount (NIS)")+SUMIFS('Source 2025'!$F:$F,'Source 2025'!$B:$B,$A421,'Source 2025'!$A:$A,"Amount (NIS)")+SUMIFS('Source 2025'!$G:$G,'Source 2025'!$B:$B,$A421,'Source 2025'!$A:$A,"Amount (NIS)")+SUMIFS('Source 2025'!$J:$J,'Source 2025'!$B:$B,$A421,'Source 2025'!$A:$A,"Amount (NIS)")+SUMIFS('Source 2025'!$M:$M,'Source 2025'!$B:$B,$A421,'Source 2025'!$A:$A,"Amount (NIS)")</f>
        <v>0</v>
      </c>
      <c r="I421" s="8" t="n">
        <f aca="false">SUMIFS('Source 2026'!$D:$D,'Source 2026'!$B:$B,$A421,'Source 2026'!$A:$A,"Amount (NIS)")+SUMIFS('Source 2026'!$E:$E,'Source 2026'!$B:$B,$A421,'Source 2026'!$A:$A,"Amount (NIS)")+SUMIFS('Source 2026'!$F:$F,'Source 2026'!$B:$B,$A421,'Source 2026'!$A:$A,"Amount (NIS)")+SUMIFS('Source 2026'!$G:$G,'Source 2026'!$B:$B,$A421,'Source 2026'!$A:$A,"Amount (NIS)")+SUMIFS('Source 2026'!$J:$J,'Source 2026'!$B:$B,$A421,'Source 2026'!$A:$A,"Amount (NIS)")+SUMIFS('Source 2026'!$M:$M,'Source 2026'!$B:$B,$A421,'Source 2026'!$A:$A,"Amount (NIS)")</f>
        <v>187.4</v>
      </c>
      <c r="J421" s="8" t="n">
        <f aca="false">I421*$J$5</f>
        <v>257.005714285714</v>
      </c>
      <c r="K421" s="8" t="n">
        <f aca="false">J421-H421</f>
        <v>257.005714285714</v>
      </c>
      <c r="L421" s="9" t="str">
        <f aca="false">IF(AND(H421=0,J421=0),0,IF(H421=0,"New",(J421-H421)/H421))</f>
        <v>New</v>
      </c>
    </row>
    <row r="422" customFormat="false" ht="15" hidden="false" customHeight="false" outlineLevel="0" collapsed="false">
      <c r="A422" s="7" t="n">
        <v>4408081</v>
      </c>
      <c r="B422" s="7" t="str">
        <f aca="false">IFERROR(INDEX('Source 2026'!$C:$C,MATCH($A422,'Source 2026'!$B:$B,0)),IFERROR(INDEX('Source 2025'!$C:$C,MATCH($A422,'Source 2025'!$B:$B,0)),""))</f>
        <v>59R M חגורת שבר לצד ימין</v>
      </c>
      <c r="C422" s="8" t="n">
        <f aca="false">SUMIFS('Source 2025'!$D:$D,'Source 2025'!$B:$B,$A422,'Source 2025'!$A:$A,"Quantity (units)")+SUMIFS('Source 2025'!$E:$E,'Source 2025'!$B:$B,$A422,'Source 2025'!$A:$A,"Quantity (units)")+SUMIFS('Source 2025'!$F:$F,'Source 2025'!$B:$B,$A422,'Source 2025'!$A:$A,"Quantity (units)")+SUMIFS('Source 2025'!$G:$G,'Source 2025'!$B:$B,$A422,'Source 2025'!$A:$A,"Quantity (units)")+SUMIFS('Source 2025'!$J:$J,'Source 2025'!$B:$B,$A422,'Source 2025'!$A:$A,"Quantity (units)")+SUMIFS('Source 2025'!$M:$M,'Source 2025'!$B:$B,$A422,'Source 2025'!$A:$A,"Quantity (units)")</f>
        <v>7</v>
      </c>
      <c r="D422" s="8" t="n">
        <f aca="false">SUMIFS('Source 2026'!$D:$D,'Source 2026'!$B:$B,$A422,'Source 2026'!$A:$A,"Quantity (units)")+SUMIFS('Source 2026'!$E:$E,'Source 2026'!$B:$B,$A422,'Source 2026'!$A:$A,"Quantity (units)")+SUMIFS('Source 2026'!$F:$F,'Source 2026'!$B:$B,$A422,'Source 2026'!$A:$A,"Quantity (units)")+SUMIFS('Source 2026'!$G:$G,'Source 2026'!$B:$B,$A422,'Source 2026'!$A:$A,"Quantity (units)")+SUMIFS('Source 2026'!$J:$J,'Source 2026'!$B:$B,$A422,'Source 2026'!$A:$A,"Quantity (units)")+SUMIFS('Source 2026'!$M:$M,'Source 2026'!$B:$B,$A422,'Source 2026'!$A:$A,"Quantity (units)")</f>
        <v>6</v>
      </c>
      <c r="E422" s="8" t="n">
        <f aca="false">D422*$J$5</f>
        <v>8.22857142857143</v>
      </c>
      <c r="F422" s="8" t="n">
        <f aca="false">E422-C422</f>
        <v>1.22857142857143</v>
      </c>
      <c r="G422" s="9" t="n">
        <f aca="false">IF(AND(C422=0,E422=0),0,IF(C422=0,"New",(E422-C422)/C422))</f>
        <v>0.175510204081633</v>
      </c>
      <c r="H422" s="8" t="n">
        <f aca="false">SUMIFS('Source 2025'!$D:$D,'Source 2025'!$B:$B,$A422,'Source 2025'!$A:$A,"Amount (NIS)")+SUMIFS('Source 2025'!$E:$E,'Source 2025'!$B:$B,$A422,'Source 2025'!$A:$A,"Amount (NIS)")+SUMIFS('Source 2025'!$F:$F,'Source 2025'!$B:$B,$A422,'Source 2025'!$A:$A,"Amount (NIS)")+SUMIFS('Source 2025'!$G:$G,'Source 2025'!$B:$B,$A422,'Source 2025'!$A:$A,"Amount (NIS)")+SUMIFS('Source 2025'!$J:$J,'Source 2025'!$B:$B,$A422,'Source 2025'!$A:$A,"Amount (NIS)")+SUMIFS('Source 2025'!$M:$M,'Source 2025'!$B:$B,$A422,'Source 2025'!$A:$A,"Amount (NIS)")</f>
        <v>1274.6</v>
      </c>
      <c r="I422" s="8" t="n">
        <f aca="false">SUMIFS('Source 2026'!$D:$D,'Source 2026'!$B:$B,$A422,'Source 2026'!$A:$A,"Amount (NIS)")+SUMIFS('Source 2026'!$E:$E,'Source 2026'!$B:$B,$A422,'Source 2026'!$A:$A,"Amount (NIS)")+SUMIFS('Source 2026'!$F:$F,'Source 2026'!$B:$B,$A422,'Source 2026'!$A:$A,"Amount (NIS)")+SUMIFS('Source 2026'!$G:$G,'Source 2026'!$B:$B,$A422,'Source 2026'!$A:$A,"Amount (NIS)")+SUMIFS('Source 2026'!$J:$J,'Source 2026'!$B:$B,$A422,'Source 2026'!$A:$A,"Amount (NIS)")+SUMIFS('Source 2026'!$M:$M,'Source 2026'!$B:$B,$A422,'Source 2026'!$A:$A,"Amount (NIS)")</f>
        <v>1087.2</v>
      </c>
      <c r="J422" s="8" t="n">
        <f aca="false">I422*$J$5</f>
        <v>1491.01714285714</v>
      </c>
      <c r="K422" s="8" t="n">
        <f aca="false">J422-H422</f>
        <v>216.417142857143</v>
      </c>
      <c r="L422" s="9" t="n">
        <f aca="false">IF(AND(H422=0,J422=0),0,IF(H422=0,"New",(J422-H422)/H422))</f>
        <v>0.169792203716572</v>
      </c>
    </row>
    <row r="423" customFormat="false" ht="15" hidden="false" customHeight="false" outlineLevel="0" collapsed="false">
      <c r="A423" s="7" t="n">
        <v>4413425</v>
      </c>
      <c r="B423" s="7" t="str">
        <f aca="false">IFERROR(INDEX('Source 2026'!$C:$C,MATCH($A423,'Source 2026'!$B:$B,0)),IFERROR(INDEX('Source 2025'!$C:$C,MATCH($A423,'Source 2025'!$B:$B,0)),""))</f>
        <v>SC35R  M מגן קרסול ימין</v>
      </c>
      <c r="C423" s="8" t="n">
        <f aca="false">SUMIFS('Source 2025'!$D:$D,'Source 2025'!$B:$B,$A423,'Source 2025'!$A:$A,"Quantity (units)")+SUMIFS('Source 2025'!$E:$E,'Source 2025'!$B:$B,$A423,'Source 2025'!$A:$A,"Quantity (units)")+SUMIFS('Source 2025'!$F:$F,'Source 2025'!$B:$B,$A423,'Source 2025'!$A:$A,"Quantity (units)")+SUMIFS('Source 2025'!$G:$G,'Source 2025'!$B:$B,$A423,'Source 2025'!$A:$A,"Quantity (units)")+SUMIFS('Source 2025'!$J:$J,'Source 2025'!$B:$B,$A423,'Source 2025'!$A:$A,"Quantity (units)")+SUMIFS('Source 2025'!$M:$M,'Source 2025'!$B:$B,$A423,'Source 2025'!$A:$A,"Quantity (units)")</f>
        <v>9</v>
      </c>
      <c r="D423" s="8" t="n">
        <f aca="false">SUMIFS('Source 2026'!$D:$D,'Source 2026'!$B:$B,$A423,'Source 2026'!$A:$A,"Quantity (units)")+SUMIFS('Source 2026'!$E:$E,'Source 2026'!$B:$B,$A423,'Source 2026'!$A:$A,"Quantity (units)")+SUMIFS('Source 2026'!$F:$F,'Source 2026'!$B:$B,$A423,'Source 2026'!$A:$A,"Quantity (units)")+SUMIFS('Source 2026'!$G:$G,'Source 2026'!$B:$B,$A423,'Source 2026'!$A:$A,"Quantity (units)")+SUMIFS('Source 2026'!$J:$J,'Source 2026'!$B:$B,$A423,'Source 2026'!$A:$A,"Quantity (units)")+SUMIFS('Source 2026'!$M:$M,'Source 2026'!$B:$B,$A423,'Source 2026'!$A:$A,"Quantity (units)")</f>
        <v>10</v>
      </c>
      <c r="E423" s="8" t="n">
        <f aca="false">D423*$J$5</f>
        <v>13.7142857142857</v>
      </c>
      <c r="F423" s="8" t="n">
        <f aca="false">E423-C423</f>
        <v>4.71428571428572</v>
      </c>
      <c r="G423" s="9" t="n">
        <f aca="false">IF(AND(C423=0,E423=0),0,IF(C423=0,"New",(E423-C423)/C423))</f>
        <v>0.523809523809524</v>
      </c>
      <c r="H423" s="8" t="n">
        <f aca="false">SUMIFS('Source 2025'!$D:$D,'Source 2025'!$B:$B,$A423,'Source 2025'!$A:$A,"Amount (NIS)")+SUMIFS('Source 2025'!$E:$E,'Source 2025'!$B:$B,$A423,'Source 2025'!$A:$A,"Amount (NIS)")+SUMIFS('Source 2025'!$F:$F,'Source 2025'!$B:$B,$A423,'Source 2025'!$A:$A,"Amount (NIS)")+SUMIFS('Source 2025'!$G:$G,'Source 2025'!$B:$B,$A423,'Source 2025'!$A:$A,"Amount (NIS)")+SUMIFS('Source 2025'!$J:$J,'Source 2025'!$B:$B,$A423,'Source 2025'!$A:$A,"Amount (NIS)")+SUMIFS('Source 2025'!$M:$M,'Source 2025'!$B:$B,$A423,'Source 2025'!$A:$A,"Amount (NIS)")</f>
        <v>724.8</v>
      </c>
      <c r="I423" s="8" t="n">
        <f aca="false">SUMIFS('Source 2026'!$D:$D,'Source 2026'!$B:$B,$A423,'Source 2026'!$A:$A,"Amount (NIS)")+SUMIFS('Source 2026'!$E:$E,'Source 2026'!$B:$B,$A423,'Source 2026'!$A:$A,"Amount (NIS)")+SUMIFS('Source 2026'!$F:$F,'Source 2026'!$B:$B,$A423,'Source 2026'!$A:$A,"Amount (NIS)")+SUMIFS('Source 2026'!$G:$G,'Source 2026'!$B:$B,$A423,'Source 2026'!$A:$A,"Amount (NIS)")+SUMIFS('Source 2026'!$J:$J,'Source 2026'!$B:$B,$A423,'Source 2026'!$A:$A,"Amount (NIS)")+SUMIFS('Source 2026'!$M:$M,'Source 2026'!$B:$B,$A423,'Source 2026'!$A:$A,"Amount (NIS)")</f>
        <v>911.7</v>
      </c>
      <c r="J423" s="8" t="n">
        <f aca="false">I423*$J$5</f>
        <v>1250.33142857143</v>
      </c>
      <c r="K423" s="8" t="n">
        <f aca="false">J423-H423</f>
        <v>525.531428571429</v>
      </c>
      <c r="L423" s="9" t="n">
        <f aca="false">IF(AND(H423=0,J423=0),0,IF(H423=0,"New",(J423-H423)/H423))</f>
        <v>0.725070955534532</v>
      </c>
    </row>
    <row r="424" customFormat="false" ht="15" hidden="false" customHeight="false" outlineLevel="0" collapsed="false">
      <c r="A424" s="7" t="n">
        <v>4408062</v>
      </c>
      <c r="B424" s="7" t="str">
        <f aca="false">IFERROR(INDEX('Source 2026'!$C:$C,MATCH($A424,'Source 2026'!$B:$B,0)),IFERROR(INDEX('Source 2025'!$C:$C,MATCH($A424,'Source 2025'!$B:$B,0)),""))</f>
        <v>25 XL חבק יד אגודלי</v>
      </c>
      <c r="C424" s="8" t="n">
        <f aca="false">SUMIFS('Source 2025'!$D:$D,'Source 2025'!$B:$B,$A424,'Source 2025'!$A:$A,"Quantity (units)")+SUMIFS('Source 2025'!$E:$E,'Source 2025'!$B:$B,$A424,'Source 2025'!$A:$A,"Quantity (units)")+SUMIFS('Source 2025'!$F:$F,'Source 2025'!$B:$B,$A424,'Source 2025'!$A:$A,"Quantity (units)")+SUMIFS('Source 2025'!$G:$G,'Source 2025'!$B:$B,$A424,'Source 2025'!$A:$A,"Quantity (units)")+SUMIFS('Source 2025'!$J:$J,'Source 2025'!$B:$B,$A424,'Source 2025'!$A:$A,"Quantity (units)")+SUMIFS('Source 2025'!$M:$M,'Source 2025'!$B:$B,$A424,'Source 2025'!$A:$A,"Quantity (units)")</f>
        <v>2</v>
      </c>
      <c r="D424" s="8" t="n">
        <f aca="false">SUMIFS('Source 2026'!$D:$D,'Source 2026'!$B:$B,$A424,'Source 2026'!$A:$A,"Quantity (units)")+SUMIFS('Source 2026'!$E:$E,'Source 2026'!$B:$B,$A424,'Source 2026'!$A:$A,"Quantity (units)")+SUMIFS('Source 2026'!$F:$F,'Source 2026'!$B:$B,$A424,'Source 2026'!$A:$A,"Quantity (units)")+SUMIFS('Source 2026'!$G:$G,'Source 2026'!$B:$B,$A424,'Source 2026'!$A:$A,"Quantity (units)")+SUMIFS('Source 2026'!$J:$J,'Source 2026'!$B:$B,$A424,'Source 2026'!$A:$A,"Quantity (units)")+SUMIFS('Source 2026'!$M:$M,'Source 2026'!$B:$B,$A424,'Source 2026'!$A:$A,"Quantity (units)")</f>
        <v>-1</v>
      </c>
      <c r="E424" s="8" t="n">
        <f aca="false">D424*$J$5</f>
        <v>-1.37142857142857</v>
      </c>
      <c r="F424" s="8" t="n">
        <f aca="false">E424-C424</f>
        <v>-3.37142857142857</v>
      </c>
      <c r="G424" s="9" t="n">
        <f aca="false">IF(AND(C424=0,E424=0),0,IF(C424=0,"New",(E424-C424)/C424))</f>
        <v>-1.68571428571429</v>
      </c>
      <c r="H424" s="8" t="n">
        <f aca="false">SUMIFS('Source 2025'!$D:$D,'Source 2025'!$B:$B,$A424,'Source 2025'!$A:$A,"Amount (NIS)")+SUMIFS('Source 2025'!$E:$E,'Source 2025'!$B:$B,$A424,'Source 2025'!$A:$A,"Amount (NIS)")+SUMIFS('Source 2025'!$F:$F,'Source 2025'!$B:$B,$A424,'Source 2025'!$A:$A,"Amount (NIS)")+SUMIFS('Source 2025'!$G:$G,'Source 2025'!$B:$B,$A424,'Source 2025'!$A:$A,"Amount (NIS)")+SUMIFS('Source 2025'!$J:$J,'Source 2025'!$B:$B,$A424,'Source 2025'!$A:$A,"Amount (NIS)")+SUMIFS('Source 2025'!$M:$M,'Source 2025'!$B:$B,$A424,'Source 2025'!$A:$A,"Amount (NIS)")</f>
        <v>132.3</v>
      </c>
      <c r="I424" s="8" t="n">
        <f aca="false">SUMIFS('Source 2026'!$D:$D,'Source 2026'!$B:$B,$A424,'Source 2026'!$A:$A,"Amount (NIS)")+SUMIFS('Source 2026'!$E:$E,'Source 2026'!$B:$B,$A424,'Source 2026'!$A:$A,"Amount (NIS)")+SUMIFS('Source 2026'!$F:$F,'Source 2026'!$B:$B,$A424,'Source 2026'!$A:$A,"Amount (NIS)")+SUMIFS('Source 2026'!$G:$G,'Source 2026'!$B:$B,$A424,'Source 2026'!$A:$A,"Amount (NIS)")+SUMIFS('Source 2026'!$J:$J,'Source 2026'!$B:$B,$A424,'Source 2026'!$A:$A,"Amount (NIS)")+SUMIFS('Source 2026'!$M:$M,'Source 2026'!$B:$B,$A424,'Source 2026'!$A:$A,"Amount (NIS)")</f>
        <v>-53.2</v>
      </c>
      <c r="J424" s="8" t="n">
        <f aca="false">I424*$J$5</f>
        <v>-72.96</v>
      </c>
      <c r="K424" s="8" t="n">
        <f aca="false">J424-H424</f>
        <v>-205.26</v>
      </c>
      <c r="L424" s="9" t="n">
        <f aca="false">IF(AND(H424=0,J424=0),0,IF(H424=0,"New",(J424-H424)/H424))</f>
        <v>-1.55147392290249</v>
      </c>
    </row>
    <row r="425" customFormat="false" ht="15" hidden="false" customHeight="false" outlineLevel="0" collapsed="false">
      <c r="A425" s="7" t="n">
        <v>4413278</v>
      </c>
      <c r="B425" s="7" t="str">
        <f aca="false">IFERROR(INDEX('Source 2026'!$C:$C,MATCH($A425,'Source 2026'!$B:$B,0)),IFERROR(INDEX('Source 2025'!$C:$C,MATCH($A425,'Source 2025'!$B:$B,0)),""))</f>
        <v>LF377 S-מדרס סיליקון לנעלי עקב</v>
      </c>
      <c r="C425" s="8" t="n">
        <f aca="false">SUMIFS('Source 2025'!$D:$D,'Source 2025'!$B:$B,$A425,'Source 2025'!$A:$A,"Quantity (units)")+SUMIFS('Source 2025'!$E:$E,'Source 2025'!$B:$B,$A425,'Source 2025'!$A:$A,"Quantity (units)")+SUMIFS('Source 2025'!$F:$F,'Source 2025'!$B:$B,$A425,'Source 2025'!$A:$A,"Quantity (units)")+SUMIFS('Source 2025'!$G:$G,'Source 2025'!$B:$B,$A425,'Source 2025'!$A:$A,"Quantity (units)")+SUMIFS('Source 2025'!$J:$J,'Source 2025'!$B:$B,$A425,'Source 2025'!$A:$A,"Quantity (units)")+SUMIFS('Source 2025'!$M:$M,'Source 2025'!$B:$B,$A425,'Source 2025'!$A:$A,"Quantity (units)")</f>
        <v>5</v>
      </c>
      <c r="D425" s="8" t="n">
        <f aca="false">SUMIFS('Source 2026'!$D:$D,'Source 2026'!$B:$B,$A425,'Source 2026'!$A:$A,"Quantity (units)")+SUMIFS('Source 2026'!$E:$E,'Source 2026'!$B:$B,$A425,'Source 2026'!$A:$A,"Quantity (units)")+SUMIFS('Source 2026'!$F:$F,'Source 2026'!$B:$B,$A425,'Source 2026'!$A:$A,"Quantity (units)")+SUMIFS('Source 2026'!$G:$G,'Source 2026'!$B:$B,$A425,'Source 2026'!$A:$A,"Quantity (units)")+SUMIFS('Source 2026'!$J:$J,'Source 2026'!$B:$B,$A425,'Source 2026'!$A:$A,"Quantity (units)")+SUMIFS('Source 2026'!$M:$M,'Source 2026'!$B:$B,$A425,'Source 2026'!$A:$A,"Quantity (units)")</f>
        <v>1</v>
      </c>
      <c r="E425" s="8" t="n">
        <f aca="false">D425*$J$5</f>
        <v>1.37142857142857</v>
      </c>
      <c r="F425" s="8" t="n">
        <f aca="false">E425-C425</f>
        <v>-3.62857142857143</v>
      </c>
      <c r="G425" s="9" t="n">
        <f aca="false">IF(AND(C425=0,E425=0),0,IF(C425=0,"New",(E425-C425)/C425))</f>
        <v>-0.725714285714286</v>
      </c>
      <c r="H425" s="8" t="n">
        <f aca="false">SUMIFS('Source 2025'!$D:$D,'Source 2025'!$B:$B,$A425,'Source 2025'!$A:$A,"Amount (NIS)")+SUMIFS('Source 2025'!$E:$E,'Source 2025'!$B:$B,$A425,'Source 2025'!$A:$A,"Amount (NIS)")+SUMIFS('Source 2025'!$F:$F,'Source 2025'!$B:$B,$A425,'Source 2025'!$A:$A,"Amount (NIS)")+SUMIFS('Source 2025'!$G:$G,'Source 2025'!$B:$B,$A425,'Source 2025'!$A:$A,"Amount (NIS)")+SUMIFS('Source 2025'!$J:$J,'Source 2025'!$B:$B,$A425,'Source 2025'!$A:$A,"Amount (NIS)")+SUMIFS('Source 2025'!$M:$M,'Source 2025'!$B:$B,$A425,'Source 2025'!$A:$A,"Amount (NIS)")</f>
        <v>217.5</v>
      </c>
      <c r="I425" s="8" t="n">
        <f aca="false">SUMIFS('Source 2026'!$D:$D,'Source 2026'!$B:$B,$A425,'Source 2026'!$A:$A,"Amount (NIS)")+SUMIFS('Source 2026'!$E:$E,'Source 2026'!$B:$B,$A425,'Source 2026'!$A:$A,"Amount (NIS)")+SUMIFS('Source 2026'!$F:$F,'Source 2026'!$B:$B,$A425,'Source 2026'!$A:$A,"Amount (NIS)")+SUMIFS('Source 2026'!$G:$G,'Source 2026'!$B:$B,$A425,'Source 2026'!$A:$A,"Amount (NIS)")+SUMIFS('Source 2026'!$J:$J,'Source 2026'!$B:$B,$A425,'Source 2026'!$A:$A,"Amount (NIS)")+SUMIFS('Source 2026'!$M:$M,'Source 2026'!$B:$B,$A425,'Source 2026'!$A:$A,"Amount (NIS)")</f>
        <v>34.8</v>
      </c>
      <c r="J425" s="8" t="n">
        <f aca="false">I425*$J$5</f>
        <v>47.7257142857143</v>
      </c>
      <c r="K425" s="8" t="n">
        <f aca="false">J425-H425</f>
        <v>-169.774285714286</v>
      </c>
      <c r="L425" s="9" t="n">
        <f aca="false">IF(AND(H425=0,J425=0),0,IF(H425=0,"New",(J425-H425)/H425))</f>
        <v>-0.780571428571429</v>
      </c>
    </row>
    <row r="426" customFormat="false" ht="15" hidden="false" customHeight="false" outlineLevel="0" collapsed="false">
      <c r="A426" s="7" t="n">
        <v>4408250</v>
      </c>
      <c r="B426" s="7" t="str">
        <f aca="false">IFERROR(INDEX('Source 2026'!$C:$C,MATCH($A426,'Source 2026'!$B:$B,0)),IFERROR(INDEX('Source 2025'!$C:$C,MATCH($A426,'Source 2025'!$B:$B,0)),""))</f>
        <v>SC25 XL חבק יד</v>
      </c>
      <c r="C426" s="8" t="n">
        <f aca="false">SUMIFS('Source 2025'!$D:$D,'Source 2025'!$B:$B,$A426,'Source 2025'!$A:$A,"Quantity (units)")+SUMIFS('Source 2025'!$E:$E,'Source 2025'!$B:$B,$A426,'Source 2025'!$A:$A,"Quantity (units)")+SUMIFS('Source 2025'!$F:$F,'Source 2025'!$B:$B,$A426,'Source 2025'!$A:$A,"Quantity (units)")+SUMIFS('Source 2025'!$G:$G,'Source 2025'!$B:$B,$A426,'Source 2025'!$A:$A,"Quantity (units)")+SUMIFS('Source 2025'!$J:$J,'Source 2025'!$B:$B,$A426,'Source 2025'!$A:$A,"Quantity (units)")+SUMIFS('Source 2025'!$M:$M,'Source 2025'!$B:$B,$A426,'Source 2025'!$A:$A,"Quantity (units)")</f>
        <v>9</v>
      </c>
      <c r="D426" s="8" t="n">
        <f aca="false">SUMIFS('Source 2026'!$D:$D,'Source 2026'!$B:$B,$A426,'Source 2026'!$A:$A,"Quantity (units)")+SUMIFS('Source 2026'!$E:$E,'Source 2026'!$B:$B,$A426,'Source 2026'!$A:$A,"Quantity (units)")+SUMIFS('Source 2026'!$F:$F,'Source 2026'!$B:$B,$A426,'Source 2026'!$A:$A,"Quantity (units)")+SUMIFS('Source 2026'!$G:$G,'Source 2026'!$B:$B,$A426,'Source 2026'!$A:$A,"Quantity (units)")+SUMIFS('Source 2026'!$J:$J,'Source 2026'!$B:$B,$A426,'Source 2026'!$A:$A,"Quantity (units)")+SUMIFS('Source 2026'!$M:$M,'Source 2026'!$B:$B,$A426,'Source 2026'!$A:$A,"Quantity (units)")</f>
        <v>10</v>
      </c>
      <c r="E426" s="8" t="n">
        <f aca="false">D426*$J$5</f>
        <v>13.7142857142857</v>
      </c>
      <c r="F426" s="8" t="n">
        <f aca="false">E426-C426</f>
        <v>4.71428571428572</v>
      </c>
      <c r="G426" s="9" t="n">
        <f aca="false">IF(AND(C426=0,E426=0),0,IF(C426=0,"New",(E426-C426)/C426))</f>
        <v>0.523809523809524</v>
      </c>
      <c r="H426" s="8" t="n">
        <f aca="false">SUMIFS('Source 2025'!$D:$D,'Source 2025'!$B:$B,$A426,'Source 2025'!$A:$A,"Amount (NIS)")+SUMIFS('Source 2025'!$E:$E,'Source 2025'!$B:$B,$A426,'Source 2025'!$A:$A,"Amount (NIS)")+SUMIFS('Source 2025'!$F:$F,'Source 2025'!$B:$B,$A426,'Source 2025'!$A:$A,"Amount (NIS)")+SUMIFS('Source 2025'!$G:$G,'Source 2025'!$B:$B,$A426,'Source 2025'!$A:$A,"Amount (NIS)")+SUMIFS('Source 2025'!$J:$J,'Source 2025'!$B:$B,$A426,'Source 2025'!$A:$A,"Amount (NIS)")+SUMIFS('Source 2025'!$M:$M,'Source 2025'!$B:$B,$A426,'Source 2025'!$A:$A,"Amount (NIS)")</f>
        <v>718.1</v>
      </c>
      <c r="I426" s="8" t="n">
        <f aca="false">SUMIFS('Source 2026'!$D:$D,'Source 2026'!$B:$B,$A426,'Source 2026'!$A:$A,"Amount (NIS)")+SUMIFS('Source 2026'!$E:$E,'Source 2026'!$B:$B,$A426,'Source 2026'!$A:$A,"Amount (NIS)")+SUMIFS('Source 2026'!$F:$F,'Source 2026'!$B:$B,$A426,'Source 2026'!$A:$A,"Amount (NIS)")+SUMIFS('Source 2026'!$G:$G,'Source 2026'!$B:$B,$A426,'Source 2026'!$A:$A,"Amount (NIS)")+SUMIFS('Source 2026'!$J:$J,'Source 2026'!$B:$B,$A426,'Source 2026'!$A:$A,"Amount (NIS)")+SUMIFS('Source 2026'!$M:$M,'Source 2026'!$B:$B,$A426,'Source 2026'!$A:$A,"Amount (NIS)")</f>
        <v>899.2</v>
      </c>
      <c r="J426" s="8" t="n">
        <f aca="false">I426*$J$5</f>
        <v>1233.18857142857</v>
      </c>
      <c r="K426" s="8" t="n">
        <f aca="false">J426-H426</f>
        <v>515.088571428571</v>
      </c>
      <c r="L426" s="9" t="n">
        <f aca="false">IF(AND(H426=0,J426=0),0,IF(H426=0,"New",(J426-H426)/H426))</f>
        <v>0.71729365189886</v>
      </c>
    </row>
    <row r="427" customFormat="false" ht="15" hidden="false" customHeight="false" outlineLevel="0" collapsed="false">
      <c r="A427" s="7" t="n">
        <v>4408069</v>
      </c>
      <c r="B427" s="7" t="str">
        <f aca="false">IFERROR(INDEX('Source 2026'!$C:$C,MATCH($A427,'Source 2026'!$B:$B,0)),IFERROR(INDEX('Source 2025'!$C:$C,MATCH($A427,'Source 2025'!$B:$B,0)),""))</f>
        <v>38 .חבישת""הלוקס ולגוס""לאחר נית</v>
      </c>
      <c r="C427" s="8" t="n">
        <f aca="false">SUMIFS('Source 2025'!$D:$D,'Source 2025'!$B:$B,$A427,'Source 2025'!$A:$A,"Quantity (units)")+SUMIFS('Source 2025'!$E:$E,'Source 2025'!$B:$B,$A427,'Source 2025'!$A:$A,"Quantity (units)")+SUMIFS('Source 2025'!$F:$F,'Source 2025'!$B:$B,$A427,'Source 2025'!$A:$A,"Quantity (units)")+SUMIFS('Source 2025'!$G:$G,'Source 2025'!$B:$B,$A427,'Source 2025'!$A:$A,"Quantity (units)")+SUMIFS('Source 2025'!$J:$J,'Source 2025'!$B:$B,$A427,'Source 2025'!$A:$A,"Quantity (units)")+SUMIFS('Source 2025'!$M:$M,'Source 2025'!$B:$B,$A427,'Source 2025'!$A:$A,"Quantity (units)")</f>
        <v>0</v>
      </c>
      <c r="D427" s="8" t="n">
        <f aca="false">SUMIFS('Source 2026'!$D:$D,'Source 2026'!$B:$B,$A427,'Source 2026'!$A:$A,"Quantity (units)")+SUMIFS('Source 2026'!$E:$E,'Source 2026'!$B:$B,$A427,'Source 2026'!$A:$A,"Quantity (units)")+SUMIFS('Source 2026'!$F:$F,'Source 2026'!$B:$B,$A427,'Source 2026'!$A:$A,"Quantity (units)")+SUMIFS('Source 2026'!$G:$G,'Source 2026'!$B:$B,$A427,'Source 2026'!$A:$A,"Quantity (units)")+SUMIFS('Source 2026'!$J:$J,'Source 2026'!$B:$B,$A427,'Source 2026'!$A:$A,"Quantity (units)")+SUMIFS('Source 2026'!$M:$M,'Source 2026'!$B:$B,$A427,'Source 2026'!$A:$A,"Quantity (units)")</f>
        <v>2</v>
      </c>
      <c r="E427" s="8" t="n">
        <f aca="false">D427*$J$5</f>
        <v>2.74285714285714</v>
      </c>
      <c r="F427" s="8" t="n">
        <f aca="false">E427-C427</f>
        <v>2.74285714285714</v>
      </c>
      <c r="G427" s="9" t="str">
        <f aca="false">IF(AND(C427=0,E427=0),0,IF(C427=0,"New",(E427-C427)/C427))</f>
        <v>New</v>
      </c>
      <c r="H427" s="8" t="n">
        <f aca="false">SUMIFS('Source 2025'!$D:$D,'Source 2025'!$B:$B,$A427,'Source 2025'!$A:$A,"Amount (NIS)")+SUMIFS('Source 2025'!$E:$E,'Source 2025'!$B:$B,$A427,'Source 2025'!$A:$A,"Amount (NIS)")+SUMIFS('Source 2025'!$F:$F,'Source 2025'!$B:$B,$A427,'Source 2025'!$A:$A,"Amount (NIS)")+SUMIFS('Source 2025'!$G:$G,'Source 2025'!$B:$B,$A427,'Source 2025'!$A:$A,"Amount (NIS)")+SUMIFS('Source 2025'!$J:$J,'Source 2025'!$B:$B,$A427,'Source 2025'!$A:$A,"Amount (NIS)")+SUMIFS('Source 2025'!$M:$M,'Source 2025'!$B:$B,$A427,'Source 2025'!$A:$A,"Amount (NIS)")</f>
        <v>0</v>
      </c>
      <c r="I427" s="8" t="n">
        <f aca="false">SUMIFS('Source 2026'!$D:$D,'Source 2026'!$B:$B,$A427,'Source 2026'!$A:$A,"Amount (NIS)")+SUMIFS('Source 2026'!$E:$E,'Source 2026'!$B:$B,$A427,'Source 2026'!$A:$A,"Amount (NIS)")+SUMIFS('Source 2026'!$F:$F,'Source 2026'!$B:$B,$A427,'Source 2026'!$A:$A,"Amount (NIS)")+SUMIFS('Source 2026'!$G:$G,'Source 2026'!$B:$B,$A427,'Source 2026'!$A:$A,"Amount (NIS)")+SUMIFS('Source 2026'!$J:$J,'Source 2026'!$B:$B,$A427,'Source 2026'!$A:$A,"Amount (NIS)")+SUMIFS('Source 2026'!$M:$M,'Source 2026'!$B:$B,$A427,'Source 2026'!$A:$A,"Amount (NIS)")</f>
        <v>178</v>
      </c>
      <c r="J427" s="8" t="n">
        <f aca="false">I427*$J$5</f>
        <v>244.114285714286</v>
      </c>
      <c r="K427" s="8" t="n">
        <f aca="false">J427-H427</f>
        <v>244.114285714286</v>
      </c>
      <c r="L427" s="9" t="str">
        <f aca="false">IF(AND(H427=0,J427=0),0,IF(H427=0,"New",(J427-H427)/H427))</f>
        <v>New</v>
      </c>
    </row>
    <row r="428" customFormat="false" ht="15" hidden="false" customHeight="false" outlineLevel="0" collapsed="false">
      <c r="A428" s="7" t="n">
        <v>4408178</v>
      </c>
      <c r="B428" s="7" t="str">
        <f aca="false">IFERROR(INDEX('Source 2026'!$C:$C,MATCH($A428,'Source 2026'!$B:$B,0)),IFERROR(INDEX('Source 2025'!$C:$C,MATCH($A428,'Source 2025'!$B:$B,0)),""))</f>
        <v>13 L חגורה לשבר טבור</v>
      </c>
      <c r="C428" s="8" t="n">
        <f aca="false">SUMIFS('Source 2025'!$D:$D,'Source 2025'!$B:$B,$A428,'Source 2025'!$A:$A,"Quantity (units)")+SUMIFS('Source 2025'!$E:$E,'Source 2025'!$B:$B,$A428,'Source 2025'!$A:$A,"Quantity (units)")+SUMIFS('Source 2025'!$F:$F,'Source 2025'!$B:$B,$A428,'Source 2025'!$A:$A,"Quantity (units)")+SUMIFS('Source 2025'!$G:$G,'Source 2025'!$B:$B,$A428,'Source 2025'!$A:$A,"Quantity (units)")+SUMIFS('Source 2025'!$J:$J,'Source 2025'!$B:$B,$A428,'Source 2025'!$A:$A,"Quantity (units)")+SUMIFS('Source 2025'!$M:$M,'Source 2025'!$B:$B,$A428,'Source 2025'!$A:$A,"Quantity (units)")</f>
        <v>1</v>
      </c>
      <c r="D428" s="8" t="n">
        <f aca="false">SUMIFS('Source 2026'!$D:$D,'Source 2026'!$B:$B,$A428,'Source 2026'!$A:$A,"Quantity (units)")+SUMIFS('Source 2026'!$E:$E,'Source 2026'!$B:$B,$A428,'Source 2026'!$A:$A,"Quantity (units)")+SUMIFS('Source 2026'!$F:$F,'Source 2026'!$B:$B,$A428,'Source 2026'!$A:$A,"Quantity (units)")+SUMIFS('Source 2026'!$G:$G,'Source 2026'!$B:$B,$A428,'Source 2026'!$A:$A,"Quantity (units)")+SUMIFS('Source 2026'!$J:$J,'Source 2026'!$B:$B,$A428,'Source 2026'!$A:$A,"Quantity (units)")+SUMIFS('Source 2026'!$M:$M,'Source 2026'!$B:$B,$A428,'Source 2026'!$A:$A,"Quantity (units)")</f>
        <v>0</v>
      </c>
      <c r="E428" s="8" t="n">
        <f aca="false">D428*$J$5</f>
        <v>0</v>
      </c>
      <c r="F428" s="8" t="n">
        <f aca="false">E428-C428</f>
        <v>-1</v>
      </c>
      <c r="G428" s="9" t="n">
        <f aca="false">IF(AND(C428=0,E428=0),0,IF(C428=0,"New",(E428-C428)/C428))</f>
        <v>-1</v>
      </c>
      <c r="H428" s="8" t="n">
        <f aca="false">SUMIFS('Source 2025'!$D:$D,'Source 2025'!$B:$B,$A428,'Source 2025'!$A:$A,"Amount (NIS)")+SUMIFS('Source 2025'!$E:$E,'Source 2025'!$B:$B,$A428,'Source 2025'!$A:$A,"Amount (NIS)")+SUMIFS('Source 2025'!$F:$F,'Source 2025'!$B:$B,$A428,'Source 2025'!$A:$A,"Amount (NIS)")+SUMIFS('Source 2025'!$G:$G,'Source 2025'!$B:$B,$A428,'Source 2025'!$A:$A,"Amount (NIS)")+SUMIFS('Source 2025'!$J:$J,'Source 2025'!$B:$B,$A428,'Source 2025'!$A:$A,"Amount (NIS)")+SUMIFS('Source 2025'!$M:$M,'Source 2025'!$B:$B,$A428,'Source 2025'!$A:$A,"Amount (NIS)")</f>
        <v>177.9</v>
      </c>
      <c r="I428" s="8" t="n">
        <f aca="false">SUMIFS('Source 2026'!$D:$D,'Source 2026'!$B:$B,$A428,'Source 2026'!$A:$A,"Amount (NIS)")+SUMIFS('Source 2026'!$E:$E,'Source 2026'!$B:$B,$A428,'Source 2026'!$A:$A,"Amount (NIS)")+SUMIFS('Source 2026'!$F:$F,'Source 2026'!$B:$B,$A428,'Source 2026'!$A:$A,"Amount (NIS)")+SUMIFS('Source 2026'!$G:$G,'Source 2026'!$B:$B,$A428,'Source 2026'!$A:$A,"Amount (NIS)")+SUMIFS('Source 2026'!$J:$J,'Source 2026'!$B:$B,$A428,'Source 2026'!$A:$A,"Amount (NIS)")+SUMIFS('Source 2026'!$M:$M,'Source 2026'!$B:$B,$A428,'Source 2026'!$A:$A,"Amount (NIS)")</f>
        <v>0</v>
      </c>
      <c r="J428" s="8" t="n">
        <f aca="false">I428*$J$5</f>
        <v>0</v>
      </c>
      <c r="K428" s="8" t="n">
        <f aca="false">J428-H428</f>
        <v>-177.9</v>
      </c>
      <c r="L428" s="9" t="n">
        <f aca="false">IF(AND(H428=0,J428=0),0,IF(H428=0,"New",(J428-H428)/H428))</f>
        <v>-1</v>
      </c>
    </row>
    <row r="429" customFormat="false" ht="15" hidden="false" customHeight="false" outlineLevel="0" collapsed="false">
      <c r="A429" s="7" t="n">
        <v>4422007</v>
      </c>
      <c r="B429" s="7" t="str">
        <f aca="false">IFERROR(INDEX('Source 2026'!$C:$C,MATCH($A429,'Source 2026'!$B:$B,0)),IFERROR(INDEX('Source 2025'!$C:$C,MATCH($A429,'Source 2025'!$B:$B,0)),""))</f>
        <v>T78 XLתומך זרוע וכתף</v>
      </c>
      <c r="C429" s="8" t="n">
        <f aca="false">SUMIFS('Source 2025'!$D:$D,'Source 2025'!$B:$B,$A429,'Source 2025'!$A:$A,"Quantity (units)")+SUMIFS('Source 2025'!$E:$E,'Source 2025'!$B:$B,$A429,'Source 2025'!$A:$A,"Quantity (units)")+SUMIFS('Source 2025'!$F:$F,'Source 2025'!$B:$B,$A429,'Source 2025'!$A:$A,"Quantity (units)")+SUMIFS('Source 2025'!$G:$G,'Source 2025'!$B:$B,$A429,'Source 2025'!$A:$A,"Quantity (units)")+SUMIFS('Source 2025'!$J:$J,'Source 2025'!$B:$B,$A429,'Source 2025'!$A:$A,"Quantity (units)")+SUMIFS('Source 2025'!$M:$M,'Source 2025'!$B:$B,$A429,'Source 2025'!$A:$A,"Quantity (units)")</f>
        <v>18</v>
      </c>
      <c r="D429" s="8" t="n">
        <f aca="false">SUMIFS('Source 2026'!$D:$D,'Source 2026'!$B:$B,$A429,'Source 2026'!$A:$A,"Quantity (units)")+SUMIFS('Source 2026'!$E:$E,'Source 2026'!$B:$B,$A429,'Source 2026'!$A:$A,"Quantity (units)")+SUMIFS('Source 2026'!$F:$F,'Source 2026'!$B:$B,$A429,'Source 2026'!$A:$A,"Quantity (units)")+SUMIFS('Source 2026'!$G:$G,'Source 2026'!$B:$B,$A429,'Source 2026'!$A:$A,"Quantity (units)")+SUMIFS('Source 2026'!$J:$J,'Source 2026'!$B:$B,$A429,'Source 2026'!$A:$A,"Quantity (units)")+SUMIFS('Source 2026'!$M:$M,'Source 2026'!$B:$B,$A429,'Source 2026'!$A:$A,"Quantity (units)")</f>
        <v>19</v>
      </c>
      <c r="E429" s="8" t="n">
        <f aca="false">D429*$J$5</f>
        <v>26.0571428571429</v>
      </c>
      <c r="F429" s="8" t="n">
        <f aca="false">E429-C429</f>
        <v>8.05714285714286</v>
      </c>
      <c r="G429" s="9" t="n">
        <f aca="false">IF(AND(C429=0,E429=0),0,IF(C429=0,"New",(E429-C429)/C429))</f>
        <v>0.447619047619048</v>
      </c>
      <c r="H429" s="8" t="n">
        <f aca="false">SUMIFS('Source 2025'!$D:$D,'Source 2025'!$B:$B,$A429,'Source 2025'!$A:$A,"Amount (NIS)")+SUMIFS('Source 2025'!$E:$E,'Source 2025'!$B:$B,$A429,'Source 2025'!$A:$A,"Amount (NIS)")+SUMIFS('Source 2025'!$F:$F,'Source 2025'!$B:$B,$A429,'Source 2025'!$A:$A,"Amount (NIS)")+SUMIFS('Source 2025'!$G:$G,'Source 2025'!$B:$B,$A429,'Source 2025'!$A:$A,"Amount (NIS)")+SUMIFS('Source 2025'!$J:$J,'Source 2025'!$B:$B,$A429,'Source 2025'!$A:$A,"Amount (NIS)")+SUMIFS('Source 2025'!$M:$M,'Source 2025'!$B:$B,$A429,'Source 2025'!$A:$A,"Amount (NIS)")</f>
        <v>3356.7</v>
      </c>
      <c r="I429" s="8" t="n">
        <f aca="false">SUMIFS('Source 2026'!$D:$D,'Source 2026'!$B:$B,$A429,'Source 2026'!$A:$A,"Amount (NIS)")+SUMIFS('Source 2026'!$E:$E,'Source 2026'!$B:$B,$A429,'Source 2026'!$A:$A,"Amount (NIS)")+SUMIFS('Source 2026'!$F:$F,'Source 2026'!$B:$B,$A429,'Source 2026'!$A:$A,"Amount (NIS)")+SUMIFS('Source 2026'!$G:$G,'Source 2026'!$B:$B,$A429,'Source 2026'!$A:$A,"Amount (NIS)")+SUMIFS('Source 2026'!$J:$J,'Source 2026'!$B:$B,$A429,'Source 2026'!$A:$A,"Amount (NIS)")+SUMIFS('Source 2026'!$M:$M,'Source 2026'!$B:$B,$A429,'Source 2026'!$A:$A,"Amount (NIS)")</f>
        <v>3534.2</v>
      </c>
      <c r="J429" s="8" t="n">
        <f aca="false">I429*$J$5</f>
        <v>4846.90285714286</v>
      </c>
      <c r="K429" s="8" t="n">
        <f aca="false">J429-H429</f>
        <v>1490.20285714286</v>
      </c>
      <c r="L429" s="9" t="n">
        <f aca="false">IF(AND(H429=0,J429=0),0,IF(H429=0,"New",(J429-H429)/H429))</f>
        <v>0.443948776221544</v>
      </c>
    </row>
    <row r="430" customFormat="false" ht="15" hidden="false" customHeight="false" outlineLevel="0" collapsed="false">
      <c r="A430" s="7" t="n">
        <v>4413371</v>
      </c>
      <c r="B430" s="7" t="str">
        <f aca="false">IFERROR(INDEX('Source 2026'!$C:$C,MATCH($A430,'Source 2026'!$B:$B,0)),IFERROR(INDEX('Source 2025'!$C:$C,MATCH($A430,'Source 2025'!$B:$B,0)),""))</f>
        <v>3675    מגן זרת מסיליקון</v>
      </c>
      <c r="C430" s="8" t="n">
        <f aca="false">SUMIFS('Source 2025'!$D:$D,'Source 2025'!$B:$B,$A430,'Source 2025'!$A:$A,"Quantity (units)")+SUMIFS('Source 2025'!$E:$E,'Source 2025'!$B:$B,$A430,'Source 2025'!$A:$A,"Quantity (units)")+SUMIFS('Source 2025'!$F:$F,'Source 2025'!$B:$B,$A430,'Source 2025'!$A:$A,"Quantity (units)")+SUMIFS('Source 2025'!$G:$G,'Source 2025'!$B:$B,$A430,'Source 2025'!$A:$A,"Quantity (units)")+SUMIFS('Source 2025'!$J:$J,'Source 2025'!$B:$B,$A430,'Source 2025'!$A:$A,"Quantity (units)")+SUMIFS('Source 2025'!$M:$M,'Source 2025'!$B:$B,$A430,'Source 2025'!$A:$A,"Quantity (units)")</f>
        <v>59</v>
      </c>
      <c r="D430" s="8" t="n">
        <f aca="false">SUMIFS('Source 2026'!$D:$D,'Source 2026'!$B:$B,$A430,'Source 2026'!$A:$A,"Quantity (units)")+SUMIFS('Source 2026'!$E:$E,'Source 2026'!$B:$B,$A430,'Source 2026'!$A:$A,"Quantity (units)")+SUMIFS('Source 2026'!$F:$F,'Source 2026'!$B:$B,$A430,'Source 2026'!$A:$A,"Quantity (units)")+SUMIFS('Source 2026'!$G:$G,'Source 2026'!$B:$B,$A430,'Source 2026'!$A:$A,"Quantity (units)")+SUMIFS('Source 2026'!$J:$J,'Source 2026'!$B:$B,$A430,'Source 2026'!$A:$A,"Quantity (units)")+SUMIFS('Source 2026'!$M:$M,'Source 2026'!$B:$B,$A430,'Source 2026'!$A:$A,"Quantity (units)")</f>
        <v>54</v>
      </c>
      <c r="E430" s="8" t="n">
        <f aca="false">D430*$J$5</f>
        <v>74.0571428571429</v>
      </c>
      <c r="F430" s="8" t="n">
        <f aca="false">E430-C430</f>
        <v>15.0571428571429</v>
      </c>
      <c r="G430" s="9" t="n">
        <f aca="false">IF(AND(C430=0,E430=0),0,IF(C430=0,"New",(E430-C430)/C430))</f>
        <v>0.255205811138015</v>
      </c>
      <c r="H430" s="8" t="n">
        <f aca="false">SUMIFS('Source 2025'!$D:$D,'Source 2025'!$B:$B,$A430,'Source 2025'!$A:$A,"Amount (NIS)")+SUMIFS('Source 2025'!$E:$E,'Source 2025'!$B:$B,$A430,'Source 2025'!$A:$A,"Amount (NIS)")+SUMIFS('Source 2025'!$F:$F,'Source 2025'!$B:$B,$A430,'Source 2025'!$A:$A,"Amount (NIS)")+SUMIFS('Source 2025'!$G:$G,'Source 2025'!$B:$B,$A430,'Source 2025'!$A:$A,"Amount (NIS)")+SUMIFS('Source 2025'!$J:$J,'Source 2025'!$B:$B,$A430,'Source 2025'!$A:$A,"Amount (NIS)")+SUMIFS('Source 2025'!$M:$M,'Source 2025'!$B:$B,$A430,'Source 2025'!$A:$A,"Amount (NIS)")</f>
        <v>1719.6</v>
      </c>
      <c r="I430" s="8" t="n">
        <f aca="false">SUMIFS('Source 2026'!$D:$D,'Source 2026'!$B:$B,$A430,'Source 2026'!$A:$A,"Amount (NIS)")+SUMIFS('Source 2026'!$E:$E,'Source 2026'!$B:$B,$A430,'Source 2026'!$A:$A,"Amount (NIS)")+SUMIFS('Source 2026'!$F:$F,'Source 2026'!$B:$B,$A430,'Source 2026'!$A:$A,"Amount (NIS)")+SUMIFS('Source 2026'!$G:$G,'Source 2026'!$B:$B,$A430,'Source 2026'!$A:$A,"Amount (NIS)")+SUMIFS('Source 2026'!$J:$J,'Source 2026'!$B:$B,$A430,'Source 2026'!$A:$A,"Amount (NIS)")+SUMIFS('Source 2026'!$M:$M,'Source 2026'!$B:$B,$A430,'Source 2026'!$A:$A,"Amount (NIS)")</f>
        <v>1543.7</v>
      </c>
      <c r="J430" s="8" t="n">
        <f aca="false">I430*$J$5</f>
        <v>2117.07428571429</v>
      </c>
      <c r="K430" s="8" t="n">
        <f aca="false">J430-H430</f>
        <v>397.474285714286</v>
      </c>
      <c r="L430" s="9" t="n">
        <f aca="false">IF(AND(H430=0,J430=0),0,IF(H430=0,"New",(J430-H430)/H430))</f>
        <v>0.231143455288605</v>
      </c>
    </row>
    <row r="431" customFormat="false" ht="15" hidden="false" customHeight="false" outlineLevel="0" collapsed="false">
      <c r="A431" s="7" t="n">
        <v>4413344</v>
      </c>
      <c r="B431" s="7" t="str">
        <f aca="false">IFERROR(INDEX('Source 2026'!$C:$C,MATCH($A431,'Source 2026'!$B:$B,0)),IFERROR(INDEX('Source 2025'!$C:$C,MATCH($A431,'Source 2025'!$B:$B,0)),""))</f>
        <v>422N XLמ.ברך אפור+כרית סיליקון</v>
      </c>
      <c r="C431" s="8" t="n">
        <f aca="false">SUMIFS('Source 2025'!$D:$D,'Source 2025'!$B:$B,$A431,'Source 2025'!$A:$A,"Quantity (units)")+SUMIFS('Source 2025'!$E:$E,'Source 2025'!$B:$B,$A431,'Source 2025'!$A:$A,"Quantity (units)")+SUMIFS('Source 2025'!$F:$F,'Source 2025'!$B:$B,$A431,'Source 2025'!$A:$A,"Quantity (units)")+SUMIFS('Source 2025'!$G:$G,'Source 2025'!$B:$B,$A431,'Source 2025'!$A:$A,"Quantity (units)")+SUMIFS('Source 2025'!$J:$J,'Source 2025'!$B:$B,$A431,'Source 2025'!$A:$A,"Quantity (units)")+SUMIFS('Source 2025'!$M:$M,'Source 2025'!$B:$B,$A431,'Source 2025'!$A:$A,"Quantity (units)")</f>
        <v>1</v>
      </c>
      <c r="D431" s="8" t="n">
        <f aca="false">SUMIFS('Source 2026'!$D:$D,'Source 2026'!$B:$B,$A431,'Source 2026'!$A:$A,"Quantity (units)")+SUMIFS('Source 2026'!$E:$E,'Source 2026'!$B:$B,$A431,'Source 2026'!$A:$A,"Quantity (units)")+SUMIFS('Source 2026'!$F:$F,'Source 2026'!$B:$B,$A431,'Source 2026'!$A:$A,"Quantity (units)")+SUMIFS('Source 2026'!$G:$G,'Source 2026'!$B:$B,$A431,'Source 2026'!$A:$A,"Quantity (units)")+SUMIFS('Source 2026'!$J:$J,'Source 2026'!$B:$B,$A431,'Source 2026'!$A:$A,"Quantity (units)")+SUMIFS('Source 2026'!$M:$M,'Source 2026'!$B:$B,$A431,'Source 2026'!$A:$A,"Quantity (units)")</f>
        <v>0</v>
      </c>
      <c r="E431" s="8" t="n">
        <f aca="false">D431*$J$5</f>
        <v>0</v>
      </c>
      <c r="F431" s="8" t="n">
        <f aca="false">E431-C431</f>
        <v>-1</v>
      </c>
      <c r="G431" s="9" t="n">
        <f aca="false">IF(AND(C431=0,E431=0),0,IF(C431=0,"New",(E431-C431)/C431))</f>
        <v>-1</v>
      </c>
      <c r="H431" s="8" t="n">
        <f aca="false">SUMIFS('Source 2025'!$D:$D,'Source 2025'!$B:$B,$A431,'Source 2025'!$A:$A,"Amount (NIS)")+SUMIFS('Source 2025'!$E:$E,'Source 2025'!$B:$B,$A431,'Source 2025'!$A:$A,"Amount (NIS)")+SUMIFS('Source 2025'!$F:$F,'Source 2025'!$B:$B,$A431,'Source 2025'!$A:$A,"Amount (NIS)")+SUMIFS('Source 2025'!$G:$G,'Source 2025'!$B:$B,$A431,'Source 2025'!$A:$A,"Amount (NIS)")+SUMIFS('Source 2025'!$J:$J,'Source 2025'!$B:$B,$A431,'Source 2025'!$A:$A,"Amount (NIS)")+SUMIFS('Source 2025'!$M:$M,'Source 2025'!$B:$B,$A431,'Source 2025'!$A:$A,"Amount (NIS)")</f>
        <v>175</v>
      </c>
      <c r="I431" s="8" t="n">
        <f aca="false">SUMIFS('Source 2026'!$D:$D,'Source 2026'!$B:$B,$A431,'Source 2026'!$A:$A,"Amount (NIS)")+SUMIFS('Source 2026'!$E:$E,'Source 2026'!$B:$B,$A431,'Source 2026'!$A:$A,"Amount (NIS)")+SUMIFS('Source 2026'!$F:$F,'Source 2026'!$B:$B,$A431,'Source 2026'!$A:$A,"Amount (NIS)")+SUMIFS('Source 2026'!$G:$G,'Source 2026'!$B:$B,$A431,'Source 2026'!$A:$A,"Amount (NIS)")+SUMIFS('Source 2026'!$J:$J,'Source 2026'!$B:$B,$A431,'Source 2026'!$A:$A,"Amount (NIS)")+SUMIFS('Source 2026'!$M:$M,'Source 2026'!$B:$B,$A431,'Source 2026'!$A:$A,"Amount (NIS)")</f>
        <v>0</v>
      </c>
      <c r="J431" s="8" t="n">
        <f aca="false">I431*$J$5</f>
        <v>0</v>
      </c>
      <c r="K431" s="8" t="n">
        <f aca="false">J431-H431</f>
        <v>-175</v>
      </c>
      <c r="L431" s="9" t="n">
        <f aca="false">IF(AND(H431=0,J431=0),0,IF(H431=0,"New",(J431-H431)/H431))</f>
        <v>-1</v>
      </c>
    </row>
    <row r="432" customFormat="false" ht="15" hidden="false" customHeight="false" outlineLevel="0" collapsed="false">
      <c r="A432" s="7" t="n">
        <v>4404000</v>
      </c>
      <c r="B432" s="7" t="str">
        <f aca="false">IFERROR(INDEX('Source 2026'!$C:$C,MATCH($A432,'Source 2026'!$B:$B,0)),IFERROR(INDEX('Source 2025'!$C:$C,MATCH($A432,'Source 2025'!$B:$B,0)),""))</f>
        <v>FC330Z-תתדאו'אנטי בקט.לנעל120</v>
      </c>
      <c r="C432" s="8" t="n">
        <f aca="false">SUMIFS('Source 2025'!$D:$D,'Source 2025'!$B:$B,$A432,'Source 2025'!$A:$A,"Quantity (units)")+SUMIFS('Source 2025'!$E:$E,'Source 2025'!$B:$B,$A432,'Source 2025'!$A:$A,"Quantity (units)")+SUMIFS('Source 2025'!$F:$F,'Source 2025'!$B:$B,$A432,'Source 2025'!$A:$A,"Quantity (units)")+SUMIFS('Source 2025'!$G:$G,'Source 2025'!$B:$B,$A432,'Source 2025'!$A:$A,"Quantity (units)")+SUMIFS('Source 2025'!$J:$J,'Source 2025'!$B:$B,$A432,'Source 2025'!$A:$A,"Quantity (units)")+SUMIFS('Source 2025'!$M:$M,'Source 2025'!$B:$B,$A432,'Source 2025'!$A:$A,"Quantity (units)")</f>
        <v>-6</v>
      </c>
      <c r="D432" s="8" t="n">
        <f aca="false">SUMIFS('Source 2026'!$D:$D,'Source 2026'!$B:$B,$A432,'Source 2026'!$A:$A,"Quantity (units)")+SUMIFS('Source 2026'!$E:$E,'Source 2026'!$B:$B,$A432,'Source 2026'!$A:$A,"Quantity (units)")+SUMIFS('Source 2026'!$F:$F,'Source 2026'!$B:$B,$A432,'Source 2026'!$A:$A,"Quantity (units)")+SUMIFS('Source 2026'!$G:$G,'Source 2026'!$B:$B,$A432,'Source 2026'!$A:$A,"Quantity (units)")+SUMIFS('Source 2026'!$J:$J,'Source 2026'!$B:$B,$A432,'Source 2026'!$A:$A,"Quantity (units)")+SUMIFS('Source 2026'!$M:$M,'Source 2026'!$B:$B,$A432,'Source 2026'!$A:$A,"Quantity (units)")</f>
        <v>0</v>
      </c>
      <c r="E432" s="8" t="n">
        <f aca="false">D432*$J$5</f>
        <v>0</v>
      </c>
      <c r="F432" s="8" t="n">
        <f aca="false">E432-C432</f>
        <v>6</v>
      </c>
      <c r="G432" s="9" t="n">
        <f aca="false">IF(AND(C432=0,E432=0),0,IF(C432=0,"New",(E432-C432)/C432))</f>
        <v>-1</v>
      </c>
      <c r="H432" s="8" t="n">
        <f aca="false">SUMIFS('Source 2025'!$D:$D,'Source 2025'!$B:$B,$A432,'Source 2025'!$A:$A,"Amount (NIS)")+SUMIFS('Source 2025'!$E:$E,'Source 2025'!$B:$B,$A432,'Source 2025'!$A:$A,"Amount (NIS)")+SUMIFS('Source 2025'!$F:$F,'Source 2025'!$B:$B,$A432,'Source 2025'!$A:$A,"Amount (NIS)")+SUMIFS('Source 2025'!$G:$G,'Source 2025'!$B:$B,$A432,'Source 2025'!$A:$A,"Amount (NIS)")+SUMIFS('Source 2025'!$J:$J,'Source 2025'!$B:$B,$A432,'Source 2025'!$A:$A,"Amount (NIS)")+SUMIFS('Source 2025'!$M:$M,'Source 2025'!$B:$B,$A432,'Source 2025'!$A:$A,"Amount (NIS)")</f>
        <v>-173.3</v>
      </c>
      <c r="I432" s="8" t="n">
        <f aca="false">SUMIFS('Source 2026'!$D:$D,'Source 2026'!$B:$B,$A432,'Source 2026'!$A:$A,"Amount (NIS)")+SUMIFS('Source 2026'!$E:$E,'Source 2026'!$B:$B,$A432,'Source 2026'!$A:$A,"Amount (NIS)")+SUMIFS('Source 2026'!$F:$F,'Source 2026'!$B:$B,$A432,'Source 2026'!$A:$A,"Amount (NIS)")+SUMIFS('Source 2026'!$G:$G,'Source 2026'!$B:$B,$A432,'Source 2026'!$A:$A,"Amount (NIS)")+SUMIFS('Source 2026'!$J:$J,'Source 2026'!$B:$B,$A432,'Source 2026'!$A:$A,"Amount (NIS)")+SUMIFS('Source 2026'!$M:$M,'Source 2026'!$B:$B,$A432,'Source 2026'!$A:$A,"Amount (NIS)")</f>
        <v>0</v>
      </c>
      <c r="J432" s="8" t="n">
        <f aca="false">I432*$J$5</f>
        <v>0</v>
      </c>
      <c r="K432" s="8" t="n">
        <f aca="false">J432-H432</f>
        <v>173.3</v>
      </c>
      <c r="L432" s="9" t="n">
        <f aca="false">IF(AND(H432=0,J432=0),0,IF(H432=0,"New",(J432-H432)/H432))</f>
        <v>-1</v>
      </c>
    </row>
    <row r="433" customFormat="false" ht="15" hidden="false" customHeight="false" outlineLevel="0" collapsed="false">
      <c r="A433" s="7" t="n">
        <v>4408003</v>
      </c>
      <c r="B433" s="7" t="str">
        <f aca="false">IFERROR(INDEX('Source 2026'!$C:$C,MATCH($A433,'Source 2026'!$B:$B,0)),IFERROR(INDEX('Source 2025'!$C:$C,MATCH($A433,'Source 2025'!$B:$B,0)),""))</f>
        <v>06 M  ""ח.גב קלה ""מיקדו</v>
      </c>
      <c r="C433" s="8" t="n">
        <f aca="false">SUMIFS('Source 2025'!$D:$D,'Source 2025'!$B:$B,$A433,'Source 2025'!$A:$A,"Quantity (units)")+SUMIFS('Source 2025'!$E:$E,'Source 2025'!$B:$B,$A433,'Source 2025'!$A:$A,"Quantity (units)")+SUMIFS('Source 2025'!$F:$F,'Source 2025'!$B:$B,$A433,'Source 2025'!$A:$A,"Quantity (units)")+SUMIFS('Source 2025'!$G:$G,'Source 2025'!$B:$B,$A433,'Source 2025'!$A:$A,"Quantity (units)")+SUMIFS('Source 2025'!$J:$J,'Source 2025'!$B:$B,$A433,'Source 2025'!$A:$A,"Quantity (units)")+SUMIFS('Source 2025'!$M:$M,'Source 2025'!$B:$B,$A433,'Source 2025'!$A:$A,"Quantity (units)")</f>
        <v>-1</v>
      </c>
      <c r="D433" s="8" t="n">
        <f aca="false">SUMIFS('Source 2026'!$D:$D,'Source 2026'!$B:$B,$A433,'Source 2026'!$A:$A,"Quantity (units)")+SUMIFS('Source 2026'!$E:$E,'Source 2026'!$B:$B,$A433,'Source 2026'!$A:$A,"Quantity (units)")+SUMIFS('Source 2026'!$F:$F,'Source 2026'!$B:$B,$A433,'Source 2026'!$A:$A,"Quantity (units)")+SUMIFS('Source 2026'!$G:$G,'Source 2026'!$B:$B,$A433,'Source 2026'!$A:$A,"Quantity (units)")+SUMIFS('Source 2026'!$J:$J,'Source 2026'!$B:$B,$A433,'Source 2026'!$A:$A,"Quantity (units)")+SUMIFS('Source 2026'!$M:$M,'Source 2026'!$B:$B,$A433,'Source 2026'!$A:$A,"Quantity (units)")</f>
        <v>0</v>
      </c>
      <c r="E433" s="8" t="n">
        <f aca="false">D433*$J$5</f>
        <v>0</v>
      </c>
      <c r="F433" s="8" t="n">
        <f aca="false">E433-C433</f>
        <v>1</v>
      </c>
      <c r="G433" s="9" t="n">
        <f aca="false">IF(AND(C433=0,E433=0),0,IF(C433=0,"New",(E433-C433)/C433))</f>
        <v>-1</v>
      </c>
      <c r="H433" s="8" t="n">
        <f aca="false">SUMIFS('Source 2025'!$D:$D,'Source 2025'!$B:$B,$A433,'Source 2025'!$A:$A,"Amount (NIS)")+SUMIFS('Source 2025'!$E:$E,'Source 2025'!$B:$B,$A433,'Source 2025'!$A:$A,"Amount (NIS)")+SUMIFS('Source 2025'!$F:$F,'Source 2025'!$B:$B,$A433,'Source 2025'!$A:$A,"Amount (NIS)")+SUMIFS('Source 2025'!$G:$G,'Source 2025'!$B:$B,$A433,'Source 2025'!$A:$A,"Amount (NIS)")+SUMIFS('Source 2025'!$J:$J,'Source 2025'!$B:$B,$A433,'Source 2025'!$A:$A,"Amount (NIS)")+SUMIFS('Source 2025'!$M:$M,'Source 2025'!$B:$B,$A433,'Source 2025'!$A:$A,"Amount (NIS)")</f>
        <v>-170.1</v>
      </c>
      <c r="I433" s="8" t="n">
        <f aca="false">SUMIFS('Source 2026'!$D:$D,'Source 2026'!$B:$B,$A433,'Source 2026'!$A:$A,"Amount (NIS)")+SUMIFS('Source 2026'!$E:$E,'Source 2026'!$B:$B,$A433,'Source 2026'!$A:$A,"Amount (NIS)")+SUMIFS('Source 2026'!$F:$F,'Source 2026'!$B:$B,$A433,'Source 2026'!$A:$A,"Amount (NIS)")+SUMIFS('Source 2026'!$G:$G,'Source 2026'!$B:$B,$A433,'Source 2026'!$A:$A,"Amount (NIS)")+SUMIFS('Source 2026'!$J:$J,'Source 2026'!$B:$B,$A433,'Source 2026'!$A:$A,"Amount (NIS)")+SUMIFS('Source 2026'!$M:$M,'Source 2026'!$B:$B,$A433,'Source 2026'!$A:$A,"Amount (NIS)")</f>
        <v>0</v>
      </c>
      <c r="J433" s="8" t="n">
        <f aca="false">I433*$J$5</f>
        <v>0</v>
      </c>
      <c r="K433" s="8" t="n">
        <f aca="false">J433-H433</f>
        <v>170.1</v>
      </c>
      <c r="L433" s="9" t="n">
        <f aca="false">IF(AND(H433=0,J433=0),0,IF(H433=0,"New",(J433-H433)/H433))</f>
        <v>-1</v>
      </c>
    </row>
    <row r="434" customFormat="false" ht="15" hidden="false" customHeight="false" outlineLevel="0" collapsed="false">
      <c r="A434" s="7" t="n">
        <v>4408004</v>
      </c>
      <c r="B434" s="7" t="str">
        <f aca="false">IFERROR(INDEX('Source 2026'!$C:$C,MATCH($A434,'Source 2026'!$B:$B,0)),IFERROR(INDEX('Source 2025'!$C:$C,MATCH($A434,'Source 2025'!$B:$B,0)),""))</f>
        <v>06 XL ""ח.גב קלה ""מיקדו</v>
      </c>
      <c r="C434" s="8" t="n">
        <f aca="false">SUMIFS('Source 2025'!$D:$D,'Source 2025'!$B:$B,$A434,'Source 2025'!$A:$A,"Quantity (units)")+SUMIFS('Source 2025'!$E:$E,'Source 2025'!$B:$B,$A434,'Source 2025'!$A:$A,"Quantity (units)")+SUMIFS('Source 2025'!$F:$F,'Source 2025'!$B:$B,$A434,'Source 2025'!$A:$A,"Quantity (units)")+SUMIFS('Source 2025'!$G:$G,'Source 2025'!$B:$B,$A434,'Source 2025'!$A:$A,"Quantity (units)")+SUMIFS('Source 2025'!$J:$J,'Source 2025'!$B:$B,$A434,'Source 2025'!$A:$A,"Quantity (units)")+SUMIFS('Source 2025'!$M:$M,'Source 2025'!$B:$B,$A434,'Source 2025'!$A:$A,"Quantity (units)")</f>
        <v>1</v>
      </c>
      <c r="D434" s="8" t="n">
        <f aca="false">SUMIFS('Source 2026'!$D:$D,'Source 2026'!$B:$B,$A434,'Source 2026'!$A:$A,"Quantity (units)")+SUMIFS('Source 2026'!$E:$E,'Source 2026'!$B:$B,$A434,'Source 2026'!$A:$A,"Quantity (units)")+SUMIFS('Source 2026'!$F:$F,'Source 2026'!$B:$B,$A434,'Source 2026'!$A:$A,"Quantity (units)")+SUMIFS('Source 2026'!$G:$G,'Source 2026'!$B:$B,$A434,'Source 2026'!$A:$A,"Quantity (units)")+SUMIFS('Source 2026'!$J:$J,'Source 2026'!$B:$B,$A434,'Source 2026'!$A:$A,"Quantity (units)")+SUMIFS('Source 2026'!$M:$M,'Source 2026'!$B:$B,$A434,'Source 2026'!$A:$A,"Quantity (units)")</f>
        <v>0</v>
      </c>
      <c r="E434" s="8" t="n">
        <f aca="false">D434*$J$5</f>
        <v>0</v>
      </c>
      <c r="F434" s="8" t="n">
        <f aca="false">E434-C434</f>
        <v>-1</v>
      </c>
      <c r="G434" s="9" t="n">
        <f aca="false">IF(AND(C434=0,E434=0),0,IF(C434=0,"New",(E434-C434)/C434))</f>
        <v>-1</v>
      </c>
      <c r="H434" s="8" t="n">
        <f aca="false">SUMIFS('Source 2025'!$D:$D,'Source 2025'!$B:$B,$A434,'Source 2025'!$A:$A,"Amount (NIS)")+SUMIFS('Source 2025'!$E:$E,'Source 2025'!$B:$B,$A434,'Source 2025'!$A:$A,"Amount (NIS)")+SUMIFS('Source 2025'!$F:$F,'Source 2025'!$B:$B,$A434,'Source 2025'!$A:$A,"Amount (NIS)")+SUMIFS('Source 2025'!$G:$G,'Source 2025'!$B:$B,$A434,'Source 2025'!$A:$A,"Amount (NIS)")+SUMIFS('Source 2025'!$J:$J,'Source 2025'!$B:$B,$A434,'Source 2025'!$A:$A,"Amount (NIS)")+SUMIFS('Source 2025'!$M:$M,'Source 2025'!$B:$B,$A434,'Source 2025'!$A:$A,"Amount (NIS)")</f>
        <v>170.1</v>
      </c>
      <c r="I434" s="8" t="n">
        <f aca="false">SUMIFS('Source 2026'!$D:$D,'Source 2026'!$B:$B,$A434,'Source 2026'!$A:$A,"Amount (NIS)")+SUMIFS('Source 2026'!$E:$E,'Source 2026'!$B:$B,$A434,'Source 2026'!$A:$A,"Amount (NIS)")+SUMIFS('Source 2026'!$F:$F,'Source 2026'!$B:$B,$A434,'Source 2026'!$A:$A,"Amount (NIS)")+SUMIFS('Source 2026'!$G:$G,'Source 2026'!$B:$B,$A434,'Source 2026'!$A:$A,"Amount (NIS)")+SUMIFS('Source 2026'!$J:$J,'Source 2026'!$B:$B,$A434,'Source 2026'!$A:$A,"Amount (NIS)")+SUMIFS('Source 2026'!$M:$M,'Source 2026'!$B:$B,$A434,'Source 2026'!$A:$A,"Amount (NIS)")</f>
        <v>0</v>
      </c>
      <c r="J434" s="8" t="n">
        <f aca="false">I434*$J$5</f>
        <v>0</v>
      </c>
      <c r="K434" s="8" t="n">
        <f aca="false">J434-H434</f>
        <v>-170.1</v>
      </c>
      <c r="L434" s="9" t="n">
        <f aca="false">IF(AND(H434=0,J434=0),0,IF(H434=0,"New",(J434-H434)/H434))</f>
        <v>-1</v>
      </c>
    </row>
    <row r="435" customFormat="false" ht="15" hidden="false" customHeight="false" outlineLevel="0" collapsed="false">
      <c r="A435" s="7" t="n">
        <v>4408120</v>
      </c>
      <c r="B435" s="7" t="str">
        <f aca="false">IFERROR(INDEX('Source 2026'!$C:$C,MATCH($A435,'Source 2026'!$B:$B,0)),IFERROR(INDEX('Source 2025'!$C:$C,MATCH($A435,'Source 2025'!$B:$B,0)),""))</f>
        <v>06U XL ח.בטן מותנית צר</v>
      </c>
      <c r="C435" s="8" t="n">
        <f aca="false">SUMIFS('Source 2025'!$D:$D,'Source 2025'!$B:$B,$A435,'Source 2025'!$A:$A,"Quantity (units)")+SUMIFS('Source 2025'!$E:$E,'Source 2025'!$B:$B,$A435,'Source 2025'!$A:$A,"Quantity (units)")+SUMIFS('Source 2025'!$F:$F,'Source 2025'!$B:$B,$A435,'Source 2025'!$A:$A,"Quantity (units)")+SUMIFS('Source 2025'!$G:$G,'Source 2025'!$B:$B,$A435,'Source 2025'!$A:$A,"Quantity (units)")+SUMIFS('Source 2025'!$J:$J,'Source 2025'!$B:$B,$A435,'Source 2025'!$A:$A,"Quantity (units)")+SUMIFS('Source 2025'!$M:$M,'Source 2025'!$B:$B,$A435,'Source 2025'!$A:$A,"Quantity (units)")</f>
        <v>2</v>
      </c>
      <c r="D435" s="8" t="n">
        <f aca="false">SUMIFS('Source 2026'!$D:$D,'Source 2026'!$B:$B,$A435,'Source 2026'!$A:$A,"Quantity (units)")+SUMIFS('Source 2026'!$E:$E,'Source 2026'!$B:$B,$A435,'Source 2026'!$A:$A,"Quantity (units)")+SUMIFS('Source 2026'!$F:$F,'Source 2026'!$B:$B,$A435,'Source 2026'!$A:$A,"Quantity (units)")+SUMIFS('Source 2026'!$G:$G,'Source 2026'!$B:$B,$A435,'Source 2026'!$A:$A,"Quantity (units)")+SUMIFS('Source 2026'!$J:$J,'Source 2026'!$B:$B,$A435,'Source 2026'!$A:$A,"Quantity (units)")+SUMIFS('Source 2026'!$M:$M,'Source 2026'!$B:$B,$A435,'Source 2026'!$A:$A,"Quantity (units)")</f>
        <v>1</v>
      </c>
      <c r="E435" s="8" t="n">
        <f aca="false">D435*$J$5</f>
        <v>1.37142857142857</v>
      </c>
      <c r="F435" s="8" t="n">
        <f aca="false">E435-C435</f>
        <v>-0.628571428571429</v>
      </c>
      <c r="G435" s="9" t="n">
        <f aca="false">IF(AND(C435=0,E435=0),0,IF(C435=0,"New",(E435-C435)/C435))</f>
        <v>-0.314285714285714</v>
      </c>
      <c r="H435" s="8" t="n">
        <f aca="false">SUMIFS('Source 2025'!$D:$D,'Source 2025'!$B:$B,$A435,'Source 2025'!$A:$A,"Amount (NIS)")+SUMIFS('Source 2025'!$E:$E,'Source 2025'!$B:$B,$A435,'Source 2025'!$A:$A,"Amount (NIS)")+SUMIFS('Source 2025'!$F:$F,'Source 2025'!$B:$B,$A435,'Source 2025'!$A:$A,"Amount (NIS)")+SUMIFS('Source 2025'!$G:$G,'Source 2025'!$B:$B,$A435,'Source 2025'!$A:$A,"Amount (NIS)")+SUMIFS('Source 2025'!$J:$J,'Source 2025'!$B:$B,$A435,'Source 2025'!$A:$A,"Amount (NIS)")+SUMIFS('Source 2025'!$M:$M,'Source 2025'!$B:$B,$A435,'Source 2025'!$A:$A,"Amount (NIS)")</f>
        <v>281.1</v>
      </c>
      <c r="I435" s="8" t="n">
        <f aca="false">SUMIFS('Source 2026'!$D:$D,'Source 2026'!$B:$B,$A435,'Source 2026'!$A:$A,"Amount (NIS)")+SUMIFS('Source 2026'!$E:$E,'Source 2026'!$B:$B,$A435,'Source 2026'!$A:$A,"Amount (NIS)")+SUMIFS('Source 2026'!$F:$F,'Source 2026'!$B:$B,$A435,'Source 2026'!$A:$A,"Amount (NIS)")+SUMIFS('Source 2026'!$G:$G,'Source 2026'!$B:$B,$A435,'Source 2026'!$A:$A,"Amount (NIS)")+SUMIFS('Source 2026'!$J:$J,'Source 2026'!$B:$B,$A435,'Source 2026'!$A:$A,"Amount (NIS)")+SUMIFS('Source 2026'!$M:$M,'Source 2026'!$B:$B,$A435,'Source 2026'!$A:$A,"Amount (NIS)")</f>
        <v>112.5</v>
      </c>
      <c r="J435" s="8" t="n">
        <f aca="false">I435*$J$5</f>
        <v>154.285714285714</v>
      </c>
      <c r="K435" s="8" t="n">
        <f aca="false">J435-H435</f>
        <v>-126.814285714286</v>
      </c>
      <c r="L435" s="9" t="n">
        <f aca="false">IF(AND(H435=0,J435=0),0,IF(H435=0,"New",(J435-H435)/H435))</f>
        <v>-0.45113584387864</v>
      </c>
    </row>
    <row r="436" customFormat="false" ht="15" hidden="false" customHeight="false" outlineLevel="0" collapsed="false">
      <c r="A436" s="7" t="n">
        <v>4413165</v>
      </c>
      <c r="B436" s="7" t="str">
        <f aca="false">IFERROR(INDEX('Source 2026'!$C:$C,MATCH($A436,'Source 2026'!$B:$B,0)),IFERROR(INDEX('Source 2025'!$C:$C,MATCH($A436,'Source 2025'!$B:$B,0)),""))</f>
        <v>74 L-XL מיצב כתפיים</v>
      </c>
      <c r="C436" s="8" t="n">
        <f aca="false">SUMIFS('Source 2025'!$D:$D,'Source 2025'!$B:$B,$A436,'Source 2025'!$A:$A,"Quantity (units)")+SUMIFS('Source 2025'!$E:$E,'Source 2025'!$B:$B,$A436,'Source 2025'!$A:$A,"Quantity (units)")+SUMIFS('Source 2025'!$F:$F,'Source 2025'!$B:$B,$A436,'Source 2025'!$A:$A,"Quantity (units)")+SUMIFS('Source 2025'!$G:$G,'Source 2025'!$B:$B,$A436,'Source 2025'!$A:$A,"Quantity (units)")+SUMIFS('Source 2025'!$J:$J,'Source 2025'!$B:$B,$A436,'Source 2025'!$A:$A,"Quantity (units)")+SUMIFS('Source 2025'!$M:$M,'Source 2025'!$B:$B,$A436,'Source 2025'!$A:$A,"Quantity (units)")</f>
        <v>0</v>
      </c>
      <c r="D436" s="8" t="n">
        <f aca="false">SUMIFS('Source 2026'!$D:$D,'Source 2026'!$B:$B,$A436,'Source 2026'!$A:$A,"Quantity (units)")+SUMIFS('Source 2026'!$E:$E,'Source 2026'!$B:$B,$A436,'Source 2026'!$A:$A,"Quantity (units)")+SUMIFS('Source 2026'!$F:$F,'Source 2026'!$B:$B,$A436,'Source 2026'!$A:$A,"Quantity (units)")+SUMIFS('Source 2026'!$G:$G,'Source 2026'!$B:$B,$A436,'Source 2026'!$A:$A,"Quantity (units)")+SUMIFS('Source 2026'!$J:$J,'Source 2026'!$B:$B,$A436,'Source 2026'!$A:$A,"Quantity (units)")+SUMIFS('Source 2026'!$M:$M,'Source 2026'!$B:$B,$A436,'Source 2026'!$A:$A,"Quantity (units)")</f>
        <v>1</v>
      </c>
      <c r="E436" s="8" t="n">
        <f aca="false">D436*$J$5</f>
        <v>1.37142857142857</v>
      </c>
      <c r="F436" s="8" t="n">
        <f aca="false">E436-C436</f>
        <v>1.37142857142857</v>
      </c>
      <c r="G436" s="9" t="str">
        <f aca="false">IF(AND(C436=0,E436=0),0,IF(C436=0,"New",(E436-C436)/C436))</f>
        <v>New</v>
      </c>
      <c r="H436" s="8" t="n">
        <f aca="false">SUMIFS('Source 2025'!$D:$D,'Source 2025'!$B:$B,$A436,'Source 2025'!$A:$A,"Amount (NIS)")+SUMIFS('Source 2025'!$E:$E,'Source 2025'!$B:$B,$A436,'Source 2025'!$A:$A,"Amount (NIS)")+SUMIFS('Source 2025'!$F:$F,'Source 2025'!$B:$B,$A436,'Source 2025'!$A:$A,"Amount (NIS)")+SUMIFS('Source 2025'!$G:$G,'Source 2025'!$B:$B,$A436,'Source 2025'!$A:$A,"Amount (NIS)")+SUMIFS('Source 2025'!$J:$J,'Source 2025'!$B:$B,$A436,'Source 2025'!$A:$A,"Amount (NIS)")+SUMIFS('Source 2025'!$M:$M,'Source 2025'!$B:$B,$A436,'Source 2025'!$A:$A,"Amount (NIS)")</f>
        <v>0</v>
      </c>
      <c r="I436" s="8" t="n">
        <f aca="false">SUMIFS('Source 2026'!$D:$D,'Source 2026'!$B:$B,$A436,'Source 2026'!$A:$A,"Amount (NIS)")+SUMIFS('Source 2026'!$E:$E,'Source 2026'!$B:$B,$A436,'Source 2026'!$A:$A,"Amount (NIS)")+SUMIFS('Source 2026'!$F:$F,'Source 2026'!$B:$B,$A436,'Source 2026'!$A:$A,"Amount (NIS)")+SUMIFS('Source 2026'!$G:$G,'Source 2026'!$B:$B,$A436,'Source 2026'!$A:$A,"Amount (NIS)")+SUMIFS('Source 2026'!$J:$J,'Source 2026'!$B:$B,$A436,'Source 2026'!$A:$A,"Amount (NIS)")+SUMIFS('Source 2026'!$M:$M,'Source 2026'!$B:$B,$A436,'Source 2026'!$A:$A,"Amount (NIS)")</f>
        <v>168.5</v>
      </c>
      <c r="J436" s="8" t="n">
        <f aca="false">I436*$J$5</f>
        <v>231.085714285714</v>
      </c>
      <c r="K436" s="8" t="n">
        <f aca="false">J436-H436</f>
        <v>231.085714285714</v>
      </c>
      <c r="L436" s="9" t="str">
        <f aca="false">IF(AND(H436=0,J436=0),0,IF(H436=0,"New",(J436-H436)/H436))</f>
        <v>New</v>
      </c>
    </row>
    <row r="437" customFormat="false" ht="15" hidden="false" customHeight="false" outlineLevel="0" collapsed="false">
      <c r="A437" s="7" t="n">
        <v>4408259</v>
      </c>
      <c r="B437" s="7" t="str">
        <f aca="false">IFERROR(INDEX('Source 2026'!$C:$C,MATCH($A437,'Source 2026'!$B:$B,0)),IFERROR(INDEX('Source 2025'!$C:$C,MATCH($A437,'Source 2025'!$B:$B,0)),""))</f>
        <v>11STO S חגורה אחרי ניתוח</v>
      </c>
      <c r="C437" s="8" t="n">
        <f aca="false">SUMIFS('Source 2025'!$D:$D,'Source 2025'!$B:$B,$A437,'Source 2025'!$A:$A,"Quantity (units)")+SUMIFS('Source 2025'!$E:$E,'Source 2025'!$B:$B,$A437,'Source 2025'!$A:$A,"Quantity (units)")+SUMIFS('Source 2025'!$F:$F,'Source 2025'!$B:$B,$A437,'Source 2025'!$A:$A,"Quantity (units)")+SUMIFS('Source 2025'!$G:$G,'Source 2025'!$B:$B,$A437,'Source 2025'!$A:$A,"Quantity (units)")+SUMIFS('Source 2025'!$J:$J,'Source 2025'!$B:$B,$A437,'Source 2025'!$A:$A,"Quantity (units)")+SUMIFS('Source 2025'!$M:$M,'Source 2025'!$B:$B,$A437,'Source 2025'!$A:$A,"Quantity (units)")</f>
        <v>0</v>
      </c>
      <c r="D437" s="8" t="n">
        <f aca="false">SUMIFS('Source 2026'!$D:$D,'Source 2026'!$B:$B,$A437,'Source 2026'!$A:$A,"Quantity (units)")+SUMIFS('Source 2026'!$E:$E,'Source 2026'!$B:$B,$A437,'Source 2026'!$A:$A,"Quantity (units)")+SUMIFS('Source 2026'!$F:$F,'Source 2026'!$B:$B,$A437,'Source 2026'!$A:$A,"Quantity (units)")+SUMIFS('Source 2026'!$G:$G,'Source 2026'!$B:$B,$A437,'Source 2026'!$A:$A,"Quantity (units)")+SUMIFS('Source 2026'!$J:$J,'Source 2026'!$B:$B,$A437,'Source 2026'!$A:$A,"Quantity (units)")+SUMIFS('Source 2026'!$M:$M,'Source 2026'!$B:$B,$A437,'Source 2026'!$A:$A,"Quantity (units)")</f>
        <v>1</v>
      </c>
      <c r="E437" s="8" t="n">
        <f aca="false">D437*$J$5</f>
        <v>1.37142857142857</v>
      </c>
      <c r="F437" s="8" t="n">
        <f aca="false">E437-C437</f>
        <v>1.37142857142857</v>
      </c>
      <c r="G437" s="9" t="str">
        <f aca="false">IF(AND(C437=0,E437=0),0,IF(C437=0,"New",(E437-C437)/C437))</f>
        <v>New</v>
      </c>
      <c r="H437" s="8" t="n">
        <f aca="false">SUMIFS('Source 2025'!$D:$D,'Source 2025'!$B:$B,$A437,'Source 2025'!$A:$A,"Amount (NIS)")+SUMIFS('Source 2025'!$E:$E,'Source 2025'!$B:$B,$A437,'Source 2025'!$A:$A,"Amount (NIS)")+SUMIFS('Source 2025'!$F:$F,'Source 2025'!$B:$B,$A437,'Source 2025'!$A:$A,"Amount (NIS)")+SUMIFS('Source 2025'!$G:$G,'Source 2025'!$B:$B,$A437,'Source 2025'!$A:$A,"Amount (NIS)")+SUMIFS('Source 2025'!$J:$J,'Source 2025'!$B:$B,$A437,'Source 2025'!$A:$A,"Amount (NIS)")+SUMIFS('Source 2025'!$M:$M,'Source 2025'!$B:$B,$A437,'Source 2025'!$A:$A,"Amount (NIS)")</f>
        <v>0</v>
      </c>
      <c r="I437" s="8" t="n">
        <f aca="false">SUMIFS('Source 2026'!$D:$D,'Source 2026'!$B:$B,$A437,'Source 2026'!$A:$A,"Amount (NIS)")+SUMIFS('Source 2026'!$E:$E,'Source 2026'!$B:$B,$A437,'Source 2026'!$A:$A,"Amount (NIS)")+SUMIFS('Source 2026'!$F:$F,'Source 2026'!$B:$B,$A437,'Source 2026'!$A:$A,"Amount (NIS)")+SUMIFS('Source 2026'!$G:$G,'Source 2026'!$B:$B,$A437,'Source 2026'!$A:$A,"Amount (NIS)")+SUMIFS('Source 2026'!$J:$J,'Source 2026'!$B:$B,$A437,'Source 2026'!$A:$A,"Amount (NIS)")+SUMIFS('Source 2026'!$M:$M,'Source 2026'!$B:$B,$A437,'Source 2026'!$A:$A,"Amount (NIS)")</f>
        <v>166.4</v>
      </c>
      <c r="J437" s="8" t="n">
        <f aca="false">I437*$J$5</f>
        <v>228.205714285714</v>
      </c>
      <c r="K437" s="8" t="n">
        <f aca="false">J437-H437</f>
        <v>228.205714285714</v>
      </c>
      <c r="L437" s="9" t="str">
        <f aca="false">IF(AND(H437=0,J437=0),0,IF(H437=0,"New",(J437-H437)/H437))</f>
        <v>New</v>
      </c>
    </row>
    <row r="438" customFormat="false" ht="15" hidden="false" customHeight="false" outlineLevel="0" collapsed="false">
      <c r="A438" s="7" t="n">
        <v>4419003</v>
      </c>
      <c r="B438" s="7" t="str">
        <f aca="false">IFERROR(INDEX('Source 2026'!$C:$C,MATCH($A438,'Source 2026'!$B:$B,0)),IFERROR(INDEX('Source 2025'!$C:$C,MATCH($A438,'Source 2025'!$B:$B,0)),""))</f>
        <v>FC310-תתקרם הגנה לכף הרגל</v>
      </c>
      <c r="C438" s="8" t="n">
        <f aca="false">SUMIFS('Source 2025'!$D:$D,'Source 2025'!$B:$B,$A438,'Source 2025'!$A:$A,"Quantity (units)")+SUMIFS('Source 2025'!$E:$E,'Source 2025'!$B:$B,$A438,'Source 2025'!$A:$A,"Quantity (units)")+SUMIFS('Source 2025'!$F:$F,'Source 2025'!$B:$B,$A438,'Source 2025'!$A:$A,"Quantity (units)")+SUMIFS('Source 2025'!$G:$G,'Source 2025'!$B:$B,$A438,'Source 2025'!$A:$A,"Quantity (units)")+SUMIFS('Source 2025'!$J:$J,'Source 2025'!$B:$B,$A438,'Source 2025'!$A:$A,"Quantity (units)")+SUMIFS('Source 2025'!$M:$M,'Source 2025'!$B:$B,$A438,'Source 2025'!$A:$A,"Quantity (units)")</f>
        <v>-5</v>
      </c>
      <c r="D438" s="8" t="n">
        <f aca="false">SUMIFS('Source 2026'!$D:$D,'Source 2026'!$B:$B,$A438,'Source 2026'!$A:$A,"Quantity (units)")+SUMIFS('Source 2026'!$E:$E,'Source 2026'!$B:$B,$A438,'Source 2026'!$A:$A,"Quantity (units)")+SUMIFS('Source 2026'!$F:$F,'Source 2026'!$B:$B,$A438,'Source 2026'!$A:$A,"Quantity (units)")+SUMIFS('Source 2026'!$G:$G,'Source 2026'!$B:$B,$A438,'Source 2026'!$A:$A,"Quantity (units)")+SUMIFS('Source 2026'!$J:$J,'Source 2026'!$B:$B,$A438,'Source 2026'!$A:$A,"Quantity (units)")+SUMIFS('Source 2026'!$M:$M,'Source 2026'!$B:$B,$A438,'Source 2026'!$A:$A,"Quantity (units)")</f>
        <v>0</v>
      </c>
      <c r="E438" s="8" t="n">
        <f aca="false">D438*$J$5</f>
        <v>0</v>
      </c>
      <c r="F438" s="8" t="n">
        <f aca="false">E438-C438</f>
        <v>5</v>
      </c>
      <c r="G438" s="9" t="n">
        <f aca="false">IF(AND(C438=0,E438=0),0,IF(C438=0,"New",(E438-C438)/C438))</f>
        <v>-1</v>
      </c>
      <c r="H438" s="8" t="n">
        <f aca="false">SUMIFS('Source 2025'!$D:$D,'Source 2025'!$B:$B,$A438,'Source 2025'!$A:$A,"Amount (NIS)")+SUMIFS('Source 2025'!$E:$E,'Source 2025'!$B:$B,$A438,'Source 2025'!$A:$A,"Amount (NIS)")+SUMIFS('Source 2025'!$F:$F,'Source 2025'!$B:$B,$A438,'Source 2025'!$A:$A,"Amount (NIS)")+SUMIFS('Source 2025'!$G:$G,'Source 2025'!$B:$B,$A438,'Source 2025'!$A:$A,"Amount (NIS)")+SUMIFS('Source 2025'!$J:$J,'Source 2025'!$B:$B,$A438,'Source 2025'!$A:$A,"Amount (NIS)")+SUMIFS('Source 2025'!$M:$M,'Source 2025'!$B:$B,$A438,'Source 2025'!$A:$A,"Amount (NIS)")</f>
        <v>-165.6</v>
      </c>
      <c r="I438" s="8" t="n">
        <f aca="false">SUMIFS('Source 2026'!$D:$D,'Source 2026'!$B:$B,$A438,'Source 2026'!$A:$A,"Amount (NIS)")+SUMIFS('Source 2026'!$E:$E,'Source 2026'!$B:$B,$A438,'Source 2026'!$A:$A,"Amount (NIS)")+SUMIFS('Source 2026'!$F:$F,'Source 2026'!$B:$B,$A438,'Source 2026'!$A:$A,"Amount (NIS)")+SUMIFS('Source 2026'!$G:$G,'Source 2026'!$B:$B,$A438,'Source 2026'!$A:$A,"Amount (NIS)")+SUMIFS('Source 2026'!$J:$J,'Source 2026'!$B:$B,$A438,'Source 2026'!$A:$A,"Amount (NIS)")+SUMIFS('Source 2026'!$M:$M,'Source 2026'!$B:$B,$A438,'Source 2026'!$A:$A,"Amount (NIS)")</f>
        <v>0</v>
      </c>
      <c r="J438" s="8" t="n">
        <f aca="false">I438*$J$5</f>
        <v>0</v>
      </c>
      <c r="K438" s="8" t="n">
        <f aca="false">J438-H438</f>
        <v>165.6</v>
      </c>
      <c r="L438" s="9" t="n">
        <f aca="false">IF(AND(H438=0,J438=0),0,IF(H438=0,"New",(J438-H438)/H438))</f>
        <v>-1</v>
      </c>
    </row>
    <row r="439" customFormat="false" ht="15" hidden="false" customHeight="false" outlineLevel="0" collapsed="false">
      <c r="A439" s="7" t="n">
        <v>4413403</v>
      </c>
      <c r="B439" s="7" t="str">
        <f aca="false">IFERROR(INDEX('Source 2026'!$C:$C,MATCH($A439,'Source 2026'!$B:$B,0)),IFERROR(INDEX('Source 2025'!$C:$C,MATCH($A439,'Source 2025'!$B:$B,0)),""))</f>
        <v>78A L מגן למפרק כתף</v>
      </c>
      <c r="C439" s="8" t="n">
        <f aca="false">SUMIFS('Source 2025'!$D:$D,'Source 2025'!$B:$B,$A439,'Source 2025'!$A:$A,"Quantity (units)")+SUMIFS('Source 2025'!$E:$E,'Source 2025'!$B:$B,$A439,'Source 2025'!$A:$A,"Quantity (units)")+SUMIFS('Source 2025'!$F:$F,'Source 2025'!$B:$B,$A439,'Source 2025'!$A:$A,"Quantity (units)")+SUMIFS('Source 2025'!$G:$G,'Source 2025'!$B:$B,$A439,'Source 2025'!$A:$A,"Quantity (units)")+SUMIFS('Source 2025'!$J:$J,'Source 2025'!$B:$B,$A439,'Source 2025'!$A:$A,"Quantity (units)")+SUMIFS('Source 2025'!$M:$M,'Source 2025'!$B:$B,$A439,'Source 2025'!$A:$A,"Quantity (units)")</f>
        <v>-1</v>
      </c>
      <c r="D439" s="8" t="n">
        <f aca="false">SUMIFS('Source 2026'!$D:$D,'Source 2026'!$B:$B,$A439,'Source 2026'!$A:$A,"Quantity (units)")+SUMIFS('Source 2026'!$E:$E,'Source 2026'!$B:$B,$A439,'Source 2026'!$A:$A,"Quantity (units)")+SUMIFS('Source 2026'!$F:$F,'Source 2026'!$B:$B,$A439,'Source 2026'!$A:$A,"Quantity (units)")+SUMIFS('Source 2026'!$G:$G,'Source 2026'!$B:$B,$A439,'Source 2026'!$A:$A,"Quantity (units)")+SUMIFS('Source 2026'!$J:$J,'Source 2026'!$B:$B,$A439,'Source 2026'!$A:$A,"Quantity (units)")+SUMIFS('Source 2026'!$M:$M,'Source 2026'!$B:$B,$A439,'Source 2026'!$A:$A,"Quantity (units)")</f>
        <v>0</v>
      </c>
      <c r="E439" s="8" t="n">
        <f aca="false">D439*$J$5</f>
        <v>0</v>
      </c>
      <c r="F439" s="8" t="n">
        <f aca="false">E439-C439</f>
        <v>1</v>
      </c>
      <c r="G439" s="9" t="n">
        <f aca="false">IF(AND(C439=0,E439=0),0,IF(C439=0,"New",(E439-C439)/C439))</f>
        <v>-1</v>
      </c>
      <c r="H439" s="8" t="n">
        <f aca="false">SUMIFS('Source 2025'!$D:$D,'Source 2025'!$B:$B,$A439,'Source 2025'!$A:$A,"Amount (NIS)")+SUMIFS('Source 2025'!$E:$E,'Source 2025'!$B:$B,$A439,'Source 2025'!$A:$A,"Amount (NIS)")+SUMIFS('Source 2025'!$F:$F,'Source 2025'!$B:$B,$A439,'Source 2025'!$A:$A,"Amount (NIS)")+SUMIFS('Source 2025'!$G:$G,'Source 2025'!$B:$B,$A439,'Source 2025'!$A:$A,"Amount (NIS)")+SUMIFS('Source 2025'!$J:$J,'Source 2025'!$B:$B,$A439,'Source 2025'!$A:$A,"Amount (NIS)")+SUMIFS('Source 2025'!$M:$M,'Source 2025'!$B:$B,$A439,'Source 2025'!$A:$A,"Amount (NIS)")</f>
        <v>-165.4</v>
      </c>
      <c r="I439" s="8" t="n">
        <f aca="false">SUMIFS('Source 2026'!$D:$D,'Source 2026'!$B:$B,$A439,'Source 2026'!$A:$A,"Amount (NIS)")+SUMIFS('Source 2026'!$E:$E,'Source 2026'!$B:$B,$A439,'Source 2026'!$A:$A,"Amount (NIS)")+SUMIFS('Source 2026'!$F:$F,'Source 2026'!$B:$B,$A439,'Source 2026'!$A:$A,"Amount (NIS)")+SUMIFS('Source 2026'!$G:$G,'Source 2026'!$B:$B,$A439,'Source 2026'!$A:$A,"Amount (NIS)")+SUMIFS('Source 2026'!$J:$J,'Source 2026'!$B:$B,$A439,'Source 2026'!$A:$A,"Amount (NIS)")+SUMIFS('Source 2026'!$M:$M,'Source 2026'!$B:$B,$A439,'Source 2026'!$A:$A,"Amount (NIS)")</f>
        <v>0</v>
      </c>
      <c r="J439" s="8" t="n">
        <f aca="false">I439*$J$5</f>
        <v>0</v>
      </c>
      <c r="K439" s="8" t="n">
        <f aca="false">J439-H439</f>
        <v>165.4</v>
      </c>
      <c r="L439" s="9" t="n">
        <f aca="false">IF(AND(H439=0,J439=0),0,IF(H439=0,"New",(J439-H439)/H439))</f>
        <v>-1</v>
      </c>
    </row>
    <row r="440" customFormat="false" ht="15" hidden="false" customHeight="false" outlineLevel="0" collapsed="false">
      <c r="A440" s="7" t="n">
        <v>4408177</v>
      </c>
      <c r="B440" s="7" t="str">
        <f aca="false">IFERROR(INDEX('Source 2026'!$C:$C,MATCH($A440,'Source 2026'!$B:$B,0)),IFERROR(INDEX('Source 2025'!$C:$C,MATCH($A440,'Source 2025'!$B:$B,0)),""))</f>
        <v>13 M חגורה לשבר טבור</v>
      </c>
      <c r="C440" s="8" t="n">
        <f aca="false">SUMIFS('Source 2025'!$D:$D,'Source 2025'!$B:$B,$A440,'Source 2025'!$A:$A,"Quantity (units)")+SUMIFS('Source 2025'!$E:$E,'Source 2025'!$B:$B,$A440,'Source 2025'!$A:$A,"Quantity (units)")+SUMIFS('Source 2025'!$F:$F,'Source 2025'!$B:$B,$A440,'Source 2025'!$A:$A,"Quantity (units)")+SUMIFS('Source 2025'!$G:$G,'Source 2025'!$B:$B,$A440,'Source 2025'!$A:$A,"Quantity (units)")+SUMIFS('Source 2025'!$J:$J,'Source 2025'!$B:$B,$A440,'Source 2025'!$A:$A,"Quantity (units)")+SUMIFS('Source 2025'!$M:$M,'Source 2025'!$B:$B,$A440,'Source 2025'!$A:$A,"Quantity (units)")</f>
        <v>1</v>
      </c>
      <c r="D440" s="8" t="n">
        <f aca="false">SUMIFS('Source 2026'!$D:$D,'Source 2026'!$B:$B,$A440,'Source 2026'!$A:$A,"Quantity (units)")+SUMIFS('Source 2026'!$E:$E,'Source 2026'!$B:$B,$A440,'Source 2026'!$A:$A,"Quantity (units)")+SUMIFS('Source 2026'!$F:$F,'Source 2026'!$B:$B,$A440,'Source 2026'!$A:$A,"Quantity (units)")+SUMIFS('Source 2026'!$G:$G,'Source 2026'!$B:$B,$A440,'Source 2026'!$A:$A,"Quantity (units)")+SUMIFS('Source 2026'!$J:$J,'Source 2026'!$B:$B,$A440,'Source 2026'!$A:$A,"Quantity (units)")+SUMIFS('Source 2026'!$M:$M,'Source 2026'!$B:$B,$A440,'Source 2026'!$A:$A,"Quantity (units)")</f>
        <v>0</v>
      </c>
      <c r="E440" s="8" t="n">
        <f aca="false">D440*$J$5</f>
        <v>0</v>
      </c>
      <c r="F440" s="8" t="n">
        <f aca="false">E440-C440</f>
        <v>-1</v>
      </c>
      <c r="G440" s="9" t="n">
        <f aca="false">IF(AND(C440=0,E440=0),0,IF(C440=0,"New",(E440-C440)/C440))</f>
        <v>-1</v>
      </c>
      <c r="H440" s="8" t="n">
        <f aca="false">SUMIFS('Source 2025'!$D:$D,'Source 2025'!$B:$B,$A440,'Source 2025'!$A:$A,"Amount (NIS)")+SUMIFS('Source 2025'!$E:$E,'Source 2025'!$B:$B,$A440,'Source 2025'!$A:$A,"Amount (NIS)")+SUMIFS('Source 2025'!$F:$F,'Source 2025'!$B:$B,$A440,'Source 2025'!$A:$A,"Amount (NIS)")+SUMIFS('Source 2025'!$G:$G,'Source 2025'!$B:$B,$A440,'Source 2025'!$A:$A,"Amount (NIS)")+SUMIFS('Source 2025'!$J:$J,'Source 2025'!$B:$B,$A440,'Source 2025'!$A:$A,"Amount (NIS)")+SUMIFS('Source 2025'!$M:$M,'Source 2025'!$B:$B,$A440,'Source 2025'!$A:$A,"Amount (NIS)")</f>
        <v>157</v>
      </c>
      <c r="I440" s="8" t="n">
        <f aca="false">SUMIFS('Source 2026'!$D:$D,'Source 2026'!$B:$B,$A440,'Source 2026'!$A:$A,"Amount (NIS)")+SUMIFS('Source 2026'!$E:$E,'Source 2026'!$B:$B,$A440,'Source 2026'!$A:$A,"Amount (NIS)")+SUMIFS('Source 2026'!$F:$F,'Source 2026'!$B:$B,$A440,'Source 2026'!$A:$A,"Amount (NIS)")+SUMIFS('Source 2026'!$G:$G,'Source 2026'!$B:$B,$A440,'Source 2026'!$A:$A,"Amount (NIS)")+SUMIFS('Source 2026'!$J:$J,'Source 2026'!$B:$B,$A440,'Source 2026'!$A:$A,"Amount (NIS)")+SUMIFS('Source 2026'!$M:$M,'Source 2026'!$B:$B,$A440,'Source 2026'!$A:$A,"Amount (NIS)")</f>
        <v>0</v>
      </c>
      <c r="J440" s="8" t="n">
        <f aca="false">I440*$J$5</f>
        <v>0</v>
      </c>
      <c r="K440" s="8" t="n">
        <f aca="false">J440-H440</f>
        <v>-157</v>
      </c>
      <c r="L440" s="9" t="n">
        <f aca="false">IF(AND(H440=0,J440=0),0,IF(H440=0,"New",(J440-H440)/H440))</f>
        <v>-1</v>
      </c>
    </row>
    <row r="441" customFormat="false" ht="15" hidden="false" customHeight="false" outlineLevel="0" collapsed="false">
      <c r="A441" s="7" t="n">
        <v>4415029</v>
      </c>
      <c r="B441" s="7" t="str">
        <f aca="false">IFERROR(INDEX('Source 2026'!$C:$C,MATCH($A441,'Source 2026'!$B:$B,0)),IFERROR(INDEX('Source 2025'!$C:$C,MATCH($A441,'Source 2025'!$B:$B,0)),""))</f>
        <v>סד קיבוע לאצבע הדק</v>
      </c>
      <c r="C441" s="8" t="n">
        <f aca="false">SUMIFS('Source 2025'!$D:$D,'Source 2025'!$B:$B,$A441,'Source 2025'!$A:$A,"Quantity (units)")+SUMIFS('Source 2025'!$E:$E,'Source 2025'!$B:$B,$A441,'Source 2025'!$A:$A,"Quantity (units)")+SUMIFS('Source 2025'!$F:$F,'Source 2025'!$B:$B,$A441,'Source 2025'!$A:$A,"Quantity (units)")+SUMIFS('Source 2025'!$G:$G,'Source 2025'!$B:$B,$A441,'Source 2025'!$A:$A,"Quantity (units)")+SUMIFS('Source 2025'!$J:$J,'Source 2025'!$B:$B,$A441,'Source 2025'!$A:$A,"Quantity (units)")+SUMIFS('Source 2025'!$M:$M,'Source 2025'!$B:$B,$A441,'Source 2025'!$A:$A,"Quantity (units)")</f>
        <v>44</v>
      </c>
      <c r="D441" s="8" t="n">
        <f aca="false">SUMIFS('Source 2026'!$D:$D,'Source 2026'!$B:$B,$A441,'Source 2026'!$A:$A,"Quantity (units)")+SUMIFS('Source 2026'!$E:$E,'Source 2026'!$B:$B,$A441,'Source 2026'!$A:$A,"Quantity (units)")+SUMIFS('Source 2026'!$F:$F,'Source 2026'!$B:$B,$A441,'Source 2026'!$A:$A,"Quantity (units)")+SUMIFS('Source 2026'!$G:$G,'Source 2026'!$B:$B,$A441,'Source 2026'!$A:$A,"Quantity (units)")+SUMIFS('Source 2026'!$J:$J,'Source 2026'!$B:$B,$A441,'Source 2026'!$A:$A,"Quantity (units)")+SUMIFS('Source 2026'!$M:$M,'Source 2026'!$B:$B,$A441,'Source 2026'!$A:$A,"Quantity (units)")</f>
        <v>38</v>
      </c>
      <c r="E441" s="8" t="n">
        <f aca="false">D441*$J$5</f>
        <v>52.1142857142857</v>
      </c>
      <c r="F441" s="8" t="n">
        <f aca="false">E441-C441</f>
        <v>8.11428571428571</v>
      </c>
      <c r="G441" s="9" t="n">
        <f aca="false">IF(AND(C441=0,E441=0),0,IF(C441=0,"New",(E441-C441)/C441))</f>
        <v>0.184415584415584</v>
      </c>
      <c r="H441" s="8" t="n">
        <f aca="false">SUMIFS('Source 2025'!$D:$D,'Source 2025'!$B:$B,$A441,'Source 2025'!$A:$A,"Amount (NIS)")+SUMIFS('Source 2025'!$E:$E,'Source 2025'!$B:$B,$A441,'Source 2025'!$A:$A,"Amount (NIS)")+SUMIFS('Source 2025'!$F:$F,'Source 2025'!$B:$B,$A441,'Source 2025'!$A:$A,"Amount (NIS)")+SUMIFS('Source 2025'!$G:$G,'Source 2025'!$B:$B,$A441,'Source 2025'!$A:$A,"Amount (NIS)")+SUMIFS('Source 2025'!$J:$J,'Source 2025'!$B:$B,$A441,'Source 2025'!$A:$A,"Amount (NIS)")+SUMIFS('Source 2025'!$M:$M,'Source 2025'!$B:$B,$A441,'Source 2025'!$A:$A,"Amount (NIS)")</f>
        <v>1297.9</v>
      </c>
      <c r="I441" s="8" t="n">
        <f aca="false">SUMIFS('Source 2026'!$D:$D,'Source 2026'!$B:$B,$A441,'Source 2026'!$A:$A,"Amount (NIS)")+SUMIFS('Source 2026'!$E:$E,'Source 2026'!$B:$B,$A441,'Source 2026'!$A:$A,"Amount (NIS)")+SUMIFS('Source 2026'!$F:$F,'Source 2026'!$B:$B,$A441,'Source 2026'!$A:$A,"Amount (NIS)")+SUMIFS('Source 2026'!$G:$G,'Source 2026'!$B:$B,$A441,'Source 2026'!$A:$A,"Amount (NIS)")+SUMIFS('Source 2026'!$J:$J,'Source 2026'!$B:$B,$A441,'Source 2026'!$A:$A,"Amount (NIS)")+SUMIFS('Source 2026'!$M:$M,'Source 2026'!$B:$B,$A441,'Source 2026'!$A:$A,"Amount (NIS)")</f>
        <v>1141.8</v>
      </c>
      <c r="J441" s="8" t="n">
        <f aca="false">I441*$J$5</f>
        <v>1565.89714285714</v>
      </c>
      <c r="K441" s="8" t="n">
        <f aca="false">J441-H441</f>
        <v>267.997142857143</v>
      </c>
      <c r="L441" s="9" t="n">
        <f aca="false">IF(AND(H441=0,J441=0),0,IF(H441=0,"New",(J441-H441)/H441))</f>
        <v>0.206485201369245</v>
      </c>
    </row>
    <row r="442" customFormat="false" ht="15" hidden="false" customHeight="false" outlineLevel="0" collapsed="false">
      <c r="A442" s="7" t="n">
        <v>4408140</v>
      </c>
      <c r="B442" s="7" t="str">
        <f aca="false">IFERROR(INDEX('Source 2026'!$C:$C,MATCH($A442,'Source 2026'!$B:$B,0)),IFERROR(INDEX('Source 2025'!$C:$C,MATCH($A442,'Source 2025'!$B:$B,0)),""))</f>
        <v>06W S חגורת גב לנשים</v>
      </c>
      <c r="C442" s="8" t="n">
        <f aca="false">SUMIFS('Source 2025'!$D:$D,'Source 2025'!$B:$B,$A442,'Source 2025'!$A:$A,"Quantity (units)")+SUMIFS('Source 2025'!$E:$E,'Source 2025'!$B:$B,$A442,'Source 2025'!$A:$A,"Quantity (units)")+SUMIFS('Source 2025'!$F:$F,'Source 2025'!$B:$B,$A442,'Source 2025'!$A:$A,"Quantity (units)")+SUMIFS('Source 2025'!$G:$G,'Source 2025'!$B:$B,$A442,'Source 2025'!$A:$A,"Quantity (units)")+SUMIFS('Source 2025'!$J:$J,'Source 2025'!$B:$B,$A442,'Source 2025'!$A:$A,"Quantity (units)")+SUMIFS('Source 2025'!$M:$M,'Source 2025'!$B:$B,$A442,'Source 2025'!$A:$A,"Quantity (units)")</f>
        <v>1</v>
      </c>
      <c r="D442" s="8" t="n">
        <f aca="false">SUMIFS('Source 2026'!$D:$D,'Source 2026'!$B:$B,$A442,'Source 2026'!$A:$A,"Quantity (units)")+SUMIFS('Source 2026'!$E:$E,'Source 2026'!$B:$B,$A442,'Source 2026'!$A:$A,"Quantity (units)")+SUMIFS('Source 2026'!$F:$F,'Source 2026'!$B:$B,$A442,'Source 2026'!$A:$A,"Quantity (units)")+SUMIFS('Source 2026'!$G:$G,'Source 2026'!$B:$B,$A442,'Source 2026'!$A:$A,"Quantity (units)")+SUMIFS('Source 2026'!$J:$J,'Source 2026'!$B:$B,$A442,'Source 2026'!$A:$A,"Quantity (units)")+SUMIFS('Source 2026'!$M:$M,'Source 2026'!$B:$B,$A442,'Source 2026'!$A:$A,"Quantity (units)")</f>
        <v>0</v>
      </c>
      <c r="E442" s="8" t="n">
        <f aca="false">D442*$J$5</f>
        <v>0</v>
      </c>
      <c r="F442" s="8" t="n">
        <f aca="false">E442-C442</f>
        <v>-1</v>
      </c>
      <c r="G442" s="9" t="n">
        <f aca="false">IF(AND(C442=0,E442=0),0,IF(C442=0,"New",(E442-C442)/C442))</f>
        <v>-1</v>
      </c>
      <c r="H442" s="8" t="n">
        <f aca="false">SUMIFS('Source 2025'!$D:$D,'Source 2025'!$B:$B,$A442,'Source 2025'!$A:$A,"Amount (NIS)")+SUMIFS('Source 2025'!$E:$E,'Source 2025'!$B:$B,$A442,'Source 2025'!$A:$A,"Amount (NIS)")+SUMIFS('Source 2025'!$F:$F,'Source 2025'!$B:$B,$A442,'Source 2025'!$A:$A,"Amount (NIS)")+SUMIFS('Source 2025'!$G:$G,'Source 2025'!$B:$B,$A442,'Source 2025'!$A:$A,"Amount (NIS)")+SUMIFS('Source 2025'!$J:$J,'Source 2025'!$B:$B,$A442,'Source 2025'!$A:$A,"Amount (NIS)")+SUMIFS('Source 2025'!$M:$M,'Source 2025'!$B:$B,$A442,'Source 2025'!$A:$A,"Amount (NIS)")</f>
        <v>154.4</v>
      </c>
      <c r="I442" s="8" t="n">
        <f aca="false">SUMIFS('Source 2026'!$D:$D,'Source 2026'!$B:$B,$A442,'Source 2026'!$A:$A,"Amount (NIS)")+SUMIFS('Source 2026'!$E:$E,'Source 2026'!$B:$B,$A442,'Source 2026'!$A:$A,"Amount (NIS)")+SUMIFS('Source 2026'!$F:$F,'Source 2026'!$B:$B,$A442,'Source 2026'!$A:$A,"Amount (NIS)")+SUMIFS('Source 2026'!$G:$G,'Source 2026'!$B:$B,$A442,'Source 2026'!$A:$A,"Amount (NIS)")+SUMIFS('Source 2026'!$J:$J,'Source 2026'!$B:$B,$A442,'Source 2026'!$A:$A,"Amount (NIS)")+SUMIFS('Source 2026'!$M:$M,'Source 2026'!$B:$B,$A442,'Source 2026'!$A:$A,"Amount (NIS)")</f>
        <v>0</v>
      </c>
      <c r="J442" s="8" t="n">
        <f aca="false">I442*$J$5</f>
        <v>0</v>
      </c>
      <c r="K442" s="8" t="n">
        <f aca="false">J442-H442</f>
        <v>-154.4</v>
      </c>
      <c r="L442" s="9" t="n">
        <f aca="false">IF(AND(H442=0,J442=0),0,IF(H442=0,"New",(J442-H442)/H442))</f>
        <v>-1</v>
      </c>
    </row>
    <row r="443" customFormat="false" ht="15" hidden="false" customHeight="false" outlineLevel="0" collapsed="false">
      <c r="A443" s="7" t="n">
        <v>4413069</v>
      </c>
      <c r="B443" s="7" t="str">
        <f aca="false">IFERROR(INDEX('Source 2026'!$C:$C,MATCH($A443,'Source 2026'!$B:$B,0)),IFERROR(INDEX('Source 2025'!$C:$C,MATCH($A443,'Source 2025'!$B:$B,0)),""))</f>
        <v>388L סד לילה לבוהן</v>
      </c>
      <c r="C443" s="8" t="n">
        <f aca="false">SUMIFS('Source 2025'!$D:$D,'Source 2025'!$B:$B,$A443,'Source 2025'!$A:$A,"Quantity (units)")+SUMIFS('Source 2025'!$E:$E,'Source 2025'!$B:$B,$A443,'Source 2025'!$A:$A,"Quantity (units)")+SUMIFS('Source 2025'!$F:$F,'Source 2025'!$B:$B,$A443,'Source 2025'!$A:$A,"Quantity (units)")+SUMIFS('Source 2025'!$G:$G,'Source 2025'!$B:$B,$A443,'Source 2025'!$A:$A,"Quantity (units)")+SUMIFS('Source 2025'!$J:$J,'Source 2025'!$B:$B,$A443,'Source 2025'!$A:$A,"Quantity (units)")+SUMIFS('Source 2025'!$M:$M,'Source 2025'!$B:$B,$A443,'Source 2025'!$A:$A,"Quantity (units)")</f>
        <v>-2</v>
      </c>
      <c r="D443" s="8" t="n">
        <f aca="false">SUMIFS('Source 2026'!$D:$D,'Source 2026'!$B:$B,$A443,'Source 2026'!$A:$A,"Quantity (units)")+SUMIFS('Source 2026'!$E:$E,'Source 2026'!$B:$B,$A443,'Source 2026'!$A:$A,"Quantity (units)")+SUMIFS('Source 2026'!$F:$F,'Source 2026'!$B:$B,$A443,'Source 2026'!$A:$A,"Quantity (units)")+SUMIFS('Source 2026'!$G:$G,'Source 2026'!$B:$B,$A443,'Source 2026'!$A:$A,"Quantity (units)")+SUMIFS('Source 2026'!$J:$J,'Source 2026'!$B:$B,$A443,'Source 2026'!$A:$A,"Quantity (units)")+SUMIFS('Source 2026'!$M:$M,'Source 2026'!$B:$B,$A443,'Source 2026'!$A:$A,"Quantity (units)")</f>
        <v>0</v>
      </c>
      <c r="E443" s="8" t="n">
        <f aca="false">D443*$J$5</f>
        <v>0</v>
      </c>
      <c r="F443" s="8" t="n">
        <f aca="false">E443-C443</f>
        <v>2</v>
      </c>
      <c r="G443" s="9" t="n">
        <f aca="false">IF(AND(C443=0,E443=0),0,IF(C443=0,"New",(E443-C443)/C443))</f>
        <v>-1</v>
      </c>
      <c r="H443" s="8" t="n">
        <f aca="false">SUMIFS('Source 2025'!$D:$D,'Source 2025'!$B:$B,$A443,'Source 2025'!$A:$A,"Amount (NIS)")+SUMIFS('Source 2025'!$E:$E,'Source 2025'!$B:$B,$A443,'Source 2025'!$A:$A,"Amount (NIS)")+SUMIFS('Source 2025'!$F:$F,'Source 2025'!$B:$B,$A443,'Source 2025'!$A:$A,"Amount (NIS)")+SUMIFS('Source 2025'!$G:$G,'Source 2025'!$B:$B,$A443,'Source 2025'!$A:$A,"Amount (NIS)")+SUMIFS('Source 2025'!$J:$J,'Source 2025'!$B:$B,$A443,'Source 2025'!$A:$A,"Amount (NIS)")+SUMIFS('Source 2025'!$M:$M,'Source 2025'!$B:$B,$A443,'Source 2025'!$A:$A,"Amount (NIS)")</f>
        <v>-152.1</v>
      </c>
      <c r="I443" s="8" t="n">
        <f aca="false">SUMIFS('Source 2026'!$D:$D,'Source 2026'!$B:$B,$A443,'Source 2026'!$A:$A,"Amount (NIS)")+SUMIFS('Source 2026'!$E:$E,'Source 2026'!$B:$B,$A443,'Source 2026'!$A:$A,"Amount (NIS)")+SUMIFS('Source 2026'!$F:$F,'Source 2026'!$B:$B,$A443,'Source 2026'!$A:$A,"Amount (NIS)")+SUMIFS('Source 2026'!$G:$G,'Source 2026'!$B:$B,$A443,'Source 2026'!$A:$A,"Amount (NIS)")+SUMIFS('Source 2026'!$J:$J,'Source 2026'!$B:$B,$A443,'Source 2026'!$A:$A,"Amount (NIS)")+SUMIFS('Source 2026'!$M:$M,'Source 2026'!$B:$B,$A443,'Source 2026'!$A:$A,"Amount (NIS)")</f>
        <v>0</v>
      </c>
      <c r="J443" s="8" t="n">
        <f aca="false">I443*$J$5</f>
        <v>0</v>
      </c>
      <c r="K443" s="8" t="n">
        <f aca="false">J443-H443</f>
        <v>152.1</v>
      </c>
      <c r="L443" s="9" t="n">
        <f aca="false">IF(AND(H443=0,J443=0),0,IF(H443=0,"New",(J443-H443)/H443))</f>
        <v>-1</v>
      </c>
    </row>
    <row r="444" customFormat="false" ht="15" hidden="false" customHeight="false" outlineLevel="0" collapsed="false">
      <c r="A444" s="7" t="n">
        <v>4413195</v>
      </c>
      <c r="B444" s="7" t="str">
        <f aca="false">IFERROR(INDEX('Source 2026'!$C:$C,MATCH($A444,'Source 2026'!$B:$B,0)),IFERROR(INDEX('Source 2025'!$C:$C,MATCH($A444,'Source 2025'!$B:$B,0)),""))</f>
        <v>87 S מקבע כתף ויד</v>
      </c>
      <c r="C444" s="8" t="n">
        <f aca="false">SUMIFS('Source 2025'!$D:$D,'Source 2025'!$B:$B,$A444,'Source 2025'!$A:$A,"Quantity (units)")+SUMIFS('Source 2025'!$E:$E,'Source 2025'!$B:$B,$A444,'Source 2025'!$A:$A,"Quantity (units)")+SUMIFS('Source 2025'!$F:$F,'Source 2025'!$B:$B,$A444,'Source 2025'!$A:$A,"Quantity (units)")+SUMIFS('Source 2025'!$G:$G,'Source 2025'!$B:$B,$A444,'Source 2025'!$A:$A,"Quantity (units)")+SUMIFS('Source 2025'!$J:$J,'Source 2025'!$B:$B,$A444,'Source 2025'!$A:$A,"Quantity (units)")+SUMIFS('Source 2025'!$M:$M,'Source 2025'!$B:$B,$A444,'Source 2025'!$A:$A,"Quantity (units)")</f>
        <v>5</v>
      </c>
      <c r="D444" s="8" t="n">
        <f aca="false">SUMIFS('Source 2026'!$D:$D,'Source 2026'!$B:$B,$A444,'Source 2026'!$A:$A,"Quantity (units)")+SUMIFS('Source 2026'!$E:$E,'Source 2026'!$B:$B,$A444,'Source 2026'!$A:$A,"Quantity (units)")+SUMIFS('Source 2026'!$F:$F,'Source 2026'!$B:$B,$A444,'Source 2026'!$A:$A,"Quantity (units)")+SUMIFS('Source 2026'!$G:$G,'Source 2026'!$B:$B,$A444,'Source 2026'!$A:$A,"Quantity (units)")+SUMIFS('Source 2026'!$J:$J,'Source 2026'!$B:$B,$A444,'Source 2026'!$A:$A,"Quantity (units)")+SUMIFS('Source 2026'!$M:$M,'Source 2026'!$B:$B,$A444,'Source 2026'!$A:$A,"Quantity (units)")</f>
        <v>4</v>
      </c>
      <c r="E444" s="8" t="n">
        <f aca="false">D444*$J$5</f>
        <v>5.48571428571429</v>
      </c>
      <c r="F444" s="8" t="n">
        <f aca="false">E444-C444</f>
        <v>0.485714285714286</v>
      </c>
      <c r="G444" s="9" t="n">
        <f aca="false">IF(AND(C444=0,E444=0),0,IF(C444=0,"New",(E444-C444)/C444))</f>
        <v>0.0971428571428572</v>
      </c>
      <c r="H444" s="8" t="n">
        <f aca="false">SUMIFS('Source 2025'!$D:$D,'Source 2025'!$B:$B,$A444,'Source 2025'!$A:$A,"Amount (NIS)")+SUMIFS('Source 2025'!$E:$E,'Source 2025'!$B:$B,$A444,'Source 2025'!$A:$A,"Amount (NIS)")+SUMIFS('Source 2025'!$F:$F,'Source 2025'!$B:$B,$A444,'Source 2025'!$A:$A,"Amount (NIS)")+SUMIFS('Source 2025'!$G:$G,'Source 2025'!$B:$B,$A444,'Source 2025'!$A:$A,"Amount (NIS)")+SUMIFS('Source 2025'!$J:$J,'Source 2025'!$B:$B,$A444,'Source 2025'!$A:$A,"Amount (NIS)")+SUMIFS('Source 2025'!$M:$M,'Source 2025'!$B:$B,$A444,'Source 2025'!$A:$A,"Amount (NIS)")</f>
        <v>957.4</v>
      </c>
      <c r="I444" s="8" t="n">
        <f aca="false">SUMIFS('Source 2026'!$D:$D,'Source 2026'!$B:$B,$A444,'Source 2026'!$A:$A,"Amount (NIS)")+SUMIFS('Source 2026'!$E:$E,'Source 2026'!$B:$B,$A444,'Source 2026'!$A:$A,"Amount (NIS)")+SUMIFS('Source 2026'!$F:$F,'Source 2026'!$B:$B,$A444,'Source 2026'!$A:$A,"Amount (NIS)")+SUMIFS('Source 2026'!$G:$G,'Source 2026'!$B:$B,$A444,'Source 2026'!$A:$A,"Amount (NIS)")+SUMIFS('Source 2026'!$J:$J,'Source 2026'!$B:$B,$A444,'Source 2026'!$A:$A,"Amount (NIS)")+SUMIFS('Source 2026'!$M:$M,'Source 2026'!$B:$B,$A444,'Source 2026'!$A:$A,"Amount (NIS)")</f>
        <v>806</v>
      </c>
      <c r="J444" s="8" t="n">
        <f aca="false">I444*$J$5</f>
        <v>1105.37142857143</v>
      </c>
      <c r="K444" s="8" t="n">
        <f aca="false">J444-H444</f>
        <v>147.971428571429</v>
      </c>
      <c r="L444" s="9" t="n">
        <f aca="false">IF(AND(H444=0,J444=0),0,IF(H444=0,"New",(J444-H444)/H444))</f>
        <v>0.154555492554239</v>
      </c>
    </row>
    <row r="445" customFormat="false" ht="15" hidden="false" customHeight="false" outlineLevel="0" collapsed="false">
      <c r="A445" s="7" t="n">
        <v>4422009</v>
      </c>
      <c r="B445" s="7" t="str">
        <f aca="false">IFERROR(INDEX('Source 2026'!$C:$C,MATCH($A445,'Source 2026'!$B:$B,0)),IFERROR(INDEX('Source 2025'!$C:$C,MATCH($A445,'Source 2025'!$B:$B,0)),""))</f>
        <v>T78 XXL תומך זרוע וכתף</v>
      </c>
      <c r="C445" s="8" t="n">
        <f aca="false">SUMIFS('Source 2025'!$D:$D,'Source 2025'!$B:$B,$A445,'Source 2025'!$A:$A,"Quantity (units)")+SUMIFS('Source 2025'!$E:$E,'Source 2025'!$B:$B,$A445,'Source 2025'!$A:$A,"Quantity (units)")+SUMIFS('Source 2025'!$F:$F,'Source 2025'!$B:$B,$A445,'Source 2025'!$A:$A,"Quantity (units)")+SUMIFS('Source 2025'!$G:$G,'Source 2025'!$B:$B,$A445,'Source 2025'!$A:$A,"Quantity (units)")+SUMIFS('Source 2025'!$J:$J,'Source 2025'!$B:$B,$A445,'Source 2025'!$A:$A,"Quantity (units)")+SUMIFS('Source 2025'!$M:$M,'Source 2025'!$B:$B,$A445,'Source 2025'!$A:$A,"Quantity (units)")</f>
        <v>4</v>
      </c>
      <c r="D445" s="8" t="n">
        <f aca="false">SUMIFS('Source 2026'!$D:$D,'Source 2026'!$B:$B,$A445,'Source 2026'!$A:$A,"Quantity (units)")+SUMIFS('Source 2026'!$E:$E,'Source 2026'!$B:$B,$A445,'Source 2026'!$A:$A,"Quantity (units)")+SUMIFS('Source 2026'!$F:$F,'Source 2026'!$B:$B,$A445,'Source 2026'!$A:$A,"Quantity (units)")+SUMIFS('Source 2026'!$G:$G,'Source 2026'!$B:$B,$A445,'Source 2026'!$A:$A,"Quantity (units)")+SUMIFS('Source 2026'!$J:$J,'Source 2026'!$B:$B,$A445,'Source 2026'!$A:$A,"Quantity (units)")+SUMIFS('Source 2026'!$M:$M,'Source 2026'!$B:$B,$A445,'Source 2026'!$A:$A,"Quantity (units)")</f>
        <v>3</v>
      </c>
      <c r="E445" s="8" t="n">
        <f aca="false">D445*$J$5</f>
        <v>4.11428571428571</v>
      </c>
      <c r="F445" s="8" t="n">
        <f aca="false">E445-C445</f>
        <v>0.114285714285714</v>
      </c>
      <c r="G445" s="9" t="n">
        <f aca="false">IF(AND(C445=0,E445=0),0,IF(C445=0,"New",(E445-C445)/C445))</f>
        <v>0.0285714285714285</v>
      </c>
      <c r="H445" s="8" t="n">
        <f aca="false">SUMIFS('Source 2025'!$D:$D,'Source 2025'!$B:$B,$A445,'Source 2025'!$A:$A,"Amount (NIS)")+SUMIFS('Source 2025'!$E:$E,'Source 2025'!$B:$B,$A445,'Source 2025'!$A:$A,"Amount (NIS)")+SUMIFS('Source 2025'!$F:$F,'Source 2025'!$B:$B,$A445,'Source 2025'!$A:$A,"Amount (NIS)")+SUMIFS('Source 2025'!$G:$G,'Source 2025'!$B:$B,$A445,'Source 2025'!$A:$A,"Amount (NIS)")+SUMIFS('Source 2025'!$J:$J,'Source 2025'!$B:$B,$A445,'Source 2025'!$A:$A,"Amount (NIS)")+SUMIFS('Source 2025'!$M:$M,'Source 2025'!$B:$B,$A445,'Source 2025'!$A:$A,"Amount (NIS)")</f>
        <v>719.4</v>
      </c>
      <c r="I445" s="8" t="n">
        <f aca="false">SUMIFS('Source 2026'!$D:$D,'Source 2026'!$B:$B,$A445,'Source 2026'!$A:$A,"Amount (NIS)")+SUMIFS('Source 2026'!$E:$E,'Source 2026'!$B:$B,$A445,'Source 2026'!$A:$A,"Amount (NIS)")+SUMIFS('Source 2026'!$F:$F,'Source 2026'!$B:$B,$A445,'Source 2026'!$A:$A,"Amount (NIS)")+SUMIFS('Source 2026'!$G:$G,'Source 2026'!$B:$B,$A445,'Source 2026'!$A:$A,"Amount (NIS)")+SUMIFS('Source 2026'!$J:$J,'Source 2026'!$B:$B,$A445,'Source 2026'!$A:$A,"Amount (NIS)")+SUMIFS('Source 2026'!$M:$M,'Source 2026'!$B:$B,$A445,'Source 2026'!$A:$A,"Amount (NIS)")</f>
        <v>568</v>
      </c>
      <c r="J445" s="8" t="n">
        <f aca="false">I445*$J$5</f>
        <v>778.971428571429</v>
      </c>
      <c r="K445" s="8" t="n">
        <f aca="false">J445-H445</f>
        <v>59.5714285714286</v>
      </c>
      <c r="L445" s="9" t="n">
        <f aca="false">IF(AND(H445=0,J445=0),0,IF(H445=0,"New",(J445-H445)/H445))</f>
        <v>0.082807101155725</v>
      </c>
    </row>
    <row r="446" customFormat="false" ht="15" hidden="false" customHeight="false" outlineLevel="0" collapsed="false">
      <c r="A446" s="7" t="n">
        <v>4413406</v>
      </c>
      <c r="B446" s="7" t="str">
        <f aca="false">IFERROR(INDEX('Source 2026'!$C:$C,MATCH($A446,'Source 2026'!$B:$B,0)),IFERROR(INDEX('Source 2025'!$C:$C,MATCH($A446,'Source 2025'!$B:$B,0)),""))</f>
        <v>SC95 M מגן מרפק</v>
      </c>
      <c r="C446" s="8" t="n">
        <f aca="false">SUMIFS('Source 2025'!$D:$D,'Source 2025'!$B:$B,$A446,'Source 2025'!$A:$A,"Quantity (units)")+SUMIFS('Source 2025'!$E:$E,'Source 2025'!$B:$B,$A446,'Source 2025'!$A:$A,"Quantity (units)")+SUMIFS('Source 2025'!$F:$F,'Source 2025'!$B:$B,$A446,'Source 2025'!$A:$A,"Quantity (units)")+SUMIFS('Source 2025'!$G:$G,'Source 2025'!$B:$B,$A446,'Source 2025'!$A:$A,"Quantity (units)")+SUMIFS('Source 2025'!$J:$J,'Source 2025'!$B:$B,$A446,'Source 2025'!$A:$A,"Quantity (units)")+SUMIFS('Source 2025'!$M:$M,'Source 2025'!$B:$B,$A446,'Source 2025'!$A:$A,"Quantity (units)")</f>
        <v>6</v>
      </c>
      <c r="D446" s="8" t="n">
        <f aca="false">SUMIFS('Source 2026'!$D:$D,'Source 2026'!$B:$B,$A446,'Source 2026'!$A:$A,"Quantity (units)")+SUMIFS('Source 2026'!$E:$E,'Source 2026'!$B:$B,$A446,'Source 2026'!$A:$A,"Quantity (units)")+SUMIFS('Source 2026'!$F:$F,'Source 2026'!$B:$B,$A446,'Source 2026'!$A:$A,"Quantity (units)")+SUMIFS('Source 2026'!$G:$G,'Source 2026'!$B:$B,$A446,'Source 2026'!$A:$A,"Quantity (units)")+SUMIFS('Source 2026'!$J:$J,'Source 2026'!$B:$B,$A446,'Source 2026'!$A:$A,"Quantity (units)")+SUMIFS('Source 2026'!$M:$M,'Source 2026'!$B:$B,$A446,'Source 2026'!$A:$A,"Quantity (units)")</f>
        <v>7</v>
      </c>
      <c r="E446" s="8" t="n">
        <f aca="false">D446*$J$5</f>
        <v>9.6</v>
      </c>
      <c r="F446" s="8" t="n">
        <f aca="false">E446-C446</f>
        <v>3.6</v>
      </c>
      <c r="G446" s="9" t="n">
        <f aca="false">IF(AND(C446=0,E446=0),0,IF(C446=0,"New",(E446-C446)/C446))</f>
        <v>0.6</v>
      </c>
      <c r="H446" s="8" t="n">
        <f aca="false">SUMIFS('Source 2025'!$D:$D,'Source 2025'!$B:$B,$A446,'Source 2025'!$A:$A,"Amount (NIS)")+SUMIFS('Source 2025'!$E:$E,'Source 2025'!$B:$B,$A446,'Source 2025'!$A:$A,"Amount (NIS)")+SUMIFS('Source 2025'!$F:$F,'Source 2025'!$B:$B,$A446,'Source 2025'!$A:$A,"Amount (NIS)")+SUMIFS('Source 2025'!$G:$G,'Source 2025'!$B:$B,$A446,'Source 2025'!$A:$A,"Amount (NIS)")+SUMIFS('Source 2025'!$J:$J,'Source 2025'!$B:$B,$A446,'Source 2025'!$A:$A,"Amount (NIS)")+SUMIFS('Source 2025'!$M:$M,'Source 2025'!$B:$B,$A446,'Source 2025'!$A:$A,"Amount (NIS)")</f>
        <v>507.7</v>
      </c>
      <c r="I446" s="8" t="n">
        <f aca="false">SUMIFS('Source 2026'!$D:$D,'Source 2026'!$B:$B,$A446,'Source 2026'!$A:$A,"Amount (NIS)")+SUMIFS('Source 2026'!$E:$E,'Source 2026'!$B:$B,$A446,'Source 2026'!$A:$A,"Amount (NIS)")+SUMIFS('Source 2026'!$F:$F,'Source 2026'!$B:$B,$A446,'Source 2026'!$A:$A,"Amount (NIS)")+SUMIFS('Source 2026'!$G:$G,'Source 2026'!$B:$B,$A446,'Source 2026'!$A:$A,"Amount (NIS)")+SUMIFS('Source 2026'!$J:$J,'Source 2026'!$B:$B,$A446,'Source 2026'!$A:$A,"Amount (NIS)")+SUMIFS('Source 2026'!$M:$M,'Source 2026'!$B:$B,$A446,'Source 2026'!$A:$A,"Amount (NIS)")</f>
        <v>655.7</v>
      </c>
      <c r="J446" s="8" t="n">
        <f aca="false">I446*$J$5</f>
        <v>899.245714285714</v>
      </c>
      <c r="K446" s="8" t="n">
        <f aca="false">J446-H446</f>
        <v>391.545714285714</v>
      </c>
      <c r="L446" s="9" t="n">
        <f aca="false">IF(AND(H446=0,J446=0),0,IF(H446=0,"New",(J446-H446)/H446))</f>
        <v>0.771214721854864</v>
      </c>
    </row>
    <row r="447" customFormat="false" ht="15" hidden="false" customHeight="false" outlineLevel="0" collapsed="false">
      <c r="A447" s="7" t="n">
        <v>4403008</v>
      </c>
      <c r="B447" s="7" t="str">
        <f aca="false">IFERROR(INDEX('Source 2026'!$C:$C,MATCH($A447,'Source 2026'!$B:$B,0)),IFERROR(INDEX('Source 2025'!$C:$C,MATCH($A447,'Source 2025'!$B:$B,0)),""))</f>
        <v>390W גרב.כסף לסכרתיים לבן43-46</v>
      </c>
      <c r="C447" s="8" t="n">
        <f aca="false">SUMIFS('Source 2025'!$D:$D,'Source 2025'!$B:$B,$A447,'Source 2025'!$A:$A,"Quantity (units)")+SUMIFS('Source 2025'!$E:$E,'Source 2025'!$B:$B,$A447,'Source 2025'!$A:$A,"Quantity (units)")+SUMIFS('Source 2025'!$F:$F,'Source 2025'!$B:$B,$A447,'Source 2025'!$A:$A,"Quantity (units)")+SUMIFS('Source 2025'!$G:$G,'Source 2025'!$B:$B,$A447,'Source 2025'!$A:$A,"Quantity (units)")+SUMIFS('Source 2025'!$J:$J,'Source 2025'!$B:$B,$A447,'Source 2025'!$A:$A,"Quantity (units)")+SUMIFS('Source 2025'!$M:$M,'Source 2025'!$B:$B,$A447,'Source 2025'!$A:$A,"Quantity (units)")</f>
        <v>20</v>
      </c>
      <c r="D447" s="8" t="n">
        <f aca="false">SUMIFS('Source 2026'!$D:$D,'Source 2026'!$B:$B,$A447,'Source 2026'!$A:$A,"Quantity (units)")+SUMIFS('Source 2026'!$E:$E,'Source 2026'!$B:$B,$A447,'Source 2026'!$A:$A,"Quantity (units)")+SUMIFS('Source 2026'!$F:$F,'Source 2026'!$B:$B,$A447,'Source 2026'!$A:$A,"Quantity (units)")+SUMIFS('Source 2026'!$G:$G,'Source 2026'!$B:$B,$A447,'Source 2026'!$A:$A,"Quantity (units)")+SUMIFS('Source 2026'!$J:$J,'Source 2026'!$B:$B,$A447,'Source 2026'!$A:$A,"Quantity (units)")+SUMIFS('Source 2026'!$M:$M,'Source 2026'!$B:$B,$A447,'Source 2026'!$A:$A,"Quantity (units)")</f>
        <v>13</v>
      </c>
      <c r="E447" s="8" t="n">
        <f aca="false">D447*$J$5</f>
        <v>17.8285714285714</v>
      </c>
      <c r="F447" s="8" t="n">
        <f aca="false">E447-C447</f>
        <v>-2.17142857142857</v>
      </c>
      <c r="G447" s="9" t="n">
        <f aca="false">IF(AND(C447=0,E447=0),0,IF(C447=0,"New",(E447-C447)/C447))</f>
        <v>-0.108571428571429</v>
      </c>
      <c r="H447" s="8" t="n">
        <f aca="false">SUMIFS('Source 2025'!$D:$D,'Source 2025'!$B:$B,$A447,'Source 2025'!$A:$A,"Amount (NIS)")+SUMIFS('Source 2025'!$E:$E,'Source 2025'!$B:$B,$A447,'Source 2025'!$A:$A,"Amount (NIS)")+SUMIFS('Source 2025'!$F:$F,'Source 2025'!$B:$B,$A447,'Source 2025'!$A:$A,"Amount (NIS)")+SUMIFS('Source 2025'!$G:$G,'Source 2025'!$B:$B,$A447,'Source 2025'!$A:$A,"Amount (NIS)")+SUMIFS('Source 2025'!$J:$J,'Source 2025'!$B:$B,$A447,'Source 2025'!$A:$A,"Amount (NIS)")+SUMIFS('Source 2025'!$M:$M,'Source 2025'!$B:$B,$A447,'Source 2025'!$A:$A,"Amount (NIS)")</f>
        <v>601.1</v>
      </c>
      <c r="I447" s="8" t="n">
        <f aca="false">SUMIFS('Source 2026'!$D:$D,'Source 2026'!$B:$B,$A447,'Source 2026'!$A:$A,"Amount (NIS)")+SUMIFS('Source 2026'!$E:$E,'Source 2026'!$B:$B,$A447,'Source 2026'!$A:$A,"Amount (NIS)")+SUMIFS('Source 2026'!$F:$F,'Source 2026'!$B:$B,$A447,'Source 2026'!$A:$A,"Amount (NIS)")+SUMIFS('Source 2026'!$G:$G,'Source 2026'!$B:$B,$A447,'Source 2026'!$A:$A,"Amount (NIS)")+SUMIFS('Source 2026'!$J:$J,'Source 2026'!$B:$B,$A447,'Source 2026'!$A:$A,"Amount (NIS)")+SUMIFS('Source 2026'!$M:$M,'Source 2026'!$B:$B,$A447,'Source 2026'!$A:$A,"Amount (NIS)")</f>
        <v>456.4</v>
      </c>
      <c r="J447" s="8" t="n">
        <f aca="false">I447*$J$5</f>
        <v>625.92</v>
      </c>
      <c r="K447" s="8" t="n">
        <f aca="false">J447-H447</f>
        <v>24.8199999999999</v>
      </c>
      <c r="L447" s="9" t="n">
        <f aca="false">IF(AND(H447=0,J447=0),0,IF(H447=0,"New",(J447-H447)/H447))</f>
        <v>0.0412909665613042</v>
      </c>
    </row>
    <row r="448" customFormat="false" ht="15" hidden="false" customHeight="false" outlineLevel="0" collapsed="false">
      <c r="A448" s="7" t="n">
        <v>4413444</v>
      </c>
      <c r="B448" s="7" t="str">
        <f aca="false">IFERROR(INDEX('Source 2026'!$C:$C,MATCH($A448,'Source 2026'!$B:$B,0)),IFERROR(INDEX('Source 2025'!$C:$C,MATCH($A448,'Source 2025'!$B:$B,0)),""))</f>
        <v>302SP M מדרס ג'ל ספורט לגבר</v>
      </c>
      <c r="C448" s="8" t="n">
        <f aca="false">SUMIFS('Source 2025'!$D:$D,'Source 2025'!$B:$B,$A448,'Source 2025'!$A:$A,"Quantity (units)")+SUMIFS('Source 2025'!$E:$E,'Source 2025'!$B:$B,$A448,'Source 2025'!$A:$A,"Quantity (units)")+SUMIFS('Source 2025'!$F:$F,'Source 2025'!$B:$B,$A448,'Source 2025'!$A:$A,"Quantity (units)")+SUMIFS('Source 2025'!$G:$G,'Source 2025'!$B:$B,$A448,'Source 2025'!$A:$A,"Quantity (units)")+SUMIFS('Source 2025'!$J:$J,'Source 2025'!$B:$B,$A448,'Source 2025'!$A:$A,"Quantity (units)")+SUMIFS('Source 2025'!$M:$M,'Source 2025'!$B:$B,$A448,'Source 2025'!$A:$A,"Quantity (units)")</f>
        <v>-2</v>
      </c>
      <c r="D448" s="8" t="n">
        <f aca="false">SUMIFS('Source 2026'!$D:$D,'Source 2026'!$B:$B,$A448,'Source 2026'!$A:$A,"Quantity (units)")+SUMIFS('Source 2026'!$E:$E,'Source 2026'!$B:$B,$A448,'Source 2026'!$A:$A,"Quantity (units)")+SUMIFS('Source 2026'!$F:$F,'Source 2026'!$B:$B,$A448,'Source 2026'!$A:$A,"Quantity (units)")+SUMIFS('Source 2026'!$G:$G,'Source 2026'!$B:$B,$A448,'Source 2026'!$A:$A,"Quantity (units)")+SUMIFS('Source 2026'!$J:$J,'Source 2026'!$B:$B,$A448,'Source 2026'!$A:$A,"Quantity (units)")+SUMIFS('Source 2026'!$M:$M,'Source 2026'!$B:$B,$A448,'Source 2026'!$A:$A,"Quantity (units)")</f>
        <v>0</v>
      </c>
      <c r="E448" s="8" t="n">
        <f aca="false">D448*$J$5</f>
        <v>0</v>
      </c>
      <c r="F448" s="8" t="n">
        <f aca="false">E448-C448</f>
        <v>2</v>
      </c>
      <c r="G448" s="9" t="n">
        <f aca="false">IF(AND(C448=0,E448=0),0,IF(C448=0,"New",(E448-C448)/C448))</f>
        <v>-1</v>
      </c>
      <c r="H448" s="8" t="n">
        <f aca="false">SUMIFS('Source 2025'!$D:$D,'Source 2025'!$B:$B,$A448,'Source 2025'!$A:$A,"Amount (NIS)")+SUMIFS('Source 2025'!$E:$E,'Source 2025'!$B:$B,$A448,'Source 2025'!$A:$A,"Amount (NIS)")+SUMIFS('Source 2025'!$F:$F,'Source 2025'!$B:$B,$A448,'Source 2025'!$A:$A,"Amount (NIS)")+SUMIFS('Source 2025'!$G:$G,'Source 2025'!$B:$B,$A448,'Source 2025'!$A:$A,"Amount (NIS)")+SUMIFS('Source 2025'!$J:$J,'Source 2025'!$B:$B,$A448,'Source 2025'!$A:$A,"Amount (NIS)")+SUMIFS('Source 2025'!$M:$M,'Source 2025'!$B:$B,$A448,'Source 2025'!$A:$A,"Amount (NIS)")</f>
        <v>-144.5</v>
      </c>
      <c r="I448" s="8" t="n">
        <f aca="false">SUMIFS('Source 2026'!$D:$D,'Source 2026'!$B:$B,$A448,'Source 2026'!$A:$A,"Amount (NIS)")+SUMIFS('Source 2026'!$E:$E,'Source 2026'!$B:$B,$A448,'Source 2026'!$A:$A,"Amount (NIS)")+SUMIFS('Source 2026'!$F:$F,'Source 2026'!$B:$B,$A448,'Source 2026'!$A:$A,"Amount (NIS)")+SUMIFS('Source 2026'!$G:$G,'Source 2026'!$B:$B,$A448,'Source 2026'!$A:$A,"Amount (NIS)")+SUMIFS('Source 2026'!$J:$J,'Source 2026'!$B:$B,$A448,'Source 2026'!$A:$A,"Amount (NIS)")+SUMIFS('Source 2026'!$M:$M,'Source 2026'!$B:$B,$A448,'Source 2026'!$A:$A,"Amount (NIS)")</f>
        <v>0</v>
      </c>
      <c r="J448" s="8" t="n">
        <f aca="false">I448*$J$5</f>
        <v>0</v>
      </c>
      <c r="K448" s="8" t="n">
        <f aca="false">J448-H448</f>
        <v>144.5</v>
      </c>
      <c r="L448" s="9" t="n">
        <f aca="false">IF(AND(H448=0,J448=0),0,IF(H448=0,"New",(J448-H448)/H448))</f>
        <v>-1</v>
      </c>
    </row>
    <row r="449" customFormat="false" ht="15" hidden="false" customHeight="false" outlineLevel="0" collapsed="false">
      <c r="A449" s="7" t="n">
        <v>4408260</v>
      </c>
      <c r="B449" s="7" t="str">
        <f aca="false">IFERROR(INDEX('Source 2026'!$C:$C,MATCH($A449,'Source 2026'!$B:$B,0)),IFERROR(INDEX('Source 2025'!$C:$C,MATCH($A449,'Source 2025'!$B:$B,0)),""))</f>
        <v>11STO M חגורה אחרי ניתוח</v>
      </c>
      <c r="C449" s="8" t="n">
        <f aca="false">SUMIFS('Source 2025'!$D:$D,'Source 2025'!$B:$B,$A449,'Source 2025'!$A:$A,"Quantity (units)")+SUMIFS('Source 2025'!$E:$E,'Source 2025'!$B:$B,$A449,'Source 2025'!$A:$A,"Quantity (units)")+SUMIFS('Source 2025'!$F:$F,'Source 2025'!$B:$B,$A449,'Source 2025'!$A:$A,"Quantity (units)")+SUMIFS('Source 2025'!$G:$G,'Source 2025'!$B:$B,$A449,'Source 2025'!$A:$A,"Quantity (units)")+SUMIFS('Source 2025'!$J:$J,'Source 2025'!$B:$B,$A449,'Source 2025'!$A:$A,"Quantity (units)")+SUMIFS('Source 2025'!$M:$M,'Source 2025'!$B:$B,$A449,'Source 2025'!$A:$A,"Quantity (units)")</f>
        <v>2</v>
      </c>
      <c r="D449" s="8" t="n">
        <f aca="false">SUMIFS('Source 2026'!$D:$D,'Source 2026'!$B:$B,$A449,'Source 2026'!$A:$A,"Quantity (units)")+SUMIFS('Source 2026'!$E:$E,'Source 2026'!$B:$B,$A449,'Source 2026'!$A:$A,"Quantity (units)")+SUMIFS('Source 2026'!$F:$F,'Source 2026'!$B:$B,$A449,'Source 2026'!$A:$A,"Quantity (units)")+SUMIFS('Source 2026'!$G:$G,'Source 2026'!$B:$B,$A449,'Source 2026'!$A:$A,"Quantity (units)")+SUMIFS('Source 2026'!$J:$J,'Source 2026'!$B:$B,$A449,'Source 2026'!$A:$A,"Quantity (units)")+SUMIFS('Source 2026'!$M:$M,'Source 2026'!$B:$B,$A449,'Source 2026'!$A:$A,"Quantity (units)")</f>
        <v>1</v>
      </c>
      <c r="E449" s="8" t="n">
        <f aca="false">D449*$J$5</f>
        <v>1.37142857142857</v>
      </c>
      <c r="F449" s="8" t="n">
        <f aca="false">E449-C449</f>
        <v>-0.628571428571429</v>
      </c>
      <c r="G449" s="9" t="n">
        <f aca="false">IF(AND(C449=0,E449=0),0,IF(C449=0,"New",(E449-C449)/C449))</f>
        <v>-0.314285714285714</v>
      </c>
      <c r="H449" s="8" t="n">
        <f aca="false">SUMIFS('Source 2025'!$D:$D,'Source 2025'!$B:$B,$A449,'Source 2025'!$A:$A,"Amount (NIS)")+SUMIFS('Source 2025'!$E:$E,'Source 2025'!$B:$B,$A449,'Source 2025'!$A:$A,"Amount (NIS)")+SUMIFS('Source 2025'!$F:$F,'Source 2025'!$B:$B,$A449,'Source 2025'!$A:$A,"Amount (NIS)")+SUMIFS('Source 2025'!$G:$G,'Source 2025'!$B:$B,$A449,'Source 2025'!$A:$A,"Amount (NIS)")+SUMIFS('Source 2025'!$J:$J,'Source 2025'!$B:$B,$A449,'Source 2025'!$A:$A,"Amount (NIS)")+SUMIFS('Source 2025'!$M:$M,'Source 2025'!$B:$B,$A449,'Source 2025'!$A:$A,"Amount (NIS)")</f>
        <v>310.5</v>
      </c>
      <c r="I449" s="8" t="n">
        <f aca="false">SUMIFS('Source 2026'!$D:$D,'Source 2026'!$B:$B,$A449,'Source 2026'!$A:$A,"Amount (NIS)")+SUMIFS('Source 2026'!$E:$E,'Source 2026'!$B:$B,$A449,'Source 2026'!$A:$A,"Amount (NIS)")+SUMIFS('Source 2026'!$F:$F,'Source 2026'!$B:$B,$A449,'Source 2026'!$A:$A,"Amount (NIS)")+SUMIFS('Source 2026'!$G:$G,'Source 2026'!$B:$B,$A449,'Source 2026'!$A:$A,"Amount (NIS)")+SUMIFS('Source 2026'!$J:$J,'Source 2026'!$B:$B,$A449,'Source 2026'!$A:$A,"Amount (NIS)")+SUMIFS('Source 2026'!$M:$M,'Source 2026'!$B:$B,$A449,'Source 2026'!$A:$A,"Amount (NIS)")</f>
        <v>166.4</v>
      </c>
      <c r="J449" s="8" t="n">
        <f aca="false">I449*$J$5</f>
        <v>228.205714285714</v>
      </c>
      <c r="K449" s="8" t="n">
        <f aca="false">J449-H449</f>
        <v>-82.2942857142857</v>
      </c>
      <c r="L449" s="9" t="n">
        <f aca="false">IF(AND(H449=0,J449=0),0,IF(H449=0,"New",(J449-H449)/H449))</f>
        <v>-0.26503795721187</v>
      </c>
    </row>
    <row r="450" customFormat="false" ht="15" hidden="false" customHeight="false" outlineLevel="0" collapsed="false">
      <c r="A450" s="7" t="n">
        <v>4408084</v>
      </c>
      <c r="B450" s="7" t="str">
        <f aca="false">IFERROR(INDEX('Source 2026'!$C:$C,MATCH($A450,'Source 2026'!$B:$B,0)),IFERROR(INDEX('Source 2025'!$C:$C,MATCH($A450,'Source 2025'!$B:$B,0)),""))</f>
        <v>922L.חבק יד לטניס כרית סיליק</v>
      </c>
      <c r="C450" s="8" t="n">
        <f aca="false">SUMIFS('Source 2025'!$D:$D,'Source 2025'!$B:$B,$A450,'Source 2025'!$A:$A,"Quantity (units)")+SUMIFS('Source 2025'!$E:$E,'Source 2025'!$B:$B,$A450,'Source 2025'!$A:$A,"Quantity (units)")+SUMIFS('Source 2025'!$F:$F,'Source 2025'!$B:$B,$A450,'Source 2025'!$A:$A,"Quantity (units)")+SUMIFS('Source 2025'!$G:$G,'Source 2025'!$B:$B,$A450,'Source 2025'!$A:$A,"Quantity (units)")+SUMIFS('Source 2025'!$J:$J,'Source 2025'!$B:$B,$A450,'Source 2025'!$A:$A,"Quantity (units)")+SUMIFS('Source 2025'!$M:$M,'Source 2025'!$B:$B,$A450,'Source 2025'!$A:$A,"Quantity (units)")</f>
        <v>1</v>
      </c>
      <c r="D450" s="8" t="n">
        <f aca="false">SUMIFS('Source 2026'!$D:$D,'Source 2026'!$B:$B,$A450,'Source 2026'!$A:$A,"Quantity (units)")+SUMIFS('Source 2026'!$E:$E,'Source 2026'!$B:$B,$A450,'Source 2026'!$A:$A,"Quantity (units)")+SUMIFS('Source 2026'!$F:$F,'Source 2026'!$B:$B,$A450,'Source 2026'!$A:$A,"Quantity (units)")+SUMIFS('Source 2026'!$G:$G,'Source 2026'!$B:$B,$A450,'Source 2026'!$A:$A,"Quantity (units)")+SUMIFS('Source 2026'!$J:$J,'Source 2026'!$B:$B,$A450,'Source 2026'!$A:$A,"Quantity (units)")+SUMIFS('Source 2026'!$M:$M,'Source 2026'!$B:$B,$A450,'Source 2026'!$A:$A,"Quantity (units)")</f>
        <v>2</v>
      </c>
      <c r="E450" s="8" t="n">
        <f aca="false">D450*$J$5</f>
        <v>2.74285714285714</v>
      </c>
      <c r="F450" s="8" t="n">
        <f aca="false">E450-C450</f>
        <v>1.74285714285714</v>
      </c>
      <c r="G450" s="9" t="n">
        <f aca="false">IF(AND(C450=0,E450=0),0,IF(C450=0,"New",(E450-C450)/C450))</f>
        <v>1.74285714285714</v>
      </c>
      <c r="H450" s="8" t="n">
        <f aca="false">SUMIFS('Source 2025'!$D:$D,'Source 2025'!$B:$B,$A450,'Source 2025'!$A:$A,"Amount (NIS)")+SUMIFS('Source 2025'!$E:$E,'Source 2025'!$B:$B,$A450,'Source 2025'!$A:$A,"Amount (NIS)")+SUMIFS('Source 2025'!$F:$F,'Source 2025'!$B:$B,$A450,'Source 2025'!$A:$A,"Amount (NIS)")+SUMIFS('Source 2025'!$G:$G,'Source 2025'!$B:$B,$A450,'Source 2025'!$A:$A,"Amount (NIS)")+SUMIFS('Source 2025'!$J:$J,'Source 2025'!$B:$B,$A450,'Source 2025'!$A:$A,"Amount (NIS)")+SUMIFS('Source 2025'!$M:$M,'Source 2025'!$B:$B,$A450,'Source 2025'!$A:$A,"Amount (NIS)")</f>
        <v>141.8</v>
      </c>
      <c r="I450" s="8" t="n">
        <f aca="false">SUMIFS('Source 2026'!$D:$D,'Source 2026'!$B:$B,$A450,'Source 2026'!$A:$A,"Amount (NIS)")+SUMIFS('Source 2026'!$E:$E,'Source 2026'!$B:$B,$A450,'Source 2026'!$A:$A,"Amount (NIS)")+SUMIFS('Source 2026'!$F:$F,'Source 2026'!$B:$B,$A450,'Source 2026'!$A:$A,"Amount (NIS)")+SUMIFS('Source 2026'!$G:$G,'Source 2026'!$B:$B,$A450,'Source 2026'!$A:$A,"Amount (NIS)")+SUMIFS('Source 2026'!$J:$J,'Source 2026'!$B:$B,$A450,'Source 2026'!$A:$A,"Amount (NIS)")+SUMIFS('Source 2026'!$M:$M,'Source 2026'!$B:$B,$A450,'Source 2026'!$A:$A,"Amount (NIS)")</f>
        <v>283.9</v>
      </c>
      <c r="J450" s="8" t="n">
        <f aca="false">I450*$J$5</f>
        <v>389.348571428571</v>
      </c>
      <c r="K450" s="8" t="n">
        <f aca="false">J450-H450</f>
        <v>247.548571428571</v>
      </c>
      <c r="L450" s="9" t="n">
        <f aca="false">IF(AND(H450=0,J450=0),0,IF(H450=0,"New",(J450-H450)/H450))</f>
        <v>1.74575861374169</v>
      </c>
    </row>
    <row r="451" customFormat="false" ht="15" hidden="false" customHeight="false" outlineLevel="0" collapsed="false">
      <c r="A451" s="7" t="n">
        <v>4408085</v>
      </c>
      <c r="B451" s="7" t="str">
        <f aca="false">IFERROR(INDEX('Source 2026'!$C:$C,MATCH($A451,'Source 2026'!$B:$B,0)),IFERROR(INDEX('Source 2025'!$C:$C,MATCH($A451,'Source 2025'!$B:$B,0)),""))</f>
        <v>922M.מחבק יד לטניס כרית סילי</v>
      </c>
      <c r="C451" s="8" t="n">
        <f aca="false">SUMIFS('Source 2025'!$D:$D,'Source 2025'!$B:$B,$A451,'Source 2025'!$A:$A,"Quantity (units)")+SUMIFS('Source 2025'!$E:$E,'Source 2025'!$B:$B,$A451,'Source 2025'!$A:$A,"Quantity (units)")+SUMIFS('Source 2025'!$F:$F,'Source 2025'!$B:$B,$A451,'Source 2025'!$A:$A,"Quantity (units)")+SUMIFS('Source 2025'!$G:$G,'Source 2025'!$B:$B,$A451,'Source 2025'!$A:$A,"Quantity (units)")+SUMIFS('Source 2025'!$J:$J,'Source 2025'!$B:$B,$A451,'Source 2025'!$A:$A,"Quantity (units)")+SUMIFS('Source 2025'!$M:$M,'Source 2025'!$B:$B,$A451,'Source 2025'!$A:$A,"Quantity (units)")</f>
        <v>1</v>
      </c>
      <c r="D451" s="8" t="n">
        <f aca="false">SUMIFS('Source 2026'!$D:$D,'Source 2026'!$B:$B,$A451,'Source 2026'!$A:$A,"Quantity (units)")+SUMIFS('Source 2026'!$E:$E,'Source 2026'!$B:$B,$A451,'Source 2026'!$A:$A,"Quantity (units)")+SUMIFS('Source 2026'!$F:$F,'Source 2026'!$B:$B,$A451,'Source 2026'!$A:$A,"Quantity (units)")+SUMIFS('Source 2026'!$G:$G,'Source 2026'!$B:$B,$A451,'Source 2026'!$A:$A,"Quantity (units)")+SUMIFS('Source 2026'!$J:$J,'Source 2026'!$B:$B,$A451,'Source 2026'!$A:$A,"Quantity (units)")+SUMIFS('Source 2026'!$M:$M,'Source 2026'!$B:$B,$A451,'Source 2026'!$A:$A,"Quantity (units)")</f>
        <v>0</v>
      </c>
      <c r="E451" s="8" t="n">
        <f aca="false">D451*$J$5</f>
        <v>0</v>
      </c>
      <c r="F451" s="8" t="n">
        <f aca="false">E451-C451</f>
        <v>-1</v>
      </c>
      <c r="G451" s="9" t="n">
        <f aca="false">IF(AND(C451=0,E451=0),0,IF(C451=0,"New",(E451-C451)/C451))</f>
        <v>-1</v>
      </c>
      <c r="H451" s="8" t="n">
        <f aca="false">SUMIFS('Source 2025'!$D:$D,'Source 2025'!$B:$B,$A451,'Source 2025'!$A:$A,"Amount (NIS)")+SUMIFS('Source 2025'!$E:$E,'Source 2025'!$B:$B,$A451,'Source 2025'!$A:$A,"Amount (NIS)")+SUMIFS('Source 2025'!$F:$F,'Source 2025'!$B:$B,$A451,'Source 2025'!$A:$A,"Amount (NIS)")+SUMIFS('Source 2025'!$G:$G,'Source 2025'!$B:$B,$A451,'Source 2025'!$A:$A,"Amount (NIS)")+SUMIFS('Source 2025'!$J:$J,'Source 2025'!$B:$B,$A451,'Source 2025'!$A:$A,"Amount (NIS)")+SUMIFS('Source 2025'!$M:$M,'Source 2025'!$B:$B,$A451,'Source 2025'!$A:$A,"Amount (NIS)")</f>
        <v>142</v>
      </c>
      <c r="I451" s="8" t="n">
        <f aca="false">SUMIFS('Source 2026'!$D:$D,'Source 2026'!$B:$B,$A451,'Source 2026'!$A:$A,"Amount (NIS)")+SUMIFS('Source 2026'!$E:$E,'Source 2026'!$B:$B,$A451,'Source 2026'!$A:$A,"Amount (NIS)")+SUMIFS('Source 2026'!$F:$F,'Source 2026'!$B:$B,$A451,'Source 2026'!$A:$A,"Amount (NIS)")+SUMIFS('Source 2026'!$G:$G,'Source 2026'!$B:$B,$A451,'Source 2026'!$A:$A,"Amount (NIS)")+SUMIFS('Source 2026'!$J:$J,'Source 2026'!$B:$B,$A451,'Source 2026'!$A:$A,"Amount (NIS)")+SUMIFS('Source 2026'!$M:$M,'Source 2026'!$B:$B,$A451,'Source 2026'!$A:$A,"Amount (NIS)")</f>
        <v>0</v>
      </c>
      <c r="J451" s="8" t="n">
        <f aca="false">I451*$J$5</f>
        <v>0</v>
      </c>
      <c r="K451" s="8" t="n">
        <f aca="false">J451-H451</f>
        <v>-142</v>
      </c>
      <c r="L451" s="9" t="n">
        <f aca="false">IF(AND(H451=0,J451=0),0,IF(H451=0,"New",(J451-H451)/H451))</f>
        <v>-1</v>
      </c>
    </row>
    <row r="452" customFormat="false" ht="15" hidden="false" customHeight="false" outlineLevel="0" collapsed="false">
      <c r="A452" s="7" t="n">
        <v>4408087</v>
      </c>
      <c r="B452" s="7" t="str">
        <f aca="false">IFERROR(INDEX('Source 2026'!$C:$C,MATCH($A452,'Source 2026'!$B:$B,0)),IFERROR(INDEX('Source 2025'!$C:$C,MATCH($A452,'Source 2025'!$B:$B,0)),""))</f>
        <v>922XLחבק יד לטניס כרית סיליק</v>
      </c>
      <c r="C452" s="8" t="n">
        <f aca="false">SUMIFS('Source 2025'!$D:$D,'Source 2025'!$B:$B,$A452,'Source 2025'!$A:$A,"Quantity (units)")+SUMIFS('Source 2025'!$E:$E,'Source 2025'!$B:$B,$A452,'Source 2025'!$A:$A,"Quantity (units)")+SUMIFS('Source 2025'!$F:$F,'Source 2025'!$B:$B,$A452,'Source 2025'!$A:$A,"Quantity (units)")+SUMIFS('Source 2025'!$G:$G,'Source 2025'!$B:$B,$A452,'Source 2025'!$A:$A,"Quantity (units)")+SUMIFS('Source 2025'!$J:$J,'Source 2025'!$B:$B,$A452,'Source 2025'!$A:$A,"Quantity (units)")+SUMIFS('Source 2025'!$M:$M,'Source 2025'!$B:$B,$A452,'Source 2025'!$A:$A,"Quantity (units)")</f>
        <v>0</v>
      </c>
      <c r="D452" s="8" t="n">
        <f aca="false">SUMIFS('Source 2026'!$D:$D,'Source 2026'!$B:$B,$A452,'Source 2026'!$A:$A,"Quantity (units)")+SUMIFS('Source 2026'!$E:$E,'Source 2026'!$B:$B,$A452,'Source 2026'!$A:$A,"Quantity (units)")+SUMIFS('Source 2026'!$F:$F,'Source 2026'!$B:$B,$A452,'Source 2026'!$A:$A,"Quantity (units)")+SUMIFS('Source 2026'!$G:$G,'Source 2026'!$B:$B,$A452,'Source 2026'!$A:$A,"Quantity (units)")+SUMIFS('Source 2026'!$J:$J,'Source 2026'!$B:$B,$A452,'Source 2026'!$A:$A,"Quantity (units)")+SUMIFS('Source 2026'!$M:$M,'Source 2026'!$B:$B,$A452,'Source 2026'!$A:$A,"Quantity (units)")</f>
        <v>1</v>
      </c>
      <c r="E452" s="8" t="n">
        <f aca="false">D452*$J$5</f>
        <v>1.37142857142857</v>
      </c>
      <c r="F452" s="8" t="n">
        <f aca="false">E452-C452</f>
        <v>1.37142857142857</v>
      </c>
      <c r="G452" s="9" t="str">
        <f aca="false">IF(AND(C452=0,E452=0),0,IF(C452=0,"New",(E452-C452)/C452))</f>
        <v>New</v>
      </c>
      <c r="H452" s="8" t="n">
        <f aca="false">SUMIFS('Source 2025'!$D:$D,'Source 2025'!$B:$B,$A452,'Source 2025'!$A:$A,"Amount (NIS)")+SUMIFS('Source 2025'!$E:$E,'Source 2025'!$B:$B,$A452,'Source 2025'!$A:$A,"Amount (NIS)")+SUMIFS('Source 2025'!$F:$F,'Source 2025'!$B:$B,$A452,'Source 2025'!$A:$A,"Amount (NIS)")+SUMIFS('Source 2025'!$G:$G,'Source 2025'!$B:$B,$A452,'Source 2025'!$A:$A,"Amount (NIS)")+SUMIFS('Source 2025'!$J:$J,'Source 2025'!$B:$B,$A452,'Source 2025'!$A:$A,"Amount (NIS)")+SUMIFS('Source 2025'!$M:$M,'Source 2025'!$B:$B,$A452,'Source 2025'!$A:$A,"Amount (NIS)")</f>
        <v>0</v>
      </c>
      <c r="I452" s="8" t="n">
        <f aca="false">SUMIFS('Source 2026'!$D:$D,'Source 2026'!$B:$B,$A452,'Source 2026'!$A:$A,"Amount (NIS)")+SUMIFS('Source 2026'!$E:$E,'Source 2026'!$B:$B,$A452,'Source 2026'!$A:$A,"Amount (NIS)")+SUMIFS('Source 2026'!$F:$F,'Source 2026'!$B:$B,$A452,'Source 2026'!$A:$A,"Amount (NIS)")+SUMIFS('Source 2026'!$G:$G,'Source 2026'!$B:$B,$A452,'Source 2026'!$A:$A,"Amount (NIS)")+SUMIFS('Source 2026'!$J:$J,'Source 2026'!$B:$B,$A452,'Source 2026'!$A:$A,"Amount (NIS)")+SUMIFS('Source 2026'!$M:$M,'Source 2026'!$B:$B,$A452,'Source 2026'!$A:$A,"Amount (NIS)")</f>
        <v>142</v>
      </c>
      <c r="J452" s="8" t="n">
        <f aca="false">I452*$J$5</f>
        <v>194.742857142857</v>
      </c>
      <c r="K452" s="8" t="n">
        <f aca="false">J452-H452</f>
        <v>194.742857142857</v>
      </c>
      <c r="L452" s="9" t="str">
        <f aca="false">IF(AND(H452=0,J452=0),0,IF(H452=0,"New",(J452-H452)/H452))</f>
        <v>New</v>
      </c>
    </row>
    <row r="453" customFormat="false" ht="15" hidden="false" customHeight="false" outlineLevel="0" collapsed="false">
      <c r="A453" s="7" t="n">
        <v>4408126</v>
      </c>
      <c r="B453" s="7" t="str">
        <f aca="false">IFERROR(INDEX('Source 2026'!$C:$C,MATCH($A453,'Source 2026'!$B:$B,0)),IFERROR(INDEX('Source 2025'!$C:$C,MATCH($A453,'Source 2025'!$B:$B,0)),""))</f>
        <v>15W XL חגורת צלעות לאשה</v>
      </c>
      <c r="C453" s="8" t="n">
        <f aca="false">SUMIFS('Source 2025'!$D:$D,'Source 2025'!$B:$B,$A453,'Source 2025'!$A:$A,"Quantity (units)")+SUMIFS('Source 2025'!$E:$E,'Source 2025'!$B:$B,$A453,'Source 2025'!$A:$A,"Quantity (units)")+SUMIFS('Source 2025'!$F:$F,'Source 2025'!$B:$B,$A453,'Source 2025'!$A:$A,"Quantity (units)")+SUMIFS('Source 2025'!$G:$G,'Source 2025'!$B:$B,$A453,'Source 2025'!$A:$A,"Quantity (units)")+SUMIFS('Source 2025'!$J:$J,'Source 2025'!$B:$B,$A453,'Source 2025'!$A:$A,"Quantity (units)")+SUMIFS('Source 2025'!$M:$M,'Source 2025'!$B:$B,$A453,'Source 2025'!$A:$A,"Quantity (units)")</f>
        <v>1</v>
      </c>
      <c r="D453" s="8" t="n">
        <f aca="false">SUMIFS('Source 2026'!$D:$D,'Source 2026'!$B:$B,$A453,'Source 2026'!$A:$A,"Quantity (units)")+SUMIFS('Source 2026'!$E:$E,'Source 2026'!$B:$B,$A453,'Source 2026'!$A:$A,"Quantity (units)")+SUMIFS('Source 2026'!$F:$F,'Source 2026'!$B:$B,$A453,'Source 2026'!$A:$A,"Quantity (units)")+SUMIFS('Source 2026'!$G:$G,'Source 2026'!$B:$B,$A453,'Source 2026'!$A:$A,"Quantity (units)")+SUMIFS('Source 2026'!$J:$J,'Source 2026'!$B:$B,$A453,'Source 2026'!$A:$A,"Quantity (units)")+SUMIFS('Source 2026'!$M:$M,'Source 2026'!$B:$B,$A453,'Source 2026'!$A:$A,"Quantity (units)")</f>
        <v>0</v>
      </c>
      <c r="E453" s="8" t="n">
        <f aca="false">D453*$J$5</f>
        <v>0</v>
      </c>
      <c r="F453" s="8" t="n">
        <f aca="false">E453-C453</f>
        <v>-1</v>
      </c>
      <c r="G453" s="9" t="n">
        <f aca="false">IF(AND(C453=0,E453=0),0,IF(C453=0,"New",(E453-C453)/C453))</f>
        <v>-1</v>
      </c>
      <c r="H453" s="8" t="n">
        <f aca="false">SUMIFS('Source 2025'!$D:$D,'Source 2025'!$B:$B,$A453,'Source 2025'!$A:$A,"Amount (NIS)")+SUMIFS('Source 2025'!$E:$E,'Source 2025'!$B:$B,$A453,'Source 2025'!$A:$A,"Amount (NIS)")+SUMIFS('Source 2025'!$F:$F,'Source 2025'!$B:$B,$A453,'Source 2025'!$A:$A,"Amount (NIS)")+SUMIFS('Source 2025'!$G:$G,'Source 2025'!$B:$B,$A453,'Source 2025'!$A:$A,"Amount (NIS)")+SUMIFS('Source 2025'!$J:$J,'Source 2025'!$B:$B,$A453,'Source 2025'!$A:$A,"Amount (NIS)")+SUMIFS('Source 2025'!$M:$M,'Source 2025'!$B:$B,$A453,'Source 2025'!$A:$A,"Amount (NIS)")</f>
        <v>140.6</v>
      </c>
      <c r="I453" s="8" t="n">
        <f aca="false">SUMIFS('Source 2026'!$D:$D,'Source 2026'!$B:$B,$A453,'Source 2026'!$A:$A,"Amount (NIS)")+SUMIFS('Source 2026'!$E:$E,'Source 2026'!$B:$B,$A453,'Source 2026'!$A:$A,"Amount (NIS)")+SUMIFS('Source 2026'!$F:$F,'Source 2026'!$B:$B,$A453,'Source 2026'!$A:$A,"Amount (NIS)")+SUMIFS('Source 2026'!$G:$G,'Source 2026'!$B:$B,$A453,'Source 2026'!$A:$A,"Amount (NIS)")+SUMIFS('Source 2026'!$J:$J,'Source 2026'!$B:$B,$A453,'Source 2026'!$A:$A,"Amount (NIS)")+SUMIFS('Source 2026'!$M:$M,'Source 2026'!$B:$B,$A453,'Source 2026'!$A:$A,"Amount (NIS)")</f>
        <v>0</v>
      </c>
      <c r="J453" s="8" t="n">
        <f aca="false">I453*$J$5</f>
        <v>0</v>
      </c>
      <c r="K453" s="8" t="n">
        <f aca="false">J453-H453</f>
        <v>-140.6</v>
      </c>
      <c r="L453" s="9" t="n">
        <f aca="false">IF(AND(H453=0,J453=0),0,IF(H453=0,"New",(J453-H453)/H453))</f>
        <v>-1</v>
      </c>
    </row>
    <row r="454" customFormat="false" ht="15" hidden="false" customHeight="false" outlineLevel="0" collapsed="false">
      <c r="A454" s="7" t="n">
        <v>4408129</v>
      </c>
      <c r="B454" s="7" t="str">
        <f aca="false">IFERROR(INDEX('Source 2026'!$C:$C,MATCH($A454,'Source 2026'!$B:$B,0)),IFERROR(INDEX('Source 2025'!$C:$C,MATCH($A454,'Source 2025'!$B:$B,0)),""))</f>
        <v>15M M חגורת צלעות לגבר</v>
      </c>
      <c r="C454" s="8" t="n">
        <f aca="false">SUMIFS('Source 2025'!$D:$D,'Source 2025'!$B:$B,$A454,'Source 2025'!$A:$A,"Quantity (units)")+SUMIFS('Source 2025'!$E:$E,'Source 2025'!$B:$B,$A454,'Source 2025'!$A:$A,"Quantity (units)")+SUMIFS('Source 2025'!$F:$F,'Source 2025'!$B:$B,$A454,'Source 2025'!$A:$A,"Quantity (units)")+SUMIFS('Source 2025'!$G:$G,'Source 2025'!$B:$B,$A454,'Source 2025'!$A:$A,"Quantity (units)")+SUMIFS('Source 2025'!$J:$J,'Source 2025'!$B:$B,$A454,'Source 2025'!$A:$A,"Quantity (units)")+SUMIFS('Source 2025'!$M:$M,'Source 2025'!$B:$B,$A454,'Source 2025'!$A:$A,"Quantity (units)")</f>
        <v>1</v>
      </c>
      <c r="D454" s="8" t="n">
        <f aca="false">SUMIFS('Source 2026'!$D:$D,'Source 2026'!$B:$B,$A454,'Source 2026'!$A:$A,"Quantity (units)")+SUMIFS('Source 2026'!$E:$E,'Source 2026'!$B:$B,$A454,'Source 2026'!$A:$A,"Quantity (units)")+SUMIFS('Source 2026'!$F:$F,'Source 2026'!$B:$B,$A454,'Source 2026'!$A:$A,"Quantity (units)")+SUMIFS('Source 2026'!$G:$G,'Source 2026'!$B:$B,$A454,'Source 2026'!$A:$A,"Quantity (units)")+SUMIFS('Source 2026'!$J:$J,'Source 2026'!$B:$B,$A454,'Source 2026'!$A:$A,"Quantity (units)")+SUMIFS('Source 2026'!$M:$M,'Source 2026'!$B:$B,$A454,'Source 2026'!$A:$A,"Quantity (units)")</f>
        <v>0</v>
      </c>
      <c r="E454" s="8" t="n">
        <f aca="false">D454*$J$5</f>
        <v>0</v>
      </c>
      <c r="F454" s="8" t="n">
        <f aca="false">E454-C454</f>
        <v>-1</v>
      </c>
      <c r="G454" s="9" t="n">
        <f aca="false">IF(AND(C454=0,E454=0),0,IF(C454=0,"New",(E454-C454)/C454))</f>
        <v>-1</v>
      </c>
      <c r="H454" s="8" t="n">
        <f aca="false">SUMIFS('Source 2025'!$D:$D,'Source 2025'!$B:$B,$A454,'Source 2025'!$A:$A,"Amount (NIS)")+SUMIFS('Source 2025'!$E:$E,'Source 2025'!$B:$B,$A454,'Source 2025'!$A:$A,"Amount (NIS)")+SUMIFS('Source 2025'!$F:$F,'Source 2025'!$B:$B,$A454,'Source 2025'!$A:$A,"Amount (NIS)")+SUMIFS('Source 2025'!$G:$G,'Source 2025'!$B:$B,$A454,'Source 2025'!$A:$A,"Amount (NIS)")+SUMIFS('Source 2025'!$J:$J,'Source 2025'!$B:$B,$A454,'Source 2025'!$A:$A,"Amount (NIS)")+SUMIFS('Source 2025'!$M:$M,'Source 2025'!$B:$B,$A454,'Source 2025'!$A:$A,"Amount (NIS)")</f>
        <v>140.6</v>
      </c>
      <c r="I454" s="8" t="n">
        <f aca="false">SUMIFS('Source 2026'!$D:$D,'Source 2026'!$B:$B,$A454,'Source 2026'!$A:$A,"Amount (NIS)")+SUMIFS('Source 2026'!$E:$E,'Source 2026'!$B:$B,$A454,'Source 2026'!$A:$A,"Amount (NIS)")+SUMIFS('Source 2026'!$F:$F,'Source 2026'!$B:$B,$A454,'Source 2026'!$A:$A,"Amount (NIS)")+SUMIFS('Source 2026'!$G:$G,'Source 2026'!$B:$B,$A454,'Source 2026'!$A:$A,"Amount (NIS)")+SUMIFS('Source 2026'!$J:$J,'Source 2026'!$B:$B,$A454,'Source 2026'!$A:$A,"Amount (NIS)")+SUMIFS('Source 2026'!$M:$M,'Source 2026'!$B:$B,$A454,'Source 2026'!$A:$A,"Amount (NIS)")</f>
        <v>0</v>
      </c>
      <c r="J454" s="8" t="n">
        <f aca="false">I454*$J$5</f>
        <v>0</v>
      </c>
      <c r="K454" s="8" t="n">
        <f aca="false">J454-H454</f>
        <v>-140.6</v>
      </c>
      <c r="L454" s="9" t="n">
        <f aca="false">IF(AND(H454=0,J454=0),0,IF(H454=0,"New",(J454-H454)/H454))</f>
        <v>-1</v>
      </c>
    </row>
    <row r="455" customFormat="false" ht="15" hidden="false" customHeight="false" outlineLevel="0" collapsed="false">
      <c r="A455" s="7" t="n">
        <v>4408130</v>
      </c>
      <c r="B455" s="7" t="str">
        <f aca="false">IFERROR(INDEX('Source 2026'!$C:$C,MATCH($A455,'Source 2026'!$B:$B,0)),IFERROR(INDEX('Source 2025'!$C:$C,MATCH($A455,'Source 2025'!$B:$B,0)),""))</f>
        <v>15W M חגורת צלעות לאשה</v>
      </c>
      <c r="C455" s="8" t="n">
        <f aca="false">SUMIFS('Source 2025'!$D:$D,'Source 2025'!$B:$B,$A455,'Source 2025'!$A:$A,"Quantity (units)")+SUMIFS('Source 2025'!$E:$E,'Source 2025'!$B:$B,$A455,'Source 2025'!$A:$A,"Quantity (units)")+SUMIFS('Source 2025'!$F:$F,'Source 2025'!$B:$B,$A455,'Source 2025'!$A:$A,"Quantity (units)")+SUMIFS('Source 2025'!$G:$G,'Source 2025'!$B:$B,$A455,'Source 2025'!$A:$A,"Quantity (units)")+SUMIFS('Source 2025'!$J:$J,'Source 2025'!$B:$B,$A455,'Source 2025'!$A:$A,"Quantity (units)")+SUMIFS('Source 2025'!$M:$M,'Source 2025'!$B:$B,$A455,'Source 2025'!$A:$A,"Quantity (units)")</f>
        <v>0</v>
      </c>
      <c r="D455" s="8" t="n">
        <f aca="false">SUMIFS('Source 2026'!$D:$D,'Source 2026'!$B:$B,$A455,'Source 2026'!$A:$A,"Quantity (units)")+SUMIFS('Source 2026'!$E:$E,'Source 2026'!$B:$B,$A455,'Source 2026'!$A:$A,"Quantity (units)")+SUMIFS('Source 2026'!$F:$F,'Source 2026'!$B:$B,$A455,'Source 2026'!$A:$A,"Quantity (units)")+SUMIFS('Source 2026'!$G:$G,'Source 2026'!$B:$B,$A455,'Source 2026'!$A:$A,"Quantity (units)")+SUMIFS('Source 2026'!$J:$J,'Source 2026'!$B:$B,$A455,'Source 2026'!$A:$A,"Quantity (units)")+SUMIFS('Source 2026'!$M:$M,'Source 2026'!$B:$B,$A455,'Source 2026'!$A:$A,"Quantity (units)")</f>
        <v>-1</v>
      </c>
      <c r="E455" s="8" t="n">
        <f aca="false">D455*$J$5</f>
        <v>-1.37142857142857</v>
      </c>
      <c r="F455" s="8" t="n">
        <f aca="false">E455-C455</f>
        <v>-1.37142857142857</v>
      </c>
      <c r="G455" s="9" t="str">
        <f aca="false">IF(AND(C455=0,E455=0),0,IF(C455=0,"New",(E455-C455)/C455))</f>
        <v>New</v>
      </c>
      <c r="H455" s="8" t="n">
        <f aca="false">SUMIFS('Source 2025'!$D:$D,'Source 2025'!$B:$B,$A455,'Source 2025'!$A:$A,"Amount (NIS)")+SUMIFS('Source 2025'!$E:$E,'Source 2025'!$B:$B,$A455,'Source 2025'!$A:$A,"Amount (NIS)")+SUMIFS('Source 2025'!$F:$F,'Source 2025'!$B:$B,$A455,'Source 2025'!$A:$A,"Amount (NIS)")+SUMIFS('Source 2025'!$G:$G,'Source 2025'!$B:$B,$A455,'Source 2025'!$A:$A,"Amount (NIS)")+SUMIFS('Source 2025'!$J:$J,'Source 2025'!$B:$B,$A455,'Source 2025'!$A:$A,"Amount (NIS)")+SUMIFS('Source 2025'!$M:$M,'Source 2025'!$B:$B,$A455,'Source 2025'!$A:$A,"Amount (NIS)")</f>
        <v>0</v>
      </c>
      <c r="I455" s="8" t="n">
        <f aca="false">SUMIFS('Source 2026'!$D:$D,'Source 2026'!$B:$B,$A455,'Source 2026'!$A:$A,"Amount (NIS)")+SUMIFS('Source 2026'!$E:$E,'Source 2026'!$B:$B,$A455,'Source 2026'!$A:$A,"Amount (NIS)")+SUMIFS('Source 2026'!$F:$F,'Source 2026'!$B:$B,$A455,'Source 2026'!$A:$A,"Amount (NIS)")+SUMIFS('Source 2026'!$G:$G,'Source 2026'!$B:$B,$A455,'Source 2026'!$A:$A,"Amount (NIS)")+SUMIFS('Source 2026'!$J:$J,'Source 2026'!$B:$B,$A455,'Source 2026'!$A:$A,"Amount (NIS)")+SUMIFS('Source 2026'!$M:$M,'Source 2026'!$B:$B,$A455,'Source 2026'!$A:$A,"Amount (NIS)")</f>
        <v>-140.6</v>
      </c>
      <c r="J455" s="8" t="n">
        <f aca="false">I455*$J$5</f>
        <v>-192.822857142857</v>
      </c>
      <c r="K455" s="8" t="n">
        <f aca="false">J455-H455</f>
        <v>-192.822857142857</v>
      </c>
      <c r="L455" s="9" t="str">
        <f aca="false">IF(AND(H455=0,J455=0),0,IF(H455=0,"New",(J455-H455)/H455))</f>
        <v>New</v>
      </c>
    </row>
    <row r="456" customFormat="false" ht="15" hidden="false" customHeight="false" outlineLevel="0" collapsed="false">
      <c r="A456" s="7" t="n">
        <v>4408131</v>
      </c>
      <c r="B456" s="7" t="str">
        <f aca="false">IFERROR(INDEX('Source 2026'!$C:$C,MATCH($A456,'Source 2026'!$B:$B,0)),IFERROR(INDEX('Source 2025'!$C:$C,MATCH($A456,'Source 2025'!$B:$B,0)),""))</f>
        <v>15W L חגורת צלעות לאשה</v>
      </c>
      <c r="C456" s="8" t="n">
        <f aca="false">SUMIFS('Source 2025'!$D:$D,'Source 2025'!$B:$B,$A456,'Source 2025'!$A:$A,"Quantity (units)")+SUMIFS('Source 2025'!$E:$E,'Source 2025'!$B:$B,$A456,'Source 2025'!$A:$A,"Quantity (units)")+SUMIFS('Source 2025'!$F:$F,'Source 2025'!$B:$B,$A456,'Source 2025'!$A:$A,"Quantity (units)")+SUMIFS('Source 2025'!$G:$G,'Source 2025'!$B:$B,$A456,'Source 2025'!$A:$A,"Quantity (units)")+SUMIFS('Source 2025'!$J:$J,'Source 2025'!$B:$B,$A456,'Source 2025'!$A:$A,"Quantity (units)")+SUMIFS('Source 2025'!$M:$M,'Source 2025'!$B:$B,$A456,'Source 2025'!$A:$A,"Quantity (units)")</f>
        <v>0</v>
      </c>
      <c r="D456" s="8" t="n">
        <f aca="false">SUMIFS('Source 2026'!$D:$D,'Source 2026'!$B:$B,$A456,'Source 2026'!$A:$A,"Quantity (units)")+SUMIFS('Source 2026'!$E:$E,'Source 2026'!$B:$B,$A456,'Source 2026'!$A:$A,"Quantity (units)")+SUMIFS('Source 2026'!$F:$F,'Source 2026'!$B:$B,$A456,'Source 2026'!$A:$A,"Quantity (units)")+SUMIFS('Source 2026'!$G:$G,'Source 2026'!$B:$B,$A456,'Source 2026'!$A:$A,"Quantity (units)")+SUMIFS('Source 2026'!$J:$J,'Source 2026'!$B:$B,$A456,'Source 2026'!$A:$A,"Quantity (units)")+SUMIFS('Source 2026'!$M:$M,'Source 2026'!$B:$B,$A456,'Source 2026'!$A:$A,"Quantity (units)")</f>
        <v>1</v>
      </c>
      <c r="E456" s="8" t="n">
        <f aca="false">D456*$J$5</f>
        <v>1.37142857142857</v>
      </c>
      <c r="F456" s="8" t="n">
        <f aca="false">E456-C456</f>
        <v>1.37142857142857</v>
      </c>
      <c r="G456" s="9" t="str">
        <f aca="false">IF(AND(C456=0,E456=0),0,IF(C456=0,"New",(E456-C456)/C456))</f>
        <v>New</v>
      </c>
      <c r="H456" s="8" t="n">
        <f aca="false">SUMIFS('Source 2025'!$D:$D,'Source 2025'!$B:$B,$A456,'Source 2025'!$A:$A,"Amount (NIS)")+SUMIFS('Source 2025'!$E:$E,'Source 2025'!$B:$B,$A456,'Source 2025'!$A:$A,"Amount (NIS)")+SUMIFS('Source 2025'!$F:$F,'Source 2025'!$B:$B,$A456,'Source 2025'!$A:$A,"Amount (NIS)")+SUMIFS('Source 2025'!$G:$G,'Source 2025'!$B:$B,$A456,'Source 2025'!$A:$A,"Amount (NIS)")+SUMIFS('Source 2025'!$J:$J,'Source 2025'!$B:$B,$A456,'Source 2025'!$A:$A,"Amount (NIS)")+SUMIFS('Source 2025'!$M:$M,'Source 2025'!$B:$B,$A456,'Source 2025'!$A:$A,"Amount (NIS)")</f>
        <v>0</v>
      </c>
      <c r="I456" s="8" t="n">
        <f aca="false">SUMIFS('Source 2026'!$D:$D,'Source 2026'!$B:$B,$A456,'Source 2026'!$A:$A,"Amount (NIS)")+SUMIFS('Source 2026'!$E:$E,'Source 2026'!$B:$B,$A456,'Source 2026'!$A:$A,"Amount (NIS)")+SUMIFS('Source 2026'!$F:$F,'Source 2026'!$B:$B,$A456,'Source 2026'!$A:$A,"Amount (NIS)")+SUMIFS('Source 2026'!$G:$G,'Source 2026'!$B:$B,$A456,'Source 2026'!$A:$A,"Amount (NIS)")+SUMIFS('Source 2026'!$J:$J,'Source 2026'!$B:$B,$A456,'Source 2026'!$A:$A,"Amount (NIS)")+SUMIFS('Source 2026'!$M:$M,'Source 2026'!$B:$B,$A456,'Source 2026'!$A:$A,"Amount (NIS)")</f>
        <v>140.6</v>
      </c>
      <c r="J456" s="8" t="n">
        <f aca="false">I456*$J$5</f>
        <v>192.822857142857</v>
      </c>
      <c r="K456" s="8" t="n">
        <f aca="false">J456-H456</f>
        <v>192.822857142857</v>
      </c>
      <c r="L456" s="9" t="str">
        <f aca="false">IF(AND(H456=0,J456=0),0,IF(H456=0,"New",(J456-H456)/H456))</f>
        <v>New</v>
      </c>
    </row>
    <row r="457" customFormat="false" ht="15" hidden="false" customHeight="false" outlineLevel="0" collapsed="false">
      <c r="A457" s="7" t="n">
        <v>4408119</v>
      </c>
      <c r="B457" s="7" t="str">
        <f aca="false">IFERROR(INDEX('Source 2026'!$C:$C,MATCH($A457,'Source 2026'!$B:$B,0)),IFERROR(INDEX('Source 2025'!$C:$C,MATCH($A457,'Source 2025'!$B:$B,0)),""))</f>
        <v>06U L ח.בטן מותנית צר</v>
      </c>
      <c r="C457" s="8" t="n">
        <f aca="false">SUMIFS('Source 2025'!$D:$D,'Source 2025'!$B:$B,$A457,'Source 2025'!$A:$A,"Quantity (units)")+SUMIFS('Source 2025'!$E:$E,'Source 2025'!$B:$B,$A457,'Source 2025'!$A:$A,"Quantity (units)")+SUMIFS('Source 2025'!$F:$F,'Source 2025'!$B:$B,$A457,'Source 2025'!$A:$A,"Quantity (units)")+SUMIFS('Source 2025'!$G:$G,'Source 2025'!$B:$B,$A457,'Source 2025'!$A:$A,"Quantity (units)")+SUMIFS('Source 2025'!$J:$J,'Source 2025'!$B:$B,$A457,'Source 2025'!$A:$A,"Quantity (units)")+SUMIFS('Source 2025'!$M:$M,'Source 2025'!$B:$B,$A457,'Source 2025'!$A:$A,"Quantity (units)")</f>
        <v>2</v>
      </c>
      <c r="D457" s="8" t="n">
        <f aca="false">SUMIFS('Source 2026'!$D:$D,'Source 2026'!$B:$B,$A457,'Source 2026'!$A:$A,"Quantity (units)")+SUMIFS('Source 2026'!$E:$E,'Source 2026'!$B:$B,$A457,'Source 2026'!$A:$A,"Quantity (units)")+SUMIFS('Source 2026'!$F:$F,'Source 2026'!$B:$B,$A457,'Source 2026'!$A:$A,"Quantity (units)")+SUMIFS('Source 2026'!$G:$G,'Source 2026'!$B:$B,$A457,'Source 2026'!$A:$A,"Quantity (units)")+SUMIFS('Source 2026'!$J:$J,'Source 2026'!$B:$B,$A457,'Source 2026'!$A:$A,"Quantity (units)")+SUMIFS('Source 2026'!$M:$M,'Source 2026'!$B:$B,$A457,'Source 2026'!$A:$A,"Quantity (units)")</f>
        <v>1</v>
      </c>
      <c r="E457" s="8" t="n">
        <f aca="false">D457*$J$5</f>
        <v>1.37142857142857</v>
      </c>
      <c r="F457" s="8" t="n">
        <f aca="false">E457-C457</f>
        <v>-0.628571428571429</v>
      </c>
      <c r="G457" s="9" t="n">
        <f aca="false">IF(AND(C457=0,E457=0),0,IF(C457=0,"New",(E457-C457)/C457))</f>
        <v>-0.314285714285714</v>
      </c>
      <c r="H457" s="8" t="n">
        <f aca="false">SUMIFS('Source 2025'!$D:$D,'Source 2025'!$B:$B,$A457,'Source 2025'!$A:$A,"Amount (NIS)")+SUMIFS('Source 2025'!$E:$E,'Source 2025'!$B:$B,$A457,'Source 2025'!$A:$A,"Amount (NIS)")+SUMIFS('Source 2025'!$F:$F,'Source 2025'!$B:$B,$A457,'Source 2025'!$A:$A,"Amount (NIS)")+SUMIFS('Source 2025'!$G:$G,'Source 2025'!$B:$B,$A457,'Source 2025'!$A:$A,"Amount (NIS)")+SUMIFS('Source 2025'!$J:$J,'Source 2025'!$B:$B,$A457,'Source 2025'!$A:$A,"Amount (NIS)")+SUMIFS('Source 2025'!$M:$M,'Source 2025'!$B:$B,$A457,'Source 2025'!$A:$A,"Amount (NIS)")</f>
        <v>281.1</v>
      </c>
      <c r="I457" s="8" t="n">
        <f aca="false">SUMIFS('Source 2026'!$D:$D,'Source 2026'!$B:$B,$A457,'Source 2026'!$A:$A,"Amount (NIS)")+SUMIFS('Source 2026'!$E:$E,'Source 2026'!$B:$B,$A457,'Source 2026'!$A:$A,"Amount (NIS)")+SUMIFS('Source 2026'!$F:$F,'Source 2026'!$B:$B,$A457,'Source 2026'!$A:$A,"Amount (NIS)")+SUMIFS('Source 2026'!$G:$G,'Source 2026'!$B:$B,$A457,'Source 2026'!$A:$A,"Amount (NIS)")+SUMIFS('Source 2026'!$J:$J,'Source 2026'!$B:$B,$A457,'Source 2026'!$A:$A,"Amount (NIS)")+SUMIFS('Source 2026'!$M:$M,'Source 2026'!$B:$B,$A457,'Source 2026'!$A:$A,"Amount (NIS)")</f>
        <v>140.6</v>
      </c>
      <c r="J457" s="8" t="n">
        <f aca="false">I457*$J$5</f>
        <v>192.822857142857</v>
      </c>
      <c r="K457" s="8" t="n">
        <f aca="false">J457-H457</f>
        <v>-88.2771428571429</v>
      </c>
      <c r="L457" s="9" t="n">
        <f aca="false">IF(AND(H457=0,J457=0),0,IF(H457=0,"New",(J457-H457)/H457))</f>
        <v>-0.314041774660772</v>
      </c>
    </row>
    <row r="458" customFormat="false" ht="15" hidden="false" customHeight="false" outlineLevel="0" collapsed="false">
      <c r="A458" s="7" t="n">
        <v>4415120</v>
      </c>
      <c r="B458" s="7" t="str">
        <f aca="false">IFERROR(INDEX('Source 2026'!$C:$C,MATCH($A458,'Source 2026'!$B:$B,0)),IFERROR(INDEX('Source 2025'!$C:$C,MATCH($A458,'Source 2025'!$B:$B,0)),""))</f>
        <v>T33 XXL סד לקרסול</v>
      </c>
      <c r="C458" s="8" t="n">
        <f aca="false">SUMIFS('Source 2025'!$D:$D,'Source 2025'!$B:$B,$A458,'Source 2025'!$A:$A,"Quantity (units)")+SUMIFS('Source 2025'!$E:$E,'Source 2025'!$B:$B,$A458,'Source 2025'!$A:$A,"Quantity (units)")+SUMIFS('Source 2025'!$F:$F,'Source 2025'!$B:$B,$A458,'Source 2025'!$A:$A,"Quantity (units)")+SUMIFS('Source 2025'!$G:$G,'Source 2025'!$B:$B,$A458,'Source 2025'!$A:$A,"Quantity (units)")+SUMIFS('Source 2025'!$J:$J,'Source 2025'!$B:$B,$A458,'Source 2025'!$A:$A,"Quantity (units)")+SUMIFS('Source 2025'!$M:$M,'Source 2025'!$B:$B,$A458,'Source 2025'!$A:$A,"Quantity (units)")</f>
        <v>1</v>
      </c>
      <c r="D458" s="8" t="n">
        <f aca="false">SUMIFS('Source 2026'!$D:$D,'Source 2026'!$B:$B,$A458,'Source 2026'!$A:$A,"Quantity (units)")+SUMIFS('Source 2026'!$E:$E,'Source 2026'!$B:$B,$A458,'Source 2026'!$A:$A,"Quantity (units)")+SUMIFS('Source 2026'!$F:$F,'Source 2026'!$B:$B,$A458,'Source 2026'!$A:$A,"Quantity (units)")+SUMIFS('Source 2026'!$G:$G,'Source 2026'!$B:$B,$A458,'Source 2026'!$A:$A,"Quantity (units)")+SUMIFS('Source 2026'!$J:$J,'Source 2026'!$B:$B,$A458,'Source 2026'!$A:$A,"Quantity (units)")+SUMIFS('Source 2026'!$M:$M,'Source 2026'!$B:$B,$A458,'Source 2026'!$A:$A,"Quantity (units)")</f>
        <v>0</v>
      </c>
      <c r="E458" s="8" t="n">
        <f aca="false">D458*$J$5</f>
        <v>0</v>
      </c>
      <c r="F458" s="8" t="n">
        <f aca="false">E458-C458</f>
        <v>-1</v>
      </c>
      <c r="G458" s="9" t="n">
        <f aca="false">IF(AND(C458=0,E458=0),0,IF(C458=0,"New",(E458-C458)/C458))</f>
        <v>-1</v>
      </c>
      <c r="H458" s="8" t="n">
        <f aca="false">SUMIFS('Source 2025'!$D:$D,'Source 2025'!$B:$B,$A458,'Source 2025'!$A:$A,"Amount (NIS)")+SUMIFS('Source 2025'!$E:$E,'Source 2025'!$B:$B,$A458,'Source 2025'!$A:$A,"Amount (NIS)")+SUMIFS('Source 2025'!$F:$F,'Source 2025'!$B:$B,$A458,'Source 2025'!$A:$A,"Amount (NIS)")+SUMIFS('Source 2025'!$G:$G,'Source 2025'!$B:$B,$A458,'Source 2025'!$A:$A,"Amount (NIS)")+SUMIFS('Source 2025'!$J:$J,'Source 2025'!$B:$B,$A458,'Source 2025'!$A:$A,"Amount (NIS)")+SUMIFS('Source 2025'!$M:$M,'Source 2025'!$B:$B,$A458,'Source 2025'!$A:$A,"Amount (NIS)")</f>
        <v>137</v>
      </c>
      <c r="I458" s="8" t="n">
        <f aca="false">SUMIFS('Source 2026'!$D:$D,'Source 2026'!$B:$B,$A458,'Source 2026'!$A:$A,"Amount (NIS)")+SUMIFS('Source 2026'!$E:$E,'Source 2026'!$B:$B,$A458,'Source 2026'!$A:$A,"Amount (NIS)")+SUMIFS('Source 2026'!$F:$F,'Source 2026'!$B:$B,$A458,'Source 2026'!$A:$A,"Amount (NIS)")+SUMIFS('Source 2026'!$G:$G,'Source 2026'!$B:$B,$A458,'Source 2026'!$A:$A,"Amount (NIS)")+SUMIFS('Source 2026'!$J:$J,'Source 2026'!$B:$B,$A458,'Source 2026'!$A:$A,"Amount (NIS)")+SUMIFS('Source 2026'!$M:$M,'Source 2026'!$B:$B,$A458,'Source 2026'!$A:$A,"Amount (NIS)")</f>
        <v>0</v>
      </c>
      <c r="J458" s="8" t="n">
        <f aca="false">I458*$J$5</f>
        <v>0</v>
      </c>
      <c r="K458" s="8" t="n">
        <f aca="false">J458-H458</f>
        <v>-137</v>
      </c>
      <c r="L458" s="9" t="n">
        <f aca="false">IF(AND(H458=0,J458=0),0,IF(H458=0,"New",(J458-H458)/H458))</f>
        <v>-1</v>
      </c>
    </row>
    <row r="459" customFormat="false" ht="15" hidden="false" customHeight="false" outlineLevel="0" collapsed="false">
      <c r="A459" s="7" t="n">
        <v>4408149</v>
      </c>
      <c r="B459" s="7" t="str">
        <f aca="false">IFERROR(INDEX('Source 2026'!$C:$C,MATCH($A459,'Source 2026'!$B:$B,0)),IFERROR(INDEX('Source 2025'!$C:$C,MATCH($A459,'Source 2025'!$B:$B,0)),""))</f>
        <v>11PS XXLחגורה למנותחי בטן</v>
      </c>
      <c r="C459" s="8" t="n">
        <f aca="false">SUMIFS('Source 2025'!$D:$D,'Source 2025'!$B:$B,$A459,'Source 2025'!$A:$A,"Quantity (units)")+SUMIFS('Source 2025'!$E:$E,'Source 2025'!$B:$B,$A459,'Source 2025'!$A:$A,"Quantity (units)")+SUMIFS('Source 2025'!$F:$F,'Source 2025'!$B:$B,$A459,'Source 2025'!$A:$A,"Quantity (units)")+SUMIFS('Source 2025'!$G:$G,'Source 2025'!$B:$B,$A459,'Source 2025'!$A:$A,"Quantity (units)")+SUMIFS('Source 2025'!$J:$J,'Source 2025'!$B:$B,$A459,'Source 2025'!$A:$A,"Quantity (units)")+SUMIFS('Source 2025'!$M:$M,'Source 2025'!$B:$B,$A459,'Source 2025'!$A:$A,"Quantity (units)")</f>
        <v>2</v>
      </c>
      <c r="D459" s="8" t="n">
        <f aca="false">SUMIFS('Source 2026'!$D:$D,'Source 2026'!$B:$B,$A459,'Source 2026'!$A:$A,"Quantity (units)")+SUMIFS('Source 2026'!$E:$E,'Source 2026'!$B:$B,$A459,'Source 2026'!$A:$A,"Quantity (units)")+SUMIFS('Source 2026'!$F:$F,'Source 2026'!$B:$B,$A459,'Source 2026'!$A:$A,"Quantity (units)")+SUMIFS('Source 2026'!$G:$G,'Source 2026'!$B:$B,$A459,'Source 2026'!$A:$A,"Quantity (units)")+SUMIFS('Source 2026'!$J:$J,'Source 2026'!$B:$B,$A459,'Source 2026'!$A:$A,"Quantity (units)")+SUMIFS('Source 2026'!$M:$M,'Source 2026'!$B:$B,$A459,'Source 2026'!$A:$A,"Quantity (units)")</f>
        <v>1</v>
      </c>
      <c r="E459" s="8" t="n">
        <f aca="false">D459*$J$5</f>
        <v>1.37142857142857</v>
      </c>
      <c r="F459" s="8" t="n">
        <f aca="false">E459-C459</f>
        <v>-0.628571428571429</v>
      </c>
      <c r="G459" s="9" t="n">
        <f aca="false">IF(AND(C459=0,E459=0),0,IF(C459=0,"New",(E459-C459)/C459))</f>
        <v>-0.314285714285714</v>
      </c>
      <c r="H459" s="8" t="n">
        <f aca="false">SUMIFS('Source 2025'!$D:$D,'Source 2025'!$B:$B,$A459,'Source 2025'!$A:$A,"Amount (NIS)")+SUMIFS('Source 2025'!$E:$E,'Source 2025'!$B:$B,$A459,'Source 2025'!$A:$A,"Amount (NIS)")+SUMIFS('Source 2025'!$F:$F,'Source 2025'!$B:$B,$A459,'Source 2025'!$A:$A,"Amount (NIS)")+SUMIFS('Source 2025'!$G:$G,'Source 2025'!$B:$B,$A459,'Source 2025'!$A:$A,"Amount (NIS)")+SUMIFS('Source 2025'!$J:$J,'Source 2025'!$B:$B,$A459,'Source 2025'!$A:$A,"Amount (NIS)")+SUMIFS('Source 2025'!$M:$M,'Source 2025'!$B:$B,$A459,'Source 2025'!$A:$A,"Amount (NIS)")</f>
        <v>271.8</v>
      </c>
      <c r="I459" s="8" t="n">
        <f aca="false">SUMIFS('Source 2026'!$D:$D,'Source 2026'!$B:$B,$A459,'Source 2026'!$A:$A,"Amount (NIS)")+SUMIFS('Source 2026'!$E:$E,'Source 2026'!$B:$B,$A459,'Source 2026'!$A:$A,"Amount (NIS)")+SUMIFS('Source 2026'!$F:$F,'Source 2026'!$B:$B,$A459,'Source 2026'!$A:$A,"Amount (NIS)")+SUMIFS('Source 2026'!$G:$G,'Source 2026'!$B:$B,$A459,'Source 2026'!$A:$A,"Amount (NIS)")+SUMIFS('Source 2026'!$J:$J,'Source 2026'!$B:$B,$A459,'Source 2026'!$A:$A,"Amount (NIS)")+SUMIFS('Source 2026'!$M:$M,'Source 2026'!$B:$B,$A459,'Source 2026'!$A:$A,"Amount (NIS)")</f>
        <v>135.9</v>
      </c>
      <c r="J459" s="8" t="n">
        <f aca="false">I459*$J$5</f>
        <v>186.377142857143</v>
      </c>
      <c r="K459" s="8" t="n">
        <f aca="false">J459-H459</f>
        <v>-85.4228571428571</v>
      </c>
      <c r="L459" s="9" t="n">
        <f aca="false">IF(AND(H459=0,J459=0),0,IF(H459=0,"New",(J459-H459)/H459))</f>
        <v>-0.314285714285714</v>
      </c>
    </row>
    <row r="460" customFormat="false" ht="15" hidden="false" customHeight="false" outlineLevel="0" collapsed="false">
      <c r="A460" s="7" t="n">
        <v>4413077</v>
      </c>
      <c r="B460" s="7" t="str">
        <f aca="false">IFERROR(INDEX('Source 2026'!$C:$C,MATCH($A460,'Source 2026'!$B:$B,0)),IFERROR(INDEX('Source 2025'!$C:$C,MATCH($A460,'Source 2025'!$B:$B,0)),""))</f>
        <v>41X M מגן ברך מוצלב+מוט</v>
      </c>
      <c r="C460" s="8" t="n">
        <f aca="false">SUMIFS('Source 2025'!$D:$D,'Source 2025'!$B:$B,$A460,'Source 2025'!$A:$A,"Quantity (units)")+SUMIFS('Source 2025'!$E:$E,'Source 2025'!$B:$B,$A460,'Source 2025'!$A:$A,"Quantity (units)")+SUMIFS('Source 2025'!$F:$F,'Source 2025'!$B:$B,$A460,'Source 2025'!$A:$A,"Quantity (units)")+SUMIFS('Source 2025'!$G:$G,'Source 2025'!$B:$B,$A460,'Source 2025'!$A:$A,"Quantity (units)")+SUMIFS('Source 2025'!$J:$J,'Source 2025'!$B:$B,$A460,'Source 2025'!$A:$A,"Quantity (units)")+SUMIFS('Source 2025'!$M:$M,'Source 2025'!$B:$B,$A460,'Source 2025'!$A:$A,"Quantity (units)")</f>
        <v>0</v>
      </c>
      <c r="D460" s="8" t="n">
        <f aca="false">SUMIFS('Source 2026'!$D:$D,'Source 2026'!$B:$B,$A460,'Source 2026'!$A:$A,"Quantity (units)")+SUMIFS('Source 2026'!$E:$E,'Source 2026'!$B:$B,$A460,'Source 2026'!$A:$A,"Quantity (units)")+SUMIFS('Source 2026'!$F:$F,'Source 2026'!$B:$B,$A460,'Source 2026'!$A:$A,"Quantity (units)")+SUMIFS('Source 2026'!$G:$G,'Source 2026'!$B:$B,$A460,'Source 2026'!$A:$A,"Quantity (units)")+SUMIFS('Source 2026'!$J:$J,'Source 2026'!$B:$B,$A460,'Source 2026'!$A:$A,"Quantity (units)")+SUMIFS('Source 2026'!$M:$M,'Source 2026'!$B:$B,$A460,'Source 2026'!$A:$A,"Quantity (units)")</f>
        <v>1</v>
      </c>
      <c r="E460" s="8" t="n">
        <f aca="false">D460*$J$5</f>
        <v>1.37142857142857</v>
      </c>
      <c r="F460" s="8" t="n">
        <f aca="false">E460-C460</f>
        <v>1.37142857142857</v>
      </c>
      <c r="G460" s="9" t="str">
        <f aca="false">IF(AND(C460=0,E460=0),0,IF(C460=0,"New",(E460-C460)/C460))</f>
        <v>New</v>
      </c>
      <c r="H460" s="8" t="n">
        <f aca="false">SUMIFS('Source 2025'!$D:$D,'Source 2025'!$B:$B,$A460,'Source 2025'!$A:$A,"Amount (NIS)")+SUMIFS('Source 2025'!$E:$E,'Source 2025'!$B:$B,$A460,'Source 2025'!$A:$A,"Amount (NIS)")+SUMIFS('Source 2025'!$F:$F,'Source 2025'!$B:$B,$A460,'Source 2025'!$A:$A,"Amount (NIS)")+SUMIFS('Source 2025'!$G:$G,'Source 2025'!$B:$B,$A460,'Source 2025'!$A:$A,"Amount (NIS)")+SUMIFS('Source 2025'!$J:$J,'Source 2025'!$B:$B,$A460,'Source 2025'!$A:$A,"Amount (NIS)")+SUMIFS('Source 2025'!$M:$M,'Source 2025'!$B:$B,$A460,'Source 2025'!$A:$A,"Amount (NIS)")</f>
        <v>0</v>
      </c>
      <c r="I460" s="8" t="n">
        <f aca="false">SUMIFS('Source 2026'!$D:$D,'Source 2026'!$B:$B,$A460,'Source 2026'!$A:$A,"Amount (NIS)")+SUMIFS('Source 2026'!$E:$E,'Source 2026'!$B:$B,$A460,'Source 2026'!$A:$A,"Amount (NIS)")+SUMIFS('Source 2026'!$F:$F,'Source 2026'!$B:$B,$A460,'Source 2026'!$A:$A,"Amount (NIS)")+SUMIFS('Source 2026'!$G:$G,'Source 2026'!$B:$B,$A460,'Source 2026'!$A:$A,"Amount (NIS)")+SUMIFS('Source 2026'!$J:$J,'Source 2026'!$B:$B,$A460,'Source 2026'!$A:$A,"Amount (NIS)")+SUMIFS('Source 2026'!$M:$M,'Source 2026'!$B:$B,$A460,'Source 2026'!$A:$A,"Amount (NIS)")</f>
        <v>135.9</v>
      </c>
      <c r="J460" s="8" t="n">
        <f aca="false">I460*$J$5</f>
        <v>186.377142857143</v>
      </c>
      <c r="K460" s="8" t="n">
        <f aca="false">J460-H460</f>
        <v>186.377142857143</v>
      </c>
      <c r="L460" s="9" t="str">
        <f aca="false">IF(AND(H460=0,J460=0),0,IF(H460=0,"New",(J460-H460)/H460))</f>
        <v>New</v>
      </c>
    </row>
    <row r="461" customFormat="false" ht="15" hidden="false" customHeight="false" outlineLevel="0" collapsed="false">
      <c r="A461" s="7" t="n">
        <v>4413276</v>
      </c>
      <c r="B461" s="7" t="str">
        <f aca="false">IFERROR(INDEX('Source 2026'!$C:$C,MATCH($A461,'Source 2026'!$B:$B,0)),IFERROR(INDEX('Source 2025'!$C:$C,MATCH($A461,'Source 2025'!$B:$B,0)),""))</f>
        <v>LF377 L-מדרס סיליקון לנעלי עקב</v>
      </c>
      <c r="C461" s="8" t="n">
        <f aca="false">SUMIFS('Source 2025'!$D:$D,'Source 2025'!$B:$B,$A461,'Source 2025'!$A:$A,"Quantity (units)")+SUMIFS('Source 2025'!$E:$E,'Source 2025'!$B:$B,$A461,'Source 2025'!$A:$A,"Quantity (units)")+SUMIFS('Source 2025'!$F:$F,'Source 2025'!$B:$B,$A461,'Source 2025'!$A:$A,"Quantity (units)")+SUMIFS('Source 2025'!$G:$G,'Source 2025'!$B:$B,$A461,'Source 2025'!$A:$A,"Quantity (units)")+SUMIFS('Source 2025'!$J:$J,'Source 2025'!$B:$B,$A461,'Source 2025'!$A:$A,"Quantity (units)")+SUMIFS('Source 2025'!$M:$M,'Source 2025'!$B:$B,$A461,'Source 2025'!$A:$A,"Quantity (units)")</f>
        <v>2</v>
      </c>
      <c r="D461" s="8" t="n">
        <f aca="false">SUMIFS('Source 2026'!$D:$D,'Source 2026'!$B:$B,$A461,'Source 2026'!$A:$A,"Quantity (units)")+SUMIFS('Source 2026'!$E:$E,'Source 2026'!$B:$B,$A461,'Source 2026'!$A:$A,"Quantity (units)")+SUMIFS('Source 2026'!$F:$F,'Source 2026'!$B:$B,$A461,'Source 2026'!$A:$A,"Quantity (units)")+SUMIFS('Source 2026'!$G:$G,'Source 2026'!$B:$B,$A461,'Source 2026'!$A:$A,"Quantity (units)")+SUMIFS('Source 2026'!$J:$J,'Source 2026'!$B:$B,$A461,'Source 2026'!$A:$A,"Quantity (units)")+SUMIFS('Source 2026'!$M:$M,'Source 2026'!$B:$B,$A461,'Source 2026'!$A:$A,"Quantity (units)")</f>
        <v>4</v>
      </c>
      <c r="E461" s="8" t="n">
        <f aca="false">D461*$J$5</f>
        <v>5.48571428571429</v>
      </c>
      <c r="F461" s="8" t="n">
        <f aca="false">E461-C461</f>
        <v>3.48571428571429</v>
      </c>
      <c r="G461" s="9" t="n">
        <f aca="false">IF(AND(C461=0,E461=0),0,IF(C461=0,"New",(E461-C461)/C461))</f>
        <v>1.74285714285714</v>
      </c>
      <c r="H461" s="8" t="n">
        <f aca="false">SUMIFS('Source 2025'!$D:$D,'Source 2025'!$B:$B,$A461,'Source 2025'!$A:$A,"Amount (NIS)")+SUMIFS('Source 2025'!$E:$E,'Source 2025'!$B:$B,$A461,'Source 2025'!$A:$A,"Amount (NIS)")+SUMIFS('Source 2025'!$F:$F,'Source 2025'!$B:$B,$A461,'Source 2025'!$A:$A,"Amount (NIS)")+SUMIFS('Source 2025'!$G:$G,'Source 2025'!$B:$B,$A461,'Source 2025'!$A:$A,"Amount (NIS)")+SUMIFS('Source 2025'!$J:$J,'Source 2025'!$B:$B,$A461,'Source 2025'!$A:$A,"Amount (NIS)")+SUMIFS('Source 2025'!$M:$M,'Source 2025'!$B:$B,$A461,'Source 2025'!$A:$A,"Amount (NIS)")</f>
        <v>47.4</v>
      </c>
      <c r="I461" s="8" t="n">
        <f aca="false">SUMIFS('Source 2026'!$D:$D,'Source 2026'!$B:$B,$A461,'Source 2026'!$A:$A,"Amount (NIS)")+SUMIFS('Source 2026'!$E:$E,'Source 2026'!$B:$B,$A461,'Source 2026'!$A:$A,"Amount (NIS)")+SUMIFS('Source 2026'!$F:$F,'Source 2026'!$B:$B,$A461,'Source 2026'!$A:$A,"Amount (NIS)")+SUMIFS('Source 2026'!$G:$G,'Source 2026'!$B:$B,$A461,'Source 2026'!$A:$A,"Amount (NIS)")+SUMIFS('Source 2026'!$J:$J,'Source 2026'!$B:$B,$A461,'Source 2026'!$A:$A,"Amount (NIS)")+SUMIFS('Source 2026'!$M:$M,'Source 2026'!$B:$B,$A461,'Source 2026'!$A:$A,"Amount (NIS)")</f>
        <v>182.9</v>
      </c>
      <c r="J461" s="8" t="n">
        <f aca="false">I461*$J$5</f>
        <v>250.834285714286</v>
      </c>
      <c r="K461" s="8" t="n">
        <f aca="false">J461-H461</f>
        <v>203.434285714286</v>
      </c>
      <c r="L461" s="9" t="n">
        <f aca="false">IF(AND(H461=0,J461=0),0,IF(H461=0,"New",(J461-H461)/H461))</f>
        <v>4.29186256781194</v>
      </c>
    </row>
    <row r="462" customFormat="false" ht="15" hidden="false" customHeight="false" outlineLevel="0" collapsed="false">
      <c r="A462" s="7" t="n">
        <v>4413330</v>
      </c>
      <c r="B462" s="7" t="str">
        <f aca="false">IFERROR(INDEX('Source 2026'!$C:$C,MATCH($A462,'Source 2026'!$B:$B,0)),IFERROR(INDEX('Source 2025'!$C:$C,MATCH($A462,'Source 2025'!$B:$B,0)),""))</f>
        <v>AC49 מגן ירך</v>
      </c>
      <c r="C462" s="8" t="n">
        <f aca="false">SUMIFS('Source 2025'!$D:$D,'Source 2025'!$B:$B,$A462,'Source 2025'!$A:$A,"Quantity (units)")+SUMIFS('Source 2025'!$E:$E,'Source 2025'!$B:$B,$A462,'Source 2025'!$A:$A,"Quantity (units)")+SUMIFS('Source 2025'!$F:$F,'Source 2025'!$B:$B,$A462,'Source 2025'!$A:$A,"Quantity (units)")+SUMIFS('Source 2025'!$G:$G,'Source 2025'!$B:$B,$A462,'Source 2025'!$A:$A,"Quantity (units)")+SUMIFS('Source 2025'!$J:$J,'Source 2025'!$B:$B,$A462,'Source 2025'!$A:$A,"Quantity (units)")+SUMIFS('Source 2025'!$M:$M,'Source 2025'!$B:$B,$A462,'Source 2025'!$A:$A,"Quantity (units)")</f>
        <v>21</v>
      </c>
      <c r="D462" s="8" t="n">
        <f aca="false">SUMIFS('Source 2026'!$D:$D,'Source 2026'!$B:$B,$A462,'Source 2026'!$A:$A,"Quantity (units)")+SUMIFS('Source 2026'!$E:$E,'Source 2026'!$B:$B,$A462,'Source 2026'!$A:$A,"Quantity (units)")+SUMIFS('Source 2026'!$F:$F,'Source 2026'!$B:$B,$A462,'Source 2026'!$A:$A,"Quantity (units)")+SUMIFS('Source 2026'!$G:$G,'Source 2026'!$B:$B,$A462,'Source 2026'!$A:$A,"Quantity (units)")+SUMIFS('Source 2026'!$J:$J,'Source 2026'!$B:$B,$A462,'Source 2026'!$A:$A,"Quantity (units)")+SUMIFS('Source 2026'!$M:$M,'Source 2026'!$B:$B,$A462,'Source 2026'!$A:$A,"Quantity (units)")</f>
        <v>22</v>
      </c>
      <c r="E462" s="8" t="n">
        <f aca="false">D462*$J$5</f>
        <v>30.1714285714286</v>
      </c>
      <c r="F462" s="8" t="n">
        <f aca="false">E462-C462</f>
        <v>9.17142857142857</v>
      </c>
      <c r="G462" s="9" t="n">
        <f aca="false">IF(AND(C462=0,E462=0),0,IF(C462=0,"New",(E462-C462)/C462))</f>
        <v>0.436734693877551</v>
      </c>
      <c r="H462" s="8" t="n">
        <f aca="false">SUMIFS('Source 2025'!$D:$D,'Source 2025'!$B:$B,$A462,'Source 2025'!$A:$A,"Amount (NIS)")+SUMIFS('Source 2025'!$E:$E,'Source 2025'!$B:$B,$A462,'Source 2025'!$A:$A,"Amount (NIS)")+SUMIFS('Source 2025'!$F:$F,'Source 2025'!$B:$B,$A462,'Source 2025'!$A:$A,"Amount (NIS)")+SUMIFS('Source 2025'!$G:$G,'Source 2025'!$B:$B,$A462,'Source 2025'!$A:$A,"Amount (NIS)")+SUMIFS('Source 2025'!$J:$J,'Source 2025'!$B:$B,$A462,'Source 2025'!$A:$A,"Amount (NIS)")+SUMIFS('Source 2025'!$M:$M,'Source 2025'!$B:$B,$A462,'Source 2025'!$A:$A,"Amount (NIS)")</f>
        <v>1201.4</v>
      </c>
      <c r="I462" s="8" t="n">
        <f aca="false">SUMIFS('Source 2026'!$D:$D,'Source 2026'!$B:$B,$A462,'Source 2026'!$A:$A,"Amount (NIS)")+SUMIFS('Source 2026'!$E:$E,'Source 2026'!$B:$B,$A462,'Source 2026'!$A:$A,"Amount (NIS)")+SUMIFS('Source 2026'!$F:$F,'Source 2026'!$B:$B,$A462,'Source 2026'!$A:$A,"Amount (NIS)")+SUMIFS('Source 2026'!$G:$G,'Source 2026'!$B:$B,$A462,'Source 2026'!$A:$A,"Amount (NIS)")+SUMIFS('Source 2026'!$J:$J,'Source 2026'!$B:$B,$A462,'Source 2026'!$A:$A,"Amount (NIS)")+SUMIFS('Source 2026'!$M:$M,'Source 2026'!$B:$B,$A462,'Source 2026'!$A:$A,"Amount (NIS)")</f>
        <v>1335.3</v>
      </c>
      <c r="J462" s="8" t="n">
        <f aca="false">I462*$J$5</f>
        <v>1831.26857142857</v>
      </c>
      <c r="K462" s="8" t="n">
        <f aca="false">J462-H462</f>
        <v>629.868571428572</v>
      </c>
      <c r="L462" s="9" t="n">
        <f aca="false">IF(AND(H462=0,J462=0),0,IF(H462=0,"New",(J462-H462)/H462))</f>
        <v>0.524278817569978</v>
      </c>
    </row>
    <row r="463" customFormat="false" ht="15" hidden="false" customHeight="false" outlineLevel="0" collapsed="false">
      <c r="A463" s="7" t="n">
        <v>4408059</v>
      </c>
      <c r="B463" s="7" t="str">
        <f aca="false">IFERROR(INDEX('Source 2026'!$C:$C,MATCH($A463,'Source 2026'!$B:$B,0)),IFERROR(INDEX('Source 2025'!$C:$C,MATCH($A463,'Source 2025'!$B:$B,0)),""))</f>
        <v>25 L חבק יד אגודלי</v>
      </c>
      <c r="C463" s="8" t="n">
        <f aca="false">SUMIFS('Source 2025'!$D:$D,'Source 2025'!$B:$B,$A463,'Source 2025'!$A:$A,"Quantity (units)")+SUMIFS('Source 2025'!$E:$E,'Source 2025'!$B:$B,$A463,'Source 2025'!$A:$A,"Quantity (units)")+SUMIFS('Source 2025'!$F:$F,'Source 2025'!$B:$B,$A463,'Source 2025'!$A:$A,"Quantity (units)")+SUMIFS('Source 2025'!$G:$G,'Source 2025'!$B:$B,$A463,'Source 2025'!$A:$A,"Quantity (units)")+SUMIFS('Source 2025'!$J:$J,'Source 2025'!$B:$B,$A463,'Source 2025'!$A:$A,"Quantity (units)")+SUMIFS('Source 2025'!$M:$M,'Source 2025'!$B:$B,$A463,'Source 2025'!$A:$A,"Quantity (units)")</f>
        <v>2</v>
      </c>
      <c r="D463" s="8" t="n">
        <f aca="false">SUMIFS('Source 2026'!$D:$D,'Source 2026'!$B:$B,$A463,'Source 2026'!$A:$A,"Quantity (units)")+SUMIFS('Source 2026'!$E:$E,'Source 2026'!$B:$B,$A463,'Source 2026'!$A:$A,"Quantity (units)")+SUMIFS('Source 2026'!$F:$F,'Source 2026'!$B:$B,$A463,'Source 2026'!$A:$A,"Quantity (units)")+SUMIFS('Source 2026'!$G:$G,'Source 2026'!$B:$B,$A463,'Source 2026'!$A:$A,"Quantity (units)")+SUMIFS('Source 2026'!$J:$J,'Source 2026'!$B:$B,$A463,'Source 2026'!$A:$A,"Quantity (units)")+SUMIFS('Source 2026'!$M:$M,'Source 2026'!$B:$B,$A463,'Source 2026'!$A:$A,"Quantity (units)")</f>
        <v>0</v>
      </c>
      <c r="E463" s="8" t="n">
        <f aca="false">D463*$J$5</f>
        <v>0</v>
      </c>
      <c r="F463" s="8" t="n">
        <f aca="false">E463-C463</f>
        <v>-2</v>
      </c>
      <c r="G463" s="9" t="n">
        <f aca="false">IF(AND(C463=0,E463=0),0,IF(C463=0,"New",(E463-C463)/C463))</f>
        <v>-1</v>
      </c>
      <c r="H463" s="8" t="n">
        <f aca="false">SUMIFS('Source 2025'!$D:$D,'Source 2025'!$B:$B,$A463,'Source 2025'!$A:$A,"Amount (NIS)")+SUMIFS('Source 2025'!$E:$E,'Source 2025'!$B:$B,$A463,'Source 2025'!$A:$A,"Amount (NIS)")+SUMIFS('Source 2025'!$F:$F,'Source 2025'!$B:$B,$A463,'Source 2025'!$A:$A,"Amount (NIS)")+SUMIFS('Source 2025'!$G:$G,'Source 2025'!$B:$B,$A463,'Source 2025'!$A:$A,"Amount (NIS)")+SUMIFS('Source 2025'!$J:$J,'Source 2025'!$B:$B,$A463,'Source 2025'!$A:$A,"Amount (NIS)")+SUMIFS('Source 2025'!$M:$M,'Source 2025'!$B:$B,$A463,'Source 2025'!$A:$A,"Amount (NIS)")</f>
        <v>132.6</v>
      </c>
      <c r="I463" s="8" t="n">
        <f aca="false">SUMIFS('Source 2026'!$D:$D,'Source 2026'!$B:$B,$A463,'Source 2026'!$A:$A,"Amount (NIS)")+SUMIFS('Source 2026'!$E:$E,'Source 2026'!$B:$B,$A463,'Source 2026'!$A:$A,"Amount (NIS)")+SUMIFS('Source 2026'!$F:$F,'Source 2026'!$B:$B,$A463,'Source 2026'!$A:$A,"Amount (NIS)")+SUMIFS('Source 2026'!$G:$G,'Source 2026'!$B:$B,$A463,'Source 2026'!$A:$A,"Amount (NIS)")+SUMIFS('Source 2026'!$J:$J,'Source 2026'!$B:$B,$A463,'Source 2026'!$A:$A,"Amount (NIS)")+SUMIFS('Source 2026'!$M:$M,'Source 2026'!$B:$B,$A463,'Source 2026'!$A:$A,"Amount (NIS)")</f>
        <v>0</v>
      </c>
      <c r="J463" s="8" t="n">
        <f aca="false">I463*$J$5</f>
        <v>0</v>
      </c>
      <c r="K463" s="8" t="n">
        <f aca="false">J463-H463</f>
        <v>-132.6</v>
      </c>
      <c r="L463" s="9" t="n">
        <f aca="false">IF(AND(H463=0,J463=0),0,IF(H463=0,"New",(J463-H463)/H463))</f>
        <v>-1</v>
      </c>
    </row>
    <row r="464" customFormat="false" ht="15" hidden="false" customHeight="false" outlineLevel="0" collapsed="false">
      <c r="A464" s="7" t="n">
        <v>4415069</v>
      </c>
      <c r="B464" s="7" t="str">
        <f aca="false">IFERROR(INDEX('Source 2026'!$C:$C,MATCH($A464,'Source 2026'!$B:$B,0)),IFERROR(INDEX('Source 2025'!$C:$C,MATCH($A464,'Source 2025'!$B:$B,0)),""))</f>
        <v>T28C L סד לאגודל כפפה</v>
      </c>
      <c r="C464" s="8" t="n">
        <f aca="false">SUMIFS('Source 2025'!$D:$D,'Source 2025'!$B:$B,$A464,'Source 2025'!$A:$A,"Quantity (units)")+SUMIFS('Source 2025'!$E:$E,'Source 2025'!$B:$B,$A464,'Source 2025'!$A:$A,"Quantity (units)")+SUMIFS('Source 2025'!$F:$F,'Source 2025'!$B:$B,$A464,'Source 2025'!$A:$A,"Quantity (units)")+SUMIFS('Source 2025'!$G:$G,'Source 2025'!$B:$B,$A464,'Source 2025'!$A:$A,"Quantity (units)")+SUMIFS('Source 2025'!$J:$J,'Source 2025'!$B:$B,$A464,'Source 2025'!$A:$A,"Quantity (units)")+SUMIFS('Source 2025'!$M:$M,'Source 2025'!$B:$B,$A464,'Source 2025'!$A:$A,"Quantity (units)")</f>
        <v>7</v>
      </c>
      <c r="D464" s="8" t="n">
        <f aca="false">SUMIFS('Source 2026'!$D:$D,'Source 2026'!$B:$B,$A464,'Source 2026'!$A:$A,"Quantity (units)")+SUMIFS('Source 2026'!$E:$E,'Source 2026'!$B:$B,$A464,'Source 2026'!$A:$A,"Quantity (units)")+SUMIFS('Source 2026'!$F:$F,'Source 2026'!$B:$B,$A464,'Source 2026'!$A:$A,"Quantity (units)")+SUMIFS('Source 2026'!$G:$G,'Source 2026'!$B:$B,$A464,'Source 2026'!$A:$A,"Quantity (units)")+SUMIFS('Source 2026'!$J:$J,'Source 2026'!$B:$B,$A464,'Source 2026'!$A:$A,"Quantity (units)")+SUMIFS('Source 2026'!$M:$M,'Source 2026'!$B:$B,$A464,'Source 2026'!$A:$A,"Quantity (units)")</f>
        <v>5</v>
      </c>
      <c r="E464" s="8" t="n">
        <f aca="false">D464*$J$5</f>
        <v>6.85714285714286</v>
      </c>
      <c r="F464" s="8" t="n">
        <f aca="false">E464-C464</f>
        <v>-0.142857142857142</v>
      </c>
      <c r="G464" s="9" t="n">
        <f aca="false">IF(AND(C464=0,E464=0),0,IF(C464=0,"New",(E464-C464)/C464))</f>
        <v>-0.0204081632653061</v>
      </c>
      <c r="H464" s="8" t="n">
        <f aca="false">SUMIFS('Source 2025'!$D:$D,'Source 2025'!$B:$B,$A464,'Source 2025'!$A:$A,"Amount (NIS)")+SUMIFS('Source 2025'!$E:$E,'Source 2025'!$B:$B,$A464,'Source 2025'!$A:$A,"Amount (NIS)")+SUMIFS('Source 2025'!$F:$F,'Source 2025'!$B:$B,$A464,'Source 2025'!$A:$A,"Amount (NIS)")+SUMIFS('Source 2025'!$G:$G,'Source 2025'!$B:$B,$A464,'Source 2025'!$A:$A,"Amount (NIS)")+SUMIFS('Source 2025'!$J:$J,'Source 2025'!$B:$B,$A464,'Source 2025'!$A:$A,"Amount (NIS)")+SUMIFS('Source 2025'!$M:$M,'Source 2025'!$B:$B,$A464,'Source 2025'!$A:$A,"Amount (NIS)")</f>
        <v>486.6</v>
      </c>
      <c r="I464" s="8" t="n">
        <f aca="false">SUMIFS('Source 2026'!$D:$D,'Source 2026'!$B:$B,$A464,'Source 2026'!$A:$A,"Amount (NIS)")+SUMIFS('Source 2026'!$E:$E,'Source 2026'!$B:$B,$A464,'Source 2026'!$A:$A,"Amount (NIS)")+SUMIFS('Source 2026'!$F:$F,'Source 2026'!$B:$B,$A464,'Source 2026'!$A:$A,"Amount (NIS)")+SUMIFS('Source 2026'!$G:$G,'Source 2026'!$B:$B,$A464,'Source 2026'!$A:$A,"Amount (NIS)")+SUMIFS('Source 2026'!$J:$J,'Source 2026'!$B:$B,$A464,'Source 2026'!$A:$A,"Amount (NIS)")+SUMIFS('Source 2026'!$M:$M,'Source 2026'!$B:$B,$A464,'Source 2026'!$A:$A,"Amount (NIS)")</f>
        <v>354.3</v>
      </c>
      <c r="J464" s="8" t="n">
        <f aca="false">I464*$J$5</f>
        <v>485.897142857143</v>
      </c>
      <c r="K464" s="8" t="n">
        <f aca="false">J464-H464</f>
        <v>-0.70285714285717</v>
      </c>
      <c r="L464" s="9" t="n">
        <f aca="false">IF(AND(H464=0,J464=0),0,IF(H464=0,"New",(J464-H464)/H464))</f>
        <v>-0.00144442487229176</v>
      </c>
    </row>
    <row r="465" customFormat="false" ht="15" hidden="false" customHeight="false" outlineLevel="0" collapsed="false">
      <c r="A465" s="7" t="n">
        <v>4413005</v>
      </c>
      <c r="B465" s="7" t="str">
        <f aca="false">IFERROR(INDEX('Source 2026'!$C:$C,MATCH($A465,'Source 2026'!$B:$B,0)),IFERROR(INDEX('Source 2025'!$C:$C,MATCH($A465,'Source 2025'!$B:$B,0)),""))</f>
        <v>30 XXL מגן קרסול מתכוון+סקוטש</v>
      </c>
      <c r="C465" s="8" t="n">
        <f aca="false">SUMIFS('Source 2025'!$D:$D,'Source 2025'!$B:$B,$A465,'Source 2025'!$A:$A,"Quantity (units)")+SUMIFS('Source 2025'!$E:$E,'Source 2025'!$B:$B,$A465,'Source 2025'!$A:$A,"Quantity (units)")+SUMIFS('Source 2025'!$F:$F,'Source 2025'!$B:$B,$A465,'Source 2025'!$A:$A,"Quantity (units)")+SUMIFS('Source 2025'!$G:$G,'Source 2025'!$B:$B,$A465,'Source 2025'!$A:$A,"Quantity (units)")+SUMIFS('Source 2025'!$J:$J,'Source 2025'!$B:$B,$A465,'Source 2025'!$A:$A,"Quantity (units)")+SUMIFS('Source 2025'!$M:$M,'Source 2025'!$B:$B,$A465,'Source 2025'!$A:$A,"Quantity (units)")</f>
        <v>2</v>
      </c>
      <c r="D465" s="8" t="n">
        <f aca="false">SUMIFS('Source 2026'!$D:$D,'Source 2026'!$B:$B,$A465,'Source 2026'!$A:$A,"Quantity (units)")+SUMIFS('Source 2026'!$E:$E,'Source 2026'!$B:$B,$A465,'Source 2026'!$A:$A,"Quantity (units)")+SUMIFS('Source 2026'!$F:$F,'Source 2026'!$B:$B,$A465,'Source 2026'!$A:$A,"Quantity (units)")+SUMIFS('Source 2026'!$G:$G,'Source 2026'!$B:$B,$A465,'Source 2026'!$A:$A,"Quantity (units)")+SUMIFS('Source 2026'!$J:$J,'Source 2026'!$B:$B,$A465,'Source 2026'!$A:$A,"Quantity (units)")+SUMIFS('Source 2026'!$M:$M,'Source 2026'!$B:$B,$A465,'Source 2026'!$A:$A,"Quantity (units)")</f>
        <v>0</v>
      </c>
      <c r="E465" s="8" t="n">
        <f aca="false">D465*$J$5</f>
        <v>0</v>
      </c>
      <c r="F465" s="8" t="n">
        <f aca="false">E465-C465</f>
        <v>-2</v>
      </c>
      <c r="G465" s="9" t="n">
        <f aca="false">IF(AND(C465=0,E465=0),0,IF(C465=0,"New",(E465-C465)/C465))</f>
        <v>-1</v>
      </c>
      <c r="H465" s="8" t="n">
        <f aca="false">SUMIFS('Source 2025'!$D:$D,'Source 2025'!$B:$B,$A465,'Source 2025'!$A:$A,"Amount (NIS)")+SUMIFS('Source 2025'!$E:$E,'Source 2025'!$B:$B,$A465,'Source 2025'!$A:$A,"Amount (NIS)")+SUMIFS('Source 2025'!$F:$F,'Source 2025'!$B:$B,$A465,'Source 2025'!$A:$A,"Amount (NIS)")+SUMIFS('Source 2025'!$G:$G,'Source 2025'!$B:$B,$A465,'Source 2025'!$A:$A,"Amount (NIS)")+SUMIFS('Source 2025'!$J:$J,'Source 2025'!$B:$B,$A465,'Source 2025'!$A:$A,"Amount (NIS)")+SUMIFS('Source 2025'!$M:$M,'Source 2025'!$B:$B,$A465,'Source 2025'!$A:$A,"Amount (NIS)")</f>
        <v>130.4</v>
      </c>
      <c r="I465" s="8" t="n">
        <f aca="false">SUMIFS('Source 2026'!$D:$D,'Source 2026'!$B:$B,$A465,'Source 2026'!$A:$A,"Amount (NIS)")+SUMIFS('Source 2026'!$E:$E,'Source 2026'!$B:$B,$A465,'Source 2026'!$A:$A,"Amount (NIS)")+SUMIFS('Source 2026'!$F:$F,'Source 2026'!$B:$B,$A465,'Source 2026'!$A:$A,"Amount (NIS)")+SUMIFS('Source 2026'!$G:$G,'Source 2026'!$B:$B,$A465,'Source 2026'!$A:$A,"Amount (NIS)")+SUMIFS('Source 2026'!$J:$J,'Source 2026'!$B:$B,$A465,'Source 2026'!$A:$A,"Amount (NIS)")+SUMIFS('Source 2026'!$M:$M,'Source 2026'!$B:$B,$A465,'Source 2026'!$A:$A,"Amount (NIS)")</f>
        <v>0</v>
      </c>
      <c r="J465" s="8" t="n">
        <f aca="false">I465*$J$5</f>
        <v>0</v>
      </c>
      <c r="K465" s="8" t="n">
        <f aca="false">J465-H465</f>
        <v>-130.4</v>
      </c>
      <c r="L465" s="9" t="n">
        <f aca="false">IF(AND(H465=0,J465=0),0,IF(H465=0,"New",(J465-H465)/H465))</f>
        <v>-1</v>
      </c>
    </row>
    <row r="466" customFormat="false" ht="15" hidden="false" customHeight="false" outlineLevel="0" collapsed="false">
      <c r="A466" s="7" t="n">
        <v>4413336</v>
      </c>
      <c r="B466" s="7" t="str">
        <f aca="false">IFERROR(INDEX('Source 2026'!$C:$C,MATCH($A466,'Source 2026'!$B:$B,0)),IFERROR(INDEX('Source 2025'!$C:$C,MATCH($A466,'Source 2025'!$B:$B,0)),""))</f>
        <v>322-M מגן קרסול+כרית סילקון</v>
      </c>
      <c r="C466" s="8" t="n">
        <f aca="false">SUMIFS('Source 2025'!$D:$D,'Source 2025'!$B:$B,$A466,'Source 2025'!$A:$A,"Quantity (units)")+SUMIFS('Source 2025'!$E:$E,'Source 2025'!$B:$B,$A466,'Source 2025'!$A:$A,"Quantity (units)")+SUMIFS('Source 2025'!$F:$F,'Source 2025'!$B:$B,$A466,'Source 2025'!$A:$A,"Quantity (units)")+SUMIFS('Source 2025'!$G:$G,'Source 2025'!$B:$B,$A466,'Source 2025'!$A:$A,"Quantity (units)")+SUMIFS('Source 2025'!$J:$J,'Source 2025'!$B:$B,$A466,'Source 2025'!$A:$A,"Quantity (units)")+SUMIFS('Source 2025'!$M:$M,'Source 2025'!$B:$B,$A466,'Source 2025'!$A:$A,"Quantity (units)")</f>
        <v>1</v>
      </c>
      <c r="D466" s="8" t="n">
        <f aca="false">SUMIFS('Source 2026'!$D:$D,'Source 2026'!$B:$B,$A466,'Source 2026'!$A:$A,"Quantity (units)")+SUMIFS('Source 2026'!$E:$E,'Source 2026'!$B:$B,$A466,'Source 2026'!$A:$A,"Quantity (units)")+SUMIFS('Source 2026'!$F:$F,'Source 2026'!$B:$B,$A466,'Source 2026'!$A:$A,"Quantity (units)")+SUMIFS('Source 2026'!$G:$G,'Source 2026'!$B:$B,$A466,'Source 2026'!$A:$A,"Quantity (units)")+SUMIFS('Source 2026'!$J:$J,'Source 2026'!$B:$B,$A466,'Source 2026'!$A:$A,"Quantity (units)")+SUMIFS('Source 2026'!$M:$M,'Source 2026'!$B:$B,$A466,'Source 2026'!$A:$A,"Quantity (units)")</f>
        <v>0</v>
      </c>
      <c r="E466" s="8" t="n">
        <f aca="false">D466*$J$5</f>
        <v>0</v>
      </c>
      <c r="F466" s="8" t="n">
        <f aca="false">E466-C466</f>
        <v>-1</v>
      </c>
      <c r="G466" s="9" t="n">
        <f aca="false">IF(AND(C466=0,E466=0),0,IF(C466=0,"New",(E466-C466)/C466))</f>
        <v>-1</v>
      </c>
      <c r="H466" s="8" t="n">
        <f aca="false">SUMIFS('Source 2025'!$D:$D,'Source 2025'!$B:$B,$A466,'Source 2025'!$A:$A,"Amount (NIS)")+SUMIFS('Source 2025'!$E:$E,'Source 2025'!$B:$B,$A466,'Source 2025'!$A:$A,"Amount (NIS)")+SUMIFS('Source 2025'!$F:$F,'Source 2025'!$B:$B,$A466,'Source 2025'!$A:$A,"Amount (NIS)")+SUMIFS('Source 2025'!$G:$G,'Source 2025'!$B:$B,$A466,'Source 2025'!$A:$A,"Amount (NIS)")+SUMIFS('Source 2025'!$J:$J,'Source 2025'!$B:$B,$A466,'Source 2025'!$A:$A,"Amount (NIS)")+SUMIFS('Source 2025'!$M:$M,'Source 2025'!$B:$B,$A466,'Source 2025'!$A:$A,"Amount (NIS)")</f>
        <v>127.9</v>
      </c>
      <c r="I466" s="8" t="n">
        <f aca="false">SUMIFS('Source 2026'!$D:$D,'Source 2026'!$B:$B,$A466,'Source 2026'!$A:$A,"Amount (NIS)")+SUMIFS('Source 2026'!$E:$E,'Source 2026'!$B:$B,$A466,'Source 2026'!$A:$A,"Amount (NIS)")+SUMIFS('Source 2026'!$F:$F,'Source 2026'!$B:$B,$A466,'Source 2026'!$A:$A,"Amount (NIS)")+SUMIFS('Source 2026'!$G:$G,'Source 2026'!$B:$B,$A466,'Source 2026'!$A:$A,"Amount (NIS)")+SUMIFS('Source 2026'!$J:$J,'Source 2026'!$B:$B,$A466,'Source 2026'!$A:$A,"Amount (NIS)")+SUMIFS('Source 2026'!$M:$M,'Source 2026'!$B:$B,$A466,'Source 2026'!$A:$A,"Amount (NIS)")</f>
        <v>0</v>
      </c>
      <c r="J466" s="8" t="n">
        <f aca="false">I466*$J$5</f>
        <v>0</v>
      </c>
      <c r="K466" s="8" t="n">
        <f aca="false">J466-H466</f>
        <v>-127.9</v>
      </c>
      <c r="L466" s="9" t="n">
        <f aca="false">IF(AND(H466=0,J466=0),0,IF(H466=0,"New",(J466-H466)/H466))</f>
        <v>-1</v>
      </c>
    </row>
    <row r="467" customFormat="false" ht="15" hidden="false" customHeight="false" outlineLevel="0" collapsed="false">
      <c r="A467" s="7" t="n">
        <v>4413347</v>
      </c>
      <c r="B467" s="7" t="str">
        <f aca="false">IFERROR(INDEX('Source 2026'!$C:$C,MATCH($A467,'Source 2026'!$B:$B,0)),IFERROR(INDEX('Source 2025'!$C:$C,MATCH($A467,'Source 2025'!$B:$B,0)),""))</f>
        <v>322-L מגן קרסול+כרית סילקון</v>
      </c>
      <c r="C467" s="8" t="n">
        <f aca="false">SUMIFS('Source 2025'!$D:$D,'Source 2025'!$B:$B,$A467,'Source 2025'!$A:$A,"Quantity (units)")+SUMIFS('Source 2025'!$E:$E,'Source 2025'!$B:$B,$A467,'Source 2025'!$A:$A,"Quantity (units)")+SUMIFS('Source 2025'!$F:$F,'Source 2025'!$B:$B,$A467,'Source 2025'!$A:$A,"Quantity (units)")+SUMIFS('Source 2025'!$G:$G,'Source 2025'!$B:$B,$A467,'Source 2025'!$A:$A,"Quantity (units)")+SUMIFS('Source 2025'!$J:$J,'Source 2025'!$B:$B,$A467,'Source 2025'!$A:$A,"Quantity (units)")+SUMIFS('Source 2025'!$M:$M,'Source 2025'!$B:$B,$A467,'Source 2025'!$A:$A,"Quantity (units)")</f>
        <v>1</v>
      </c>
      <c r="D467" s="8" t="n">
        <f aca="false">SUMIFS('Source 2026'!$D:$D,'Source 2026'!$B:$B,$A467,'Source 2026'!$A:$A,"Quantity (units)")+SUMIFS('Source 2026'!$E:$E,'Source 2026'!$B:$B,$A467,'Source 2026'!$A:$A,"Quantity (units)")+SUMIFS('Source 2026'!$F:$F,'Source 2026'!$B:$B,$A467,'Source 2026'!$A:$A,"Quantity (units)")+SUMIFS('Source 2026'!$G:$G,'Source 2026'!$B:$B,$A467,'Source 2026'!$A:$A,"Quantity (units)")+SUMIFS('Source 2026'!$J:$J,'Source 2026'!$B:$B,$A467,'Source 2026'!$A:$A,"Quantity (units)")+SUMIFS('Source 2026'!$M:$M,'Source 2026'!$B:$B,$A467,'Source 2026'!$A:$A,"Quantity (units)")</f>
        <v>2</v>
      </c>
      <c r="E467" s="8" t="n">
        <f aca="false">D467*$J$5</f>
        <v>2.74285714285714</v>
      </c>
      <c r="F467" s="8" t="n">
        <f aca="false">E467-C467</f>
        <v>1.74285714285714</v>
      </c>
      <c r="G467" s="9" t="n">
        <f aca="false">IF(AND(C467=0,E467=0),0,IF(C467=0,"New",(E467-C467)/C467))</f>
        <v>1.74285714285714</v>
      </c>
      <c r="H467" s="8" t="n">
        <f aca="false">SUMIFS('Source 2025'!$D:$D,'Source 2025'!$B:$B,$A467,'Source 2025'!$A:$A,"Amount (NIS)")+SUMIFS('Source 2025'!$E:$E,'Source 2025'!$B:$B,$A467,'Source 2025'!$A:$A,"Amount (NIS)")+SUMIFS('Source 2025'!$F:$F,'Source 2025'!$B:$B,$A467,'Source 2025'!$A:$A,"Amount (NIS)")+SUMIFS('Source 2025'!$G:$G,'Source 2025'!$B:$B,$A467,'Source 2025'!$A:$A,"Amount (NIS)")+SUMIFS('Source 2025'!$J:$J,'Source 2025'!$B:$B,$A467,'Source 2025'!$A:$A,"Amount (NIS)")+SUMIFS('Source 2025'!$M:$M,'Source 2025'!$B:$B,$A467,'Source 2025'!$A:$A,"Amount (NIS)")</f>
        <v>127.9</v>
      </c>
      <c r="I467" s="8" t="n">
        <f aca="false">SUMIFS('Source 2026'!$D:$D,'Source 2026'!$B:$B,$A467,'Source 2026'!$A:$A,"Amount (NIS)")+SUMIFS('Source 2026'!$E:$E,'Source 2026'!$B:$B,$A467,'Source 2026'!$A:$A,"Amount (NIS)")+SUMIFS('Source 2026'!$F:$F,'Source 2026'!$B:$B,$A467,'Source 2026'!$A:$A,"Amount (NIS)")+SUMIFS('Source 2026'!$G:$G,'Source 2026'!$B:$B,$A467,'Source 2026'!$A:$A,"Amount (NIS)")+SUMIFS('Source 2026'!$J:$J,'Source 2026'!$B:$B,$A467,'Source 2026'!$A:$A,"Amount (NIS)")+SUMIFS('Source 2026'!$M:$M,'Source 2026'!$B:$B,$A467,'Source 2026'!$A:$A,"Amount (NIS)")</f>
        <v>255.8</v>
      </c>
      <c r="J467" s="8" t="n">
        <f aca="false">I467*$J$5</f>
        <v>350.811428571429</v>
      </c>
      <c r="K467" s="8" t="n">
        <f aca="false">J467-H467</f>
        <v>222.911428571429</v>
      </c>
      <c r="L467" s="9" t="n">
        <f aca="false">IF(AND(H467=0,J467=0),0,IF(H467=0,"New",(J467-H467)/H467))</f>
        <v>1.74285714285714</v>
      </c>
    </row>
    <row r="468" customFormat="false" ht="15" hidden="false" customHeight="false" outlineLevel="0" collapsed="false">
      <c r="A468" s="7" t="n">
        <v>4413338</v>
      </c>
      <c r="B468" s="7" t="str">
        <f aca="false">IFERROR(INDEX('Source 2026'!$C:$C,MATCH($A468,'Source 2026'!$B:$B,0)),IFERROR(INDEX('Source 2025'!$C:$C,MATCH($A468,'Source 2025'!$B:$B,0)),""))</f>
        <v>322XXLמגן קרסול+כרית סילקון</v>
      </c>
      <c r="C468" s="8" t="n">
        <f aca="false">SUMIFS('Source 2025'!$D:$D,'Source 2025'!$B:$B,$A468,'Source 2025'!$A:$A,"Quantity (units)")+SUMIFS('Source 2025'!$E:$E,'Source 2025'!$B:$B,$A468,'Source 2025'!$A:$A,"Quantity (units)")+SUMIFS('Source 2025'!$F:$F,'Source 2025'!$B:$B,$A468,'Source 2025'!$A:$A,"Quantity (units)")+SUMIFS('Source 2025'!$G:$G,'Source 2025'!$B:$B,$A468,'Source 2025'!$A:$A,"Quantity (units)")+SUMIFS('Source 2025'!$J:$J,'Source 2025'!$B:$B,$A468,'Source 2025'!$A:$A,"Quantity (units)")+SUMIFS('Source 2025'!$M:$M,'Source 2025'!$B:$B,$A468,'Source 2025'!$A:$A,"Quantity (units)")</f>
        <v>1</v>
      </c>
      <c r="D468" s="8" t="n">
        <f aca="false">SUMIFS('Source 2026'!$D:$D,'Source 2026'!$B:$B,$A468,'Source 2026'!$A:$A,"Quantity (units)")+SUMIFS('Source 2026'!$E:$E,'Source 2026'!$B:$B,$A468,'Source 2026'!$A:$A,"Quantity (units)")+SUMIFS('Source 2026'!$F:$F,'Source 2026'!$B:$B,$A468,'Source 2026'!$A:$A,"Quantity (units)")+SUMIFS('Source 2026'!$G:$G,'Source 2026'!$B:$B,$A468,'Source 2026'!$A:$A,"Quantity (units)")+SUMIFS('Source 2026'!$J:$J,'Source 2026'!$B:$B,$A468,'Source 2026'!$A:$A,"Quantity (units)")+SUMIFS('Source 2026'!$M:$M,'Source 2026'!$B:$B,$A468,'Source 2026'!$A:$A,"Quantity (units)")</f>
        <v>0</v>
      </c>
      <c r="E468" s="8" t="n">
        <f aca="false">D468*$J$5</f>
        <v>0</v>
      </c>
      <c r="F468" s="8" t="n">
        <f aca="false">E468-C468</f>
        <v>-1</v>
      </c>
      <c r="G468" s="9" t="n">
        <f aca="false">IF(AND(C468=0,E468=0),0,IF(C468=0,"New",(E468-C468)/C468))</f>
        <v>-1</v>
      </c>
      <c r="H468" s="8" t="n">
        <f aca="false">SUMIFS('Source 2025'!$D:$D,'Source 2025'!$B:$B,$A468,'Source 2025'!$A:$A,"Amount (NIS)")+SUMIFS('Source 2025'!$E:$E,'Source 2025'!$B:$B,$A468,'Source 2025'!$A:$A,"Amount (NIS)")+SUMIFS('Source 2025'!$F:$F,'Source 2025'!$B:$B,$A468,'Source 2025'!$A:$A,"Amount (NIS)")+SUMIFS('Source 2025'!$G:$G,'Source 2025'!$B:$B,$A468,'Source 2025'!$A:$A,"Amount (NIS)")+SUMIFS('Source 2025'!$J:$J,'Source 2025'!$B:$B,$A468,'Source 2025'!$A:$A,"Amount (NIS)")+SUMIFS('Source 2025'!$M:$M,'Source 2025'!$B:$B,$A468,'Source 2025'!$A:$A,"Amount (NIS)")</f>
        <v>127.6</v>
      </c>
      <c r="I468" s="8" t="n">
        <f aca="false">SUMIFS('Source 2026'!$D:$D,'Source 2026'!$B:$B,$A468,'Source 2026'!$A:$A,"Amount (NIS)")+SUMIFS('Source 2026'!$E:$E,'Source 2026'!$B:$B,$A468,'Source 2026'!$A:$A,"Amount (NIS)")+SUMIFS('Source 2026'!$F:$F,'Source 2026'!$B:$B,$A468,'Source 2026'!$A:$A,"Amount (NIS)")+SUMIFS('Source 2026'!$G:$G,'Source 2026'!$B:$B,$A468,'Source 2026'!$A:$A,"Amount (NIS)")+SUMIFS('Source 2026'!$J:$J,'Source 2026'!$B:$B,$A468,'Source 2026'!$A:$A,"Amount (NIS)")+SUMIFS('Source 2026'!$M:$M,'Source 2026'!$B:$B,$A468,'Source 2026'!$A:$A,"Amount (NIS)")</f>
        <v>0</v>
      </c>
      <c r="J468" s="8" t="n">
        <f aca="false">I468*$J$5</f>
        <v>0</v>
      </c>
      <c r="K468" s="8" t="n">
        <f aca="false">J468-H468</f>
        <v>-127.6</v>
      </c>
      <c r="L468" s="9" t="n">
        <f aca="false">IF(AND(H468=0,J468=0),0,IF(H468=0,"New",(J468-H468)/H468))</f>
        <v>-1</v>
      </c>
    </row>
    <row r="469" customFormat="false" ht="15" hidden="false" customHeight="false" outlineLevel="0" collapsed="false">
      <c r="A469" s="7" t="n">
        <v>4403007</v>
      </c>
      <c r="B469" s="7" t="str">
        <f aca="false">IFERROR(INDEX('Source 2026'!$C:$C,MATCH($A469,'Source 2026'!$B:$B,0)),IFERROR(INDEX('Source 2025'!$C:$C,MATCH($A469,'Source 2025'!$B:$B,0)),""))</f>
        <v>390W גרב.כסף לסכרתיים לבן39-42</v>
      </c>
      <c r="C469" s="8" t="n">
        <f aca="false">SUMIFS('Source 2025'!$D:$D,'Source 2025'!$B:$B,$A469,'Source 2025'!$A:$A,"Quantity (units)")+SUMIFS('Source 2025'!$E:$E,'Source 2025'!$B:$B,$A469,'Source 2025'!$A:$A,"Quantity (units)")+SUMIFS('Source 2025'!$F:$F,'Source 2025'!$B:$B,$A469,'Source 2025'!$A:$A,"Quantity (units)")+SUMIFS('Source 2025'!$G:$G,'Source 2025'!$B:$B,$A469,'Source 2025'!$A:$A,"Quantity (units)")+SUMIFS('Source 2025'!$J:$J,'Source 2025'!$B:$B,$A469,'Source 2025'!$A:$A,"Quantity (units)")+SUMIFS('Source 2025'!$M:$M,'Source 2025'!$B:$B,$A469,'Source 2025'!$A:$A,"Quantity (units)")</f>
        <v>18</v>
      </c>
      <c r="D469" s="8" t="n">
        <f aca="false">SUMIFS('Source 2026'!$D:$D,'Source 2026'!$B:$B,$A469,'Source 2026'!$A:$A,"Quantity (units)")+SUMIFS('Source 2026'!$E:$E,'Source 2026'!$B:$B,$A469,'Source 2026'!$A:$A,"Quantity (units)")+SUMIFS('Source 2026'!$F:$F,'Source 2026'!$B:$B,$A469,'Source 2026'!$A:$A,"Quantity (units)")+SUMIFS('Source 2026'!$G:$G,'Source 2026'!$B:$B,$A469,'Source 2026'!$A:$A,"Quantity (units)")+SUMIFS('Source 2026'!$J:$J,'Source 2026'!$B:$B,$A469,'Source 2026'!$A:$A,"Quantity (units)")+SUMIFS('Source 2026'!$M:$M,'Source 2026'!$B:$B,$A469,'Source 2026'!$A:$A,"Quantity (units)")</f>
        <v>13</v>
      </c>
      <c r="E469" s="8" t="n">
        <f aca="false">D469*$J$5</f>
        <v>17.8285714285714</v>
      </c>
      <c r="F469" s="8" t="n">
        <f aca="false">E469-C469</f>
        <v>-0.171428571428571</v>
      </c>
      <c r="G469" s="9" t="n">
        <f aca="false">IF(AND(C469=0,E469=0),0,IF(C469=0,"New",(E469-C469)/C469))</f>
        <v>-0.00952380952380949</v>
      </c>
      <c r="H469" s="8" t="n">
        <f aca="false">SUMIFS('Source 2025'!$D:$D,'Source 2025'!$B:$B,$A469,'Source 2025'!$A:$A,"Amount (NIS)")+SUMIFS('Source 2025'!$E:$E,'Source 2025'!$B:$B,$A469,'Source 2025'!$A:$A,"Amount (NIS)")+SUMIFS('Source 2025'!$F:$F,'Source 2025'!$B:$B,$A469,'Source 2025'!$A:$A,"Amount (NIS)")+SUMIFS('Source 2025'!$G:$G,'Source 2025'!$B:$B,$A469,'Source 2025'!$A:$A,"Amount (NIS)")+SUMIFS('Source 2025'!$J:$J,'Source 2025'!$B:$B,$A469,'Source 2025'!$A:$A,"Amount (NIS)")+SUMIFS('Source 2025'!$M:$M,'Source 2025'!$B:$B,$A469,'Source 2025'!$A:$A,"Amount (NIS)")</f>
        <v>559.9</v>
      </c>
      <c r="I469" s="8" t="n">
        <f aca="false">SUMIFS('Source 2026'!$D:$D,'Source 2026'!$B:$B,$A469,'Source 2026'!$A:$A,"Amount (NIS)")+SUMIFS('Source 2026'!$E:$E,'Source 2026'!$B:$B,$A469,'Source 2026'!$A:$A,"Amount (NIS)")+SUMIFS('Source 2026'!$F:$F,'Source 2026'!$B:$B,$A469,'Source 2026'!$A:$A,"Amount (NIS)")+SUMIFS('Source 2026'!$G:$G,'Source 2026'!$B:$B,$A469,'Source 2026'!$A:$A,"Amount (NIS)")+SUMIFS('Source 2026'!$J:$J,'Source 2026'!$B:$B,$A469,'Source 2026'!$A:$A,"Amount (NIS)")+SUMIFS('Source 2026'!$M:$M,'Source 2026'!$B:$B,$A469,'Source 2026'!$A:$A,"Amount (NIS)")</f>
        <v>433</v>
      </c>
      <c r="J469" s="8" t="n">
        <f aca="false">I469*$J$5</f>
        <v>593.828571428571</v>
      </c>
      <c r="K469" s="8" t="n">
        <f aca="false">J469-H469</f>
        <v>33.9285714285714</v>
      </c>
      <c r="L469" s="9" t="n">
        <f aca="false">IF(AND(H469=0,J469=0),0,IF(H469=0,"New",(J469-H469)/H469))</f>
        <v>0.0605975556859644</v>
      </c>
    </row>
    <row r="470" customFormat="false" ht="15" hidden="false" customHeight="false" outlineLevel="0" collapsed="false">
      <c r="A470" s="7" t="n">
        <v>4413079</v>
      </c>
      <c r="B470" s="7" t="str">
        <f aca="false">IFERROR(INDEX('Source 2026'!$C:$C,MATCH($A470,'Source 2026'!$B:$B,0)),IFERROR(INDEX('Source 2025'!$C:$C,MATCH($A470,'Source 2025'!$B:$B,0)),""))</f>
        <v>41X XL מגן ברך מוצלב+מוט</v>
      </c>
      <c r="C470" s="8" t="n">
        <f aca="false">SUMIFS('Source 2025'!$D:$D,'Source 2025'!$B:$B,$A470,'Source 2025'!$A:$A,"Quantity (units)")+SUMIFS('Source 2025'!$E:$E,'Source 2025'!$B:$B,$A470,'Source 2025'!$A:$A,"Quantity (units)")+SUMIFS('Source 2025'!$F:$F,'Source 2025'!$B:$B,$A470,'Source 2025'!$A:$A,"Quantity (units)")+SUMIFS('Source 2025'!$G:$G,'Source 2025'!$B:$B,$A470,'Source 2025'!$A:$A,"Quantity (units)")+SUMIFS('Source 2025'!$J:$J,'Source 2025'!$B:$B,$A470,'Source 2025'!$A:$A,"Quantity (units)")+SUMIFS('Source 2025'!$M:$M,'Source 2025'!$B:$B,$A470,'Source 2025'!$A:$A,"Quantity (units)")</f>
        <v>1</v>
      </c>
      <c r="D470" s="8" t="n">
        <f aca="false">SUMIFS('Source 2026'!$D:$D,'Source 2026'!$B:$B,$A470,'Source 2026'!$A:$A,"Quantity (units)")+SUMIFS('Source 2026'!$E:$E,'Source 2026'!$B:$B,$A470,'Source 2026'!$A:$A,"Quantity (units)")+SUMIFS('Source 2026'!$F:$F,'Source 2026'!$B:$B,$A470,'Source 2026'!$A:$A,"Quantity (units)")+SUMIFS('Source 2026'!$G:$G,'Source 2026'!$B:$B,$A470,'Source 2026'!$A:$A,"Quantity (units)")+SUMIFS('Source 2026'!$J:$J,'Source 2026'!$B:$B,$A470,'Source 2026'!$A:$A,"Quantity (units)")+SUMIFS('Source 2026'!$M:$M,'Source 2026'!$B:$B,$A470,'Source 2026'!$A:$A,"Quantity (units)")</f>
        <v>2</v>
      </c>
      <c r="E470" s="8" t="n">
        <f aca="false">D470*$J$5</f>
        <v>2.74285714285714</v>
      </c>
      <c r="F470" s="8" t="n">
        <f aca="false">E470-C470</f>
        <v>1.74285714285714</v>
      </c>
      <c r="G470" s="9" t="n">
        <f aca="false">IF(AND(C470=0,E470=0),0,IF(C470=0,"New",(E470-C470)/C470))</f>
        <v>1.74285714285714</v>
      </c>
      <c r="H470" s="8" t="n">
        <f aca="false">SUMIFS('Source 2025'!$D:$D,'Source 2025'!$B:$B,$A470,'Source 2025'!$A:$A,"Amount (NIS)")+SUMIFS('Source 2025'!$E:$E,'Source 2025'!$B:$B,$A470,'Source 2025'!$A:$A,"Amount (NIS)")+SUMIFS('Source 2025'!$F:$F,'Source 2025'!$B:$B,$A470,'Source 2025'!$A:$A,"Amount (NIS)")+SUMIFS('Source 2025'!$G:$G,'Source 2025'!$B:$B,$A470,'Source 2025'!$A:$A,"Amount (NIS)")+SUMIFS('Source 2025'!$J:$J,'Source 2025'!$B:$B,$A470,'Source 2025'!$A:$A,"Amount (NIS)")+SUMIFS('Source 2025'!$M:$M,'Source 2025'!$B:$B,$A470,'Source 2025'!$A:$A,"Amount (NIS)")</f>
        <v>135.9</v>
      </c>
      <c r="I470" s="8" t="n">
        <f aca="false">SUMIFS('Source 2026'!$D:$D,'Source 2026'!$B:$B,$A470,'Source 2026'!$A:$A,"Amount (NIS)")+SUMIFS('Source 2026'!$E:$E,'Source 2026'!$B:$B,$A470,'Source 2026'!$A:$A,"Amount (NIS)")+SUMIFS('Source 2026'!$F:$F,'Source 2026'!$B:$B,$A470,'Source 2026'!$A:$A,"Amount (NIS)")+SUMIFS('Source 2026'!$G:$G,'Source 2026'!$B:$B,$A470,'Source 2026'!$A:$A,"Amount (NIS)")+SUMIFS('Source 2026'!$J:$J,'Source 2026'!$B:$B,$A470,'Source 2026'!$A:$A,"Amount (NIS)")+SUMIFS('Source 2026'!$M:$M,'Source 2026'!$B:$B,$A470,'Source 2026'!$A:$A,"Amount (NIS)")</f>
        <v>262.7</v>
      </c>
      <c r="J470" s="8" t="n">
        <f aca="false">I470*$J$5</f>
        <v>360.274285714286</v>
      </c>
      <c r="K470" s="8" t="n">
        <f aca="false">J470-H470</f>
        <v>224.374285714286</v>
      </c>
      <c r="L470" s="9" t="n">
        <f aca="false">IF(AND(H470=0,J470=0),0,IF(H470=0,"New",(J470-H470)/H470))</f>
        <v>1.65102491327657</v>
      </c>
    </row>
    <row r="471" customFormat="false" ht="15" hidden="false" customHeight="false" outlineLevel="0" collapsed="false">
      <c r="A471" s="7" t="n">
        <v>4420005</v>
      </c>
      <c r="B471" s="7" t="str">
        <f aca="false">IFERROR(INDEX('Source 2026'!$C:$C,MATCH($A471,'Source 2026'!$B:$B,0)),IFERROR(INDEX('Source 2025'!$C:$C,MATCH($A471,'Source 2025'!$B:$B,0)),""))</f>
        <v>377 רפ.אורטופדית ספורט זוג36</v>
      </c>
      <c r="C471" s="8" t="n">
        <f aca="false">SUMIFS('Source 2025'!$D:$D,'Source 2025'!$B:$B,$A471,'Source 2025'!$A:$A,"Quantity (units)")+SUMIFS('Source 2025'!$E:$E,'Source 2025'!$B:$B,$A471,'Source 2025'!$A:$A,"Quantity (units)")+SUMIFS('Source 2025'!$F:$F,'Source 2025'!$B:$B,$A471,'Source 2025'!$A:$A,"Quantity (units)")+SUMIFS('Source 2025'!$G:$G,'Source 2025'!$B:$B,$A471,'Source 2025'!$A:$A,"Quantity (units)")+SUMIFS('Source 2025'!$J:$J,'Source 2025'!$B:$B,$A471,'Source 2025'!$A:$A,"Quantity (units)")+SUMIFS('Source 2025'!$M:$M,'Source 2025'!$B:$B,$A471,'Source 2025'!$A:$A,"Quantity (units)")</f>
        <v>3</v>
      </c>
      <c r="D471" s="8" t="n">
        <f aca="false">SUMIFS('Source 2026'!$D:$D,'Source 2026'!$B:$B,$A471,'Source 2026'!$A:$A,"Quantity (units)")+SUMIFS('Source 2026'!$E:$E,'Source 2026'!$B:$B,$A471,'Source 2026'!$A:$A,"Quantity (units)")+SUMIFS('Source 2026'!$F:$F,'Source 2026'!$B:$B,$A471,'Source 2026'!$A:$A,"Quantity (units)")+SUMIFS('Source 2026'!$G:$G,'Source 2026'!$B:$B,$A471,'Source 2026'!$A:$A,"Quantity (units)")+SUMIFS('Source 2026'!$J:$J,'Source 2026'!$B:$B,$A471,'Source 2026'!$A:$A,"Quantity (units)")+SUMIFS('Source 2026'!$M:$M,'Source 2026'!$B:$B,$A471,'Source 2026'!$A:$A,"Quantity (units)")</f>
        <v>0</v>
      </c>
      <c r="E471" s="8" t="n">
        <f aca="false">D471*$J$5</f>
        <v>0</v>
      </c>
      <c r="F471" s="8" t="n">
        <f aca="false">E471-C471</f>
        <v>-3</v>
      </c>
      <c r="G471" s="9" t="n">
        <f aca="false">IF(AND(C471=0,E471=0),0,IF(C471=0,"New",(E471-C471)/C471))</f>
        <v>-1</v>
      </c>
      <c r="H471" s="8" t="n">
        <f aca="false">SUMIFS('Source 2025'!$D:$D,'Source 2025'!$B:$B,$A471,'Source 2025'!$A:$A,"Amount (NIS)")+SUMIFS('Source 2025'!$E:$E,'Source 2025'!$B:$B,$A471,'Source 2025'!$A:$A,"Amount (NIS)")+SUMIFS('Source 2025'!$F:$F,'Source 2025'!$B:$B,$A471,'Source 2025'!$A:$A,"Amount (NIS)")+SUMIFS('Source 2025'!$G:$G,'Source 2025'!$B:$B,$A471,'Source 2025'!$A:$A,"Amount (NIS)")+SUMIFS('Source 2025'!$J:$J,'Source 2025'!$B:$B,$A471,'Source 2025'!$A:$A,"Amount (NIS)")+SUMIFS('Source 2025'!$M:$M,'Source 2025'!$B:$B,$A471,'Source 2025'!$A:$A,"Amount (NIS)")</f>
        <v>125</v>
      </c>
      <c r="I471" s="8" t="n">
        <f aca="false">SUMIFS('Source 2026'!$D:$D,'Source 2026'!$B:$B,$A471,'Source 2026'!$A:$A,"Amount (NIS)")+SUMIFS('Source 2026'!$E:$E,'Source 2026'!$B:$B,$A471,'Source 2026'!$A:$A,"Amount (NIS)")+SUMIFS('Source 2026'!$F:$F,'Source 2026'!$B:$B,$A471,'Source 2026'!$A:$A,"Amount (NIS)")+SUMIFS('Source 2026'!$G:$G,'Source 2026'!$B:$B,$A471,'Source 2026'!$A:$A,"Amount (NIS)")+SUMIFS('Source 2026'!$J:$J,'Source 2026'!$B:$B,$A471,'Source 2026'!$A:$A,"Amount (NIS)")+SUMIFS('Source 2026'!$M:$M,'Source 2026'!$B:$B,$A471,'Source 2026'!$A:$A,"Amount (NIS)")</f>
        <v>3.3</v>
      </c>
      <c r="J471" s="8" t="n">
        <f aca="false">I471*$J$5</f>
        <v>4.52571428571429</v>
      </c>
      <c r="K471" s="8" t="n">
        <f aca="false">J471-H471</f>
        <v>-120.474285714286</v>
      </c>
      <c r="L471" s="9" t="n">
        <f aca="false">IF(AND(H471=0,J471=0),0,IF(H471=0,"New",(J471-H471)/H471))</f>
        <v>-0.963794285714286</v>
      </c>
    </row>
    <row r="472" customFormat="false" ht="15" hidden="false" customHeight="false" outlineLevel="0" collapsed="false">
      <c r="A472" s="7" t="n">
        <v>4420008</v>
      </c>
      <c r="B472" s="7" t="str">
        <f aca="false">IFERROR(INDEX('Source 2026'!$C:$C,MATCH($A472,'Source 2026'!$B:$B,0)),IFERROR(INDEX('Source 2025'!$C:$C,MATCH($A472,'Source 2025'!$B:$B,0)),""))</f>
        <v>377  רפ.אורטופדית ספורט זוג39</v>
      </c>
      <c r="C472" s="8" t="n">
        <f aca="false">SUMIFS('Source 2025'!$D:$D,'Source 2025'!$B:$B,$A472,'Source 2025'!$A:$A,"Quantity (units)")+SUMIFS('Source 2025'!$E:$E,'Source 2025'!$B:$B,$A472,'Source 2025'!$A:$A,"Quantity (units)")+SUMIFS('Source 2025'!$F:$F,'Source 2025'!$B:$B,$A472,'Source 2025'!$A:$A,"Quantity (units)")+SUMIFS('Source 2025'!$G:$G,'Source 2025'!$B:$B,$A472,'Source 2025'!$A:$A,"Quantity (units)")+SUMIFS('Source 2025'!$J:$J,'Source 2025'!$B:$B,$A472,'Source 2025'!$A:$A,"Quantity (units)")+SUMIFS('Source 2025'!$M:$M,'Source 2025'!$B:$B,$A472,'Source 2025'!$A:$A,"Quantity (units)")</f>
        <v>2</v>
      </c>
      <c r="D472" s="8" t="n">
        <f aca="false">SUMIFS('Source 2026'!$D:$D,'Source 2026'!$B:$B,$A472,'Source 2026'!$A:$A,"Quantity (units)")+SUMIFS('Source 2026'!$E:$E,'Source 2026'!$B:$B,$A472,'Source 2026'!$A:$A,"Quantity (units)")+SUMIFS('Source 2026'!$F:$F,'Source 2026'!$B:$B,$A472,'Source 2026'!$A:$A,"Quantity (units)")+SUMIFS('Source 2026'!$G:$G,'Source 2026'!$B:$B,$A472,'Source 2026'!$A:$A,"Quantity (units)")+SUMIFS('Source 2026'!$J:$J,'Source 2026'!$B:$B,$A472,'Source 2026'!$A:$A,"Quantity (units)")+SUMIFS('Source 2026'!$M:$M,'Source 2026'!$B:$B,$A472,'Source 2026'!$A:$A,"Quantity (units)")</f>
        <v>-1</v>
      </c>
      <c r="E472" s="8" t="n">
        <f aca="false">D472*$J$5</f>
        <v>-1.37142857142857</v>
      </c>
      <c r="F472" s="8" t="n">
        <f aca="false">E472-C472</f>
        <v>-3.37142857142857</v>
      </c>
      <c r="G472" s="9" t="n">
        <f aca="false">IF(AND(C472=0,E472=0),0,IF(C472=0,"New",(E472-C472)/C472))</f>
        <v>-1.68571428571429</v>
      </c>
      <c r="H472" s="8" t="n">
        <f aca="false">SUMIFS('Source 2025'!$D:$D,'Source 2025'!$B:$B,$A472,'Source 2025'!$A:$A,"Amount (NIS)")+SUMIFS('Source 2025'!$E:$E,'Source 2025'!$B:$B,$A472,'Source 2025'!$A:$A,"Amount (NIS)")+SUMIFS('Source 2025'!$F:$F,'Source 2025'!$B:$B,$A472,'Source 2025'!$A:$A,"Amount (NIS)")+SUMIFS('Source 2025'!$G:$G,'Source 2025'!$B:$B,$A472,'Source 2025'!$A:$A,"Amount (NIS)")+SUMIFS('Source 2025'!$J:$J,'Source 2025'!$B:$B,$A472,'Source 2025'!$A:$A,"Amount (NIS)")+SUMIFS('Source 2025'!$M:$M,'Source 2025'!$B:$B,$A472,'Source 2025'!$A:$A,"Amount (NIS)")</f>
        <v>84.3</v>
      </c>
      <c r="I472" s="8" t="n">
        <f aca="false">SUMIFS('Source 2026'!$D:$D,'Source 2026'!$B:$B,$A472,'Source 2026'!$A:$A,"Amount (NIS)")+SUMIFS('Source 2026'!$E:$E,'Source 2026'!$B:$B,$A472,'Source 2026'!$A:$A,"Amount (NIS)")+SUMIFS('Source 2026'!$F:$F,'Source 2026'!$B:$B,$A472,'Source 2026'!$A:$A,"Amount (NIS)")+SUMIFS('Source 2026'!$G:$G,'Source 2026'!$B:$B,$A472,'Source 2026'!$A:$A,"Amount (NIS)")+SUMIFS('Source 2026'!$J:$J,'Source 2026'!$B:$B,$A472,'Source 2026'!$A:$A,"Amount (NIS)")+SUMIFS('Source 2026'!$M:$M,'Source 2026'!$B:$B,$A472,'Source 2026'!$A:$A,"Amount (NIS)")</f>
        <v>-36.5</v>
      </c>
      <c r="J472" s="8" t="n">
        <f aca="false">I472*$J$5</f>
        <v>-50.0571428571429</v>
      </c>
      <c r="K472" s="8" t="n">
        <f aca="false">J472-H472</f>
        <v>-134.357142857143</v>
      </c>
      <c r="L472" s="9" t="n">
        <f aca="false">IF(AND(H472=0,J472=0),0,IF(H472=0,"New",(J472-H472)/H472))</f>
        <v>-1.59379766141332</v>
      </c>
    </row>
    <row r="473" customFormat="false" ht="15" hidden="false" customHeight="false" outlineLevel="0" collapsed="false">
      <c r="A473" s="7" t="n">
        <v>4413225</v>
      </c>
      <c r="B473" s="7" t="str">
        <f aca="false">IFERROR(INDEX('Source 2026'!$C:$C,MATCH($A473,'Source 2026'!$B:$B,0)),IFERROR(INDEX('Source 2025'!$C:$C,MATCH($A473,'Source 2025'!$B:$B,0)),""))</f>
        <v>T45X M מגן ברך רגיל</v>
      </c>
      <c r="C473" s="8" t="n">
        <f aca="false">SUMIFS('Source 2025'!$D:$D,'Source 2025'!$B:$B,$A473,'Source 2025'!$A:$A,"Quantity (units)")+SUMIFS('Source 2025'!$E:$E,'Source 2025'!$B:$B,$A473,'Source 2025'!$A:$A,"Quantity (units)")+SUMIFS('Source 2025'!$F:$F,'Source 2025'!$B:$B,$A473,'Source 2025'!$A:$A,"Quantity (units)")+SUMIFS('Source 2025'!$G:$G,'Source 2025'!$B:$B,$A473,'Source 2025'!$A:$A,"Quantity (units)")+SUMIFS('Source 2025'!$J:$J,'Source 2025'!$B:$B,$A473,'Source 2025'!$A:$A,"Quantity (units)")+SUMIFS('Source 2025'!$M:$M,'Source 2025'!$B:$B,$A473,'Source 2025'!$A:$A,"Quantity (units)")</f>
        <v>1</v>
      </c>
      <c r="D473" s="8" t="n">
        <f aca="false">SUMIFS('Source 2026'!$D:$D,'Source 2026'!$B:$B,$A473,'Source 2026'!$A:$A,"Quantity (units)")+SUMIFS('Source 2026'!$E:$E,'Source 2026'!$B:$B,$A473,'Source 2026'!$A:$A,"Quantity (units)")+SUMIFS('Source 2026'!$F:$F,'Source 2026'!$B:$B,$A473,'Source 2026'!$A:$A,"Quantity (units)")+SUMIFS('Source 2026'!$G:$G,'Source 2026'!$B:$B,$A473,'Source 2026'!$A:$A,"Quantity (units)")+SUMIFS('Source 2026'!$J:$J,'Source 2026'!$B:$B,$A473,'Source 2026'!$A:$A,"Quantity (units)")+SUMIFS('Source 2026'!$M:$M,'Source 2026'!$B:$B,$A473,'Source 2026'!$A:$A,"Quantity (units)")</f>
        <v>0</v>
      </c>
      <c r="E473" s="8" t="n">
        <f aca="false">D473*$J$5</f>
        <v>0</v>
      </c>
      <c r="F473" s="8" t="n">
        <f aca="false">E473-C473</f>
        <v>-1</v>
      </c>
      <c r="G473" s="9" t="n">
        <f aca="false">IF(AND(C473=0,E473=0),0,IF(C473=0,"New",(E473-C473)/C473))</f>
        <v>-1</v>
      </c>
      <c r="H473" s="8" t="n">
        <f aca="false">SUMIFS('Source 2025'!$D:$D,'Source 2025'!$B:$B,$A473,'Source 2025'!$A:$A,"Amount (NIS)")+SUMIFS('Source 2025'!$E:$E,'Source 2025'!$B:$B,$A473,'Source 2025'!$A:$A,"Amount (NIS)")+SUMIFS('Source 2025'!$F:$F,'Source 2025'!$B:$B,$A473,'Source 2025'!$A:$A,"Amount (NIS)")+SUMIFS('Source 2025'!$G:$G,'Source 2025'!$B:$B,$A473,'Source 2025'!$A:$A,"Amount (NIS)")+SUMIFS('Source 2025'!$J:$J,'Source 2025'!$B:$B,$A473,'Source 2025'!$A:$A,"Amount (NIS)")+SUMIFS('Source 2025'!$M:$M,'Source 2025'!$B:$B,$A473,'Source 2025'!$A:$A,"Amount (NIS)")</f>
        <v>118.6</v>
      </c>
      <c r="I473" s="8" t="n">
        <f aca="false">SUMIFS('Source 2026'!$D:$D,'Source 2026'!$B:$B,$A473,'Source 2026'!$A:$A,"Amount (NIS)")+SUMIFS('Source 2026'!$E:$E,'Source 2026'!$B:$B,$A473,'Source 2026'!$A:$A,"Amount (NIS)")+SUMIFS('Source 2026'!$F:$F,'Source 2026'!$B:$B,$A473,'Source 2026'!$A:$A,"Amount (NIS)")+SUMIFS('Source 2026'!$G:$G,'Source 2026'!$B:$B,$A473,'Source 2026'!$A:$A,"Amount (NIS)")+SUMIFS('Source 2026'!$J:$J,'Source 2026'!$B:$B,$A473,'Source 2026'!$A:$A,"Amount (NIS)")+SUMIFS('Source 2026'!$M:$M,'Source 2026'!$B:$B,$A473,'Source 2026'!$A:$A,"Amount (NIS)")</f>
        <v>0</v>
      </c>
      <c r="J473" s="8" t="n">
        <f aca="false">I473*$J$5</f>
        <v>0</v>
      </c>
      <c r="K473" s="8" t="n">
        <f aca="false">J473-H473</f>
        <v>-118.6</v>
      </c>
      <c r="L473" s="9" t="n">
        <f aca="false">IF(AND(H473=0,J473=0),0,IF(H473=0,"New",(J473-H473)/H473))</f>
        <v>-1</v>
      </c>
    </row>
    <row r="474" customFormat="false" ht="15" hidden="false" customHeight="false" outlineLevel="0" collapsed="false">
      <c r="A474" s="7" t="n">
        <v>4413260</v>
      </c>
      <c r="B474" s="7" t="str">
        <f aca="false">IFERROR(INDEX('Source 2026'!$C:$C,MATCH($A474,'Source 2026'!$B:$B,0)),IFERROR(INDEX('Source 2025'!$C:$C,MATCH($A474,'Source 2025'!$B:$B,0)),""))</f>
        <v>T45X-XXLמגן ברך רגיל</v>
      </c>
      <c r="C474" s="8" t="n">
        <f aca="false">SUMIFS('Source 2025'!$D:$D,'Source 2025'!$B:$B,$A474,'Source 2025'!$A:$A,"Quantity (units)")+SUMIFS('Source 2025'!$E:$E,'Source 2025'!$B:$B,$A474,'Source 2025'!$A:$A,"Quantity (units)")+SUMIFS('Source 2025'!$F:$F,'Source 2025'!$B:$B,$A474,'Source 2025'!$A:$A,"Quantity (units)")+SUMIFS('Source 2025'!$G:$G,'Source 2025'!$B:$B,$A474,'Source 2025'!$A:$A,"Quantity (units)")+SUMIFS('Source 2025'!$J:$J,'Source 2025'!$B:$B,$A474,'Source 2025'!$A:$A,"Quantity (units)")+SUMIFS('Source 2025'!$M:$M,'Source 2025'!$B:$B,$A474,'Source 2025'!$A:$A,"Quantity (units)")</f>
        <v>0</v>
      </c>
      <c r="D474" s="8" t="n">
        <f aca="false">SUMIFS('Source 2026'!$D:$D,'Source 2026'!$B:$B,$A474,'Source 2026'!$A:$A,"Quantity (units)")+SUMIFS('Source 2026'!$E:$E,'Source 2026'!$B:$B,$A474,'Source 2026'!$A:$A,"Quantity (units)")+SUMIFS('Source 2026'!$F:$F,'Source 2026'!$B:$B,$A474,'Source 2026'!$A:$A,"Quantity (units)")+SUMIFS('Source 2026'!$G:$G,'Source 2026'!$B:$B,$A474,'Source 2026'!$A:$A,"Quantity (units)")+SUMIFS('Source 2026'!$J:$J,'Source 2026'!$B:$B,$A474,'Source 2026'!$A:$A,"Quantity (units)")+SUMIFS('Source 2026'!$M:$M,'Source 2026'!$B:$B,$A474,'Source 2026'!$A:$A,"Quantity (units)")</f>
        <v>1</v>
      </c>
      <c r="E474" s="8" t="n">
        <f aca="false">D474*$J$5</f>
        <v>1.37142857142857</v>
      </c>
      <c r="F474" s="8" t="n">
        <f aca="false">E474-C474</f>
        <v>1.37142857142857</v>
      </c>
      <c r="G474" s="9" t="str">
        <f aca="false">IF(AND(C474=0,E474=0),0,IF(C474=0,"New",(E474-C474)/C474))</f>
        <v>New</v>
      </c>
      <c r="H474" s="8" t="n">
        <f aca="false">SUMIFS('Source 2025'!$D:$D,'Source 2025'!$B:$B,$A474,'Source 2025'!$A:$A,"Amount (NIS)")+SUMIFS('Source 2025'!$E:$E,'Source 2025'!$B:$B,$A474,'Source 2025'!$A:$A,"Amount (NIS)")+SUMIFS('Source 2025'!$F:$F,'Source 2025'!$B:$B,$A474,'Source 2025'!$A:$A,"Amount (NIS)")+SUMIFS('Source 2025'!$G:$G,'Source 2025'!$B:$B,$A474,'Source 2025'!$A:$A,"Amount (NIS)")+SUMIFS('Source 2025'!$J:$J,'Source 2025'!$B:$B,$A474,'Source 2025'!$A:$A,"Amount (NIS)")+SUMIFS('Source 2025'!$M:$M,'Source 2025'!$B:$B,$A474,'Source 2025'!$A:$A,"Amount (NIS)")</f>
        <v>0</v>
      </c>
      <c r="I474" s="8" t="n">
        <f aca="false">SUMIFS('Source 2026'!$D:$D,'Source 2026'!$B:$B,$A474,'Source 2026'!$A:$A,"Amount (NIS)")+SUMIFS('Source 2026'!$E:$E,'Source 2026'!$B:$B,$A474,'Source 2026'!$A:$A,"Amount (NIS)")+SUMIFS('Source 2026'!$F:$F,'Source 2026'!$B:$B,$A474,'Source 2026'!$A:$A,"Amount (NIS)")+SUMIFS('Source 2026'!$G:$G,'Source 2026'!$B:$B,$A474,'Source 2026'!$A:$A,"Amount (NIS)")+SUMIFS('Source 2026'!$J:$J,'Source 2026'!$B:$B,$A474,'Source 2026'!$A:$A,"Amount (NIS)")+SUMIFS('Source 2026'!$M:$M,'Source 2026'!$B:$B,$A474,'Source 2026'!$A:$A,"Amount (NIS)")</f>
        <v>118.6</v>
      </c>
      <c r="J474" s="8" t="n">
        <f aca="false">I474*$J$5</f>
        <v>162.651428571429</v>
      </c>
      <c r="K474" s="8" t="n">
        <f aca="false">J474-H474</f>
        <v>162.651428571429</v>
      </c>
      <c r="L474" s="9" t="str">
        <f aca="false">IF(AND(H474=0,J474=0),0,IF(H474=0,"New",(J474-H474)/H474))</f>
        <v>New</v>
      </c>
    </row>
    <row r="475" customFormat="false" ht="15" hidden="false" customHeight="false" outlineLevel="0" collapsed="false">
      <c r="A475" s="7" t="n">
        <v>4413224</v>
      </c>
      <c r="B475" s="7" t="str">
        <f aca="false">IFERROR(INDEX('Source 2026'!$C:$C,MATCH($A475,'Source 2026'!$B:$B,0)),IFERROR(INDEX('Source 2025'!$C:$C,MATCH($A475,'Source 2025'!$B:$B,0)),""))</f>
        <v>T45X XL מגן ברך רגיל</v>
      </c>
      <c r="C475" s="8" t="n">
        <f aca="false">SUMIFS('Source 2025'!$D:$D,'Source 2025'!$B:$B,$A475,'Source 2025'!$A:$A,"Quantity (units)")+SUMIFS('Source 2025'!$E:$E,'Source 2025'!$B:$B,$A475,'Source 2025'!$A:$A,"Quantity (units)")+SUMIFS('Source 2025'!$F:$F,'Source 2025'!$B:$B,$A475,'Source 2025'!$A:$A,"Quantity (units)")+SUMIFS('Source 2025'!$G:$G,'Source 2025'!$B:$B,$A475,'Source 2025'!$A:$A,"Quantity (units)")+SUMIFS('Source 2025'!$J:$J,'Source 2025'!$B:$B,$A475,'Source 2025'!$A:$A,"Quantity (units)")+SUMIFS('Source 2025'!$M:$M,'Source 2025'!$B:$B,$A475,'Source 2025'!$A:$A,"Quantity (units)")</f>
        <v>2</v>
      </c>
      <c r="D475" s="8" t="n">
        <f aca="false">SUMIFS('Source 2026'!$D:$D,'Source 2026'!$B:$B,$A475,'Source 2026'!$A:$A,"Quantity (units)")+SUMIFS('Source 2026'!$E:$E,'Source 2026'!$B:$B,$A475,'Source 2026'!$A:$A,"Quantity (units)")+SUMIFS('Source 2026'!$F:$F,'Source 2026'!$B:$B,$A475,'Source 2026'!$A:$A,"Quantity (units)")+SUMIFS('Source 2026'!$G:$G,'Source 2026'!$B:$B,$A475,'Source 2026'!$A:$A,"Quantity (units)")+SUMIFS('Source 2026'!$J:$J,'Source 2026'!$B:$B,$A475,'Source 2026'!$A:$A,"Quantity (units)")+SUMIFS('Source 2026'!$M:$M,'Source 2026'!$B:$B,$A475,'Source 2026'!$A:$A,"Quantity (units)")</f>
        <v>1</v>
      </c>
      <c r="E475" s="8" t="n">
        <f aca="false">D475*$J$5</f>
        <v>1.37142857142857</v>
      </c>
      <c r="F475" s="8" t="n">
        <f aca="false">E475-C475</f>
        <v>-0.628571428571429</v>
      </c>
      <c r="G475" s="9" t="n">
        <f aca="false">IF(AND(C475=0,E475=0),0,IF(C475=0,"New",(E475-C475)/C475))</f>
        <v>-0.314285714285714</v>
      </c>
      <c r="H475" s="8" t="n">
        <f aca="false">SUMIFS('Source 2025'!$D:$D,'Source 2025'!$B:$B,$A475,'Source 2025'!$A:$A,"Amount (NIS)")+SUMIFS('Source 2025'!$E:$E,'Source 2025'!$B:$B,$A475,'Source 2025'!$A:$A,"Amount (NIS)")+SUMIFS('Source 2025'!$F:$F,'Source 2025'!$B:$B,$A475,'Source 2025'!$A:$A,"Amount (NIS)")+SUMIFS('Source 2025'!$G:$G,'Source 2025'!$B:$B,$A475,'Source 2025'!$A:$A,"Amount (NIS)")+SUMIFS('Source 2025'!$J:$J,'Source 2025'!$B:$B,$A475,'Source 2025'!$A:$A,"Amount (NIS)")+SUMIFS('Source 2025'!$M:$M,'Source 2025'!$B:$B,$A475,'Source 2025'!$A:$A,"Amount (NIS)")</f>
        <v>237.1</v>
      </c>
      <c r="I475" s="8" t="n">
        <f aca="false">SUMIFS('Source 2026'!$D:$D,'Source 2026'!$B:$B,$A475,'Source 2026'!$A:$A,"Amount (NIS)")+SUMIFS('Source 2026'!$E:$E,'Source 2026'!$B:$B,$A475,'Source 2026'!$A:$A,"Amount (NIS)")+SUMIFS('Source 2026'!$F:$F,'Source 2026'!$B:$B,$A475,'Source 2026'!$A:$A,"Amount (NIS)")+SUMIFS('Source 2026'!$G:$G,'Source 2026'!$B:$B,$A475,'Source 2026'!$A:$A,"Amount (NIS)")+SUMIFS('Source 2026'!$J:$J,'Source 2026'!$B:$B,$A475,'Source 2026'!$A:$A,"Amount (NIS)")+SUMIFS('Source 2026'!$M:$M,'Source 2026'!$B:$B,$A475,'Source 2026'!$A:$A,"Amount (NIS)")</f>
        <v>118.6</v>
      </c>
      <c r="J475" s="8" t="n">
        <f aca="false">I475*$J$5</f>
        <v>162.651428571429</v>
      </c>
      <c r="K475" s="8" t="n">
        <f aca="false">J475-H475</f>
        <v>-74.4485714285714</v>
      </c>
      <c r="L475" s="9" t="n">
        <f aca="false">IF(AND(H475=0,J475=0),0,IF(H475=0,"New",(J475-H475)/H475))</f>
        <v>-0.313996505392541</v>
      </c>
    </row>
    <row r="476" customFormat="false" ht="15" hidden="false" customHeight="false" outlineLevel="0" collapsed="false">
      <c r="A476" s="7" t="n">
        <v>4413126</v>
      </c>
      <c r="B476" s="7" t="str">
        <f aca="false">IFERROR(INDEX('Source 2026'!$C:$C,MATCH($A476,'Source 2026'!$B:$B,0)),IFERROR(INDEX('Source 2025'!$C:$C,MATCH($A476,'Source 2025'!$B:$B,0)),""))</f>
        <v>75 Sמיישר כתף יציב יישור גב צר</v>
      </c>
      <c r="C476" s="8" t="n">
        <f aca="false">SUMIFS('Source 2025'!$D:$D,'Source 2025'!$B:$B,$A476,'Source 2025'!$A:$A,"Quantity (units)")+SUMIFS('Source 2025'!$E:$E,'Source 2025'!$B:$B,$A476,'Source 2025'!$A:$A,"Quantity (units)")+SUMIFS('Source 2025'!$F:$F,'Source 2025'!$B:$B,$A476,'Source 2025'!$A:$A,"Quantity (units)")+SUMIFS('Source 2025'!$G:$G,'Source 2025'!$B:$B,$A476,'Source 2025'!$A:$A,"Quantity (units)")+SUMIFS('Source 2025'!$J:$J,'Source 2025'!$B:$B,$A476,'Source 2025'!$A:$A,"Quantity (units)")+SUMIFS('Source 2025'!$M:$M,'Source 2025'!$B:$B,$A476,'Source 2025'!$A:$A,"Quantity (units)")</f>
        <v>4</v>
      </c>
      <c r="D476" s="8" t="n">
        <f aca="false">SUMIFS('Source 2026'!$D:$D,'Source 2026'!$B:$B,$A476,'Source 2026'!$A:$A,"Quantity (units)")+SUMIFS('Source 2026'!$E:$E,'Source 2026'!$B:$B,$A476,'Source 2026'!$A:$A,"Quantity (units)")+SUMIFS('Source 2026'!$F:$F,'Source 2026'!$B:$B,$A476,'Source 2026'!$A:$A,"Quantity (units)")+SUMIFS('Source 2026'!$G:$G,'Source 2026'!$B:$B,$A476,'Source 2026'!$A:$A,"Quantity (units)")+SUMIFS('Source 2026'!$J:$J,'Source 2026'!$B:$B,$A476,'Source 2026'!$A:$A,"Quantity (units)")+SUMIFS('Source 2026'!$M:$M,'Source 2026'!$B:$B,$A476,'Source 2026'!$A:$A,"Quantity (units)")</f>
        <v>5</v>
      </c>
      <c r="E476" s="8" t="n">
        <f aca="false">D476*$J$5</f>
        <v>6.85714285714286</v>
      </c>
      <c r="F476" s="8" t="n">
        <f aca="false">E476-C476</f>
        <v>2.85714285714286</v>
      </c>
      <c r="G476" s="9" t="n">
        <f aca="false">IF(AND(C476=0,E476=0),0,IF(C476=0,"New",(E476-C476)/C476))</f>
        <v>0.714285714285714</v>
      </c>
      <c r="H476" s="8" t="n">
        <f aca="false">SUMIFS('Source 2025'!$D:$D,'Source 2025'!$B:$B,$A476,'Source 2025'!$A:$A,"Amount (NIS)")+SUMIFS('Source 2025'!$E:$E,'Source 2025'!$B:$B,$A476,'Source 2025'!$A:$A,"Amount (NIS)")+SUMIFS('Source 2025'!$F:$F,'Source 2025'!$B:$B,$A476,'Source 2025'!$A:$A,"Amount (NIS)")+SUMIFS('Source 2025'!$G:$G,'Source 2025'!$B:$B,$A476,'Source 2025'!$A:$A,"Amount (NIS)")+SUMIFS('Source 2025'!$J:$J,'Source 2025'!$B:$B,$A476,'Source 2025'!$A:$A,"Amount (NIS)")+SUMIFS('Source 2025'!$M:$M,'Source 2025'!$B:$B,$A476,'Source 2025'!$A:$A,"Amount (NIS)")</f>
        <v>701.8</v>
      </c>
      <c r="I476" s="8" t="n">
        <f aca="false">SUMIFS('Source 2026'!$D:$D,'Source 2026'!$B:$B,$A476,'Source 2026'!$A:$A,"Amount (NIS)")+SUMIFS('Source 2026'!$E:$E,'Source 2026'!$B:$B,$A476,'Source 2026'!$A:$A,"Amount (NIS)")+SUMIFS('Source 2026'!$F:$F,'Source 2026'!$B:$B,$A476,'Source 2026'!$A:$A,"Amount (NIS)")+SUMIFS('Source 2026'!$G:$G,'Source 2026'!$B:$B,$A476,'Source 2026'!$A:$A,"Amount (NIS)")+SUMIFS('Source 2026'!$J:$J,'Source 2026'!$B:$B,$A476,'Source 2026'!$A:$A,"Amount (NIS)")+SUMIFS('Source 2026'!$M:$M,'Source 2026'!$B:$B,$A476,'Source 2026'!$A:$A,"Amount (NIS)")</f>
        <v>820.1</v>
      </c>
      <c r="J476" s="8" t="n">
        <f aca="false">I476*$J$5</f>
        <v>1124.70857142857</v>
      </c>
      <c r="K476" s="8" t="n">
        <f aca="false">J476-H476</f>
        <v>422.908571428572</v>
      </c>
      <c r="L476" s="9" t="n">
        <f aca="false">IF(AND(H476=0,J476=0),0,IF(H476=0,"New",(J476-H476)/H476))</f>
        <v>0.602605544925294</v>
      </c>
    </row>
    <row r="477" customFormat="false" ht="15" hidden="false" customHeight="false" outlineLevel="0" collapsed="false">
      <c r="A477" s="7" t="n">
        <v>4413071</v>
      </c>
      <c r="B477" s="7" t="str">
        <f aca="false">IFERROR(INDEX('Source 2026'!$C:$C,MATCH($A477,'Source 2026'!$B:$B,0)),IFERROR(INDEX('Source 2025'!$C:$C,MATCH($A477,'Source 2025'!$B:$B,0)),""))</f>
        <v>41 Sמ.ברך מוצלב+ספירלות בצדדים</v>
      </c>
      <c r="C477" s="8" t="n">
        <f aca="false">SUMIFS('Source 2025'!$D:$D,'Source 2025'!$B:$B,$A477,'Source 2025'!$A:$A,"Quantity (units)")+SUMIFS('Source 2025'!$E:$E,'Source 2025'!$B:$B,$A477,'Source 2025'!$A:$A,"Quantity (units)")+SUMIFS('Source 2025'!$F:$F,'Source 2025'!$B:$B,$A477,'Source 2025'!$A:$A,"Quantity (units)")+SUMIFS('Source 2025'!$G:$G,'Source 2025'!$B:$B,$A477,'Source 2025'!$A:$A,"Quantity (units)")+SUMIFS('Source 2025'!$J:$J,'Source 2025'!$B:$B,$A477,'Source 2025'!$A:$A,"Quantity (units)")+SUMIFS('Source 2025'!$M:$M,'Source 2025'!$B:$B,$A477,'Source 2025'!$A:$A,"Quantity (units)")</f>
        <v>1</v>
      </c>
      <c r="D477" s="8" t="n">
        <f aca="false">SUMIFS('Source 2026'!$D:$D,'Source 2026'!$B:$B,$A477,'Source 2026'!$A:$A,"Quantity (units)")+SUMIFS('Source 2026'!$E:$E,'Source 2026'!$B:$B,$A477,'Source 2026'!$A:$A,"Quantity (units)")+SUMIFS('Source 2026'!$F:$F,'Source 2026'!$B:$B,$A477,'Source 2026'!$A:$A,"Quantity (units)")+SUMIFS('Source 2026'!$G:$G,'Source 2026'!$B:$B,$A477,'Source 2026'!$A:$A,"Quantity (units)")+SUMIFS('Source 2026'!$J:$J,'Source 2026'!$B:$B,$A477,'Source 2026'!$A:$A,"Quantity (units)")+SUMIFS('Source 2026'!$M:$M,'Source 2026'!$B:$B,$A477,'Source 2026'!$A:$A,"Quantity (units)")</f>
        <v>0</v>
      </c>
      <c r="E477" s="8" t="n">
        <f aca="false">D477*$J$5</f>
        <v>0</v>
      </c>
      <c r="F477" s="8" t="n">
        <f aca="false">E477-C477</f>
        <v>-1</v>
      </c>
      <c r="G477" s="9" t="n">
        <f aca="false">IF(AND(C477=0,E477=0),0,IF(C477=0,"New",(E477-C477)/C477))</f>
        <v>-1</v>
      </c>
      <c r="H477" s="8" t="n">
        <f aca="false">SUMIFS('Source 2025'!$D:$D,'Source 2025'!$B:$B,$A477,'Source 2025'!$A:$A,"Amount (NIS)")+SUMIFS('Source 2025'!$E:$E,'Source 2025'!$B:$B,$A477,'Source 2025'!$A:$A,"Amount (NIS)")+SUMIFS('Source 2025'!$F:$F,'Source 2025'!$B:$B,$A477,'Source 2025'!$A:$A,"Amount (NIS)")+SUMIFS('Source 2025'!$G:$G,'Source 2025'!$B:$B,$A477,'Source 2025'!$A:$A,"Amount (NIS)")+SUMIFS('Source 2025'!$J:$J,'Source 2025'!$B:$B,$A477,'Source 2025'!$A:$A,"Amount (NIS)")+SUMIFS('Source 2025'!$M:$M,'Source 2025'!$B:$B,$A477,'Source 2025'!$A:$A,"Amount (NIS)")</f>
        <v>118.1</v>
      </c>
      <c r="I477" s="8" t="n">
        <f aca="false">SUMIFS('Source 2026'!$D:$D,'Source 2026'!$B:$B,$A477,'Source 2026'!$A:$A,"Amount (NIS)")+SUMIFS('Source 2026'!$E:$E,'Source 2026'!$B:$B,$A477,'Source 2026'!$A:$A,"Amount (NIS)")+SUMIFS('Source 2026'!$F:$F,'Source 2026'!$B:$B,$A477,'Source 2026'!$A:$A,"Amount (NIS)")+SUMIFS('Source 2026'!$G:$G,'Source 2026'!$B:$B,$A477,'Source 2026'!$A:$A,"Amount (NIS)")+SUMIFS('Source 2026'!$J:$J,'Source 2026'!$B:$B,$A477,'Source 2026'!$A:$A,"Amount (NIS)")+SUMIFS('Source 2026'!$M:$M,'Source 2026'!$B:$B,$A477,'Source 2026'!$A:$A,"Amount (NIS)")</f>
        <v>0</v>
      </c>
      <c r="J477" s="8" t="n">
        <f aca="false">I477*$J$5</f>
        <v>0</v>
      </c>
      <c r="K477" s="8" t="n">
        <f aca="false">J477-H477</f>
        <v>-118.1</v>
      </c>
      <c r="L477" s="9" t="n">
        <f aca="false">IF(AND(H477=0,J477=0),0,IF(H477=0,"New",(J477-H477)/H477))</f>
        <v>-1</v>
      </c>
    </row>
    <row r="478" customFormat="false" ht="15" hidden="false" customHeight="false" outlineLevel="0" collapsed="false">
      <c r="A478" s="7" t="n">
        <v>4413424</v>
      </c>
      <c r="B478" s="7" t="str">
        <f aca="false">IFERROR(INDEX('Source 2026'!$C:$C,MATCH($A478,'Source 2026'!$B:$B,0)),IFERROR(INDEX('Source 2025'!$C:$C,MATCH($A478,'Source 2025'!$B:$B,0)),""))</f>
        <v>SC35R  S מגן קרסול ימין</v>
      </c>
      <c r="C478" s="8" t="n">
        <f aca="false">SUMIFS('Source 2025'!$D:$D,'Source 2025'!$B:$B,$A478,'Source 2025'!$A:$A,"Quantity (units)")+SUMIFS('Source 2025'!$E:$E,'Source 2025'!$B:$B,$A478,'Source 2025'!$A:$A,"Quantity (units)")+SUMIFS('Source 2025'!$F:$F,'Source 2025'!$B:$B,$A478,'Source 2025'!$A:$A,"Quantity (units)")+SUMIFS('Source 2025'!$G:$G,'Source 2025'!$B:$B,$A478,'Source 2025'!$A:$A,"Quantity (units)")+SUMIFS('Source 2025'!$J:$J,'Source 2025'!$B:$B,$A478,'Source 2025'!$A:$A,"Quantity (units)")+SUMIFS('Source 2025'!$M:$M,'Source 2025'!$B:$B,$A478,'Source 2025'!$A:$A,"Quantity (units)")</f>
        <v>3</v>
      </c>
      <c r="D478" s="8" t="n">
        <f aca="false">SUMIFS('Source 2026'!$D:$D,'Source 2026'!$B:$B,$A478,'Source 2026'!$A:$A,"Quantity (units)")+SUMIFS('Source 2026'!$E:$E,'Source 2026'!$B:$B,$A478,'Source 2026'!$A:$A,"Quantity (units)")+SUMIFS('Source 2026'!$F:$F,'Source 2026'!$B:$B,$A478,'Source 2026'!$A:$A,"Quantity (units)")+SUMIFS('Source 2026'!$G:$G,'Source 2026'!$B:$B,$A478,'Source 2026'!$A:$A,"Quantity (units)")+SUMIFS('Source 2026'!$J:$J,'Source 2026'!$B:$B,$A478,'Source 2026'!$A:$A,"Quantity (units)")+SUMIFS('Source 2026'!$M:$M,'Source 2026'!$B:$B,$A478,'Source 2026'!$A:$A,"Quantity (units)")</f>
        <v>4</v>
      </c>
      <c r="E478" s="8" t="n">
        <f aca="false">D478*$J$5</f>
        <v>5.48571428571429</v>
      </c>
      <c r="F478" s="8" t="n">
        <f aca="false">E478-C478</f>
        <v>2.48571428571429</v>
      </c>
      <c r="G478" s="9" t="n">
        <f aca="false">IF(AND(C478=0,E478=0),0,IF(C478=0,"New",(E478-C478)/C478))</f>
        <v>0.828571428571429</v>
      </c>
      <c r="H478" s="8" t="n">
        <f aca="false">SUMIFS('Source 2025'!$D:$D,'Source 2025'!$B:$B,$A478,'Source 2025'!$A:$A,"Amount (NIS)")+SUMIFS('Source 2025'!$E:$E,'Source 2025'!$B:$B,$A478,'Source 2025'!$A:$A,"Amount (NIS)")+SUMIFS('Source 2025'!$F:$F,'Source 2025'!$B:$B,$A478,'Source 2025'!$A:$A,"Amount (NIS)")+SUMIFS('Source 2025'!$G:$G,'Source 2025'!$B:$B,$A478,'Source 2025'!$A:$A,"Amount (NIS)")+SUMIFS('Source 2025'!$J:$J,'Source 2025'!$B:$B,$A478,'Source 2025'!$A:$A,"Amount (NIS)")+SUMIFS('Source 2025'!$M:$M,'Source 2025'!$B:$B,$A478,'Source 2025'!$A:$A,"Amount (NIS)")</f>
        <v>231.9</v>
      </c>
      <c r="I478" s="8" t="n">
        <f aca="false">SUMIFS('Source 2026'!$D:$D,'Source 2026'!$B:$B,$A478,'Source 2026'!$A:$A,"Amount (NIS)")+SUMIFS('Source 2026'!$E:$E,'Source 2026'!$B:$B,$A478,'Source 2026'!$A:$A,"Amount (NIS)")+SUMIFS('Source 2026'!$F:$F,'Source 2026'!$B:$B,$A478,'Source 2026'!$A:$A,"Amount (NIS)")+SUMIFS('Source 2026'!$G:$G,'Source 2026'!$B:$B,$A478,'Source 2026'!$A:$A,"Amount (NIS)")+SUMIFS('Source 2026'!$J:$J,'Source 2026'!$B:$B,$A478,'Source 2026'!$A:$A,"Amount (NIS)")+SUMIFS('Source 2026'!$M:$M,'Source 2026'!$B:$B,$A478,'Source 2026'!$A:$A,"Amount (NIS)")</f>
        <v>349.7</v>
      </c>
      <c r="J478" s="8" t="n">
        <f aca="false">I478*$J$5</f>
        <v>479.588571428571</v>
      </c>
      <c r="K478" s="8" t="n">
        <f aca="false">J478-H478</f>
        <v>247.688571428571</v>
      </c>
      <c r="L478" s="9" t="n">
        <f aca="false">IF(AND(H478=0,J478=0),0,IF(H478=0,"New",(J478-H478)/H478))</f>
        <v>1.06808353354278</v>
      </c>
    </row>
    <row r="479" customFormat="false" ht="15" hidden="false" customHeight="false" outlineLevel="0" collapsed="false">
      <c r="A479" s="7" t="n">
        <v>4411027</v>
      </c>
      <c r="B479" s="7" t="str">
        <f aca="false">IFERROR(INDEX('Source 2026'!$C:$C,MATCH($A479,'Source 2026'!$B:$B,0)),IFERROR(INDEX('Source 2025'!$C:$C,MATCH($A479,'Source 2025'!$B:$B,0)),""))</f>
        <v>213CTSL M שמאל CTS כפפות</v>
      </c>
      <c r="C479" s="8" t="n">
        <f aca="false">SUMIFS('Source 2025'!$D:$D,'Source 2025'!$B:$B,$A479,'Source 2025'!$A:$A,"Quantity (units)")+SUMIFS('Source 2025'!$E:$E,'Source 2025'!$B:$B,$A479,'Source 2025'!$A:$A,"Quantity (units)")+SUMIFS('Source 2025'!$F:$F,'Source 2025'!$B:$B,$A479,'Source 2025'!$A:$A,"Quantity (units)")+SUMIFS('Source 2025'!$G:$G,'Source 2025'!$B:$B,$A479,'Source 2025'!$A:$A,"Quantity (units)")+SUMIFS('Source 2025'!$J:$J,'Source 2025'!$B:$B,$A479,'Source 2025'!$A:$A,"Quantity (units)")+SUMIFS('Source 2025'!$M:$M,'Source 2025'!$B:$B,$A479,'Source 2025'!$A:$A,"Quantity (units)")</f>
        <v>0</v>
      </c>
      <c r="D479" s="8" t="n">
        <f aca="false">SUMIFS('Source 2026'!$D:$D,'Source 2026'!$B:$B,$A479,'Source 2026'!$A:$A,"Quantity (units)")+SUMIFS('Source 2026'!$E:$E,'Source 2026'!$B:$B,$A479,'Source 2026'!$A:$A,"Quantity (units)")+SUMIFS('Source 2026'!$F:$F,'Source 2026'!$B:$B,$A479,'Source 2026'!$A:$A,"Quantity (units)")+SUMIFS('Source 2026'!$G:$G,'Source 2026'!$B:$B,$A479,'Source 2026'!$A:$A,"Quantity (units)")+SUMIFS('Source 2026'!$J:$J,'Source 2026'!$B:$B,$A479,'Source 2026'!$A:$A,"Quantity (units)")+SUMIFS('Source 2026'!$M:$M,'Source 2026'!$B:$B,$A479,'Source 2026'!$A:$A,"Quantity (units)")</f>
        <v>1</v>
      </c>
      <c r="E479" s="8" t="n">
        <f aca="false">D479*$J$5</f>
        <v>1.37142857142857</v>
      </c>
      <c r="F479" s="8" t="n">
        <f aca="false">E479-C479</f>
        <v>1.37142857142857</v>
      </c>
      <c r="G479" s="9" t="str">
        <f aca="false">IF(AND(C479=0,E479=0),0,IF(C479=0,"New",(E479-C479)/C479))</f>
        <v>New</v>
      </c>
      <c r="H479" s="8" t="n">
        <f aca="false">SUMIFS('Source 2025'!$D:$D,'Source 2025'!$B:$B,$A479,'Source 2025'!$A:$A,"Amount (NIS)")+SUMIFS('Source 2025'!$E:$E,'Source 2025'!$B:$B,$A479,'Source 2025'!$A:$A,"Amount (NIS)")+SUMIFS('Source 2025'!$F:$F,'Source 2025'!$B:$B,$A479,'Source 2025'!$A:$A,"Amount (NIS)")+SUMIFS('Source 2025'!$G:$G,'Source 2025'!$B:$B,$A479,'Source 2025'!$A:$A,"Amount (NIS)")+SUMIFS('Source 2025'!$J:$J,'Source 2025'!$B:$B,$A479,'Source 2025'!$A:$A,"Amount (NIS)")+SUMIFS('Source 2025'!$M:$M,'Source 2025'!$B:$B,$A479,'Source 2025'!$A:$A,"Amount (NIS)")</f>
        <v>0</v>
      </c>
      <c r="I479" s="8" t="n">
        <f aca="false">SUMIFS('Source 2026'!$D:$D,'Source 2026'!$B:$B,$A479,'Source 2026'!$A:$A,"Amount (NIS)")+SUMIFS('Source 2026'!$E:$E,'Source 2026'!$B:$B,$A479,'Source 2026'!$A:$A,"Amount (NIS)")+SUMIFS('Source 2026'!$F:$F,'Source 2026'!$B:$B,$A479,'Source 2026'!$A:$A,"Amount (NIS)")+SUMIFS('Source 2026'!$G:$G,'Source 2026'!$B:$B,$A479,'Source 2026'!$A:$A,"Amount (NIS)")+SUMIFS('Source 2026'!$J:$J,'Source 2026'!$B:$B,$A479,'Source 2026'!$A:$A,"Amount (NIS)")+SUMIFS('Source 2026'!$M:$M,'Source 2026'!$B:$B,$A479,'Source 2026'!$A:$A,"Amount (NIS)")</f>
        <v>117.1</v>
      </c>
      <c r="J479" s="8" t="n">
        <f aca="false">I479*$J$5</f>
        <v>160.594285714286</v>
      </c>
      <c r="K479" s="8" t="n">
        <f aca="false">J479-H479</f>
        <v>160.594285714286</v>
      </c>
      <c r="L479" s="9" t="str">
        <f aca="false">IF(AND(H479=0,J479=0),0,IF(H479=0,"New",(J479-H479)/H479))</f>
        <v>New</v>
      </c>
    </row>
    <row r="480" customFormat="false" ht="15" hidden="false" customHeight="false" outlineLevel="0" collapsed="false">
      <c r="A480" s="7" t="n">
        <v>4411028</v>
      </c>
      <c r="B480" s="7" t="str">
        <f aca="false">IFERROR(INDEX('Source 2026'!$C:$C,MATCH($A480,'Source 2026'!$B:$B,0)),IFERROR(INDEX('Source 2025'!$C:$C,MATCH($A480,'Source 2025'!$B:$B,0)),""))</f>
        <v>213CTSL S שמאל CTS כפפות</v>
      </c>
      <c r="C480" s="8" t="n">
        <f aca="false">SUMIFS('Source 2025'!$D:$D,'Source 2025'!$B:$B,$A480,'Source 2025'!$A:$A,"Quantity (units)")+SUMIFS('Source 2025'!$E:$E,'Source 2025'!$B:$B,$A480,'Source 2025'!$A:$A,"Quantity (units)")+SUMIFS('Source 2025'!$F:$F,'Source 2025'!$B:$B,$A480,'Source 2025'!$A:$A,"Quantity (units)")+SUMIFS('Source 2025'!$G:$G,'Source 2025'!$B:$B,$A480,'Source 2025'!$A:$A,"Quantity (units)")+SUMIFS('Source 2025'!$J:$J,'Source 2025'!$B:$B,$A480,'Source 2025'!$A:$A,"Quantity (units)")+SUMIFS('Source 2025'!$M:$M,'Source 2025'!$B:$B,$A480,'Source 2025'!$A:$A,"Quantity (units)")</f>
        <v>0</v>
      </c>
      <c r="D480" s="8" t="n">
        <f aca="false">SUMIFS('Source 2026'!$D:$D,'Source 2026'!$B:$B,$A480,'Source 2026'!$A:$A,"Quantity (units)")+SUMIFS('Source 2026'!$E:$E,'Source 2026'!$B:$B,$A480,'Source 2026'!$A:$A,"Quantity (units)")+SUMIFS('Source 2026'!$F:$F,'Source 2026'!$B:$B,$A480,'Source 2026'!$A:$A,"Quantity (units)")+SUMIFS('Source 2026'!$G:$G,'Source 2026'!$B:$B,$A480,'Source 2026'!$A:$A,"Quantity (units)")+SUMIFS('Source 2026'!$J:$J,'Source 2026'!$B:$B,$A480,'Source 2026'!$A:$A,"Quantity (units)")+SUMIFS('Source 2026'!$M:$M,'Source 2026'!$B:$B,$A480,'Source 2026'!$A:$A,"Quantity (units)")</f>
        <v>1</v>
      </c>
      <c r="E480" s="8" t="n">
        <f aca="false">D480*$J$5</f>
        <v>1.37142857142857</v>
      </c>
      <c r="F480" s="8" t="n">
        <f aca="false">E480-C480</f>
        <v>1.37142857142857</v>
      </c>
      <c r="G480" s="9" t="str">
        <f aca="false">IF(AND(C480=0,E480=0),0,IF(C480=0,"New",(E480-C480)/C480))</f>
        <v>New</v>
      </c>
      <c r="H480" s="8" t="n">
        <f aca="false">SUMIFS('Source 2025'!$D:$D,'Source 2025'!$B:$B,$A480,'Source 2025'!$A:$A,"Amount (NIS)")+SUMIFS('Source 2025'!$E:$E,'Source 2025'!$B:$B,$A480,'Source 2025'!$A:$A,"Amount (NIS)")+SUMIFS('Source 2025'!$F:$F,'Source 2025'!$B:$B,$A480,'Source 2025'!$A:$A,"Amount (NIS)")+SUMIFS('Source 2025'!$G:$G,'Source 2025'!$B:$B,$A480,'Source 2025'!$A:$A,"Amount (NIS)")+SUMIFS('Source 2025'!$J:$J,'Source 2025'!$B:$B,$A480,'Source 2025'!$A:$A,"Amount (NIS)")+SUMIFS('Source 2025'!$M:$M,'Source 2025'!$B:$B,$A480,'Source 2025'!$A:$A,"Amount (NIS)")</f>
        <v>0</v>
      </c>
      <c r="I480" s="8" t="n">
        <f aca="false">SUMIFS('Source 2026'!$D:$D,'Source 2026'!$B:$B,$A480,'Source 2026'!$A:$A,"Amount (NIS)")+SUMIFS('Source 2026'!$E:$E,'Source 2026'!$B:$B,$A480,'Source 2026'!$A:$A,"Amount (NIS)")+SUMIFS('Source 2026'!$F:$F,'Source 2026'!$B:$B,$A480,'Source 2026'!$A:$A,"Amount (NIS)")+SUMIFS('Source 2026'!$G:$G,'Source 2026'!$B:$B,$A480,'Source 2026'!$A:$A,"Amount (NIS)")+SUMIFS('Source 2026'!$J:$J,'Source 2026'!$B:$B,$A480,'Source 2026'!$A:$A,"Amount (NIS)")+SUMIFS('Source 2026'!$M:$M,'Source 2026'!$B:$B,$A480,'Source 2026'!$A:$A,"Amount (NIS)")</f>
        <v>117.1</v>
      </c>
      <c r="J480" s="8" t="n">
        <f aca="false">I480*$J$5</f>
        <v>160.594285714286</v>
      </c>
      <c r="K480" s="8" t="n">
        <f aca="false">J480-H480</f>
        <v>160.594285714286</v>
      </c>
      <c r="L480" s="9" t="str">
        <f aca="false">IF(AND(H480=0,J480=0),0,IF(H480=0,"New",(J480-H480)/H480))</f>
        <v>New</v>
      </c>
    </row>
    <row r="481" customFormat="false" ht="15" hidden="false" customHeight="false" outlineLevel="0" collapsed="false">
      <c r="A481" s="7" t="n">
        <v>4411029</v>
      </c>
      <c r="B481" s="7" t="str">
        <f aca="false">IFERROR(INDEX('Source 2026'!$C:$C,MATCH($A481,'Source 2026'!$B:$B,0)),IFERROR(INDEX('Source 2025'!$C:$C,MATCH($A481,'Source 2025'!$B:$B,0)),""))</f>
        <v>213CTSR L ימין CTS כפפות</v>
      </c>
      <c r="C481" s="8" t="n">
        <f aca="false">SUMIFS('Source 2025'!$D:$D,'Source 2025'!$B:$B,$A481,'Source 2025'!$A:$A,"Quantity (units)")+SUMIFS('Source 2025'!$E:$E,'Source 2025'!$B:$B,$A481,'Source 2025'!$A:$A,"Quantity (units)")+SUMIFS('Source 2025'!$F:$F,'Source 2025'!$B:$B,$A481,'Source 2025'!$A:$A,"Quantity (units)")+SUMIFS('Source 2025'!$G:$G,'Source 2025'!$B:$B,$A481,'Source 2025'!$A:$A,"Quantity (units)")+SUMIFS('Source 2025'!$J:$J,'Source 2025'!$B:$B,$A481,'Source 2025'!$A:$A,"Quantity (units)")+SUMIFS('Source 2025'!$M:$M,'Source 2025'!$B:$B,$A481,'Source 2025'!$A:$A,"Quantity (units)")</f>
        <v>0</v>
      </c>
      <c r="D481" s="8" t="n">
        <f aca="false">SUMIFS('Source 2026'!$D:$D,'Source 2026'!$B:$B,$A481,'Source 2026'!$A:$A,"Quantity (units)")+SUMIFS('Source 2026'!$E:$E,'Source 2026'!$B:$B,$A481,'Source 2026'!$A:$A,"Quantity (units)")+SUMIFS('Source 2026'!$F:$F,'Source 2026'!$B:$B,$A481,'Source 2026'!$A:$A,"Quantity (units)")+SUMIFS('Source 2026'!$G:$G,'Source 2026'!$B:$B,$A481,'Source 2026'!$A:$A,"Quantity (units)")+SUMIFS('Source 2026'!$J:$J,'Source 2026'!$B:$B,$A481,'Source 2026'!$A:$A,"Quantity (units)")+SUMIFS('Source 2026'!$M:$M,'Source 2026'!$B:$B,$A481,'Source 2026'!$A:$A,"Quantity (units)")</f>
        <v>1</v>
      </c>
      <c r="E481" s="8" t="n">
        <f aca="false">D481*$J$5</f>
        <v>1.37142857142857</v>
      </c>
      <c r="F481" s="8" t="n">
        <f aca="false">E481-C481</f>
        <v>1.37142857142857</v>
      </c>
      <c r="G481" s="9" t="str">
        <f aca="false">IF(AND(C481=0,E481=0),0,IF(C481=0,"New",(E481-C481)/C481))</f>
        <v>New</v>
      </c>
      <c r="H481" s="8" t="n">
        <f aca="false">SUMIFS('Source 2025'!$D:$D,'Source 2025'!$B:$B,$A481,'Source 2025'!$A:$A,"Amount (NIS)")+SUMIFS('Source 2025'!$E:$E,'Source 2025'!$B:$B,$A481,'Source 2025'!$A:$A,"Amount (NIS)")+SUMIFS('Source 2025'!$F:$F,'Source 2025'!$B:$B,$A481,'Source 2025'!$A:$A,"Amount (NIS)")+SUMIFS('Source 2025'!$G:$G,'Source 2025'!$B:$B,$A481,'Source 2025'!$A:$A,"Amount (NIS)")+SUMIFS('Source 2025'!$J:$J,'Source 2025'!$B:$B,$A481,'Source 2025'!$A:$A,"Amount (NIS)")+SUMIFS('Source 2025'!$M:$M,'Source 2025'!$B:$B,$A481,'Source 2025'!$A:$A,"Amount (NIS)")</f>
        <v>0</v>
      </c>
      <c r="I481" s="8" t="n">
        <f aca="false">SUMIFS('Source 2026'!$D:$D,'Source 2026'!$B:$B,$A481,'Source 2026'!$A:$A,"Amount (NIS)")+SUMIFS('Source 2026'!$E:$E,'Source 2026'!$B:$B,$A481,'Source 2026'!$A:$A,"Amount (NIS)")+SUMIFS('Source 2026'!$F:$F,'Source 2026'!$B:$B,$A481,'Source 2026'!$A:$A,"Amount (NIS)")+SUMIFS('Source 2026'!$G:$G,'Source 2026'!$B:$B,$A481,'Source 2026'!$A:$A,"Amount (NIS)")+SUMIFS('Source 2026'!$J:$J,'Source 2026'!$B:$B,$A481,'Source 2026'!$A:$A,"Amount (NIS)")+SUMIFS('Source 2026'!$M:$M,'Source 2026'!$B:$B,$A481,'Source 2026'!$A:$A,"Amount (NIS)")</f>
        <v>117.1</v>
      </c>
      <c r="J481" s="8" t="n">
        <f aca="false">I481*$J$5</f>
        <v>160.594285714286</v>
      </c>
      <c r="K481" s="8" t="n">
        <f aca="false">J481-H481</f>
        <v>160.594285714286</v>
      </c>
      <c r="L481" s="9" t="str">
        <f aca="false">IF(AND(H481=0,J481=0),0,IF(H481=0,"New",(J481-H481)/H481))</f>
        <v>New</v>
      </c>
    </row>
    <row r="482" customFormat="false" ht="15" hidden="false" customHeight="false" outlineLevel="0" collapsed="false">
      <c r="A482" s="7" t="n">
        <v>4411030</v>
      </c>
      <c r="B482" s="7" t="str">
        <f aca="false">IFERROR(INDEX('Source 2026'!$C:$C,MATCH($A482,'Source 2026'!$B:$B,0)),IFERROR(INDEX('Source 2025'!$C:$C,MATCH($A482,'Source 2025'!$B:$B,0)),""))</f>
        <v>213CTSR M ימין CTS כפפות</v>
      </c>
      <c r="C482" s="8" t="n">
        <f aca="false">SUMIFS('Source 2025'!$D:$D,'Source 2025'!$B:$B,$A482,'Source 2025'!$A:$A,"Quantity (units)")+SUMIFS('Source 2025'!$E:$E,'Source 2025'!$B:$B,$A482,'Source 2025'!$A:$A,"Quantity (units)")+SUMIFS('Source 2025'!$F:$F,'Source 2025'!$B:$B,$A482,'Source 2025'!$A:$A,"Quantity (units)")+SUMIFS('Source 2025'!$G:$G,'Source 2025'!$B:$B,$A482,'Source 2025'!$A:$A,"Quantity (units)")+SUMIFS('Source 2025'!$J:$J,'Source 2025'!$B:$B,$A482,'Source 2025'!$A:$A,"Quantity (units)")+SUMIFS('Source 2025'!$M:$M,'Source 2025'!$B:$B,$A482,'Source 2025'!$A:$A,"Quantity (units)")</f>
        <v>0</v>
      </c>
      <c r="D482" s="8" t="n">
        <f aca="false">SUMIFS('Source 2026'!$D:$D,'Source 2026'!$B:$B,$A482,'Source 2026'!$A:$A,"Quantity (units)")+SUMIFS('Source 2026'!$E:$E,'Source 2026'!$B:$B,$A482,'Source 2026'!$A:$A,"Quantity (units)")+SUMIFS('Source 2026'!$F:$F,'Source 2026'!$B:$B,$A482,'Source 2026'!$A:$A,"Quantity (units)")+SUMIFS('Source 2026'!$G:$G,'Source 2026'!$B:$B,$A482,'Source 2026'!$A:$A,"Quantity (units)")+SUMIFS('Source 2026'!$J:$J,'Source 2026'!$B:$B,$A482,'Source 2026'!$A:$A,"Quantity (units)")+SUMIFS('Source 2026'!$M:$M,'Source 2026'!$B:$B,$A482,'Source 2026'!$A:$A,"Quantity (units)")</f>
        <v>1</v>
      </c>
      <c r="E482" s="8" t="n">
        <f aca="false">D482*$J$5</f>
        <v>1.37142857142857</v>
      </c>
      <c r="F482" s="8" t="n">
        <f aca="false">E482-C482</f>
        <v>1.37142857142857</v>
      </c>
      <c r="G482" s="9" t="str">
        <f aca="false">IF(AND(C482=0,E482=0),0,IF(C482=0,"New",(E482-C482)/C482))</f>
        <v>New</v>
      </c>
      <c r="H482" s="8" t="n">
        <f aca="false">SUMIFS('Source 2025'!$D:$D,'Source 2025'!$B:$B,$A482,'Source 2025'!$A:$A,"Amount (NIS)")+SUMIFS('Source 2025'!$E:$E,'Source 2025'!$B:$B,$A482,'Source 2025'!$A:$A,"Amount (NIS)")+SUMIFS('Source 2025'!$F:$F,'Source 2025'!$B:$B,$A482,'Source 2025'!$A:$A,"Amount (NIS)")+SUMIFS('Source 2025'!$G:$G,'Source 2025'!$B:$B,$A482,'Source 2025'!$A:$A,"Amount (NIS)")+SUMIFS('Source 2025'!$J:$J,'Source 2025'!$B:$B,$A482,'Source 2025'!$A:$A,"Amount (NIS)")+SUMIFS('Source 2025'!$M:$M,'Source 2025'!$B:$B,$A482,'Source 2025'!$A:$A,"Amount (NIS)")</f>
        <v>0</v>
      </c>
      <c r="I482" s="8" t="n">
        <f aca="false">SUMIFS('Source 2026'!$D:$D,'Source 2026'!$B:$B,$A482,'Source 2026'!$A:$A,"Amount (NIS)")+SUMIFS('Source 2026'!$E:$E,'Source 2026'!$B:$B,$A482,'Source 2026'!$A:$A,"Amount (NIS)")+SUMIFS('Source 2026'!$F:$F,'Source 2026'!$B:$B,$A482,'Source 2026'!$A:$A,"Amount (NIS)")+SUMIFS('Source 2026'!$G:$G,'Source 2026'!$B:$B,$A482,'Source 2026'!$A:$A,"Amount (NIS)")+SUMIFS('Source 2026'!$J:$J,'Source 2026'!$B:$B,$A482,'Source 2026'!$A:$A,"Amount (NIS)")+SUMIFS('Source 2026'!$M:$M,'Source 2026'!$B:$B,$A482,'Source 2026'!$A:$A,"Amount (NIS)")</f>
        <v>117.1</v>
      </c>
      <c r="J482" s="8" t="n">
        <f aca="false">I482*$J$5</f>
        <v>160.594285714286</v>
      </c>
      <c r="K482" s="8" t="n">
        <f aca="false">J482-H482</f>
        <v>160.594285714286</v>
      </c>
      <c r="L482" s="9" t="str">
        <f aca="false">IF(AND(H482=0,J482=0),0,IF(H482=0,"New",(J482-H482)/H482))</f>
        <v>New</v>
      </c>
    </row>
    <row r="483" customFormat="false" ht="15" hidden="false" customHeight="false" outlineLevel="0" collapsed="false">
      <c r="A483" s="7" t="n">
        <v>4413106</v>
      </c>
      <c r="B483" s="7" t="str">
        <f aca="false">IFERROR(INDEX('Source 2026'!$C:$C,MATCH($A483,'Source 2026'!$B:$B,0)),IFERROR(INDEX('Source 2025'!$C:$C,MATCH($A483,'Source 2025'!$B:$B,0)),""))</f>
        <v>48 S מגן ברך מחמם</v>
      </c>
      <c r="C483" s="8" t="n">
        <f aca="false">SUMIFS('Source 2025'!$D:$D,'Source 2025'!$B:$B,$A483,'Source 2025'!$A:$A,"Quantity (units)")+SUMIFS('Source 2025'!$E:$E,'Source 2025'!$B:$B,$A483,'Source 2025'!$A:$A,"Quantity (units)")+SUMIFS('Source 2025'!$F:$F,'Source 2025'!$B:$B,$A483,'Source 2025'!$A:$A,"Quantity (units)")+SUMIFS('Source 2025'!$G:$G,'Source 2025'!$B:$B,$A483,'Source 2025'!$A:$A,"Quantity (units)")+SUMIFS('Source 2025'!$J:$J,'Source 2025'!$B:$B,$A483,'Source 2025'!$A:$A,"Quantity (units)")+SUMIFS('Source 2025'!$M:$M,'Source 2025'!$B:$B,$A483,'Source 2025'!$A:$A,"Quantity (units)")</f>
        <v>3</v>
      </c>
      <c r="D483" s="8" t="n">
        <f aca="false">SUMIFS('Source 2026'!$D:$D,'Source 2026'!$B:$B,$A483,'Source 2026'!$A:$A,"Quantity (units)")+SUMIFS('Source 2026'!$E:$E,'Source 2026'!$B:$B,$A483,'Source 2026'!$A:$A,"Quantity (units)")+SUMIFS('Source 2026'!$F:$F,'Source 2026'!$B:$B,$A483,'Source 2026'!$A:$A,"Quantity (units)")+SUMIFS('Source 2026'!$G:$G,'Source 2026'!$B:$B,$A483,'Source 2026'!$A:$A,"Quantity (units)")+SUMIFS('Source 2026'!$J:$J,'Source 2026'!$B:$B,$A483,'Source 2026'!$A:$A,"Quantity (units)")+SUMIFS('Source 2026'!$M:$M,'Source 2026'!$B:$B,$A483,'Source 2026'!$A:$A,"Quantity (units)")</f>
        <v>1</v>
      </c>
      <c r="E483" s="8" t="n">
        <f aca="false">D483*$J$5</f>
        <v>1.37142857142857</v>
      </c>
      <c r="F483" s="8" t="n">
        <f aca="false">E483-C483</f>
        <v>-1.62857142857143</v>
      </c>
      <c r="G483" s="9" t="n">
        <f aca="false">IF(AND(C483=0,E483=0),0,IF(C483=0,"New",(E483-C483)/C483))</f>
        <v>-0.542857142857143</v>
      </c>
      <c r="H483" s="8" t="n">
        <f aca="false">SUMIFS('Source 2025'!$D:$D,'Source 2025'!$B:$B,$A483,'Source 2025'!$A:$A,"Amount (NIS)")+SUMIFS('Source 2025'!$E:$E,'Source 2025'!$B:$B,$A483,'Source 2025'!$A:$A,"Amount (NIS)")+SUMIFS('Source 2025'!$F:$F,'Source 2025'!$B:$B,$A483,'Source 2025'!$A:$A,"Amount (NIS)")+SUMIFS('Source 2025'!$G:$G,'Source 2025'!$B:$B,$A483,'Source 2025'!$A:$A,"Amount (NIS)")+SUMIFS('Source 2025'!$J:$J,'Source 2025'!$B:$B,$A483,'Source 2025'!$A:$A,"Amount (NIS)")+SUMIFS('Source 2025'!$M:$M,'Source 2025'!$B:$B,$A483,'Source 2025'!$A:$A,"Amount (NIS)")</f>
        <v>170</v>
      </c>
      <c r="I483" s="8" t="n">
        <f aca="false">SUMIFS('Source 2026'!$D:$D,'Source 2026'!$B:$B,$A483,'Source 2026'!$A:$A,"Amount (NIS)")+SUMIFS('Source 2026'!$E:$E,'Source 2026'!$B:$B,$A483,'Source 2026'!$A:$A,"Amount (NIS)")+SUMIFS('Source 2026'!$F:$F,'Source 2026'!$B:$B,$A483,'Source 2026'!$A:$A,"Amount (NIS)")+SUMIFS('Source 2026'!$G:$G,'Source 2026'!$B:$B,$A483,'Source 2026'!$A:$A,"Amount (NIS)")+SUMIFS('Source 2026'!$J:$J,'Source 2026'!$B:$B,$A483,'Source 2026'!$A:$A,"Amount (NIS)")+SUMIFS('Source 2026'!$M:$M,'Source 2026'!$B:$B,$A483,'Source 2026'!$A:$A,"Amount (NIS)")</f>
        <v>56.7</v>
      </c>
      <c r="J483" s="8" t="n">
        <f aca="false">I483*$J$5</f>
        <v>77.76</v>
      </c>
      <c r="K483" s="8" t="n">
        <f aca="false">J483-H483</f>
        <v>-92.24</v>
      </c>
      <c r="L483" s="9" t="n">
        <f aca="false">IF(AND(H483=0,J483=0),0,IF(H483=0,"New",(J483-H483)/H483))</f>
        <v>-0.542588235294118</v>
      </c>
    </row>
    <row r="484" customFormat="false" ht="15" hidden="false" customHeight="false" outlineLevel="0" collapsed="false">
      <c r="A484" s="7" t="n">
        <v>4413407</v>
      </c>
      <c r="B484" s="7" t="str">
        <f aca="false">IFERROR(INDEX('Source 2026'!$C:$C,MATCH($A484,'Source 2026'!$B:$B,0)),IFERROR(INDEX('Source 2025'!$C:$C,MATCH($A484,'Source 2025'!$B:$B,0)),""))</f>
        <v>SC95 L מגן מרפק</v>
      </c>
      <c r="C484" s="8" t="n">
        <f aca="false">SUMIFS('Source 2025'!$D:$D,'Source 2025'!$B:$B,$A484,'Source 2025'!$A:$A,"Quantity (units)")+SUMIFS('Source 2025'!$E:$E,'Source 2025'!$B:$B,$A484,'Source 2025'!$A:$A,"Quantity (units)")+SUMIFS('Source 2025'!$F:$F,'Source 2025'!$B:$B,$A484,'Source 2025'!$A:$A,"Quantity (units)")+SUMIFS('Source 2025'!$G:$G,'Source 2025'!$B:$B,$A484,'Source 2025'!$A:$A,"Quantity (units)")+SUMIFS('Source 2025'!$J:$J,'Source 2025'!$B:$B,$A484,'Source 2025'!$A:$A,"Quantity (units)")+SUMIFS('Source 2025'!$M:$M,'Source 2025'!$B:$B,$A484,'Source 2025'!$A:$A,"Quantity (units)")</f>
        <v>7</v>
      </c>
      <c r="D484" s="8" t="n">
        <f aca="false">SUMIFS('Source 2026'!$D:$D,'Source 2026'!$B:$B,$A484,'Source 2026'!$A:$A,"Quantity (units)")+SUMIFS('Source 2026'!$E:$E,'Source 2026'!$B:$B,$A484,'Source 2026'!$A:$A,"Quantity (units)")+SUMIFS('Source 2026'!$F:$F,'Source 2026'!$B:$B,$A484,'Source 2026'!$A:$A,"Quantity (units)")+SUMIFS('Source 2026'!$G:$G,'Source 2026'!$B:$B,$A484,'Source 2026'!$A:$A,"Quantity (units)")+SUMIFS('Source 2026'!$J:$J,'Source 2026'!$B:$B,$A484,'Source 2026'!$A:$A,"Quantity (units)")+SUMIFS('Source 2026'!$M:$M,'Source 2026'!$B:$B,$A484,'Source 2026'!$A:$A,"Quantity (units)")</f>
        <v>7</v>
      </c>
      <c r="E484" s="8" t="n">
        <f aca="false">D484*$J$5</f>
        <v>9.6</v>
      </c>
      <c r="F484" s="8" t="n">
        <f aca="false">E484-C484</f>
        <v>2.6</v>
      </c>
      <c r="G484" s="9" t="n">
        <f aca="false">IF(AND(C484=0,E484=0),0,IF(C484=0,"New",(E484-C484)/C484))</f>
        <v>0.371428571428571</v>
      </c>
      <c r="H484" s="8" t="n">
        <f aca="false">SUMIFS('Source 2025'!$D:$D,'Source 2025'!$B:$B,$A484,'Source 2025'!$A:$A,"Amount (NIS)")+SUMIFS('Source 2025'!$E:$E,'Source 2025'!$B:$B,$A484,'Source 2025'!$A:$A,"Amount (NIS)")+SUMIFS('Source 2025'!$F:$F,'Source 2025'!$B:$B,$A484,'Source 2025'!$A:$A,"Amount (NIS)")+SUMIFS('Source 2025'!$G:$G,'Source 2025'!$B:$B,$A484,'Source 2025'!$A:$A,"Amount (NIS)")+SUMIFS('Source 2025'!$J:$J,'Source 2025'!$B:$B,$A484,'Source 2025'!$A:$A,"Amount (NIS)")+SUMIFS('Source 2025'!$M:$M,'Source 2025'!$B:$B,$A484,'Source 2025'!$A:$A,"Amount (NIS)")</f>
        <v>548.9</v>
      </c>
      <c r="I484" s="8" t="n">
        <f aca="false">SUMIFS('Source 2026'!$D:$D,'Source 2026'!$B:$B,$A484,'Source 2026'!$A:$A,"Amount (NIS)")+SUMIFS('Source 2026'!$E:$E,'Source 2026'!$B:$B,$A484,'Source 2026'!$A:$A,"Amount (NIS)")+SUMIFS('Source 2026'!$F:$F,'Source 2026'!$B:$B,$A484,'Source 2026'!$A:$A,"Amount (NIS)")+SUMIFS('Source 2026'!$G:$G,'Source 2026'!$B:$B,$A484,'Source 2026'!$A:$A,"Amount (NIS)")+SUMIFS('Source 2026'!$J:$J,'Source 2026'!$B:$B,$A484,'Source 2026'!$A:$A,"Amount (NIS)")+SUMIFS('Source 2026'!$M:$M,'Source 2026'!$B:$B,$A484,'Source 2026'!$A:$A,"Amount (NIS)")</f>
        <v>661.9</v>
      </c>
      <c r="J484" s="8" t="n">
        <f aca="false">I484*$J$5</f>
        <v>907.748571428571</v>
      </c>
      <c r="K484" s="8" t="n">
        <f aca="false">J484-H484</f>
        <v>358.848571428571</v>
      </c>
      <c r="L484" s="9" t="n">
        <f aca="false">IF(AND(H484=0,J484=0),0,IF(H484=0,"New",(J484-H484)/H484))</f>
        <v>0.65375946698592</v>
      </c>
    </row>
    <row r="485" customFormat="false" ht="15" hidden="false" customHeight="false" outlineLevel="0" collapsed="false">
      <c r="A485" s="7" t="n">
        <v>4421006</v>
      </c>
      <c r="B485" s="7" t="str">
        <f aca="false">IFERROR(INDEX('Source 2026'!$C:$C,MATCH($A485,'Source 2026'!$B:$B,0)),IFERROR(INDEX('Source 2025'!$C:$C,MATCH($A485,'Source 2025'!$B:$B,0)),""))</f>
        <v>שרוול לגבס ארוך יד</v>
      </c>
      <c r="C485" s="8" t="n">
        <f aca="false">SUMIFS('Source 2025'!$D:$D,'Source 2025'!$B:$B,$A485,'Source 2025'!$A:$A,"Quantity (units)")+SUMIFS('Source 2025'!$E:$E,'Source 2025'!$B:$B,$A485,'Source 2025'!$A:$A,"Quantity (units)")+SUMIFS('Source 2025'!$F:$F,'Source 2025'!$B:$B,$A485,'Source 2025'!$A:$A,"Quantity (units)")+SUMIFS('Source 2025'!$G:$G,'Source 2025'!$B:$B,$A485,'Source 2025'!$A:$A,"Quantity (units)")+SUMIFS('Source 2025'!$J:$J,'Source 2025'!$B:$B,$A485,'Source 2025'!$A:$A,"Quantity (units)")+SUMIFS('Source 2025'!$M:$M,'Source 2025'!$B:$B,$A485,'Source 2025'!$A:$A,"Quantity (units)")</f>
        <v>117</v>
      </c>
      <c r="D485" s="8" t="n">
        <f aca="false">SUMIFS('Source 2026'!$D:$D,'Source 2026'!$B:$B,$A485,'Source 2026'!$A:$A,"Quantity (units)")+SUMIFS('Source 2026'!$E:$E,'Source 2026'!$B:$B,$A485,'Source 2026'!$A:$A,"Quantity (units)")+SUMIFS('Source 2026'!$F:$F,'Source 2026'!$B:$B,$A485,'Source 2026'!$A:$A,"Quantity (units)")+SUMIFS('Source 2026'!$G:$G,'Source 2026'!$B:$B,$A485,'Source 2026'!$A:$A,"Quantity (units)")+SUMIFS('Source 2026'!$J:$J,'Source 2026'!$B:$B,$A485,'Source 2026'!$A:$A,"Quantity (units)")+SUMIFS('Source 2026'!$M:$M,'Source 2026'!$B:$B,$A485,'Source 2026'!$A:$A,"Quantity (units)")</f>
        <v>112</v>
      </c>
      <c r="E485" s="8" t="n">
        <f aca="false">D485*$J$5</f>
        <v>153.6</v>
      </c>
      <c r="F485" s="8" t="n">
        <f aca="false">E485-C485</f>
        <v>36.6</v>
      </c>
      <c r="G485" s="9" t="n">
        <f aca="false">IF(AND(C485=0,E485=0),0,IF(C485=0,"New",(E485-C485)/C485))</f>
        <v>0.312820512820513</v>
      </c>
      <c r="H485" s="8" t="n">
        <f aca="false">SUMIFS('Source 2025'!$D:$D,'Source 2025'!$B:$B,$A485,'Source 2025'!$A:$A,"Amount (NIS)")+SUMIFS('Source 2025'!$E:$E,'Source 2025'!$B:$B,$A485,'Source 2025'!$A:$A,"Amount (NIS)")+SUMIFS('Source 2025'!$F:$F,'Source 2025'!$B:$B,$A485,'Source 2025'!$A:$A,"Amount (NIS)")+SUMIFS('Source 2025'!$G:$G,'Source 2025'!$B:$B,$A485,'Source 2025'!$A:$A,"Amount (NIS)")+SUMIFS('Source 2025'!$J:$J,'Source 2025'!$B:$B,$A485,'Source 2025'!$A:$A,"Amount (NIS)")+SUMIFS('Source 2025'!$M:$M,'Source 2025'!$B:$B,$A485,'Source 2025'!$A:$A,"Amount (NIS)")</f>
        <v>4671.1</v>
      </c>
      <c r="I485" s="8" t="n">
        <f aca="false">SUMIFS('Source 2026'!$D:$D,'Source 2026'!$B:$B,$A485,'Source 2026'!$A:$A,"Amount (NIS)")+SUMIFS('Source 2026'!$E:$E,'Source 2026'!$B:$B,$A485,'Source 2026'!$A:$A,"Amount (NIS)")+SUMIFS('Source 2026'!$F:$F,'Source 2026'!$B:$B,$A485,'Source 2026'!$A:$A,"Amount (NIS)")+SUMIFS('Source 2026'!$G:$G,'Source 2026'!$B:$B,$A485,'Source 2026'!$A:$A,"Amount (NIS)")+SUMIFS('Source 2026'!$J:$J,'Source 2026'!$B:$B,$A485,'Source 2026'!$A:$A,"Amount (NIS)")+SUMIFS('Source 2026'!$M:$M,'Source 2026'!$B:$B,$A485,'Source 2026'!$A:$A,"Amount (NIS)")</f>
        <v>4558.6</v>
      </c>
      <c r="J485" s="8" t="n">
        <f aca="false">I485*$J$5</f>
        <v>6251.79428571429</v>
      </c>
      <c r="K485" s="8" t="n">
        <f aca="false">J485-H485</f>
        <v>1580.69428571429</v>
      </c>
      <c r="L485" s="9" t="n">
        <f aca="false">IF(AND(H485=0,J485=0),0,IF(H485=0,"New",(J485-H485)/H485))</f>
        <v>0.338398725292605</v>
      </c>
    </row>
    <row r="486" customFormat="false" ht="15" hidden="false" customHeight="false" outlineLevel="0" collapsed="false">
      <c r="A486" s="7" t="n">
        <v>4408235</v>
      </c>
      <c r="B486" s="7" t="str">
        <f aca="false">IFERROR(INDEX('Source 2026'!$C:$C,MATCH($A486,'Source 2026'!$B:$B,0)),IFERROR(INDEX('Source 2025'!$C:$C,MATCH($A486,'Source 2025'!$B:$B,0)),""))</f>
        <v>078C S'חגורת גב+סגירה כפו בז</v>
      </c>
      <c r="C486" s="8" t="n">
        <f aca="false">SUMIFS('Source 2025'!$D:$D,'Source 2025'!$B:$B,$A486,'Source 2025'!$A:$A,"Quantity (units)")+SUMIFS('Source 2025'!$E:$E,'Source 2025'!$B:$B,$A486,'Source 2025'!$A:$A,"Quantity (units)")+SUMIFS('Source 2025'!$F:$F,'Source 2025'!$B:$B,$A486,'Source 2025'!$A:$A,"Quantity (units)")+SUMIFS('Source 2025'!$G:$G,'Source 2025'!$B:$B,$A486,'Source 2025'!$A:$A,"Quantity (units)")+SUMIFS('Source 2025'!$J:$J,'Source 2025'!$B:$B,$A486,'Source 2025'!$A:$A,"Quantity (units)")+SUMIFS('Source 2025'!$M:$M,'Source 2025'!$B:$B,$A486,'Source 2025'!$A:$A,"Quantity (units)")</f>
        <v>0</v>
      </c>
      <c r="D486" s="8" t="n">
        <f aca="false">SUMIFS('Source 2026'!$D:$D,'Source 2026'!$B:$B,$A486,'Source 2026'!$A:$A,"Quantity (units)")+SUMIFS('Source 2026'!$E:$E,'Source 2026'!$B:$B,$A486,'Source 2026'!$A:$A,"Quantity (units)")+SUMIFS('Source 2026'!$F:$F,'Source 2026'!$B:$B,$A486,'Source 2026'!$A:$A,"Quantity (units)")+SUMIFS('Source 2026'!$G:$G,'Source 2026'!$B:$B,$A486,'Source 2026'!$A:$A,"Quantity (units)")+SUMIFS('Source 2026'!$J:$J,'Source 2026'!$B:$B,$A486,'Source 2026'!$A:$A,"Quantity (units)")+SUMIFS('Source 2026'!$M:$M,'Source 2026'!$B:$B,$A486,'Source 2026'!$A:$A,"Quantity (units)")</f>
        <v>1</v>
      </c>
      <c r="E486" s="8" t="n">
        <f aca="false">D486*$J$5</f>
        <v>1.37142857142857</v>
      </c>
      <c r="F486" s="8" t="n">
        <f aca="false">E486-C486</f>
        <v>1.37142857142857</v>
      </c>
      <c r="G486" s="9" t="str">
        <f aca="false">IF(AND(C486=0,E486=0),0,IF(C486=0,"New",(E486-C486)/C486))</f>
        <v>New</v>
      </c>
      <c r="H486" s="8" t="n">
        <f aca="false">SUMIFS('Source 2025'!$D:$D,'Source 2025'!$B:$B,$A486,'Source 2025'!$A:$A,"Amount (NIS)")+SUMIFS('Source 2025'!$E:$E,'Source 2025'!$B:$B,$A486,'Source 2025'!$A:$A,"Amount (NIS)")+SUMIFS('Source 2025'!$F:$F,'Source 2025'!$B:$B,$A486,'Source 2025'!$A:$A,"Amount (NIS)")+SUMIFS('Source 2025'!$G:$G,'Source 2025'!$B:$B,$A486,'Source 2025'!$A:$A,"Amount (NIS)")+SUMIFS('Source 2025'!$J:$J,'Source 2025'!$B:$B,$A486,'Source 2025'!$A:$A,"Amount (NIS)")+SUMIFS('Source 2025'!$M:$M,'Source 2025'!$B:$B,$A486,'Source 2025'!$A:$A,"Amount (NIS)")</f>
        <v>0</v>
      </c>
      <c r="I486" s="8" t="n">
        <f aca="false">SUMIFS('Source 2026'!$D:$D,'Source 2026'!$B:$B,$A486,'Source 2026'!$A:$A,"Amount (NIS)")+SUMIFS('Source 2026'!$E:$E,'Source 2026'!$B:$B,$A486,'Source 2026'!$A:$A,"Amount (NIS)")+SUMIFS('Source 2026'!$F:$F,'Source 2026'!$B:$B,$A486,'Source 2026'!$A:$A,"Amount (NIS)")+SUMIFS('Source 2026'!$G:$G,'Source 2026'!$B:$B,$A486,'Source 2026'!$A:$A,"Amount (NIS)")+SUMIFS('Source 2026'!$J:$J,'Source 2026'!$B:$B,$A486,'Source 2026'!$A:$A,"Amount (NIS)")+SUMIFS('Source 2026'!$M:$M,'Source 2026'!$B:$B,$A486,'Source 2026'!$A:$A,"Amount (NIS)")</f>
        <v>111</v>
      </c>
      <c r="J486" s="8" t="n">
        <f aca="false">I486*$J$5</f>
        <v>152.228571428571</v>
      </c>
      <c r="K486" s="8" t="n">
        <f aca="false">J486-H486</f>
        <v>152.228571428571</v>
      </c>
      <c r="L486" s="9" t="str">
        <f aca="false">IF(AND(H486=0,J486=0),0,IF(H486=0,"New",(J486-H486)/H486))</f>
        <v>New</v>
      </c>
    </row>
    <row r="487" customFormat="false" ht="15" hidden="false" customHeight="false" outlineLevel="0" collapsed="false">
      <c r="A487" s="7" t="n">
        <v>4413277</v>
      </c>
      <c r="B487" s="7" t="str">
        <f aca="false">IFERROR(INDEX('Source 2026'!$C:$C,MATCH($A487,'Source 2026'!$B:$B,0)),IFERROR(INDEX('Source 2025'!$C:$C,MATCH($A487,'Source 2025'!$B:$B,0)),""))</f>
        <v>LF377 M-מדרס סיליקון לנעלי עקב</v>
      </c>
      <c r="C487" s="8" t="n">
        <f aca="false">SUMIFS('Source 2025'!$D:$D,'Source 2025'!$B:$B,$A487,'Source 2025'!$A:$A,"Quantity (units)")+SUMIFS('Source 2025'!$E:$E,'Source 2025'!$B:$B,$A487,'Source 2025'!$A:$A,"Quantity (units)")+SUMIFS('Source 2025'!$F:$F,'Source 2025'!$B:$B,$A487,'Source 2025'!$A:$A,"Quantity (units)")+SUMIFS('Source 2025'!$G:$G,'Source 2025'!$B:$B,$A487,'Source 2025'!$A:$A,"Quantity (units)")+SUMIFS('Source 2025'!$J:$J,'Source 2025'!$B:$B,$A487,'Source 2025'!$A:$A,"Quantity (units)")+SUMIFS('Source 2025'!$M:$M,'Source 2025'!$B:$B,$A487,'Source 2025'!$A:$A,"Quantity (units)")</f>
        <v>4</v>
      </c>
      <c r="D487" s="8" t="n">
        <f aca="false">SUMIFS('Source 2026'!$D:$D,'Source 2026'!$B:$B,$A487,'Source 2026'!$A:$A,"Quantity (units)")+SUMIFS('Source 2026'!$E:$E,'Source 2026'!$B:$B,$A487,'Source 2026'!$A:$A,"Quantity (units)")+SUMIFS('Source 2026'!$F:$F,'Source 2026'!$B:$B,$A487,'Source 2026'!$A:$A,"Quantity (units)")+SUMIFS('Source 2026'!$G:$G,'Source 2026'!$B:$B,$A487,'Source 2026'!$A:$A,"Quantity (units)")+SUMIFS('Source 2026'!$J:$J,'Source 2026'!$B:$B,$A487,'Source 2026'!$A:$A,"Quantity (units)")+SUMIFS('Source 2026'!$M:$M,'Source 2026'!$B:$B,$A487,'Source 2026'!$A:$A,"Quantity (units)")</f>
        <v>2</v>
      </c>
      <c r="E487" s="8" t="n">
        <f aca="false">D487*$J$5</f>
        <v>2.74285714285714</v>
      </c>
      <c r="F487" s="8" t="n">
        <f aca="false">E487-C487</f>
        <v>-1.25714285714286</v>
      </c>
      <c r="G487" s="9" t="n">
        <f aca="false">IF(AND(C487=0,E487=0),0,IF(C487=0,"New",(E487-C487)/C487))</f>
        <v>-0.314285714285714</v>
      </c>
      <c r="H487" s="8" t="n">
        <f aca="false">SUMIFS('Source 2025'!$D:$D,'Source 2025'!$B:$B,$A487,'Source 2025'!$A:$A,"Amount (NIS)")+SUMIFS('Source 2025'!$E:$E,'Source 2025'!$B:$B,$A487,'Source 2025'!$A:$A,"Amount (NIS)")+SUMIFS('Source 2025'!$F:$F,'Source 2025'!$B:$B,$A487,'Source 2025'!$A:$A,"Amount (NIS)")+SUMIFS('Source 2025'!$G:$G,'Source 2025'!$B:$B,$A487,'Source 2025'!$A:$A,"Amount (NIS)")+SUMIFS('Source 2025'!$J:$J,'Source 2025'!$B:$B,$A487,'Source 2025'!$A:$A,"Amount (NIS)")+SUMIFS('Source 2025'!$M:$M,'Source 2025'!$B:$B,$A487,'Source 2025'!$A:$A,"Amount (NIS)")</f>
        <v>186</v>
      </c>
      <c r="I487" s="8" t="n">
        <f aca="false">SUMIFS('Source 2026'!$D:$D,'Source 2026'!$B:$B,$A487,'Source 2026'!$A:$A,"Amount (NIS)")+SUMIFS('Source 2026'!$E:$E,'Source 2026'!$B:$B,$A487,'Source 2026'!$A:$A,"Amount (NIS)")+SUMIFS('Source 2026'!$F:$F,'Source 2026'!$B:$B,$A487,'Source 2026'!$A:$A,"Amount (NIS)")+SUMIFS('Source 2026'!$G:$G,'Source 2026'!$B:$B,$A487,'Source 2026'!$A:$A,"Amount (NIS)")+SUMIFS('Source 2026'!$J:$J,'Source 2026'!$B:$B,$A487,'Source 2026'!$A:$A,"Amount (NIS)")+SUMIFS('Source 2026'!$M:$M,'Source 2026'!$B:$B,$A487,'Source 2026'!$A:$A,"Amount (NIS)")</f>
        <v>75.7</v>
      </c>
      <c r="J487" s="8" t="n">
        <f aca="false">I487*$J$5</f>
        <v>103.817142857143</v>
      </c>
      <c r="K487" s="8" t="n">
        <f aca="false">J487-H487</f>
        <v>-82.1828571428572</v>
      </c>
      <c r="L487" s="9" t="n">
        <f aca="false">IF(AND(H487=0,J487=0),0,IF(H487=0,"New",(J487-H487)/H487))</f>
        <v>-0.44184331797235</v>
      </c>
    </row>
    <row r="488" customFormat="false" ht="15" hidden="false" customHeight="false" outlineLevel="0" collapsed="false">
      <c r="A488" s="7" t="n">
        <v>4415164</v>
      </c>
      <c r="B488" s="7" t="str">
        <f aca="false">IFERROR(INDEX('Source 2026'!$C:$C,MATCH($A488,'Source 2026'!$B:$B,0)),IFERROR(INDEX('Source 2025'!$C:$C,MATCH($A488,'Source 2025'!$B:$B,0)),""))</f>
        <v>267LC  L-XL 'סד יד שמאל בז</v>
      </c>
      <c r="C488" s="8" t="n">
        <f aca="false">SUMIFS('Source 2025'!$D:$D,'Source 2025'!$B:$B,$A488,'Source 2025'!$A:$A,"Quantity (units)")+SUMIFS('Source 2025'!$E:$E,'Source 2025'!$B:$B,$A488,'Source 2025'!$A:$A,"Quantity (units)")+SUMIFS('Source 2025'!$F:$F,'Source 2025'!$B:$B,$A488,'Source 2025'!$A:$A,"Quantity (units)")+SUMIFS('Source 2025'!$G:$G,'Source 2025'!$B:$B,$A488,'Source 2025'!$A:$A,"Quantity (units)")+SUMIFS('Source 2025'!$J:$J,'Source 2025'!$B:$B,$A488,'Source 2025'!$A:$A,"Quantity (units)")+SUMIFS('Source 2025'!$M:$M,'Source 2025'!$B:$B,$A488,'Source 2025'!$A:$A,"Quantity (units)")</f>
        <v>1</v>
      </c>
      <c r="D488" s="8" t="n">
        <f aca="false">SUMIFS('Source 2026'!$D:$D,'Source 2026'!$B:$B,$A488,'Source 2026'!$A:$A,"Quantity (units)")+SUMIFS('Source 2026'!$E:$E,'Source 2026'!$B:$B,$A488,'Source 2026'!$A:$A,"Quantity (units)")+SUMIFS('Source 2026'!$F:$F,'Source 2026'!$B:$B,$A488,'Source 2026'!$A:$A,"Quantity (units)")+SUMIFS('Source 2026'!$G:$G,'Source 2026'!$B:$B,$A488,'Source 2026'!$A:$A,"Quantity (units)")+SUMIFS('Source 2026'!$J:$J,'Source 2026'!$B:$B,$A488,'Source 2026'!$A:$A,"Quantity (units)")+SUMIFS('Source 2026'!$M:$M,'Source 2026'!$B:$B,$A488,'Source 2026'!$A:$A,"Quantity (units)")</f>
        <v>0</v>
      </c>
      <c r="E488" s="8" t="n">
        <f aca="false">D488*$J$5</f>
        <v>0</v>
      </c>
      <c r="F488" s="8" t="n">
        <f aca="false">E488-C488</f>
        <v>-1</v>
      </c>
      <c r="G488" s="9" t="n">
        <f aca="false">IF(AND(C488=0,E488=0),0,IF(C488=0,"New",(E488-C488)/C488))</f>
        <v>-1</v>
      </c>
      <c r="H488" s="8" t="n">
        <f aca="false">SUMIFS('Source 2025'!$D:$D,'Source 2025'!$B:$B,$A488,'Source 2025'!$A:$A,"Amount (NIS)")+SUMIFS('Source 2025'!$E:$E,'Source 2025'!$B:$B,$A488,'Source 2025'!$A:$A,"Amount (NIS)")+SUMIFS('Source 2025'!$F:$F,'Source 2025'!$B:$B,$A488,'Source 2025'!$A:$A,"Amount (NIS)")+SUMIFS('Source 2025'!$G:$G,'Source 2025'!$B:$B,$A488,'Source 2025'!$A:$A,"Amount (NIS)")+SUMIFS('Source 2025'!$J:$J,'Source 2025'!$B:$B,$A488,'Source 2025'!$A:$A,"Amount (NIS)")+SUMIFS('Source 2025'!$M:$M,'Source 2025'!$B:$B,$A488,'Source 2025'!$A:$A,"Amount (NIS)")</f>
        <v>108.7</v>
      </c>
      <c r="I488" s="8" t="n">
        <f aca="false">SUMIFS('Source 2026'!$D:$D,'Source 2026'!$B:$B,$A488,'Source 2026'!$A:$A,"Amount (NIS)")+SUMIFS('Source 2026'!$E:$E,'Source 2026'!$B:$B,$A488,'Source 2026'!$A:$A,"Amount (NIS)")+SUMIFS('Source 2026'!$F:$F,'Source 2026'!$B:$B,$A488,'Source 2026'!$A:$A,"Amount (NIS)")+SUMIFS('Source 2026'!$G:$G,'Source 2026'!$B:$B,$A488,'Source 2026'!$A:$A,"Amount (NIS)")+SUMIFS('Source 2026'!$J:$J,'Source 2026'!$B:$B,$A488,'Source 2026'!$A:$A,"Amount (NIS)")+SUMIFS('Source 2026'!$M:$M,'Source 2026'!$B:$B,$A488,'Source 2026'!$A:$A,"Amount (NIS)")</f>
        <v>0</v>
      </c>
      <c r="J488" s="8" t="n">
        <f aca="false">I488*$J$5</f>
        <v>0</v>
      </c>
      <c r="K488" s="8" t="n">
        <f aca="false">J488-H488</f>
        <v>-108.7</v>
      </c>
      <c r="L488" s="9" t="n">
        <f aca="false">IF(AND(H488=0,J488=0),0,IF(H488=0,"New",(J488-H488)/H488))</f>
        <v>-1</v>
      </c>
    </row>
    <row r="489" customFormat="false" ht="15" hidden="false" customHeight="false" outlineLevel="0" collapsed="false">
      <c r="A489" s="7" t="n">
        <v>4415165</v>
      </c>
      <c r="B489" s="7" t="str">
        <f aca="false">IFERROR(INDEX('Source 2026'!$C:$C,MATCH($A489,'Source 2026'!$B:$B,0)),IFERROR(INDEX('Source 2025'!$C:$C,MATCH($A489,'Source 2025'!$B:$B,0)),""))</f>
        <v>267LC   S-M'סד יד שמאל בז</v>
      </c>
      <c r="C489" s="8" t="n">
        <f aca="false">SUMIFS('Source 2025'!$D:$D,'Source 2025'!$B:$B,$A489,'Source 2025'!$A:$A,"Quantity (units)")+SUMIFS('Source 2025'!$E:$E,'Source 2025'!$B:$B,$A489,'Source 2025'!$A:$A,"Quantity (units)")+SUMIFS('Source 2025'!$F:$F,'Source 2025'!$B:$B,$A489,'Source 2025'!$A:$A,"Quantity (units)")+SUMIFS('Source 2025'!$G:$G,'Source 2025'!$B:$B,$A489,'Source 2025'!$A:$A,"Quantity (units)")+SUMIFS('Source 2025'!$J:$J,'Source 2025'!$B:$B,$A489,'Source 2025'!$A:$A,"Quantity (units)")+SUMIFS('Source 2025'!$M:$M,'Source 2025'!$B:$B,$A489,'Source 2025'!$A:$A,"Quantity (units)")</f>
        <v>1</v>
      </c>
      <c r="D489" s="8" t="n">
        <f aca="false">SUMIFS('Source 2026'!$D:$D,'Source 2026'!$B:$B,$A489,'Source 2026'!$A:$A,"Quantity (units)")+SUMIFS('Source 2026'!$E:$E,'Source 2026'!$B:$B,$A489,'Source 2026'!$A:$A,"Quantity (units)")+SUMIFS('Source 2026'!$F:$F,'Source 2026'!$B:$B,$A489,'Source 2026'!$A:$A,"Quantity (units)")+SUMIFS('Source 2026'!$G:$G,'Source 2026'!$B:$B,$A489,'Source 2026'!$A:$A,"Quantity (units)")+SUMIFS('Source 2026'!$J:$J,'Source 2026'!$B:$B,$A489,'Source 2026'!$A:$A,"Quantity (units)")+SUMIFS('Source 2026'!$M:$M,'Source 2026'!$B:$B,$A489,'Source 2026'!$A:$A,"Quantity (units)")</f>
        <v>0</v>
      </c>
      <c r="E489" s="8" t="n">
        <f aca="false">D489*$J$5</f>
        <v>0</v>
      </c>
      <c r="F489" s="8" t="n">
        <f aca="false">E489-C489</f>
        <v>-1</v>
      </c>
      <c r="G489" s="9" t="n">
        <f aca="false">IF(AND(C489=0,E489=0),0,IF(C489=0,"New",(E489-C489)/C489))</f>
        <v>-1</v>
      </c>
      <c r="H489" s="8" t="n">
        <f aca="false">SUMIFS('Source 2025'!$D:$D,'Source 2025'!$B:$B,$A489,'Source 2025'!$A:$A,"Amount (NIS)")+SUMIFS('Source 2025'!$E:$E,'Source 2025'!$B:$B,$A489,'Source 2025'!$A:$A,"Amount (NIS)")+SUMIFS('Source 2025'!$F:$F,'Source 2025'!$B:$B,$A489,'Source 2025'!$A:$A,"Amount (NIS)")+SUMIFS('Source 2025'!$G:$G,'Source 2025'!$B:$B,$A489,'Source 2025'!$A:$A,"Amount (NIS)")+SUMIFS('Source 2025'!$J:$J,'Source 2025'!$B:$B,$A489,'Source 2025'!$A:$A,"Amount (NIS)")+SUMIFS('Source 2025'!$M:$M,'Source 2025'!$B:$B,$A489,'Source 2025'!$A:$A,"Amount (NIS)")</f>
        <v>108.7</v>
      </c>
      <c r="I489" s="8" t="n">
        <f aca="false">SUMIFS('Source 2026'!$D:$D,'Source 2026'!$B:$B,$A489,'Source 2026'!$A:$A,"Amount (NIS)")+SUMIFS('Source 2026'!$E:$E,'Source 2026'!$B:$B,$A489,'Source 2026'!$A:$A,"Amount (NIS)")+SUMIFS('Source 2026'!$F:$F,'Source 2026'!$B:$B,$A489,'Source 2026'!$A:$A,"Amount (NIS)")+SUMIFS('Source 2026'!$G:$G,'Source 2026'!$B:$B,$A489,'Source 2026'!$A:$A,"Amount (NIS)")+SUMIFS('Source 2026'!$J:$J,'Source 2026'!$B:$B,$A489,'Source 2026'!$A:$A,"Amount (NIS)")+SUMIFS('Source 2026'!$M:$M,'Source 2026'!$B:$B,$A489,'Source 2026'!$A:$A,"Amount (NIS)")</f>
        <v>0</v>
      </c>
      <c r="J489" s="8" t="n">
        <f aca="false">I489*$J$5</f>
        <v>0</v>
      </c>
      <c r="K489" s="8" t="n">
        <f aca="false">J489-H489</f>
        <v>-108.7</v>
      </c>
      <c r="L489" s="9" t="n">
        <f aca="false">IF(AND(H489=0,J489=0),0,IF(H489=0,"New",(J489-H489)/H489))</f>
        <v>-1</v>
      </c>
    </row>
    <row r="490" customFormat="false" ht="15" hidden="false" customHeight="false" outlineLevel="0" collapsed="false">
      <c r="A490" s="7" t="n">
        <v>4415167</v>
      </c>
      <c r="B490" s="7" t="str">
        <f aca="false">IFERROR(INDEX('Source 2026'!$C:$C,MATCH($A490,'Source 2026'!$B:$B,0)),IFERROR(INDEX('Source 2025'!$C:$C,MATCH($A490,'Source 2025'!$B:$B,0)),""))</f>
        <v>267RC  L-XL 'סד יד ימין בז</v>
      </c>
      <c r="C490" s="8" t="n">
        <f aca="false">SUMIFS('Source 2025'!$D:$D,'Source 2025'!$B:$B,$A490,'Source 2025'!$A:$A,"Quantity (units)")+SUMIFS('Source 2025'!$E:$E,'Source 2025'!$B:$B,$A490,'Source 2025'!$A:$A,"Quantity (units)")+SUMIFS('Source 2025'!$F:$F,'Source 2025'!$B:$B,$A490,'Source 2025'!$A:$A,"Quantity (units)")+SUMIFS('Source 2025'!$G:$G,'Source 2025'!$B:$B,$A490,'Source 2025'!$A:$A,"Quantity (units)")+SUMIFS('Source 2025'!$J:$J,'Source 2025'!$B:$B,$A490,'Source 2025'!$A:$A,"Quantity (units)")+SUMIFS('Source 2025'!$M:$M,'Source 2025'!$B:$B,$A490,'Source 2025'!$A:$A,"Quantity (units)")</f>
        <v>1</v>
      </c>
      <c r="D490" s="8" t="n">
        <f aca="false">SUMIFS('Source 2026'!$D:$D,'Source 2026'!$B:$B,$A490,'Source 2026'!$A:$A,"Quantity (units)")+SUMIFS('Source 2026'!$E:$E,'Source 2026'!$B:$B,$A490,'Source 2026'!$A:$A,"Quantity (units)")+SUMIFS('Source 2026'!$F:$F,'Source 2026'!$B:$B,$A490,'Source 2026'!$A:$A,"Quantity (units)")+SUMIFS('Source 2026'!$G:$G,'Source 2026'!$B:$B,$A490,'Source 2026'!$A:$A,"Quantity (units)")+SUMIFS('Source 2026'!$J:$J,'Source 2026'!$B:$B,$A490,'Source 2026'!$A:$A,"Quantity (units)")+SUMIFS('Source 2026'!$M:$M,'Source 2026'!$B:$B,$A490,'Source 2026'!$A:$A,"Quantity (units)")</f>
        <v>0</v>
      </c>
      <c r="E490" s="8" t="n">
        <f aca="false">D490*$J$5</f>
        <v>0</v>
      </c>
      <c r="F490" s="8" t="n">
        <f aca="false">E490-C490</f>
        <v>-1</v>
      </c>
      <c r="G490" s="9" t="n">
        <f aca="false">IF(AND(C490=0,E490=0),0,IF(C490=0,"New",(E490-C490)/C490))</f>
        <v>-1</v>
      </c>
      <c r="H490" s="8" t="n">
        <f aca="false">SUMIFS('Source 2025'!$D:$D,'Source 2025'!$B:$B,$A490,'Source 2025'!$A:$A,"Amount (NIS)")+SUMIFS('Source 2025'!$E:$E,'Source 2025'!$B:$B,$A490,'Source 2025'!$A:$A,"Amount (NIS)")+SUMIFS('Source 2025'!$F:$F,'Source 2025'!$B:$B,$A490,'Source 2025'!$A:$A,"Amount (NIS)")+SUMIFS('Source 2025'!$G:$G,'Source 2025'!$B:$B,$A490,'Source 2025'!$A:$A,"Amount (NIS)")+SUMIFS('Source 2025'!$J:$J,'Source 2025'!$B:$B,$A490,'Source 2025'!$A:$A,"Amount (NIS)")+SUMIFS('Source 2025'!$M:$M,'Source 2025'!$B:$B,$A490,'Source 2025'!$A:$A,"Amount (NIS)")</f>
        <v>108.7</v>
      </c>
      <c r="I490" s="8" t="n">
        <f aca="false">SUMIFS('Source 2026'!$D:$D,'Source 2026'!$B:$B,$A490,'Source 2026'!$A:$A,"Amount (NIS)")+SUMIFS('Source 2026'!$E:$E,'Source 2026'!$B:$B,$A490,'Source 2026'!$A:$A,"Amount (NIS)")+SUMIFS('Source 2026'!$F:$F,'Source 2026'!$B:$B,$A490,'Source 2026'!$A:$A,"Amount (NIS)")+SUMIFS('Source 2026'!$G:$G,'Source 2026'!$B:$B,$A490,'Source 2026'!$A:$A,"Amount (NIS)")+SUMIFS('Source 2026'!$J:$J,'Source 2026'!$B:$B,$A490,'Source 2026'!$A:$A,"Amount (NIS)")+SUMIFS('Source 2026'!$M:$M,'Source 2026'!$B:$B,$A490,'Source 2026'!$A:$A,"Amount (NIS)")</f>
        <v>0</v>
      </c>
      <c r="J490" s="8" t="n">
        <f aca="false">I490*$J$5</f>
        <v>0</v>
      </c>
      <c r="K490" s="8" t="n">
        <f aca="false">J490-H490</f>
        <v>-108.7</v>
      </c>
      <c r="L490" s="9" t="n">
        <f aca="false">IF(AND(H490=0,J490=0),0,IF(H490=0,"New",(J490-H490)/H490))</f>
        <v>-1</v>
      </c>
    </row>
    <row r="491" customFormat="false" ht="15" hidden="false" customHeight="false" outlineLevel="0" collapsed="false">
      <c r="A491" s="7" t="n">
        <v>4415168</v>
      </c>
      <c r="B491" s="7" t="str">
        <f aca="false">IFERROR(INDEX('Source 2026'!$C:$C,MATCH($A491,'Source 2026'!$B:$B,0)),IFERROR(INDEX('Source 2025'!$C:$C,MATCH($A491,'Source 2025'!$B:$B,0)),""))</f>
        <v>267RC  S-M 'סד יד ימין בז</v>
      </c>
      <c r="C491" s="8" t="n">
        <f aca="false">SUMIFS('Source 2025'!$D:$D,'Source 2025'!$B:$B,$A491,'Source 2025'!$A:$A,"Quantity (units)")+SUMIFS('Source 2025'!$E:$E,'Source 2025'!$B:$B,$A491,'Source 2025'!$A:$A,"Quantity (units)")+SUMIFS('Source 2025'!$F:$F,'Source 2025'!$B:$B,$A491,'Source 2025'!$A:$A,"Quantity (units)")+SUMIFS('Source 2025'!$G:$G,'Source 2025'!$B:$B,$A491,'Source 2025'!$A:$A,"Quantity (units)")+SUMIFS('Source 2025'!$J:$J,'Source 2025'!$B:$B,$A491,'Source 2025'!$A:$A,"Quantity (units)")+SUMIFS('Source 2025'!$M:$M,'Source 2025'!$B:$B,$A491,'Source 2025'!$A:$A,"Quantity (units)")</f>
        <v>1</v>
      </c>
      <c r="D491" s="8" t="n">
        <f aca="false">SUMIFS('Source 2026'!$D:$D,'Source 2026'!$B:$B,$A491,'Source 2026'!$A:$A,"Quantity (units)")+SUMIFS('Source 2026'!$E:$E,'Source 2026'!$B:$B,$A491,'Source 2026'!$A:$A,"Quantity (units)")+SUMIFS('Source 2026'!$F:$F,'Source 2026'!$B:$B,$A491,'Source 2026'!$A:$A,"Quantity (units)")+SUMIFS('Source 2026'!$G:$G,'Source 2026'!$B:$B,$A491,'Source 2026'!$A:$A,"Quantity (units)")+SUMIFS('Source 2026'!$J:$J,'Source 2026'!$B:$B,$A491,'Source 2026'!$A:$A,"Quantity (units)")+SUMIFS('Source 2026'!$M:$M,'Source 2026'!$B:$B,$A491,'Source 2026'!$A:$A,"Quantity (units)")</f>
        <v>0</v>
      </c>
      <c r="E491" s="8" t="n">
        <f aca="false">D491*$J$5</f>
        <v>0</v>
      </c>
      <c r="F491" s="8" t="n">
        <f aca="false">E491-C491</f>
        <v>-1</v>
      </c>
      <c r="G491" s="9" t="n">
        <f aca="false">IF(AND(C491=0,E491=0),0,IF(C491=0,"New",(E491-C491)/C491))</f>
        <v>-1</v>
      </c>
      <c r="H491" s="8" t="n">
        <f aca="false">SUMIFS('Source 2025'!$D:$D,'Source 2025'!$B:$B,$A491,'Source 2025'!$A:$A,"Amount (NIS)")+SUMIFS('Source 2025'!$E:$E,'Source 2025'!$B:$B,$A491,'Source 2025'!$A:$A,"Amount (NIS)")+SUMIFS('Source 2025'!$F:$F,'Source 2025'!$B:$B,$A491,'Source 2025'!$A:$A,"Amount (NIS)")+SUMIFS('Source 2025'!$G:$G,'Source 2025'!$B:$B,$A491,'Source 2025'!$A:$A,"Amount (NIS)")+SUMIFS('Source 2025'!$J:$J,'Source 2025'!$B:$B,$A491,'Source 2025'!$A:$A,"Amount (NIS)")+SUMIFS('Source 2025'!$M:$M,'Source 2025'!$B:$B,$A491,'Source 2025'!$A:$A,"Amount (NIS)")</f>
        <v>108.7</v>
      </c>
      <c r="I491" s="8" t="n">
        <f aca="false">SUMIFS('Source 2026'!$D:$D,'Source 2026'!$B:$B,$A491,'Source 2026'!$A:$A,"Amount (NIS)")+SUMIFS('Source 2026'!$E:$E,'Source 2026'!$B:$B,$A491,'Source 2026'!$A:$A,"Amount (NIS)")+SUMIFS('Source 2026'!$F:$F,'Source 2026'!$B:$B,$A491,'Source 2026'!$A:$A,"Amount (NIS)")+SUMIFS('Source 2026'!$G:$G,'Source 2026'!$B:$B,$A491,'Source 2026'!$A:$A,"Amount (NIS)")+SUMIFS('Source 2026'!$J:$J,'Source 2026'!$B:$B,$A491,'Source 2026'!$A:$A,"Amount (NIS)")+SUMIFS('Source 2026'!$M:$M,'Source 2026'!$B:$B,$A491,'Source 2026'!$A:$A,"Amount (NIS)")</f>
        <v>0</v>
      </c>
      <c r="J491" s="8" t="n">
        <f aca="false">I491*$J$5</f>
        <v>0</v>
      </c>
      <c r="K491" s="8" t="n">
        <f aca="false">J491-H491</f>
        <v>-108.7</v>
      </c>
      <c r="L491" s="9" t="n">
        <f aca="false">IF(AND(H491=0,J491=0),0,IF(H491=0,"New",(J491-H491)/H491))</f>
        <v>-1</v>
      </c>
    </row>
    <row r="492" customFormat="false" ht="15" hidden="false" customHeight="false" outlineLevel="0" collapsed="false">
      <c r="A492" s="7" t="n">
        <v>4415170</v>
      </c>
      <c r="B492" s="7" t="str">
        <f aca="false">IFERROR(INDEX('Source 2026'!$C:$C,MATCH($A492,'Source 2026'!$B:$B,0)),IFERROR(INDEX('Source 2025'!$C:$C,MATCH($A492,'Source 2025'!$B:$B,0)),""))</f>
        <v>267LB  L-XLסד יד שמאל שחור</v>
      </c>
      <c r="C492" s="8" t="n">
        <f aca="false">SUMIFS('Source 2025'!$D:$D,'Source 2025'!$B:$B,$A492,'Source 2025'!$A:$A,"Quantity (units)")+SUMIFS('Source 2025'!$E:$E,'Source 2025'!$B:$B,$A492,'Source 2025'!$A:$A,"Quantity (units)")+SUMIFS('Source 2025'!$F:$F,'Source 2025'!$B:$B,$A492,'Source 2025'!$A:$A,"Quantity (units)")+SUMIFS('Source 2025'!$G:$G,'Source 2025'!$B:$B,$A492,'Source 2025'!$A:$A,"Quantity (units)")+SUMIFS('Source 2025'!$J:$J,'Source 2025'!$B:$B,$A492,'Source 2025'!$A:$A,"Quantity (units)")+SUMIFS('Source 2025'!$M:$M,'Source 2025'!$B:$B,$A492,'Source 2025'!$A:$A,"Quantity (units)")</f>
        <v>1</v>
      </c>
      <c r="D492" s="8" t="n">
        <f aca="false">SUMIFS('Source 2026'!$D:$D,'Source 2026'!$B:$B,$A492,'Source 2026'!$A:$A,"Quantity (units)")+SUMIFS('Source 2026'!$E:$E,'Source 2026'!$B:$B,$A492,'Source 2026'!$A:$A,"Quantity (units)")+SUMIFS('Source 2026'!$F:$F,'Source 2026'!$B:$B,$A492,'Source 2026'!$A:$A,"Quantity (units)")+SUMIFS('Source 2026'!$G:$G,'Source 2026'!$B:$B,$A492,'Source 2026'!$A:$A,"Quantity (units)")+SUMIFS('Source 2026'!$J:$J,'Source 2026'!$B:$B,$A492,'Source 2026'!$A:$A,"Quantity (units)")+SUMIFS('Source 2026'!$M:$M,'Source 2026'!$B:$B,$A492,'Source 2026'!$A:$A,"Quantity (units)")</f>
        <v>0</v>
      </c>
      <c r="E492" s="8" t="n">
        <f aca="false">D492*$J$5</f>
        <v>0</v>
      </c>
      <c r="F492" s="8" t="n">
        <f aca="false">E492-C492</f>
        <v>-1</v>
      </c>
      <c r="G492" s="9" t="n">
        <f aca="false">IF(AND(C492=0,E492=0),0,IF(C492=0,"New",(E492-C492)/C492))</f>
        <v>-1</v>
      </c>
      <c r="H492" s="8" t="n">
        <f aca="false">SUMIFS('Source 2025'!$D:$D,'Source 2025'!$B:$B,$A492,'Source 2025'!$A:$A,"Amount (NIS)")+SUMIFS('Source 2025'!$E:$E,'Source 2025'!$B:$B,$A492,'Source 2025'!$A:$A,"Amount (NIS)")+SUMIFS('Source 2025'!$F:$F,'Source 2025'!$B:$B,$A492,'Source 2025'!$A:$A,"Amount (NIS)")+SUMIFS('Source 2025'!$G:$G,'Source 2025'!$B:$B,$A492,'Source 2025'!$A:$A,"Amount (NIS)")+SUMIFS('Source 2025'!$J:$J,'Source 2025'!$B:$B,$A492,'Source 2025'!$A:$A,"Amount (NIS)")+SUMIFS('Source 2025'!$M:$M,'Source 2025'!$B:$B,$A492,'Source 2025'!$A:$A,"Amount (NIS)")</f>
        <v>108.7</v>
      </c>
      <c r="I492" s="8" t="n">
        <f aca="false">SUMIFS('Source 2026'!$D:$D,'Source 2026'!$B:$B,$A492,'Source 2026'!$A:$A,"Amount (NIS)")+SUMIFS('Source 2026'!$E:$E,'Source 2026'!$B:$B,$A492,'Source 2026'!$A:$A,"Amount (NIS)")+SUMIFS('Source 2026'!$F:$F,'Source 2026'!$B:$B,$A492,'Source 2026'!$A:$A,"Amount (NIS)")+SUMIFS('Source 2026'!$G:$G,'Source 2026'!$B:$B,$A492,'Source 2026'!$A:$A,"Amount (NIS)")+SUMIFS('Source 2026'!$J:$J,'Source 2026'!$B:$B,$A492,'Source 2026'!$A:$A,"Amount (NIS)")+SUMIFS('Source 2026'!$M:$M,'Source 2026'!$B:$B,$A492,'Source 2026'!$A:$A,"Amount (NIS)")</f>
        <v>0</v>
      </c>
      <c r="J492" s="8" t="n">
        <f aca="false">I492*$J$5</f>
        <v>0</v>
      </c>
      <c r="K492" s="8" t="n">
        <f aca="false">J492-H492</f>
        <v>-108.7</v>
      </c>
      <c r="L492" s="9" t="n">
        <f aca="false">IF(AND(H492=0,J492=0),0,IF(H492=0,"New",(J492-H492)/H492))</f>
        <v>-1</v>
      </c>
    </row>
    <row r="493" customFormat="false" ht="15" hidden="false" customHeight="false" outlineLevel="0" collapsed="false">
      <c r="A493" s="7" t="n">
        <v>4415171</v>
      </c>
      <c r="B493" s="7" t="str">
        <f aca="false">IFERROR(INDEX('Source 2026'!$C:$C,MATCH($A493,'Source 2026'!$B:$B,0)),IFERROR(INDEX('Source 2025'!$C:$C,MATCH($A493,'Source 2025'!$B:$B,0)),""))</f>
        <v>267LB  S-M סד יד שמאל שחור</v>
      </c>
      <c r="C493" s="8" t="n">
        <f aca="false">SUMIFS('Source 2025'!$D:$D,'Source 2025'!$B:$B,$A493,'Source 2025'!$A:$A,"Quantity (units)")+SUMIFS('Source 2025'!$E:$E,'Source 2025'!$B:$B,$A493,'Source 2025'!$A:$A,"Quantity (units)")+SUMIFS('Source 2025'!$F:$F,'Source 2025'!$B:$B,$A493,'Source 2025'!$A:$A,"Quantity (units)")+SUMIFS('Source 2025'!$G:$G,'Source 2025'!$B:$B,$A493,'Source 2025'!$A:$A,"Quantity (units)")+SUMIFS('Source 2025'!$J:$J,'Source 2025'!$B:$B,$A493,'Source 2025'!$A:$A,"Quantity (units)")+SUMIFS('Source 2025'!$M:$M,'Source 2025'!$B:$B,$A493,'Source 2025'!$A:$A,"Quantity (units)")</f>
        <v>1</v>
      </c>
      <c r="D493" s="8" t="n">
        <f aca="false">SUMIFS('Source 2026'!$D:$D,'Source 2026'!$B:$B,$A493,'Source 2026'!$A:$A,"Quantity (units)")+SUMIFS('Source 2026'!$E:$E,'Source 2026'!$B:$B,$A493,'Source 2026'!$A:$A,"Quantity (units)")+SUMIFS('Source 2026'!$F:$F,'Source 2026'!$B:$B,$A493,'Source 2026'!$A:$A,"Quantity (units)")+SUMIFS('Source 2026'!$G:$G,'Source 2026'!$B:$B,$A493,'Source 2026'!$A:$A,"Quantity (units)")+SUMIFS('Source 2026'!$J:$J,'Source 2026'!$B:$B,$A493,'Source 2026'!$A:$A,"Quantity (units)")+SUMIFS('Source 2026'!$M:$M,'Source 2026'!$B:$B,$A493,'Source 2026'!$A:$A,"Quantity (units)")</f>
        <v>0</v>
      </c>
      <c r="E493" s="8" t="n">
        <f aca="false">D493*$J$5</f>
        <v>0</v>
      </c>
      <c r="F493" s="8" t="n">
        <f aca="false">E493-C493</f>
        <v>-1</v>
      </c>
      <c r="G493" s="9" t="n">
        <f aca="false">IF(AND(C493=0,E493=0),0,IF(C493=0,"New",(E493-C493)/C493))</f>
        <v>-1</v>
      </c>
      <c r="H493" s="8" t="n">
        <f aca="false">SUMIFS('Source 2025'!$D:$D,'Source 2025'!$B:$B,$A493,'Source 2025'!$A:$A,"Amount (NIS)")+SUMIFS('Source 2025'!$E:$E,'Source 2025'!$B:$B,$A493,'Source 2025'!$A:$A,"Amount (NIS)")+SUMIFS('Source 2025'!$F:$F,'Source 2025'!$B:$B,$A493,'Source 2025'!$A:$A,"Amount (NIS)")+SUMIFS('Source 2025'!$G:$G,'Source 2025'!$B:$B,$A493,'Source 2025'!$A:$A,"Amount (NIS)")+SUMIFS('Source 2025'!$J:$J,'Source 2025'!$B:$B,$A493,'Source 2025'!$A:$A,"Amount (NIS)")+SUMIFS('Source 2025'!$M:$M,'Source 2025'!$B:$B,$A493,'Source 2025'!$A:$A,"Amount (NIS)")</f>
        <v>108.7</v>
      </c>
      <c r="I493" s="8" t="n">
        <f aca="false">SUMIFS('Source 2026'!$D:$D,'Source 2026'!$B:$B,$A493,'Source 2026'!$A:$A,"Amount (NIS)")+SUMIFS('Source 2026'!$E:$E,'Source 2026'!$B:$B,$A493,'Source 2026'!$A:$A,"Amount (NIS)")+SUMIFS('Source 2026'!$F:$F,'Source 2026'!$B:$B,$A493,'Source 2026'!$A:$A,"Amount (NIS)")+SUMIFS('Source 2026'!$G:$G,'Source 2026'!$B:$B,$A493,'Source 2026'!$A:$A,"Amount (NIS)")+SUMIFS('Source 2026'!$J:$J,'Source 2026'!$B:$B,$A493,'Source 2026'!$A:$A,"Amount (NIS)")+SUMIFS('Source 2026'!$M:$M,'Source 2026'!$B:$B,$A493,'Source 2026'!$A:$A,"Amount (NIS)")</f>
        <v>0</v>
      </c>
      <c r="J493" s="8" t="n">
        <f aca="false">I493*$J$5</f>
        <v>0</v>
      </c>
      <c r="K493" s="8" t="n">
        <f aca="false">J493-H493</f>
        <v>-108.7</v>
      </c>
      <c r="L493" s="9" t="n">
        <f aca="false">IF(AND(H493=0,J493=0),0,IF(H493=0,"New",(J493-H493)/H493))</f>
        <v>-1</v>
      </c>
    </row>
    <row r="494" customFormat="false" ht="15" hidden="false" customHeight="false" outlineLevel="0" collapsed="false">
      <c r="A494" s="7" t="n">
        <v>4415173</v>
      </c>
      <c r="B494" s="7" t="str">
        <f aca="false">IFERROR(INDEX('Source 2026'!$C:$C,MATCH($A494,'Source 2026'!$B:$B,0)),IFERROR(INDEX('Source 2025'!$C:$C,MATCH($A494,'Source 2025'!$B:$B,0)),""))</f>
        <v>267RB  L-XLסד יד ימין שחור</v>
      </c>
      <c r="C494" s="8" t="n">
        <f aca="false">SUMIFS('Source 2025'!$D:$D,'Source 2025'!$B:$B,$A494,'Source 2025'!$A:$A,"Quantity (units)")+SUMIFS('Source 2025'!$E:$E,'Source 2025'!$B:$B,$A494,'Source 2025'!$A:$A,"Quantity (units)")+SUMIFS('Source 2025'!$F:$F,'Source 2025'!$B:$B,$A494,'Source 2025'!$A:$A,"Quantity (units)")+SUMIFS('Source 2025'!$G:$G,'Source 2025'!$B:$B,$A494,'Source 2025'!$A:$A,"Quantity (units)")+SUMIFS('Source 2025'!$J:$J,'Source 2025'!$B:$B,$A494,'Source 2025'!$A:$A,"Quantity (units)")+SUMIFS('Source 2025'!$M:$M,'Source 2025'!$B:$B,$A494,'Source 2025'!$A:$A,"Quantity (units)")</f>
        <v>1</v>
      </c>
      <c r="D494" s="8" t="n">
        <f aca="false">SUMIFS('Source 2026'!$D:$D,'Source 2026'!$B:$B,$A494,'Source 2026'!$A:$A,"Quantity (units)")+SUMIFS('Source 2026'!$E:$E,'Source 2026'!$B:$B,$A494,'Source 2026'!$A:$A,"Quantity (units)")+SUMIFS('Source 2026'!$F:$F,'Source 2026'!$B:$B,$A494,'Source 2026'!$A:$A,"Quantity (units)")+SUMIFS('Source 2026'!$G:$G,'Source 2026'!$B:$B,$A494,'Source 2026'!$A:$A,"Quantity (units)")+SUMIFS('Source 2026'!$J:$J,'Source 2026'!$B:$B,$A494,'Source 2026'!$A:$A,"Quantity (units)")+SUMIFS('Source 2026'!$M:$M,'Source 2026'!$B:$B,$A494,'Source 2026'!$A:$A,"Quantity (units)")</f>
        <v>0</v>
      </c>
      <c r="E494" s="8" t="n">
        <f aca="false">D494*$J$5</f>
        <v>0</v>
      </c>
      <c r="F494" s="8" t="n">
        <f aca="false">E494-C494</f>
        <v>-1</v>
      </c>
      <c r="G494" s="9" t="n">
        <f aca="false">IF(AND(C494=0,E494=0),0,IF(C494=0,"New",(E494-C494)/C494))</f>
        <v>-1</v>
      </c>
      <c r="H494" s="8" t="n">
        <f aca="false">SUMIFS('Source 2025'!$D:$D,'Source 2025'!$B:$B,$A494,'Source 2025'!$A:$A,"Amount (NIS)")+SUMIFS('Source 2025'!$E:$E,'Source 2025'!$B:$B,$A494,'Source 2025'!$A:$A,"Amount (NIS)")+SUMIFS('Source 2025'!$F:$F,'Source 2025'!$B:$B,$A494,'Source 2025'!$A:$A,"Amount (NIS)")+SUMIFS('Source 2025'!$G:$G,'Source 2025'!$B:$B,$A494,'Source 2025'!$A:$A,"Amount (NIS)")+SUMIFS('Source 2025'!$J:$J,'Source 2025'!$B:$B,$A494,'Source 2025'!$A:$A,"Amount (NIS)")+SUMIFS('Source 2025'!$M:$M,'Source 2025'!$B:$B,$A494,'Source 2025'!$A:$A,"Amount (NIS)")</f>
        <v>108.7</v>
      </c>
      <c r="I494" s="8" t="n">
        <f aca="false">SUMIFS('Source 2026'!$D:$D,'Source 2026'!$B:$B,$A494,'Source 2026'!$A:$A,"Amount (NIS)")+SUMIFS('Source 2026'!$E:$E,'Source 2026'!$B:$B,$A494,'Source 2026'!$A:$A,"Amount (NIS)")+SUMIFS('Source 2026'!$F:$F,'Source 2026'!$B:$B,$A494,'Source 2026'!$A:$A,"Amount (NIS)")+SUMIFS('Source 2026'!$G:$G,'Source 2026'!$B:$B,$A494,'Source 2026'!$A:$A,"Amount (NIS)")+SUMIFS('Source 2026'!$J:$J,'Source 2026'!$B:$B,$A494,'Source 2026'!$A:$A,"Amount (NIS)")+SUMIFS('Source 2026'!$M:$M,'Source 2026'!$B:$B,$A494,'Source 2026'!$A:$A,"Amount (NIS)")</f>
        <v>0</v>
      </c>
      <c r="J494" s="8" t="n">
        <f aca="false">I494*$J$5</f>
        <v>0</v>
      </c>
      <c r="K494" s="8" t="n">
        <f aca="false">J494-H494</f>
        <v>-108.7</v>
      </c>
      <c r="L494" s="9" t="n">
        <f aca="false">IF(AND(H494=0,J494=0),0,IF(H494=0,"New",(J494-H494)/H494))</f>
        <v>-1</v>
      </c>
    </row>
    <row r="495" customFormat="false" ht="15" hidden="false" customHeight="false" outlineLevel="0" collapsed="false">
      <c r="A495" s="7" t="n">
        <v>4415174</v>
      </c>
      <c r="B495" s="7" t="str">
        <f aca="false">IFERROR(INDEX('Source 2026'!$C:$C,MATCH($A495,'Source 2026'!$B:$B,0)),IFERROR(INDEX('Source 2025'!$C:$C,MATCH($A495,'Source 2025'!$B:$B,0)),""))</f>
        <v>267RB  S-M סד יד ימין שחור</v>
      </c>
      <c r="C495" s="8" t="n">
        <f aca="false">SUMIFS('Source 2025'!$D:$D,'Source 2025'!$B:$B,$A495,'Source 2025'!$A:$A,"Quantity (units)")+SUMIFS('Source 2025'!$E:$E,'Source 2025'!$B:$B,$A495,'Source 2025'!$A:$A,"Quantity (units)")+SUMIFS('Source 2025'!$F:$F,'Source 2025'!$B:$B,$A495,'Source 2025'!$A:$A,"Quantity (units)")+SUMIFS('Source 2025'!$G:$G,'Source 2025'!$B:$B,$A495,'Source 2025'!$A:$A,"Quantity (units)")+SUMIFS('Source 2025'!$J:$J,'Source 2025'!$B:$B,$A495,'Source 2025'!$A:$A,"Quantity (units)")+SUMIFS('Source 2025'!$M:$M,'Source 2025'!$B:$B,$A495,'Source 2025'!$A:$A,"Quantity (units)")</f>
        <v>1</v>
      </c>
      <c r="D495" s="8" t="n">
        <f aca="false">SUMIFS('Source 2026'!$D:$D,'Source 2026'!$B:$B,$A495,'Source 2026'!$A:$A,"Quantity (units)")+SUMIFS('Source 2026'!$E:$E,'Source 2026'!$B:$B,$A495,'Source 2026'!$A:$A,"Quantity (units)")+SUMIFS('Source 2026'!$F:$F,'Source 2026'!$B:$B,$A495,'Source 2026'!$A:$A,"Quantity (units)")+SUMIFS('Source 2026'!$G:$G,'Source 2026'!$B:$B,$A495,'Source 2026'!$A:$A,"Quantity (units)")+SUMIFS('Source 2026'!$J:$J,'Source 2026'!$B:$B,$A495,'Source 2026'!$A:$A,"Quantity (units)")+SUMIFS('Source 2026'!$M:$M,'Source 2026'!$B:$B,$A495,'Source 2026'!$A:$A,"Quantity (units)")</f>
        <v>0</v>
      </c>
      <c r="E495" s="8" t="n">
        <f aca="false">D495*$J$5</f>
        <v>0</v>
      </c>
      <c r="F495" s="8" t="n">
        <f aca="false">E495-C495</f>
        <v>-1</v>
      </c>
      <c r="G495" s="9" t="n">
        <f aca="false">IF(AND(C495=0,E495=0),0,IF(C495=0,"New",(E495-C495)/C495))</f>
        <v>-1</v>
      </c>
      <c r="H495" s="8" t="n">
        <f aca="false">SUMIFS('Source 2025'!$D:$D,'Source 2025'!$B:$B,$A495,'Source 2025'!$A:$A,"Amount (NIS)")+SUMIFS('Source 2025'!$E:$E,'Source 2025'!$B:$B,$A495,'Source 2025'!$A:$A,"Amount (NIS)")+SUMIFS('Source 2025'!$F:$F,'Source 2025'!$B:$B,$A495,'Source 2025'!$A:$A,"Amount (NIS)")+SUMIFS('Source 2025'!$G:$G,'Source 2025'!$B:$B,$A495,'Source 2025'!$A:$A,"Amount (NIS)")+SUMIFS('Source 2025'!$J:$J,'Source 2025'!$B:$B,$A495,'Source 2025'!$A:$A,"Amount (NIS)")+SUMIFS('Source 2025'!$M:$M,'Source 2025'!$B:$B,$A495,'Source 2025'!$A:$A,"Amount (NIS)")</f>
        <v>108.7</v>
      </c>
      <c r="I495" s="8" t="n">
        <f aca="false">SUMIFS('Source 2026'!$D:$D,'Source 2026'!$B:$B,$A495,'Source 2026'!$A:$A,"Amount (NIS)")+SUMIFS('Source 2026'!$E:$E,'Source 2026'!$B:$B,$A495,'Source 2026'!$A:$A,"Amount (NIS)")+SUMIFS('Source 2026'!$F:$F,'Source 2026'!$B:$B,$A495,'Source 2026'!$A:$A,"Amount (NIS)")+SUMIFS('Source 2026'!$G:$G,'Source 2026'!$B:$B,$A495,'Source 2026'!$A:$A,"Amount (NIS)")+SUMIFS('Source 2026'!$J:$J,'Source 2026'!$B:$B,$A495,'Source 2026'!$A:$A,"Amount (NIS)")+SUMIFS('Source 2026'!$M:$M,'Source 2026'!$B:$B,$A495,'Source 2026'!$A:$A,"Amount (NIS)")</f>
        <v>0</v>
      </c>
      <c r="J495" s="8" t="n">
        <f aca="false">I495*$J$5</f>
        <v>0</v>
      </c>
      <c r="K495" s="8" t="n">
        <f aca="false">J495-H495</f>
        <v>-108.7</v>
      </c>
      <c r="L495" s="9" t="n">
        <f aca="false">IF(AND(H495=0,J495=0),0,IF(H495=0,"New",(J495-H495)/H495))</f>
        <v>-1</v>
      </c>
    </row>
    <row r="496" customFormat="false" ht="15" hidden="false" customHeight="false" outlineLevel="0" collapsed="false">
      <c r="A496" s="7" t="n">
        <v>4408089</v>
      </c>
      <c r="B496" s="7" t="str">
        <f aca="false">IFERROR(INDEX('Source 2026'!$C:$C,MATCH($A496,'Source 2026'!$B:$B,0)),IFERROR(INDEX('Source 2025'!$C:$C,MATCH($A496,'Source 2025'!$B:$B,0)),""))</f>
        <v>T11C S  חגורת גב פוג'יאמה</v>
      </c>
      <c r="C496" s="8" t="n">
        <f aca="false">SUMIFS('Source 2025'!$D:$D,'Source 2025'!$B:$B,$A496,'Source 2025'!$A:$A,"Quantity (units)")+SUMIFS('Source 2025'!$E:$E,'Source 2025'!$B:$B,$A496,'Source 2025'!$A:$A,"Quantity (units)")+SUMIFS('Source 2025'!$F:$F,'Source 2025'!$B:$B,$A496,'Source 2025'!$A:$A,"Quantity (units)")+SUMIFS('Source 2025'!$G:$G,'Source 2025'!$B:$B,$A496,'Source 2025'!$A:$A,"Quantity (units)")+SUMIFS('Source 2025'!$J:$J,'Source 2025'!$B:$B,$A496,'Source 2025'!$A:$A,"Quantity (units)")+SUMIFS('Source 2025'!$M:$M,'Source 2025'!$B:$B,$A496,'Source 2025'!$A:$A,"Quantity (units)")</f>
        <v>0</v>
      </c>
      <c r="D496" s="8" t="n">
        <f aca="false">SUMIFS('Source 2026'!$D:$D,'Source 2026'!$B:$B,$A496,'Source 2026'!$A:$A,"Quantity (units)")+SUMIFS('Source 2026'!$E:$E,'Source 2026'!$B:$B,$A496,'Source 2026'!$A:$A,"Quantity (units)")+SUMIFS('Source 2026'!$F:$F,'Source 2026'!$B:$B,$A496,'Source 2026'!$A:$A,"Quantity (units)")+SUMIFS('Source 2026'!$G:$G,'Source 2026'!$B:$B,$A496,'Source 2026'!$A:$A,"Quantity (units)")+SUMIFS('Source 2026'!$J:$J,'Source 2026'!$B:$B,$A496,'Source 2026'!$A:$A,"Quantity (units)")+SUMIFS('Source 2026'!$M:$M,'Source 2026'!$B:$B,$A496,'Source 2026'!$A:$A,"Quantity (units)")</f>
        <v>1</v>
      </c>
      <c r="E496" s="8" t="n">
        <f aca="false">D496*$J$5</f>
        <v>1.37142857142857</v>
      </c>
      <c r="F496" s="8" t="n">
        <f aca="false">E496-C496</f>
        <v>1.37142857142857</v>
      </c>
      <c r="G496" s="9" t="str">
        <f aca="false">IF(AND(C496=0,E496=0),0,IF(C496=0,"New",(E496-C496)/C496))</f>
        <v>New</v>
      </c>
      <c r="H496" s="8" t="n">
        <f aca="false">SUMIFS('Source 2025'!$D:$D,'Source 2025'!$B:$B,$A496,'Source 2025'!$A:$A,"Amount (NIS)")+SUMIFS('Source 2025'!$E:$E,'Source 2025'!$B:$B,$A496,'Source 2025'!$A:$A,"Amount (NIS)")+SUMIFS('Source 2025'!$F:$F,'Source 2025'!$B:$B,$A496,'Source 2025'!$A:$A,"Amount (NIS)")+SUMIFS('Source 2025'!$G:$G,'Source 2025'!$B:$B,$A496,'Source 2025'!$A:$A,"Amount (NIS)")+SUMIFS('Source 2025'!$J:$J,'Source 2025'!$B:$B,$A496,'Source 2025'!$A:$A,"Amount (NIS)")+SUMIFS('Source 2025'!$M:$M,'Source 2025'!$B:$B,$A496,'Source 2025'!$A:$A,"Amount (NIS)")</f>
        <v>0</v>
      </c>
      <c r="I496" s="8" t="n">
        <f aca="false">SUMIFS('Source 2026'!$D:$D,'Source 2026'!$B:$B,$A496,'Source 2026'!$A:$A,"Amount (NIS)")+SUMIFS('Source 2026'!$E:$E,'Source 2026'!$B:$B,$A496,'Source 2026'!$A:$A,"Amount (NIS)")+SUMIFS('Source 2026'!$F:$F,'Source 2026'!$B:$B,$A496,'Source 2026'!$A:$A,"Amount (NIS)")+SUMIFS('Source 2026'!$G:$G,'Source 2026'!$B:$B,$A496,'Source 2026'!$A:$A,"Amount (NIS)")+SUMIFS('Source 2026'!$J:$J,'Source 2026'!$B:$B,$A496,'Source 2026'!$A:$A,"Amount (NIS)")+SUMIFS('Source 2026'!$M:$M,'Source 2026'!$B:$B,$A496,'Source 2026'!$A:$A,"Amount (NIS)")</f>
        <v>107.4</v>
      </c>
      <c r="J496" s="8" t="n">
        <f aca="false">I496*$J$5</f>
        <v>147.291428571429</v>
      </c>
      <c r="K496" s="8" t="n">
        <f aca="false">J496-H496</f>
        <v>147.291428571429</v>
      </c>
      <c r="L496" s="9" t="str">
        <f aca="false">IF(AND(H496=0,J496=0),0,IF(H496=0,"New",(J496-H496)/H496))</f>
        <v>New</v>
      </c>
    </row>
    <row r="497" customFormat="false" ht="15" hidden="false" customHeight="false" outlineLevel="0" collapsed="false">
      <c r="A497" s="7" t="n">
        <v>4413183</v>
      </c>
      <c r="B497" s="7" t="str">
        <f aca="false">IFERROR(INDEX('Source 2026'!$C:$C,MATCH($A497,'Source 2026'!$B:$B,0)),IFERROR(INDEX('Source 2025'!$C:$C,MATCH($A497,'Source 2025'!$B:$B,0)),""))</f>
        <v>T 45 M מגן ברך רגיל</v>
      </c>
      <c r="C497" s="8" t="n">
        <f aca="false">SUMIFS('Source 2025'!$D:$D,'Source 2025'!$B:$B,$A497,'Source 2025'!$A:$A,"Quantity (units)")+SUMIFS('Source 2025'!$E:$E,'Source 2025'!$B:$B,$A497,'Source 2025'!$A:$A,"Quantity (units)")+SUMIFS('Source 2025'!$F:$F,'Source 2025'!$B:$B,$A497,'Source 2025'!$A:$A,"Quantity (units)")+SUMIFS('Source 2025'!$G:$G,'Source 2025'!$B:$B,$A497,'Source 2025'!$A:$A,"Quantity (units)")+SUMIFS('Source 2025'!$J:$J,'Source 2025'!$B:$B,$A497,'Source 2025'!$A:$A,"Quantity (units)")+SUMIFS('Source 2025'!$M:$M,'Source 2025'!$B:$B,$A497,'Source 2025'!$A:$A,"Quantity (units)")</f>
        <v>1</v>
      </c>
      <c r="D497" s="8" t="n">
        <f aca="false">SUMIFS('Source 2026'!$D:$D,'Source 2026'!$B:$B,$A497,'Source 2026'!$A:$A,"Quantity (units)")+SUMIFS('Source 2026'!$E:$E,'Source 2026'!$B:$B,$A497,'Source 2026'!$A:$A,"Quantity (units)")+SUMIFS('Source 2026'!$F:$F,'Source 2026'!$B:$B,$A497,'Source 2026'!$A:$A,"Quantity (units)")+SUMIFS('Source 2026'!$G:$G,'Source 2026'!$B:$B,$A497,'Source 2026'!$A:$A,"Quantity (units)")+SUMIFS('Source 2026'!$J:$J,'Source 2026'!$B:$B,$A497,'Source 2026'!$A:$A,"Quantity (units)")+SUMIFS('Source 2026'!$M:$M,'Source 2026'!$B:$B,$A497,'Source 2026'!$A:$A,"Quantity (units)")</f>
        <v>2</v>
      </c>
      <c r="E497" s="8" t="n">
        <f aca="false">D497*$J$5</f>
        <v>2.74285714285714</v>
      </c>
      <c r="F497" s="8" t="n">
        <f aca="false">E497-C497</f>
        <v>1.74285714285714</v>
      </c>
      <c r="G497" s="9" t="n">
        <f aca="false">IF(AND(C497=0,E497=0),0,IF(C497=0,"New",(E497-C497)/C497))</f>
        <v>1.74285714285714</v>
      </c>
      <c r="H497" s="8" t="n">
        <f aca="false">SUMIFS('Source 2025'!$D:$D,'Source 2025'!$B:$B,$A497,'Source 2025'!$A:$A,"Amount (NIS)")+SUMIFS('Source 2025'!$E:$E,'Source 2025'!$B:$B,$A497,'Source 2025'!$A:$A,"Amount (NIS)")+SUMIFS('Source 2025'!$F:$F,'Source 2025'!$B:$B,$A497,'Source 2025'!$A:$A,"Amount (NIS)")+SUMIFS('Source 2025'!$G:$G,'Source 2025'!$B:$B,$A497,'Source 2025'!$A:$A,"Amount (NIS)")+SUMIFS('Source 2025'!$J:$J,'Source 2025'!$B:$B,$A497,'Source 2025'!$A:$A,"Amount (NIS)")+SUMIFS('Source 2025'!$M:$M,'Source 2025'!$B:$B,$A497,'Source 2025'!$A:$A,"Amount (NIS)")</f>
        <v>104</v>
      </c>
      <c r="I497" s="8" t="n">
        <f aca="false">SUMIFS('Source 2026'!$D:$D,'Source 2026'!$B:$B,$A497,'Source 2026'!$A:$A,"Amount (NIS)")+SUMIFS('Source 2026'!$E:$E,'Source 2026'!$B:$B,$A497,'Source 2026'!$A:$A,"Amount (NIS)")+SUMIFS('Source 2026'!$F:$F,'Source 2026'!$B:$B,$A497,'Source 2026'!$A:$A,"Amount (NIS)")+SUMIFS('Source 2026'!$G:$G,'Source 2026'!$B:$B,$A497,'Source 2026'!$A:$A,"Amount (NIS)")+SUMIFS('Source 2026'!$J:$J,'Source 2026'!$B:$B,$A497,'Source 2026'!$A:$A,"Amount (NIS)")+SUMIFS('Source 2026'!$M:$M,'Source 2026'!$B:$B,$A497,'Source 2026'!$A:$A,"Amount (NIS)")</f>
        <v>210.8</v>
      </c>
      <c r="J497" s="8" t="n">
        <f aca="false">I497*$J$5</f>
        <v>289.097142857143</v>
      </c>
      <c r="K497" s="8" t="n">
        <f aca="false">J497-H497</f>
        <v>185.097142857143</v>
      </c>
      <c r="L497" s="9" t="n">
        <f aca="false">IF(AND(H497=0,J497=0),0,IF(H497=0,"New",(J497-H497)/H497))</f>
        <v>1.77978021978022</v>
      </c>
    </row>
    <row r="498" customFormat="false" ht="15" hidden="false" customHeight="false" outlineLevel="0" collapsed="false">
      <c r="A498" s="7" t="n">
        <v>4413110</v>
      </c>
      <c r="B498" s="7" t="str">
        <f aca="false">IFERROR(INDEX('Source 2026'!$C:$C,MATCH($A498,'Source 2026'!$B:$B,0)),IFERROR(INDEX('Source 2025'!$C:$C,MATCH($A498,'Source 2025'!$B:$B,0)),""))</f>
        <v>48 XXL מגן ברך מחמם</v>
      </c>
      <c r="C498" s="8" t="n">
        <f aca="false">SUMIFS('Source 2025'!$D:$D,'Source 2025'!$B:$B,$A498,'Source 2025'!$A:$A,"Quantity (units)")+SUMIFS('Source 2025'!$E:$E,'Source 2025'!$B:$B,$A498,'Source 2025'!$A:$A,"Quantity (units)")+SUMIFS('Source 2025'!$F:$F,'Source 2025'!$B:$B,$A498,'Source 2025'!$A:$A,"Quantity (units)")+SUMIFS('Source 2025'!$G:$G,'Source 2025'!$B:$B,$A498,'Source 2025'!$A:$A,"Quantity (units)")+SUMIFS('Source 2025'!$J:$J,'Source 2025'!$B:$B,$A498,'Source 2025'!$A:$A,"Quantity (units)")+SUMIFS('Source 2025'!$M:$M,'Source 2025'!$B:$B,$A498,'Source 2025'!$A:$A,"Quantity (units)")</f>
        <v>2</v>
      </c>
      <c r="D498" s="8" t="n">
        <f aca="false">SUMIFS('Source 2026'!$D:$D,'Source 2026'!$B:$B,$A498,'Source 2026'!$A:$A,"Quantity (units)")+SUMIFS('Source 2026'!$E:$E,'Source 2026'!$B:$B,$A498,'Source 2026'!$A:$A,"Quantity (units)")+SUMIFS('Source 2026'!$F:$F,'Source 2026'!$B:$B,$A498,'Source 2026'!$A:$A,"Quantity (units)")+SUMIFS('Source 2026'!$G:$G,'Source 2026'!$B:$B,$A498,'Source 2026'!$A:$A,"Quantity (units)")+SUMIFS('Source 2026'!$J:$J,'Source 2026'!$B:$B,$A498,'Source 2026'!$A:$A,"Quantity (units)")+SUMIFS('Source 2026'!$M:$M,'Source 2026'!$B:$B,$A498,'Source 2026'!$A:$A,"Quantity (units)")</f>
        <v>0</v>
      </c>
      <c r="E498" s="8" t="n">
        <f aca="false">D498*$J$5</f>
        <v>0</v>
      </c>
      <c r="F498" s="8" t="n">
        <f aca="false">E498-C498</f>
        <v>-2</v>
      </c>
      <c r="G498" s="9" t="n">
        <f aca="false">IF(AND(C498=0,E498=0),0,IF(C498=0,"New",(E498-C498)/C498))</f>
        <v>-1</v>
      </c>
      <c r="H498" s="8" t="n">
        <f aca="false">SUMIFS('Source 2025'!$D:$D,'Source 2025'!$B:$B,$A498,'Source 2025'!$A:$A,"Amount (NIS)")+SUMIFS('Source 2025'!$E:$E,'Source 2025'!$B:$B,$A498,'Source 2025'!$A:$A,"Amount (NIS)")+SUMIFS('Source 2025'!$F:$F,'Source 2025'!$B:$B,$A498,'Source 2025'!$A:$A,"Amount (NIS)")+SUMIFS('Source 2025'!$G:$G,'Source 2025'!$B:$B,$A498,'Source 2025'!$A:$A,"Amount (NIS)")+SUMIFS('Source 2025'!$J:$J,'Source 2025'!$B:$B,$A498,'Source 2025'!$A:$A,"Amount (NIS)")+SUMIFS('Source 2025'!$M:$M,'Source 2025'!$B:$B,$A498,'Source 2025'!$A:$A,"Amount (NIS)")</f>
        <v>105.8</v>
      </c>
      <c r="I498" s="8" t="n">
        <f aca="false">SUMIFS('Source 2026'!$D:$D,'Source 2026'!$B:$B,$A498,'Source 2026'!$A:$A,"Amount (NIS)")+SUMIFS('Source 2026'!$E:$E,'Source 2026'!$B:$B,$A498,'Source 2026'!$A:$A,"Amount (NIS)")+SUMIFS('Source 2026'!$F:$F,'Source 2026'!$B:$B,$A498,'Source 2026'!$A:$A,"Amount (NIS)")+SUMIFS('Source 2026'!$G:$G,'Source 2026'!$B:$B,$A498,'Source 2026'!$A:$A,"Amount (NIS)")+SUMIFS('Source 2026'!$J:$J,'Source 2026'!$B:$B,$A498,'Source 2026'!$A:$A,"Amount (NIS)")+SUMIFS('Source 2026'!$M:$M,'Source 2026'!$B:$B,$A498,'Source 2026'!$A:$A,"Amount (NIS)")</f>
        <v>0</v>
      </c>
      <c r="J498" s="8" t="n">
        <f aca="false">I498*$J$5</f>
        <v>0</v>
      </c>
      <c r="K498" s="8" t="n">
        <f aca="false">J498-H498</f>
        <v>-105.8</v>
      </c>
      <c r="L498" s="9" t="n">
        <f aca="false">IF(AND(H498=0,J498=0),0,IF(H498=0,"New",(J498-H498)/H498))</f>
        <v>-1</v>
      </c>
    </row>
    <row r="499" customFormat="false" ht="15" hidden="false" customHeight="false" outlineLevel="0" collapsed="false">
      <c r="A499" s="7" t="n">
        <v>4413109</v>
      </c>
      <c r="B499" s="7" t="str">
        <f aca="false">IFERROR(INDEX('Source 2026'!$C:$C,MATCH($A499,'Source 2026'!$B:$B,0)),IFERROR(INDEX('Source 2025'!$C:$C,MATCH($A499,'Source 2025'!$B:$B,0)),""))</f>
        <v>48 XL מגן ברך מחמם</v>
      </c>
      <c r="C499" s="8" t="n">
        <f aca="false">SUMIFS('Source 2025'!$D:$D,'Source 2025'!$B:$B,$A499,'Source 2025'!$A:$A,"Quantity (units)")+SUMIFS('Source 2025'!$E:$E,'Source 2025'!$B:$B,$A499,'Source 2025'!$A:$A,"Quantity (units)")+SUMIFS('Source 2025'!$F:$F,'Source 2025'!$B:$B,$A499,'Source 2025'!$A:$A,"Quantity (units)")+SUMIFS('Source 2025'!$G:$G,'Source 2025'!$B:$B,$A499,'Source 2025'!$A:$A,"Quantity (units)")+SUMIFS('Source 2025'!$J:$J,'Source 2025'!$B:$B,$A499,'Source 2025'!$A:$A,"Quantity (units)")+SUMIFS('Source 2025'!$M:$M,'Source 2025'!$B:$B,$A499,'Source 2025'!$A:$A,"Quantity (units)")</f>
        <v>3</v>
      </c>
      <c r="D499" s="8" t="n">
        <f aca="false">SUMIFS('Source 2026'!$D:$D,'Source 2026'!$B:$B,$A499,'Source 2026'!$A:$A,"Quantity (units)")+SUMIFS('Source 2026'!$E:$E,'Source 2026'!$B:$B,$A499,'Source 2026'!$A:$A,"Quantity (units)")+SUMIFS('Source 2026'!$F:$F,'Source 2026'!$B:$B,$A499,'Source 2026'!$A:$A,"Quantity (units)")+SUMIFS('Source 2026'!$G:$G,'Source 2026'!$B:$B,$A499,'Source 2026'!$A:$A,"Quantity (units)")+SUMIFS('Source 2026'!$J:$J,'Source 2026'!$B:$B,$A499,'Source 2026'!$A:$A,"Quantity (units)")+SUMIFS('Source 2026'!$M:$M,'Source 2026'!$B:$B,$A499,'Source 2026'!$A:$A,"Quantity (units)")</f>
        <v>1</v>
      </c>
      <c r="E499" s="8" t="n">
        <f aca="false">D499*$J$5</f>
        <v>1.37142857142857</v>
      </c>
      <c r="F499" s="8" t="n">
        <f aca="false">E499-C499</f>
        <v>-1.62857142857143</v>
      </c>
      <c r="G499" s="9" t="n">
        <f aca="false">IF(AND(C499=0,E499=0),0,IF(C499=0,"New",(E499-C499)/C499))</f>
        <v>-0.542857142857143</v>
      </c>
      <c r="H499" s="8" t="n">
        <f aca="false">SUMIFS('Source 2025'!$D:$D,'Source 2025'!$B:$B,$A499,'Source 2025'!$A:$A,"Amount (NIS)")+SUMIFS('Source 2025'!$E:$E,'Source 2025'!$B:$B,$A499,'Source 2025'!$A:$A,"Amount (NIS)")+SUMIFS('Source 2025'!$F:$F,'Source 2025'!$B:$B,$A499,'Source 2025'!$A:$A,"Amount (NIS)")+SUMIFS('Source 2025'!$G:$G,'Source 2025'!$B:$B,$A499,'Source 2025'!$A:$A,"Amount (NIS)")+SUMIFS('Source 2025'!$J:$J,'Source 2025'!$B:$B,$A499,'Source 2025'!$A:$A,"Amount (NIS)")+SUMIFS('Source 2025'!$M:$M,'Source 2025'!$B:$B,$A499,'Source 2025'!$A:$A,"Amount (NIS)")</f>
        <v>162.5</v>
      </c>
      <c r="I499" s="8" t="n">
        <f aca="false">SUMIFS('Source 2026'!$D:$D,'Source 2026'!$B:$B,$A499,'Source 2026'!$A:$A,"Amount (NIS)")+SUMIFS('Source 2026'!$E:$E,'Source 2026'!$B:$B,$A499,'Source 2026'!$A:$A,"Amount (NIS)")+SUMIFS('Source 2026'!$F:$F,'Source 2026'!$B:$B,$A499,'Source 2026'!$A:$A,"Amount (NIS)")+SUMIFS('Source 2026'!$G:$G,'Source 2026'!$B:$B,$A499,'Source 2026'!$A:$A,"Amount (NIS)")+SUMIFS('Source 2026'!$J:$J,'Source 2026'!$B:$B,$A499,'Source 2026'!$A:$A,"Amount (NIS)")+SUMIFS('Source 2026'!$M:$M,'Source 2026'!$B:$B,$A499,'Source 2026'!$A:$A,"Amount (NIS)")</f>
        <v>56.7</v>
      </c>
      <c r="J499" s="8" t="n">
        <f aca="false">I499*$J$5</f>
        <v>77.76</v>
      </c>
      <c r="K499" s="8" t="n">
        <f aca="false">J499-H499</f>
        <v>-84.74</v>
      </c>
      <c r="L499" s="9" t="n">
        <f aca="false">IF(AND(H499=0,J499=0),0,IF(H499=0,"New",(J499-H499)/H499))</f>
        <v>-0.521476923076923</v>
      </c>
    </row>
    <row r="500" customFormat="false" ht="15" hidden="false" customHeight="false" outlineLevel="0" collapsed="false">
      <c r="A500" s="7" t="n">
        <v>4420031</v>
      </c>
      <c r="B500" s="7" t="str">
        <f aca="false">IFERROR(INDEX('Source 2026'!$C:$C,MATCH($A500,'Source 2026'!$B:$B,0)),IFERROR(INDEX('Source 2025'!$C:$C,MATCH($A500,'Source 2025'!$B:$B,0)),""))</f>
        <v>44-45 רפידת ספורט 376 מידה</v>
      </c>
      <c r="C500" s="8" t="n">
        <f aca="false">SUMIFS('Source 2025'!$D:$D,'Source 2025'!$B:$B,$A500,'Source 2025'!$A:$A,"Quantity (units)")+SUMIFS('Source 2025'!$E:$E,'Source 2025'!$B:$B,$A500,'Source 2025'!$A:$A,"Quantity (units)")+SUMIFS('Source 2025'!$F:$F,'Source 2025'!$B:$B,$A500,'Source 2025'!$A:$A,"Quantity (units)")+SUMIFS('Source 2025'!$G:$G,'Source 2025'!$B:$B,$A500,'Source 2025'!$A:$A,"Quantity (units)")+SUMIFS('Source 2025'!$J:$J,'Source 2025'!$B:$B,$A500,'Source 2025'!$A:$A,"Quantity (units)")+SUMIFS('Source 2025'!$M:$M,'Source 2025'!$B:$B,$A500,'Source 2025'!$A:$A,"Quantity (units)")</f>
        <v>0</v>
      </c>
      <c r="D500" s="8" t="n">
        <f aca="false">SUMIFS('Source 2026'!$D:$D,'Source 2026'!$B:$B,$A500,'Source 2026'!$A:$A,"Quantity (units)")+SUMIFS('Source 2026'!$E:$E,'Source 2026'!$B:$B,$A500,'Source 2026'!$A:$A,"Quantity (units)")+SUMIFS('Source 2026'!$F:$F,'Source 2026'!$B:$B,$A500,'Source 2026'!$A:$A,"Quantity (units)")+SUMIFS('Source 2026'!$G:$G,'Source 2026'!$B:$B,$A500,'Source 2026'!$A:$A,"Quantity (units)")+SUMIFS('Source 2026'!$J:$J,'Source 2026'!$B:$B,$A500,'Source 2026'!$A:$A,"Quantity (units)")+SUMIFS('Source 2026'!$M:$M,'Source 2026'!$B:$B,$A500,'Source 2026'!$A:$A,"Quantity (units)")</f>
        <v>3</v>
      </c>
      <c r="E500" s="8" t="n">
        <f aca="false">D500*$J$5</f>
        <v>4.11428571428571</v>
      </c>
      <c r="F500" s="8" t="n">
        <f aca="false">E500-C500</f>
        <v>4.11428571428571</v>
      </c>
      <c r="G500" s="9" t="str">
        <f aca="false">IF(AND(C500=0,E500=0),0,IF(C500=0,"New",(E500-C500)/C500))</f>
        <v>New</v>
      </c>
      <c r="H500" s="8" t="n">
        <f aca="false">SUMIFS('Source 2025'!$D:$D,'Source 2025'!$B:$B,$A500,'Source 2025'!$A:$A,"Amount (NIS)")+SUMIFS('Source 2025'!$E:$E,'Source 2025'!$B:$B,$A500,'Source 2025'!$A:$A,"Amount (NIS)")+SUMIFS('Source 2025'!$F:$F,'Source 2025'!$B:$B,$A500,'Source 2025'!$A:$A,"Amount (NIS)")+SUMIFS('Source 2025'!$G:$G,'Source 2025'!$B:$B,$A500,'Source 2025'!$A:$A,"Amount (NIS)")+SUMIFS('Source 2025'!$J:$J,'Source 2025'!$B:$B,$A500,'Source 2025'!$A:$A,"Amount (NIS)")+SUMIFS('Source 2025'!$M:$M,'Source 2025'!$B:$B,$A500,'Source 2025'!$A:$A,"Amount (NIS)")</f>
        <v>0</v>
      </c>
      <c r="I500" s="8" t="n">
        <f aca="false">SUMIFS('Source 2026'!$D:$D,'Source 2026'!$B:$B,$A500,'Source 2026'!$A:$A,"Amount (NIS)")+SUMIFS('Source 2026'!$E:$E,'Source 2026'!$B:$B,$A500,'Source 2026'!$A:$A,"Amount (NIS)")+SUMIFS('Source 2026'!$F:$F,'Source 2026'!$B:$B,$A500,'Source 2026'!$A:$A,"Amount (NIS)")+SUMIFS('Source 2026'!$G:$G,'Source 2026'!$B:$B,$A500,'Source 2026'!$A:$A,"Amount (NIS)")+SUMIFS('Source 2026'!$J:$J,'Source 2026'!$B:$B,$A500,'Source 2026'!$A:$A,"Amount (NIS)")+SUMIFS('Source 2026'!$M:$M,'Source 2026'!$B:$B,$A500,'Source 2026'!$A:$A,"Amount (NIS)")</f>
        <v>105.3</v>
      </c>
      <c r="J500" s="8" t="n">
        <f aca="false">I500*$J$5</f>
        <v>144.411428571429</v>
      </c>
      <c r="K500" s="8" t="n">
        <f aca="false">J500-H500</f>
        <v>144.411428571429</v>
      </c>
      <c r="L500" s="9" t="str">
        <f aca="false">IF(AND(H500=0,J500=0),0,IF(H500=0,"New",(J500-H500)/H500))</f>
        <v>New</v>
      </c>
    </row>
    <row r="501" customFormat="false" ht="15" hidden="false" customHeight="false" outlineLevel="0" collapsed="false">
      <c r="A501" s="7" t="n">
        <v>4408154</v>
      </c>
      <c r="B501" s="7" t="str">
        <f aca="false">IFERROR(INDEX('Source 2026'!$C:$C,MATCH($A501,'Source 2026'!$B:$B,0)),IFERROR(INDEX('Source 2025'!$C:$C,MATCH($A501,'Source 2025'!$B:$B,0)),""))</f>
        <v>11TO XXLחגורה למנותחי בית החזה</v>
      </c>
      <c r="C501" s="8" t="n">
        <f aca="false">SUMIFS('Source 2025'!$D:$D,'Source 2025'!$B:$B,$A501,'Source 2025'!$A:$A,"Quantity (units)")+SUMIFS('Source 2025'!$E:$E,'Source 2025'!$B:$B,$A501,'Source 2025'!$A:$A,"Quantity (units)")+SUMIFS('Source 2025'!$F:$F,'Source 2025'!$B:$B,$A501,'Source 2025'!$A:$A,"Quantity (units)")+SUMIFS('Source 2025'!$G:$G,'Source 2025'!$B:$B,$A501,'Source 2025'!$A:$A,"Quantity (units)")+SUMIFS('Source 2025'!$J:$J,'Source 2025'!$B:$B,$A501,'Source 2025'!$A:$A,"Quantity (units)")+SUMIFS('Source 2025'!$M:$M,'Source 2025'!$B:$B,$A501,'Source 2025'!$A:$A,"Quantity (units)")</f>
        <v>6</v>
      </c>
      <c r="D501" s="8" t="n">
        <f aca="false">SUMIFS('Source 2026'!$D:$D,'Source 2026'!$B:$B,$A501,'Source 2026'!$A:$A,"Quantity (units)")+SUMIFS('Source 2026'!$E:$E,'Source 2026'!$B:$B,$A501,'Source 2026'!$A:$A,"Quantity (units)")+SUMIFS('Source 2026'!$F:$F,'Source 2026'!$B:$B,$A501,'Source 2026'!$A:$A,"Quantity (units)")+SUMIFS('Source 2026'!$G:$G,'Source 2026'!$B:$B,$A501,'Source 2026'!$A:$A,"Quantity (units)")+SUMIFS('Source 2026'!$J:$J,'Source 2026'!$B:$B,$A501,'Source 2026'!$A:$A,"Quantity (units)")+SUMIFS('Source 2026'!$M:$M,'Source 2026'!$B:$B,$A501,'Source 2026'!$A:$A,"Quantity (units)")</f>
        <v>5</v>
      </c>
      <c r="E501" s="8" t="n">
        <f aca="false">D501*$J$5</f>
        <v>6.85714285714286</v>
      </c>
      <c r="F501" s="8" t="n">
        <f aca="false">E501-C501</f>
        <v>0.857142857142858</v>
      </c>
      <c r="G501" s="9" t="n">
        <f aca="false">IF(AND(C501=0,E501=0),0,IF(C501=0,"New",(E501-C501)/C501))</f>
        <v>0.142857142857143</v>
      </c>
      <c r="H501" s="8" t="n">
        <f aca="false">SUMIFS('Source 2025'!$D:$D,'Source 2025'!$B:$B,$A501,'Source 2025'!$A:$A,"Amount (NIS)")+SUMIFS('Source 2025'!$E:$E,'Source 2025'!$B:$B,$A501,'Source 2025'!$A:$A,"Amount (NIS)")+SUMIFS('Source 2025'!$F:$F,'Source 2025'!$B:$B,$A501,'Source 2025'!$A:$A,"Amount (NIS)")+SUMIFS('Source 2025'!$G:$G,'Source 2025'!$B:$B,$A501,'Source 2025'!$A:$A,"Amount (NIS)")+SUMIFS('Source 2025'!$J:$J,'Source 2025'!$B:$B,$A501,'Source 2025'!$A:$A,"Amount (NIS)")+SUMIFS('Source 2025'!$M:$M,'Source 2025'!$B:$B,$A501,'Source 2025'!$A:$A,"Amount (NIS)")</f>
        <v>867.7</v>
      </c>
      <c r="I501" s="8" t="n">
        <f aca="false">SUMIFS('Source 2026'!$D:$D,'Source 2026'!$B:$B,$A501,'Source 2026'!$A:$A,"Amount (NIS)")+SUMIFS('Source 2026'!$E:$E,'Source 2026'!$B:$B,$A501,'Source 2026'!$A:$A,"Amount (NIS)")+SUMIFS('Source 2026'!$F:$F,'Source 2026'!$B:$B,$A501,'Source 2026'!$A:$A,"Amount (NIS)")+SUMIFS('Source 2026'!$G:$G,'Source 2026'!$B:$B,$A501,'Source 2026'!$A:$A,"Amount (NIS)")+SUMIFS('Source 2026'!$J:$J,'Source 2026'!$B:$B,$A501,'Source 2026'!$A:$A,"Amount (NIS)")+SUMIFS('Source 2026'!$M:$M,'Source 2026'!$B:$B,$A501,'Source 2026'!$A:$A,"Amount (NIS)")</f>
        <v>763.9</v>
      </c>
      <c r="J501" s="8" t="n">
        <f aca="false">I501*$J$5</f>
        <v>1047.63428571429</v>
      </c>
      <c r="K501" s="8" t="n">
        <f aca="false">J501-H501</f>
        <v>179.934285714286</v>
      </c>
      <c r="L501" s="9" t="n">
        <f aca="false">IF(AND(H501=0,J501=0),0,IF(H501=0,"New",(J501-H501)/H501))</f>
        <v>0.207369235581751</v>
      </c>
    </row>
    <row r="502" customFormat="false" ht="15" hidden="false" customHeight="false" outlineLevel="0" collapsed="false">
      <c r="A502" s="7" t="n">
        <v>4408227</v>
      </c>
      <c r="B502" s="7" t="str">
        <f aca="false">IFERROR(INDEX('Source 2026'!$C:$C,MATCH($A502,'Source 2026'!$B:$B,0)),IFERROR(INDEX('Source 2025'!$C:$C,MATCH($A502,'Source 2025'!$B:$B,0)),""))</f>
        <v>XL 11 אפורUG חגורת בטן</v>
      </c>
      <c r="C502" s="8" t="n">
        <f aca="false">SUMIFS('Source 2025'!$D:$D,'Source 2025'!$B:$B,$A502,'Source 2025'!$A:$A,"Quantity (units)")+SUMIFS('Source 2025'!$E:$E,'Source 2025'!$B:$B,$A502,'Source 2025'!$A:$A,"Quantity (units)")+SUMIFS('Source 2025'!$F:$F,'Source 2025'!$B:$B,$A502,'Source 2025'!$A:$A,"Quantity (units)")+SUMIFS('Source 2025'!$G:$G,'Source 2025'!$B:$B,$A502,'Source 2025'!$A:$A,"Quantity (units)")+SUMIFS('Source 2025'!$J:$J,'Source 2025'!$B:$B,$A502,'Source 2025'!$A:$A,"Quantity (units)")+SUMIFS('Source 2025'!$M:$M,'Source 2025'!$B:$B,$A502,'Source 2025'!$A:$A,"Quantity (units)")</f>
        <v>1</v>
      </c>
      <c r="D502" s="8" t="n">
        <f aca="false">SUMIFS('Source 2026'!$D:$D,'Source 2026'!$B:$B,$A502,'Source 2026'!$A:$A,"Quantity (units)")+SUMIFS('Source 2026'!$E:$E,'Source 2026'!$B:$B,$A502,'Source 2026'!$A:$A,"Quantity (units)")+SUMIFS('Source 2026'!$F:$F,'Source 2026'!$B:$B,$A502,'Source 2026'!$A:$A,"Quantity (units)")+SUMIFS('Source 2026'!$G:$G,'Source 2026'!$B:$B,$A502,'Source 2026'!$A:$A,"Quantity (units)")+SUMIFS('Source 2026'!$J:$J,'Source 2026'!$B:$B,$A502,'Source 2026'!$A:$A,"Quantity (units)")+SUMIFS('Source 2026'!$M:$M,'Source 2026'!$B:$B,$A502,'Source 2026'!$A:$A,"Quantity (units)")</f>
        <v>0</v>
      </c>
      <c r="E502" s="8" t="n">
        <f aca="false">D502*$J$5</f>
        <v>0</v>
      </c>
      <c r="F502" s="8" t="n">
        <f aca="false">E502-C502</f>
        <v>-1</v>
      </c>
      <c r="G502" s="9" t="n">
        <f aca="false">IF(AND(C502=0,E502=0),0,IF(C502=0,"New",(E502-C502)/C502))</f>
        <v>-1</v>
      </c>
      <c r="H502" s="8" t="n">
        <f aca="false">SUMIFS('Source 2025'!$D:$D,'Source 2025'!$B:$B,$A502,'Source 2025'!$A:$A,"Amount (NIS)")+SUMIFS('Source 2025'!$E:$E,'Source 2025'!$B:$B,$A502,'Source 2025'!$A:$A,"Amount (NIS)")+SUMIFS('Source 2025'!$F:$F,'Source 2025'!$B:$B,$A502,'Source 2025'!$A:$A,"Amount (NIS)")+SUMIFS('Source 2025'!$G:$G,'Source 2025'!$B:$B,$A502,'Source 2025'!$A:$A,"Amount (NIS)")+SUMIFS('Source 2025'!$J:$J,'Source 2025'!$B:$B,$A502,'Source 2025'!$A:$A,"Amount (NIS)")+SUMIFS('Source 2025'!$M:$M,'Source 2025'!$B:$B,$A502,'Source 2025'!$A:$A,"Amount (NIS)")</f>
        <v>103.1</v>
      </c>
      <c r="I502" s="8" t="n">
        <f aca="false">SUMIFS('Source 2026'!$D:$D,'Source 2026'!$B:$B,$A502,'Source 2026'!$A:$A,"Amount (NIS)")+SUMIFS('Source 2026'!$E:$E,'Source 2026'!$B:$B,$A502,'Source 2026'!$A:$A,"Amount (NIS)")+SUMIFS('Source 2026'!$F:$F,'Source 2026'!$B:$B,$A502,'Source 2026'!$A:$A,"Amount (NIS)")+SUMIFS('Source 2026'!$G:$G,'Source 2026'!$B:$B,$A502,'Source 2026'!$A:$A,"Amount (NIS)")+SUMIFS('Source 2026'!$J:$J,'Source 2026'!$B:$B,$A502,'Source 2026'!$A:$A,"Amount (NIS)")+SUMIFS('Source 2026'!$M:$M,'Source 2026'!$B:$B,$A502,'Source 2026'!$A:$A,"Amount (NIS)")</f>
        <v>0</v>
      </c>
      <c r="J502" s="8" t="n">
        <f aca="false">I502*$J$5</f>
        <v>0</v>
      </c>
      <c r="K502" s="8" t="n">
        <f aca="false">J502-H502</f>
        <v>-103.1</v>
      </c>
      <c r="L502" s="9" t="n">
        <f aca="false">IF(AND(H502=0,J502=0),0,IF(H502=0,"New",(J502-H502)/H502))</f>
        <v>-1</v>
      </c>
    </row>
    <row r="503" customFormat="false" ht="15" hidden="false" customHeight="false" outlineLevel="0" collapsed="false">
      <c r="A503" s="7" t="n">
        <v>4415004</v>
      </c>
      <c r="B503" s="7" t="str">
        <f aca="false">IFERROR(INDEX('Source 2026'!$C:$C,MATCH($A503,'Source 2026'!$B:$B,0)),IFERROR(INDEX('Source 2025'!$C:$C,MATCH($A503,'Source 2025'!$B:$B,0)),""))</f>
        <v>26 XXL סד ליד דו צדדי לאחר שבר</v>
      </c>
      <c r="C503" s="8" t="n">
        <f aca="false">SUMIFS('Source 2025'!$D:$D,'Source 2025'!$B:$B,$A503,'Source 2025'!$A:$A,"Quantity (units)")+SUMIFS('Source 2025'!$E:$E,'Source 2025'!$B:$B,$A503,'Source 2025'!$A:$A,"Quantity (units)")+SUMIFS('Source 2025'!$F:$F,'Source 2025'!$B:$B,$A503,'Source 2025'!$A:$A,"Quantity (units)")+SUMIFS('Source 2025'!$G:$G,'Source 2025'!$B:$B,$A503,'Source 2025'!$A:$A,"Quantity (units)")+SUMIFS('Source 2025'!$J:$J,'Source 2025'!$B:$B,$A503,'Source 2025'!$A:$A,"Quantity (units)")+SUMIFS('Source 2025'!$M:$M,'Source 2025'!$B:$B,$A503,'Source 2025'!$A:$A,"Quantity (units)")</f>
        <v>3</v>
      </c>
      <c r="D503" s="8" t="n">
        <f aca="false">SUMIFS('Source 2026'!$D:$D,'Source 2026'!$B:$B,$A503,'Source 2026'!$A:$A,"Quantity (units)")+SUMIFS('Source 2026'!$E:$E,'Source 2026'!$B:$B,$A503,'Source 2026'!$A:$A,"Quantity (units)")+SUMIFS('Source 2026'!$F:$F,'Source 2026'!$B:$B,$A503,'Source 2026'!$A:$A,"Quantity (units)")+SUMIFS('Source 2026'!$G:$G,'Source 2026'!$B:$B,$A503,'Source 2026'!$A:$A,"Quantity (units)")+SUMIFS('Source 2026'!$J:$J,'Source 2026'!$B:$B,$A503,'Source 2026'!$A:$A,"Quantity (units)")+SUMIFS('Source 2026'!$M:$M,'Source 2026'!$B:$B,$A503,'Source 2026'!$A:$A,"Quantity (units)")</f>
        <v>2</v>
      </c>
      <c r="E503" s="8" t="n">
        <f aca="false">D503*$J$5</f>
        <v>2.74285714285714</v>
      </c>
      <c r="F503" s="8" t="n">
        <f aca="false">E503-C503</f>
        <v>-0.257142857142857</v>
      </c>
      <c r="G503" s="9" t="n">
        <f aca="false">IF(AND(C503=0,E503=0),0,IF(C503=0,"New",(E503-C503)/C503))</f>
        <v>-0.0857142857142857</v>
      </c>
      <c r="H503" s="8" t="n">
        <f aca="false">SUMIFS('Source 2025'!$D:$D,'Source 2025'!$B:$B,$A503,'Source 2025'!$A:$A,"Amount (NIS)")+SUMIFS('Source 2025'!$E:$E,'Source 2025'!$B:$B,$A503,'Source 2025'!$A:$A,"Amount (NIS)")+SUMIFS('Source 2025'!$F:$F,'Source 2025'!$B:$B,$A503,'Source 2025'!$A:$A,"Amount (NIS)")+SUMIFS('Source 2025'!$G:$G,'Source 2025'!$B:$B,$A503,'Source 2025'!$A:$A,"Amount (NIS)")+SUMIFS('Source 2025'!$J:$J,'Source 2025'!$B:$B,$A503,'Source 2025'!$A:$A,"Amount (NIS)")+SUMIFS('Source 2025'!$M:$M,'Source 2025'!$B:$B,$A503,'Source 2025'!$A:$A,"Amount (NIS)")</f>
        <v>309.2</v>
      </c>
      <c r="I503" s="8" t="n">
        <f aca="false">SUMIFS('Source 2026'!$D:$D,'Source 2026'!$B:$B,$A503,'Source 2026'!$A:$A,"Amount (NIS)")+SUMIFS('Source 2026'!$E:$E,'Source 2026'!$B:$B,$A503,'Source 2026'!$A:$A,"Amount (NIS)")+SUMIFS('Source 2026'!$F:$F,'Source 2026'!$B:$B,$A503,'Source 2026'!$A:$A,"Amount (NIS)")+SUMIFS('Source 2026'!$G:$G,'Source 2026'!$B:$B,$A503,'Source 2026'!$A:$A,"Amount (NIS)")+SUMIFS('Source 2026'!$J:$J,'Source 2026'!$B:$B,$A503,'Source 2026'!$A:$A,"Amount (NIS)")+SUMIFS('Source 2026'!$M:$M,'Source 2026'!$B:$B,$A503,'Source 2026'!$A:$A,"Amount (NIS)")</f>
        <v>206.1</v>
      </c>
      <c r="J503" s="8" t="n">
        <f aca="false">I503*$J$5</f>
        <v>282.651428571429</v>
      </c>
      <c r="K503" s="8" t="n">
        <f aca="false">J503-H503</f>
        <v>-26.5485714285715</v>
      </c>
      <c r="L503" s="9" t="n">
        <f aca="false">IF(AND(H503=0,J503=0),0,IF(H503=0,"New",(J503-H503)/H503))</f>
        <v>-0.0858621326926632</v>
      </c>
    </row>
    <row r="504" customFormat="false" ht="15" hidden="false" customHeight="false" outlineLevel="0" collapsed="false">
      <c r="A504" s="7" t="n">
        <v>4413520</v>
      </c>
      <c r="B504" s="7" t="str">
        <f aca="false">IFERROR(INDEX('Source 2026'!$C:$C,MATCH($A504,'Source 2026'!$B:$B,0)),IFERROR(INDEX('Source 2025'!$C:$C,MATCH($A504,'Source 2025'!$B:$B,0)),""))</f>
        <v>מדרסי אפיק ג'ל מולט.ספורט35-38</v>
      </c>
      <c r="C504" s="8" t="n">
        <f aca="false">SUMIFS('Source 2025'!$D:$D,'Source 2025'!$B:$B,$A504,'Source 2025'!$A:$A,"Quantity (units)")+SUMIFS('Source 2025'!$E:$E,'Source 2025'!$B:$B,$A504,'Source 2025'!$A:$A,"Quantity (units)")+SUMIFS('Source 2025'!$F:$F,'Source 2025'!$B:$B,$A504,'Source 2025'!$A:$A,"Quantity (units)")+SUMIFS('Source 2025'!$G:$G,'Source 2025'!$B:$B,$A504,'Source 2025'!$A:$A,"Quantity (units)")+SUMIFS('Source 2025'!$J:$J,'Source 2025'!$B:$B,$A504,'Source 2025'!$A:$A,"Quantity (units)")+SUMIFS('Source 2025'!$M:$M,'Source 2025'!$B:$B,$A504,'Source 2025'!$A:$A,"Quantity (units)")</f>
        <v>7</v>
      </c>
      <c r="D504" s="8" t="n">
        <f aca="false">SUMIFS('Source 2026'!$D:$D,'Source 2026'!$B:$B,$A504,'Source 2026'!$A:$A,"Quantity (units)")+SUMIFS('Source 2026'!$E:$E,'Source 2026'!$B:$B,$A504,'Source 2026'!$A:$A,"Quantity (units)")+SUMIFS('Source 2026'!$F:$F,'Source 2026'!$B:$B,$A504,'Source 2026'!$A:$A,"Quantity (units)")+SUMIFS('Source 2026'!$G:$G,'Source 2026'!$B:$B,$A504,'Source 2026'!$A:$A,"Quantity (units)")+SUMIFS('Source 2026'!$J:$J,'Source 2026'!$B:$B,$A504,'Source 2026'!$A:$A,"Quantity (units)")+SUMIFS('Source 2026'!$M:$M,'Source 2026'!$B:$B,$A504,'Source 2026'!$A:$A,"Quantity (units)")</f>
        <v>8</v>
      </c>
      <c r="E504" s="8" t="n">
        <f aca="false">D504*$J$5</f>
        <v>10.9714285714286</v>
      </c>
      <c r="F504" s="8" t="n">
        <f aca="false">E504-C504</f>
        <v>3.97142857142857</v>
      </c>
      <c r="G504" s="9" t="n">
        <f aca="false">IF(AND(C504=0,E504=0),0,IF(C504=0,"New",(E504-C504)/C504))</f>
        <v>0.56734693877551</v>
      </c>
      <c r="H504" s="8" t="n">
        <f aca="false">SUMIFS('Source 2025'!$D:$D,'Source 2025'!$B:$B,$A504,'Source 2025'!$A:$A,"Amount (NIS)")+SUMIFS('Source 2025'!$E:$E,'Source 2025'!$B:$B,$A504,'Source 2025'!$A:$A,"Amount (NIS)")+SUMIFS('Source 2025'!$F:$F,'Source 2025'!$B:$B,$A504,'Source 2025'!$A:$A,"Amount (NIS)")+SUMIFS('Source 2025'!$G:$G,'Source 2025'!$B:$B,$A504,'Source 2025'!$A:$A,"Amount (NIS)")+SUMIFS('Source 2025'!$J:$J,'Source 2025'!$B:$B,$A504,'Source 2025'!$A:$A,"Amount (NIS)")+SUMIFS('Source 2025'!$M:$M,'Source 2025'!$B:$B,$A504,'Source 2025'!$A:$A,"Amount (NIS)")</f>
        <v>700.1</v>
      </c>
      <c r="I504" s="8" t="n">
        <f aca="false">SUMIFS('Source 2026'!$D:$D,'Source 2026'!$B:$B,$A504,'Source 2026'!$A:$A,"Amount (NIS)")+SUMIFS('Source 2026'!$E:$E,'Source 2026'!$B:$B,$A504,'Source 2026'!$A:$A,"Amount (NIS)")+SUMIFS('Source 2026'!$F:$F,'Source 2026'!$B:$B,$A504,'Source 2026'!$A:$A,"Amount (NIS)")+SUMIFS('Source 2026'!$G:$G,'Source 2026'!$B:$B,$A504,'Source 2026'!$A:$A,"Amount (NIS)")+SUMIFS('Source 2026'!$J:$J,'Source 2026'!$B:$B,$A504,'Source 2026'!$A:$A,"Amount (NIS)")+SUMIFS('Source 2026'!$M:$M,'Source 2026'!$B:$B,$A504,'Source 2026'!$A:$A,"Amount (NIS)")</f>
        <v>799.7</v>
      </c>
      <c r="J504" s="8" t="n">
        <f aca="false">I504*$J$5</f>
        <v>1096.73142857143</v>
      </c>
      <c r="K504" s="8" t="n">
        <f aca="false">J504-H504</f>
        <v>396.631428571429</v>
      </c>
      <c r="L504" s="9" t="n">
        <f aca="false">IF(AND(H504=0,J504=0),0,IF(H504=0,"New",(J504-H504)/H504))</f>
        <v>0.566535392903055</v>
      </c>
    </row>
    <row r="505" customFormat="false" ht="15" hidden="false" customHeight="false" outlineLevel="0" collapsed="false">
      <c r="A505" s="7" t="n">
        <v>4418004</v>
      </c>
      <c r="B505" s="7" t="str">
        <f aca="false">IFERROR(INDEX('Source 2026'!$C:$C,MATCH($A505,'Source 2026'!$B:$B,0)),IFERROR(INDEX('Source 2025'!$C:$C,MATCH($A505,'Source 2025'!$B:$B,0)),""))</f>
        <v>60 XXL צוארון ספוגי</v>
      </c>
      <c r="C505" s="8" t="n">
        <f aca="false">SUMIFS('Source 2025'!$D:$D,'Source 2025'!$B:$B,$A505,'Source 2025'!$A:$A,"Quantity (units)")+SUMIFS('Source 2025'!$E:$E,'Source 2025'!$B:$B,$A505,'Source 2025'!$A:$A,"Quantity (units)")+SUMIFS('Source 2025'!$F:$F,'Source 2025'!$B:$B,$A505,'Source 2025'!$A:$A,"Quantity (units)")+SUMIFS('Source 2025'!$G:$G,'Source 2025'!$B:$B,$A505,'Source 2025'!$A:$A,"Quantity (units)")+SUMIFS('Source 2025'!$J:$J,'Source 2025'!$B:$B,$A505,'Source 2025'!$A:$A,"Quantity (units)")+SUMIFS('Source 2025'!$M:$M,'Source 2025'!$B:$B,$A505,'Source 2025'!$A:$A,"Quantity (units)")</f>
        <v>2</v>
      </c>
      <c r="D505" s="8" t="n">
        <f aca="false">SUMIFS('Source 2026'!$D:$D,'Source 2026'!$B:$B,$A505,'Source 2026'!$A:$A,"Quantity (units)")+SUMIFS('Source 2026'!$E:$E,'Source 2026'!$B:$B,$A505,'Source 2026'!$A:$A,"Quantity (units)")+SUMIFS('Source 2026'!$F:$F,'Source 2026'!$B:$B,$A505,'Source 2026'!$A:$A,"Quantity (units)")+SUMIFS('Source 2026'!$G:$G,'Source 2026'!$B:$B,$A505,'Source 2026'!$A:$A,"Quantity (units)")+SUMIFS('Source 2026'!$J:$J,'Source 2026'!$B:$B,$A505,'Source 2026'!$A:$A,"Quantity (units)")+SUMIFS('Source 2026'!$M:$M,'Source 2026'!$B:$B,$A505,'Source 2026'!$A:$A,"Quantity (units)")</f>
        <v>0</v>
      </c>
      <c r="E505" s="8" t="n">
        <f aca="false">D505*$J$5</f>
        <v>0</v>
      </c>
      <c r="F505" s="8" t="n">
        <f aca="false">E505-C505</f>
        <v>-2</v>
      </c>
      <c r="G505" s="9" t="n">
        <f aca="false">IF(AND(C505=0,E505=0),0,IF(C505=0,"New",(E505-C505)/C505))</f>
        <v>-1</v>
      </c>
      <c r="H505" s="8" t="n">
        <f aca="false">SUMIFS('Source 2025'!$D:$D,'Source 2025'!$B:$B,$A505,'Source 2025'!$A:$A,"Amount (NIS)")+SUMIFS('Source 2025'!$E:$E,'Source 2025'!$B:$B,$A505,'Source 2025'!$A:$A,"Amount (NIS)")+SUMIFS('Source 2025'!$F:$F,'Source 2025'!$B:$B,$A505,'Source 2025'!$A:$A,"Amount (NIS)")+SUMIFS('Source 2025'!$G:$G,'Source 2025'!$B:$B,$A505,'Source 2025'!$A:$A,"Amount (NIS)")+SUMIFS('Source 2025'!$J:$J,'Source 2025'!$B:$B,$A505,'Source 2025'!$A:$A,"Amount (NIS)")+SUMIFS('Source 2025'!$M:$M,'Source 2025'!$B:$B,$A505,'Source 2025'!$A:$A,"Amount (NIS)")</f>
        <v>99.2</v>
      </c>
      <c r="I505" s="8" t="n">
        <f aca="false">SUMIFS('Source 2026'!$D:$D,'Source 2026'!$B:$B,$A505,'Source 2026'!$A:$A,"Amount (NIS)")+SUMIFS('Source 2026'!$E:$E,'Source 2026'!$B:$B,$A505,'Source 2026'!$A:$A,"Amount (NIS)")+SUMIFS('Source 2026'!$F:$F,'Source 2026'!$B:$B,$A505,'Source 2026'!$A:$A,"Amount (NIS)")+SUMIFS('Source 2026'!$G:$G,'Source 2026'!$B:$B,$A505,'Source 2026'!$A:$A,"Amount (NIS)")+SUMIFS('Source 2026'!$J:$J,'Source 2026'!$B:$B,$A505,'Source 2026'!$A:$A,"Amount (NIS)")+SUMIFS('Source 2026'!$M:$M,'Source 2026'!$B:$B,$A505,'Source 2026'!$A:$A,"Amount (NIS)")</f>
        <v>0</v>
      </c>
      <c r="J505" s="8" t="n">
        <f aca="false">I505*$J$5</f>
        <v>0</v>
      </c>
      <c r="K505" s="8" t="n">
        <f aca="false">J505-H505</f>
        <v>-99.2</v>
      </c>
      <c r="L505" s="9" t="n">
        <f aca="false">IF(AND(H505=0,J505=0),0,IF(H505=0,"New",(J505-H505)/H505))</f>
        <v>-1</v>
      </c>
    </row>
    <row r="506" customFormat="false" ht="15" hidden="false" customHeight="false" outlineLevel="0" collapsed="false">
      <c r="A506" s="7" t="n">
        <v>4420032</v>
      </c>
      <c r="B506" s="7" t="str">
        <f aca="false">IFERROR(INDEX('Source 2026'!$C:$C,MATCH($A506,'Source 2026'!$B:$B,0)),IFERROR(INDEX('Source 2025'!$C:$C,MATCH($A506,'Source 2025'!$B:$B,0)),""))</f>
        <v>46-47 רפידת ספורט 376 מידה</v>
      </c>
      <c r="C506" s="8" t="n">
        <f aca="false">SUMIFS('Source 2025'!$D:$D,'Source 2025'!$B:$B,$A506,'Source 2025'!$A:$A,"Quantity (units)")+SUMIFS('Source 2025'!$E:$E,'Source 2025'!$B:$B,$A506,'Source 2025'!$A:$A,"Quantity (units)")+SUMIFS('Source 2025'!$F:$F,'Source 2025'!$B:$B,$A506,'Source 2025'!$A:$A,"Quantity (units)")+SUMIFS('Source 2025'!$G:$G,'Source 2025'!$B:$B,$A506,'Source 2025'!$A:$A,"Quantity (units)")+SUMIFS('Source 2025'!$J:$J,'Source 2025'!$B:$B,$A506,'Source 2025'!$A:$A,"Quantity (units)")+SUMIFS('Source 2025'!$M:$M,'Source 2025'!$B:$B,$A506,'Source 2025'!$A:$A,"Quantity (units)")</f>
        <v>4</v>
      </c>
      <c r="D506" s="8" t="n">
        <f aca="false">SUMIFS('Source 2026'!$D:$D,'Source 2026'!$B:$B,$A506,'Source 2026'!$A:$A,"Quantity (units)")+SUMIFS('Source 2026'!$E:$E,'Source 2026'!$B:$B,$A506,'Source 2026'!$A:$A,"Quantity (units)")+SUMIFS('Source 2026'!$F:$F,'Source 2026'!$B:$B,$A506,'Source 2026'!$A:$A,"Quantity (units)")+SUMIFS('Source 2026'!$G:$G,'Source 2026'!$B:$B,$A506,'Source 2026'!$A:$A,"Quantity (units)")+SUMIFS('Source 2026'!$J:$J,'Source 2026'!$B:$B,$A506,'Source 2026'!$A:$A,"Quantity (units)")+SUMIFS('Source 2026'!$M:$M,'Source 2026'!$B:$B,$A506,'Source 2026'!$A:$A,"Quantity (units)")</f>
        <v>1</v>
      </c>
      <c r="E506" s="8" t="n">
        <f aca="false">D506*$J$5</f>
        <v>1.37142857142857</v>
      </c>
      <c r="F506" s="8" t="n">
        <f aca="false">E506-C506</f>
        <v>-2.62857142857143</v>
      </c>
      <c r="G506" s="9" t="n">
        <f aca="false">IF(AND(C506=0,E506=0),0,IF(C506=0,"New",(E506-C506)/C506))</f>
        <v>-0.657142857142857</v>
      </c>
      <c r="H506" s="8" t="n">
        <f aca="false">SUMIFS('Source 2025'!$D:$D,'Source 2025'!$B:$B,$A506,'Source 2025'!$A:$A,"Amount (NIS)")+SUMIFS('Source 2025'!$E:$E,'Source 2025'!$B:$B,$A506,'Source 2025'!$A:$A,"Amount (NIS)")+SUMIFS('Source 2025'!$F:$F,'Source 2025'!$B:$B,$A506,'Source 2025'!$A:$A,"Amount (NIS)")+SUMIFS('Source 2025'!$G:$G,'Source 2025'!$B:$B,$A506,'Source 2025'!$A:$A,"Amount (NIS)")+SUMIFS('Source 2025'!$J:$J,'Source 2025'!$B:$B,$A506,'Source 2025'!$A:$A,"Amount (NIS)")+SUMIFS('Source 2025'!$M:$M,'Source 2025'!$B:$B,$A506,'Source 2025'!$A:$A,"Amount (NIS)")</f>
        <v>133.6</v>
      </c>
      <c r="I506" s="8" t="n">
        <f aca="false">SUMIFS('Source 2026'!$D:$D,'Source 2026'!$B:$B,$A506,'Source 2026'!$A:$A,"Amount (NIS)")+SUMIFS('Source 2026'!$E:$E,'Source 2026'!$B:$B,$A506,'Source 2026'!$A:$A,"Amount (NIS)")+SUMIFS('Source 2026'!$F:$F,'Source 2026'!$B:$B,$A506,'Source 2026'!$A:$A,"Amount (NIS)")+SUMIFS('Source 2026'!$G:$G,'Source 2026'!$B:$B,$A506,'Source 2026'!$A:$A,"Amount (NIS)")+SUMIFS('Source 2026'!$J:$J,'Source 2026'!$B:$B,$A506,'Source 2026'!$A:$A,"Amount (NIS)")+SUMIFS('Source 2026'!$M:$M,'Source 2026'!$B:$B,$A506,'Source 2026'!$A:$A,"Amount (NIS)")</f>
        <v>35.1</v>
      </c>
      <c r="J506" s="8" t="n">
        <f aca="false">I506*$J$5</f>
        <v>48.1371428571429</v>
      </c>
      <c r="K506" s="8" t="n">
        <f aca="false">J506-H506</f>
        <v>-85.4628571428571</v>
      </c>
      <c r="L506" s="9" t="n">
        <f aca="false">IF(AND(H506=0,J506=0),0,IF(H506=0,"New",(J506-H506)/H506))</f>
        <v>-0.639692044482464</v>
      </c>
    </row>
    <row r="507" customFormat="false" ht="15" hidden="false" customHeight="false" outlineLevel="0" collapsed="false">
      <c r="A507" s="7" t="n">
        <v>4420018</v>
      </c>
      <c r="B507" s="7" t="str">
        <f aca="false">IFERROR(INDEX('Source 2026'!$C:$C,MATCH($A507,'Source 2026'!$B:$B,0)),IFERROR(INDEX('Source 2025'!$C:$C,MATCH($A507,'Source 2025'!$B:$B,0)),""))</f>
        <v>T90 רצועת טניס אלבו עם פלסטיק</v>
      </c>
      <c r="C507" s="8" t="n">
        <f aca="false">SUMIFS('Source 2025'!$D:$D,'Source 2025'!$B:$B,$A507,'Source 2025'!$A:$A,"Quantity (units)")+SUMIFS('Source 2025'!$E:$E,'Source 2025'!$B:$B,$A507,'Source 2025'!$A:$A,"Quantity (units)")+SUMIFS('Source 2025'!$F:$F,'Source 2025'!$B:$B,$A507,'Source 2025'!$A:$A,"Quantity (units)")+SUMIFS('Source 2025'!$G:$G,'Source 2025'!$B:$B,$A507,'Source 2025'!$A:$A,"Quantity (units)")+SUMIFS('Source 2025'!$J:$J,'Source 2025'!$B:$B,$A507,'Source 2025'!$A:$A,"Quantity (units)")+SUMIFS('Source 2025'!$M:$M,'Source 2025'!$B:$B,$A507,'Source 2025'!$A:$A,"Quantity (units)")</f>
        <v>-1</v>
      </c>
      <c r="D507" s="8" t="n">
        <f aca="false">SUMIFS('Source 2026'!$D:$D,'Source 2026'!$B:$B,$A507,'Source 2026'!$A:$A,"Quantity (units)")+SUMIFS('Source 2026'!$E:$E,'Source 2026'!$B:$B,$A507,'Source 2026'!$A:$A,"Quantity (units)")+SUMIFS('Source 2026'!$F:$F,'Source 2026'!$B:$B,$A507,'Source 2026'!$A:$A,"Quantity (units)")+SUMIFS('Source 2026'!$G:$G,'Source 2026'!$B:$B,$A507,'Source 2026'!$A:$A,"Quantity (units)")+SUMIFS('Source 2026'!$J:$J,'Source 2026'!$B:$B,$A507,'Source 2026'!$A:$A,"Quantity (units)")+SUMIFS('Source 2026'!$M:$M,'Source 2026'!$B:$B,$A507,'Source 2026'!$A:$A,"Quantity (units)")</f>
        <v>0</v>
      </c>
      <c r="E507" s="8" t="n">
        <f aca="false">D507*$J$5</f>
        <v>0</v>
      </c>
      <c r="F507" s="8" t="n">
        <f aca="false">E507-C507</f>
        <v>1</v>
      </c>
      <c r="G507" s="9" t="n">
        <f aca="false">IF(AND(C507=0,E507=0),0,IF(C507=0,"New",(E507-C507)/C507))</f>
        <v>-1</v>
      </c>
      <c r="H507" s="8" t="n">
        <f aca="false">SUMIFS('Source 2025'!$D:$D,'Source 2025'!$B:$B,$A507,'Source 2025'!$A:$A,"Amount (NIS)")+SUMIFS('Source 2025'!$E:$E,'Source 2025'!$B:$B,$A507,'Source 2025'!$A:$A,"Amount (NIS)")+SUMIFS('Source 2025'!$F:$F,'Source 2025'!$B:$B,$A507,'Source 2025'!$A:$A,"Amount (NIS)")+SUMIFS('Source 2025'!$G:$G,'Source 2025'!$B:$B,$A507,'Source 2025'!$A:$A,"Amount (NIS)")+SUMIFS('Source 2025'!$J:$J,'Source 2025'!$B:$B,$A507,'Source 2025'!$A:$A,"Amount (NIS)")+SUMIFS('Source 2025'!$M:$M,'Source 2025'!$B:$B,$A507,'Source 2025'!$A:$A,"Amount (NIS)")</f>
        <v>-98.3</v>
      </c>
      <c r="I507" s="8" t="n">
        <f aca="false">SUMIFS('Source 2026'!$D:$D,'Source 2026'!$B:$B,$A507,'Source 2026'!$A:$A,"Amount (NIS)")+SUMIFS('Source 2026'!$E:$E,'Source 2026'!$B:$B,$A507,'Source 2026'!$A:$A,"Amount (NIS)")+SUMIFS('Source 2026'!$F:$F,'Source 2026'!$B:$B,$A507,'Source 2026'!$A:$A,"Amount (NIS)")+SUMIFS('Source 2026'!$G:$G,'Source 2026'!$B:$B,$A507,'Source 2026'!$A:$A,"Amount (NIS)")+SUMIFS('Source 2026'!$J:$J,'Source 2026'!$B:$B,$A507,'Source 2026'!$A:$A,"Amount (NIS)")+SUMIFS('Source 2026'!$M:$M,'Source 2026'!$B:$B,$A507,'Source 2026'!$A:$A,"Amount (NIS)")</f>
        <v>0</v>
      </c>
      <c r="J507" s="8" t="n">
        <f aca="false">I507*$J$5</f>
        <v>0</v>
      </c>
      <c r="K507" s="8" t="n">
        <f aca="false">J507-H507</f>
        <v>98.3</v>
      </c>
      <c r="L507" s="9" t="n">
        <f aca="false">IF(AND(H507=0,J507=0),0,IF(H507=0,"New",(J507-H507)/H507))</f>
        <v>-1</v>
      </c>
    </row>
    <row r="508" customFormat="false" ht="15" hidden="false" customHeight="false" outlineLevel="0" collapsed="false">
      <c r="A508" s="7" t="n">
        <v>4413408</v>
      </c>
      <c r="B508" s="7" t="str">
        <f aca="false">IFERROR(INDEX('Source 2026'!$C:$C,MATCH($A508,'Source 2026'!$B:$B,0)),IFERROR(INDEX('Source 2025'!$C:$C,MATCH($A508,'Source 2025'!$B:$B,0)),""))</f>
        <v>SC95 XLמגן מרפק</v>
      </c>
      <c r="C508" s="8" t="n">
        <f aca="false">SUMIFS('Source 2025'!$D:$D,'Source 2025'!$B:$B,$A508,'Source 2025'!$A:$A,"Quantity (units)")+SUMIFS('Source 2025'!$E:$E,'Source 2025'!$B:$B,$A508,'Source 2025'!$A:$A,"Quantity (units)")+SUMIFS('Source 2025'!$F:$F,'Source 2025'!$B:$B,$A508,'Source 2025'!$A:$A,"Quantity (units)")+SUMIFS('Source 2025'!$G:$G,'Source 2025'!$B:$B,$A508,'Source 2025'!$A:$A,"Quantity (units)")+SUMIFS('Source 2025'!$J:$J,'Source 2025'!$B:$B,$A508,'Source 2025'!$A:$A,"Quantity (units)")+SUMIFS('Source 2025'!$M:$M,'Source 2025'!$B:$B,$A508,'Source 2025'!$A:$A,"Quantity (units)")</f>
        <v>5</v>
      </c>
      <c r="D508" s="8" t="n">
        <f aca="false">SUMIFS('Source 2026'!$D:$D,'Source 2026'!$B:$B,$A508,'Source 2026'!$A:$A,"Quantity (units)")+SUMIFS('Source 2026'!$E:$E,'Source 2026'!$B:$B,$A508,'Source 2026'!$A:$A,"Quantity (units)")+SUMIFS('Source 2026'!$F:$F,'Source 2026'!$B:$B,$A508,'Source 2026'!$A:$A,"Quantity (units)")+SUMIFS('Source 2026'!$G:$G,'Source 2026'!$B:$B,$A508,'Source 2026'!$A:$A,"Quantity (units)")+SUMIFS('Source 2026'!$J:$J,'Source 2026'!$B:$B,$A508,'Source 2026'!$A:$A,"Quantity (units)")+SUMIFS('Source 2026'!$M:$M,'Source 2026'!$B:$B,$A508,'Source 2026'!$A:$A,"Quantity (units)")</f>
        <v>3</v>
      </c>
      <c r="E508" s="8" t="n">
        <f aca="false">D508*$J$5</f>
        <v>4.11428571428571</v>
      </c>
      <c r="F508" s="8" t="n">
        <f aca="false">E508-C508</f>
        <v>-0.885714285714286</v>
      </c>
      <c r="G508" s="9" t="n">
        <f aca="false">IF(AND(C508=0,E508=0),0,IF(C508=0,"New",(E508-C508)/C508))</f>
        <v>-0.177142857142857</v>
      </c>
      <c r="H508" s="8" t="n">
        <f aca="false">SUMIFS('Source 2025'!$D:$D,'Source 2025'!$B:$B,$A508,'Source 2025'!$A:$A,"Amount (NIS)")+SUMIFS('Source 2025'!$E:$E,'Source 2025'!$B:$B,$A508,'Source 2025'!$A:$A,"Amount (NIS)")+SUMIFS('Source 2025'!$F:$F,'Source 2025'!$B:$B,$A508,'Source 2025'!$A:$A,"Amount (NIS)")+SUMIFS('Source 2025'!$G:$G,'Source 2025'!$B:$B,$A508,'Source 2025'!$A:$A,"Amount (NIS)")+SUMIFS('Source 2025'!$J:$J,'Source 2025'!$B:$B,$A508,'Source 2025'!$A:$A,"Amount (NIS)")+SUMIFS('Source 2025'!$M:$M,'Source 2025'!$B:$B,$A508,'Source 2025'!$A:$A,"Amount (NIS)")</f>
        <v>377.3</v>
      </c>
      <c r="I508" s="8" t="n">
        <f aca="false">SUMIFS('Source 2026'!$D:$D,'Source 2026'!$B:$B,$A508,'Source 2026'!$A:$A,"Amount (NIS)")+SUMIFS('Source 2026'!$E:$E,'Source 2026'!$B:$B,$A508,'Source 2026'!$A:$A,"Amount (NIS)")+SUMIFS('Source 2026'!$F:$F,'Source 2026'!$B:$B,$A508,'Source 2026'!$A:$A,"Amount (NIS)")+SUMIFS('Source 2026'!$G:$G,'Source 2026'!$B:$B,$A508,'Source 2026'!$A:$A,"Amount (NIS)")+SUMIFS('Source 2026'!$J:$J,'Source 2026'!$B:$B,$A508,'Source 2026'!$A:$A,"Amount (NIS)")+SUMIFS('Source 2026'!$M:$M,'Source 2026'!$B:$B,$A508,'Source 2026'!$A:$A,"Amount (NIS)")</f>
        <v>281</v>
      </c>
      <c r="J508" s="8" t="n">
        <f aca="false">I508*$J$5</f>
        <v>385.371428571429</v>
      </c>
      <c r="K508" s="8" t="n">
        <f aca="false">J508-H508</f>
        <v>8.07142857142856</v>
      </c>
      <c r="L508" s="9" t="n">
        <f aca="false">IF(AND(H508=0,J508=0),0,IF(H508=0,"New",(J508-H508)/H508))</f>
        <v>0.0213926015675286</v>
      </c>
    </row>
    <row r="509" customFormat="false" ht="15" hidden="false" customHeight="false" outlineLevel="0" collapsed="false">
      <c r="A509" s="7" t="n">
        <v>4408234</v>
      </c>
      <c r="B509" s="7" t="str">
        <f aca="false">IFERROR(INDEX('Source 2026'!$C:$C,MATCH($A509,'Source 2026'!$B:$B,0)),IFERROR(INDEX('Source 2025'!$C:$C,MATCH($A509,'Source 2025'!$B:$B,0)),""))</f>
        <v>078C M'חגורת גב+סגירה כפו בז</v>
      </c>
      <c r="C509" s="8" t="n">
        <f aca="false">SUMIFS('Source 2025'!$D:$D,'Source 2025'!$B:$B,$A509,'Source 2025'!$A:$A,"Quantity (units)")+SUMIFS('Source 2025'!$E:$E,'Source 2025'!$B:$B,$A509,'Source 2025'!$A:$A,"Quantity (units)")+SUMIFS('Source 2025'!$F:$F,'Source 2025'!$B:$B,$A509,'Source 2025'!$A:$A,"Quantity (units)")+SUMIFS('Source 2025'!$G:$G,'Source 2025'!$B:$B,$A509,'Source 2025'!$A:$A,"Quantity (units)")+SUMIFS('Source 2025'!$J:$J,'Source 2025'!$B:$B,$A509,'Source 2025'!$A:$A,"Quantity (units)")+SUMIFS('Source 2025'!$M:$M,'Source 2025'!$B:$B,$A509,'Source 2025'!$A:$A,"Quantity (units)")</f>
        <v>-1</v>
      </c>
      <c r="D509" s="8" t="n">
        <f aca="false">SUMIFS('Source 2026'!$D:$D,'Source 2026'!$B:$B,$A509,'Source 2026'!$A:$A,"Quantity (units)")+SUMIFS('Source 2026'!$E:$E,'Source 2026'!$B:$B,$A509,'Source 2026'!$A:$A,"Quantity (units)")+SUMIFS('Source 2026'!$F:$F,'Source 2026'!$B:$B,$A509,'Source 2026'!$A:$A,"Quantity (units)")+SUMIFS('Source 2026'!$G:$G,'Source 2026'!$B:$B,$A509,'Source 2026'!$A:$A,"Quantity (units)")+SUMIFS('Source 2026'!$J:$J,'Source 2026'!$B:$B,$A509,'Source 2026'!$A:$A,"Quantity (units)")+SUMIFS('Source 2026'!$M:$M,'Source 2026'!$B:$B,$A509,'Source 2026'!$A:$A,"Quantity (units)")</f>
        <v>0</v>
      </c>
      <c r="E509" s="8" t="n">
        <f aca="false">D509*$J$5</f>
        <v>0</v>
      </c>
      <c r="F509" s="8" t="n">
        <f aca="false">E509-C509</f>
        <v>1</v>
      </c>
      <c r="G509" s="9" t="n">
        <f aca="false">IF(AND(C509=0,E509=0),0,IF(C509=0,"New",(E509-C509)/C509))</f>
        <v>-1</v>
      </c>
      <c r="H509" s="8" t="n">
        <f aca="false">SUMIFS('Source 2025'!$D:$D,'Source 2025'!$B:$B,$A509,'Source 2025'!$A:$A,"Amount (NIS)")+SUMIFS('Source 2025'!$E:$E,'Source 2025'!$B:$B,$A509,'Source 2025'!$A:$A,"Amount (NIS)")+SUMIFS('Source 2025'!$F:$F,'Source 2025'!$B:$B,$A509,'Source 2025'!$A:$A,"Amount (NIS)")+SUMIFS('Source 2025'!$G:$G,'Source 2025'!$B:$B,$A509,'Source 2025'!$A:$A,"Amount (NIS)")+SUMIFS('Source 2025'!$J:$J,'Source 2025'!$B:$B,$A509,'Source 2025'!$A:$A,"Amount (NIS)")+SUMIFS('Source 2025'!$M:$M,'Source 2025'!$B:$B,$A509,'Source 2025'!$A:$A,"Amount (NIS)")</f>
        <v>-133.3</v>
      </c>
      <c r="I509" s="8" t="n">
        <f aca="false">SUMIFS('Source 2026'!$D:$D,'Source 2026'!$B:$B,$A509,'Source 2026'!$A:$A,"Amount (NIS)")+SUMIFS('Source 2026'!$E:$E,'Source 2026'!$B:$B,$A509,'Source 2026'!$A:$A,"Amount (NIS)")+SUMIFS('Source 2026'!$F:$F,'Source 2026'!$B:$B,$A509,'Source 2026'!$A:$A,"Amount (NIS)")+SUMIFS('Source 2026'!$G:$G,'Source 2026'!$B:$B,$A509,'Source 2026'!$A:$A,"Amount (NIS)")+SUMIFS('Source 2026'!$J:$J,'Source 2026'!$B:$B,$A509,'Source 2026'!$A:$A,"Amount (NIS)")+SUMIFS('Source 2026'!$M:$M,'Source 2026'!$B:$B,$A509,'Source 2026'!$A:$A,"Amount (NIS)")</f>
        <v>-37.1</v>
      </c>
      <c r="J509" s="8" t="n">
        <f aca="false">I509*$J$5</f>
        <v>-50.88</v>
      </c>
      <c r="K509" s="8" t="n">
        <f aca="false">J509-H509</f>
        <v>82.42</v>
      </c>
      <c r="L509" s="9" t="n">
        <f aca="false">IF(AND(H509=0,J509=0),0,IF(H509=0,"New",(J509-H509)/H509))</f>
        <v>-0.618304576144036</v>
      </c>
    </row>
    <row r="510" customFormat="false" ht="15" hidden="false" customHeight="false" outlineLevel="0" collapsed="false">
      <c r="A510" s="7" t="n">
        <v>4413118</v>
      </c>
      <c r="B510" s="7" t="str">
        <f aca="false">IFERROR(INDEX('Source 2026'!$C:$C,MATCH($A510,'Source 2026'!$B:$B,0)),IFERROR(INDEX('Source 2025'!$C:$C,MATCH($A510,'Source 2025'!$B:$B,0)),""))</f>
        <v>50 M מתלה אשכים לאחר ניתוח</v>
      </c>
      <c r="C510" s="8" t="n">
        <f aca="false">SUMIFS('Source 2025'!$D:$D,'Source 2025'!$B:$B,$A510,'Source 2025'!$A:$A,"Quantity (units)")+SUMIFS('Source 2025'!$E:$E,'Source 2025'!$B:$B,$A510,'Source 2025'!$A:$A,"Quantity (units)")+SUMIFS('Source 2025'!$F:$F,'Source 2025'!$B:$B,$A510,'Source 2025'!$A:$A,"Quantity (units)")+SUMIFS('Source 2025'!$G:$G,'Source 2025'!$B:$B,$A510,'Source 2025'!$A:$A,"Quantity (units)")+SUMIFS('Source 2025'!$J:$J,'Source 2025'!$B:$B,$A510,'Source 2025'!$A:$A,"Quantity (units)")+SUMIFS('Source 2025'!$M:$M,'Source 2025'!$B:$B,$A510,'Source 2025'!$A:$A,"Quantity (units)")</f>
        <v>2</v>
      </c>
      <c r="D510" s="8" t="n">
        <f aca="false">SUMIFS('Source 2026'!$D:$D,'Source 2026'!$B:$B,$A510,'Source 2026'!$A:$A,"Quantity (units)")+SUMIFS('Source 2026'!$E:$E,'Source 2026'!$B:$B,$A510,'Source 2026'!$A:$A,"Quantity (units)")+SUMIFS('Source 2026'!$F:$F,'Source 2026'!$B:$B,$A510,'Source 2026'!$A:$A,"Quantity (units)")+SUMIFS('Source 2026'!$G:$G,'Source 2026'!$B:$B,$A510,'Source 2026'!$A:$A,"Quantity (units)")+SUMIFS('Source 2026'!$J:$J,'Source 2026'!$B:$B,$A510,'Source 2026'!$A:$A,"Quantity (units)")+SUMIFS('Source 2026'!$M:$M,'Source 2026'!$B:$B,$A510,'Source 2026'!$A:$A,"Quantity (units)")</f>
        <v>1</v>
      </c>
      <c r="E510" s="8" t="n">
        <f aca="false">D510*$J$5</f>
        <v>1.37142857142857</v>
      </c>
      <c r="F510" s="8" t="n">
        <f aca="false">E510-C510</f>
        <v>-0.628571428571429</v>
      </c>
      <c r="G510" s="9" t="n">
        <f aca="false">IF(AND(C510=0,E510=0),0,IF(C510=0,"New",(E510-C510)/C510))</f>
        <v>-0.314285714285714</v>
      </c>
      <c r="H510" s="8" t="n">
        <f aca="false">SUMIFS('Source 2025'!$D:$D,'Source 2025'!$B:$B,$A510,'Source 2025'!$A:$A,"Amount (NIS)")+SUMIFS('Source 2025'!$E:$E,'Source 2025'!$B:$B,$A510,'Source 2025'!$A:$A,"Amount (NIS)")+SUMIFS('Source 2025'!$F:$F,'Source 2025'!$B:$B,$A510,'Source 2025'!$A:$A,"Amount (NIS)")+SUMIFS('Source 2025'!$G:$G,'Source 2025'!$B:$B,$A510,'Source 2025'!$A:$A,"Amount (NIS)")+SUMIFS('Source 2025'!$J:$J,'Source 2025'!$B:$B,$A510,'Source 2025'!$A:$A,"Amount (NIS)")+SUMIFS('Source 2025'!$M:$M,'Source 2025'!$B:$B,$A510,'Source 2025'!$A:$A,"Amount (NIS)")</f>
        <v>207.2</v>
      </c>
      <c r="I510" s="8" t="n">
        <f aca="false">SUMIFS('Source 2026'!$D:$D,'Source 2026'!$B:$B,$A510,'Source 2026'!$A:$A,"Amount (NIS)")+SUMIFS('Source 2026'!$E:$E,'Source 2026'!$B:$B,$A510,'Source 2026'!$A:$A,"Amount (NIS)")+SUMIFS('Source 2026'!$F:$F,'Source 2026'!$B:$B,$A510,'Source 2026'!$A:$A,"Amount (NIS)")+SUMIFS('Source 2026'!$G:$G,'Source 2026'!$B:$B,$A510,'Source 2026'!$A:$A,"Amount (NIS)")+SUMIFS('Source 2026'!$J:$J,'Source 2026'!$B:$B,$A510,'Source 2026'!$A:$A,"Amount (NIS)")+SUMIFS('Source 2026'!$M:$M,'Source 2026'!$B:$B,$A510,'Source 2026'!$A:$A,"Amount (NIS)")</f>
        <v>111</v>
      </c>
      <c r="J510" s="8" t="n">
        <f aca="false">I510*$J$5</f>
        <v>152.228571428571</v>
      </c>
      <c r="K510" s="8" t="n">
        <f aca="false">J510-H510</f>
        <v>-54.9714285714286</v>
      </c>
      <c r="L510" s="9" t="n">
        <f aca="false">IF(AND(H510=0,J510=0),0,IF(H510=0,"New",(J510-H510)/H510))</f>
        <v>-0.26530612244898</v>
      </c>
    </row>
    <row r="511" customFormat="false" ht="15" hidden="false" customHeight="false" outlineLevel="0" collapsed="false">
      <c r="A511" s="7" t="n">
        <v>4413177</v>
      </c>
      <c r="B511" s="7" t="str">
        <f aca="false">IFERROR(INDEX('Source 2026'!$C:$C,MATCH($A511,'Source 2026'!$B:$B,0)),IFERROR(INDEX('Source 2025'!$C:$C,MATCH($A511,'Source 2025'!$B:$B,0)),""))</f>
        <v>85+ XLמתלה ליד)כיס(רצועת חיזוק</v>
      </c>
      <c r="C511" s="8" t="n">
        <f aca="false">SUMIFS('Source 2025'!$D:$D,'Source 2025'!$B:$B,$A511,'Source 2025'!$A:$A,"Quantity (units)")+SUMIFS('Source 2025'!$E:$E,'Source 2025'!$B:$B,$A511,'Source 2025'!$A:$A,"Quantity (units)")+SUMIFS('Source 2025'!$F:$F,'Source 2025'!$B:$B,$A511,'Source 2025'!$A:$A,"Quantity (units)")+SUMIFS('Source 2025'!$G:$G,'Source 2025'!$B:$B,$A511,'Source 2025'!$A:$A,"Quantity (units)")+SUMIFS('Source 2025'!$J:$J,'Source 2025'!$B:$B,$A511,'Source 2025'!$A:$A,"Quantity (units)")+SUMIFS('Source 2025'!$M:$M,'Source 2025'!$B:$B,$A511,'Source 2025'!$A:$A,"Quantity (units)")</f>
        <v>1</v>
      </c>
      <c r="D511" s="8" t="n">
        <f aca="false">SUMIFS('Source 2026'!$D:$D,'Source 2026'!$B:$B,$A511,'Source 2026'!$A:$A,"Quantity (units)")+SUMIFS('Source 2026'!$E:$E,'Source 2026'!$B:$B,$A511,'Source 2026'!$A:$A,"Quantity (units)")+SUMIFS('Source 2026'!$F:$F,'Source 2026'!$B:$B,$A511,'Source 2026'!$A:$A,"Quantity (units)")+SUMIFS('Source 2026'!$G:$G,'Source 2026'!$B:$B,$A511,'Source 2026'!$A:$A,"Quantity (units)")+SUMIFS('Source 2026'!$J:$J,'Source 2026'!$B:$B,$A511,'Source 2026'!$A:$A,"Quantity (units)")+SUMIFS('Source 2026'!$M:$M,'Source 2026'!$B:$B,$A511,'Source 2026'!$A:$A,"Quantity (units)")</f>
        <v>2</v>
      </c>
      <c r="E511" s="8" t="n">
        <f aca="false">D511*$J$5</f>
        <v>2.74285714285714</v>
      </c>
      <c r="F511" s="8" t="n">
        <f aca="false">E511-C511</f>
        <v>1.74285714285714</v>
      </c>
      <c r="G511" s="9" t="n">
        <f aca="false">IF(AND(C511=0,E511=0),0,IF(C511=0,"New",(E511-C511)/C511))</f>
        <v>1.74285714285714</v>
      </c>
      <c r="H511" s="8" t="n">
        <f aca="false">SUMIFS('Source 2025'!$D:$D,'Source 2025'!$B:$B,$A511,'Source 2025'!$A:$A,"Amount (NIS)")+SUMIFS('Source 2025'!$E:$E,'Source 2025'!$B:$B,$A511,'Source 2025'!$A:$A,"Amount (NIS)")+SUMIFS('Source 2025'!$F:$F,'Source 2025'!$B:$B,$A511,'Source 2025'!$A:$A,"Amount (NIS)")+SUMIFS('Source 2025'!$G:$G,'Source 2025'!$B:$B,$A511,'Source 2025'!$A:$A,"Amount (NIS)")+SUMIFS('Source 2025'!$J:$J,'Source 2025'!$B:$B,$A511,'Source 2025'!$A:$A,"Amount (NIS)")+SUMIFS('Source 2025'!$M:$M,'Source 2025'!$B:$B,$A511,'Source 2025'!$A:$A,"Amount (NIS)")</f>
        <v>94.6</v>
      </c>
      <c r="I511" s="8" t="n">
        <f aca="false">SUMIFS('Source 2026'!$D:$D,'Source 2026'!$B:$B,$A511,'Source 2026'!$A:$A,"Amount (NIS)")+SUMIFS('Source 2026'!$E:$E,'Source 2026'!$B:$B,$A511,'Source 2026'!$A:$A,"Amount (NIS)")+SUMIFS('Source 2026'!$F:$F,'Source 2026'!$B:$B,$A511,'Source 2026'!$A:$A,"Amount (NIS)")+SUMIFS('Source 2026'!$G:$G,'Source 2026'!$B:$B,$A511,'Source 2026'!$A:$A,"Amount (NIS)")+SUMIFS('Source 2026'!$J:$J,'Source 2026'!$B:$B,$A511,'Source 2026'!$A:$A,"Amount (NIS)")+SUMIFS('Source 2026'!$M:$M,'Source 2026'!$B:$B,$A511,'Source 2026'!$A:$A,"Amount (NIS)")</f>
        <v>189.3</v>
      </c>
      <c r="J511" s="8" t="n">
        <f aca="false">I511*$J$5</f>
        <v>259.611428571429</v>
      </c>
      <c r="K511" s="8" t="n">
        <f aca="false">J511-H511</f>
        <v>165.011428571429</v>
      </c>
      <c r="L511" s="9" t="n">
        <f aca="false">IF(AND(H511=0,J511=0),0,IF(H511=0,"New",(J511-H511)/H511))</f>
        <v>1.74430685593476</v>
      </c>
    </row>
    <row r="512" customFormat="false" ht="15" hidden="false" customHeight="false" outlineLevel="0" collapsed="false">
      <c r="A512" s="7" t="n">
        <v>4413169</v>
      </c>
      <c r="B512" s="7" t="str">
        <f aca="false">IFERROR(INDEX('Source 2026'!$C:$C,MATCH($A512,'Source 2026'!$B:$B,0)),IFERROR(INDEX('Source 2025'!$C:$C,MATCH($A512,'Source 2025'!$B:$B,0)),""))</f>
        <v>T402 S מיצב פיקה</v>
      </c>
      <c r="C512" s="8" t="n">
        <f aca="false">SUMIFS('Source 2025'!$D:$D,'Source 2025'!$B:$B,$A512,'Source 2025'!$A:$A,"Quantity (units)")+SUMIFS('Source 2025'!$E:$E,'Source 2025'!$B:$B,$A512,'Source 2025'!$A:$A,"Quantity (units)")+SUMIFS('Source 2025'!$F:$F,'Source 2025'!$B:$B,$A512,'Source 2025'!$A:$A,"Quantity (units)")+SUMIFS('Source 2025'!$G:$G,'Source 2025'!$B:$B,$A512,'Source 2025'!$A:$A,"Quantity (units)")+SUMIFS('Source 2025'!$J:$J,'Source 2025'!$B:$B,$A512,'Source 2025'!$A:$A,"Quantity (units)")+SUMIFS('Source 2025'!$M:$M,'Source 2025'!$B:$B,$A512,'Source 2025'!$A:$A,"Quantity (units)")</f>
        <v>1</v>
      </c>
      <c r="D512" s="8" t="n">
        <f aca="false">SUMIFS('Source 2026'!$D:$D,'Source 2026'!$B:$B,$A512,'Source 2026'!$A:$A,"Quantity (units)")+SUMIFS('Source 2026'!$E:$E,'Source 2026'!$B:$B,$A512,'Source 2026'!$A:$A,"Quantity (units)")+SUMIFS('Source 2026'!$F:$F,'Source 2026'!$B:$B,$A512,'Source 2026'!$A:$A,"Quantity (units)")+SUMIFS('Source 2026'!$G:$G,'Source 2026'!$B:$B,$A512,'Source 2026'!$A:$A,"Quantity (units)")+SUMIFS('Source 2026'!$J:$J,'Source 2026'!$B:$B,$A512,'Source 2026'!$A:$A,"Quantity (units)")+SUMIFS('Source 2026'!$M:$M,'Source 2026'!$B:$B,$A512,'Source 2026'!$A:$A,"Quantity (units)")</f>
        <v>0</v>
      </c>
      <c r="E512" s="8" t="n">
        <f aca="false">D512*$J$5</f>
        <v>0</v>
      </c>
      <c r="F512" s="8" t="n">
        <f aca="false">E512-C512</f>
        <v>-1</v>
      </c>
      <c r="G512" s="9" t="n">
        <f aca="false">IF(AND(C512=0,E512=0),0,IF(C512=0,"New",(E512-C512)/C512))</f>
        <v>-1</v>
      </c>
      <c r="H512" s="8" t="n">
        <f aca="false">SUMIFS('Source 2025'!$D:$D,'Source 2025'!$B:$B,$A512,'Source 2025'!$A:$A,"Amount (NIS)")+SUMIFS('Source 2025'!$E:$E,'Source 2025'!$B:$B,$A512,'Source 2025'!$A:$A,"Amount (NIS)")+SUMIFS('Source 2025'!$F:$F,'Source 2025'!$B:$B,$A512,'Source 2025'!$A:$A,"Amount (NIS)")+SUMIFS('Source 2025'!$G:$G,'Source 2025'!$B:$B,$A512,'Source 2025'!$A:$A,"Amount (NIS)")+SUMIFS('Source 2025'!$J:$J,'Source 2025'!$B:$B,$A512,'Source 2025'!$A:$A,"Amount (NIS)")+SUMIFS('Source 2025'!$M:$M,'Source 2025'!$B:$B,$A512,'Source 2025'!$A:$A,"Amount (NIS)")</f>
        <v>94.6</v>
      </c>
      <c r="I512" s="8" t="n">
        <f aca="false">SUMIFS('Source 2026'!$D:$D,'Source 2026'!$B:$B,$A512,'Source 2026'!$A:$A,"Amount (NIS)")+SUMIFS('Source 2026'!$E:$E,'Source 2026'!$B:$B,$A512,'Source 2026'!$A:$A,"Amount (NIS)")+SUMIFS('Source 2026'!$F:$F,'Source 2026'!$B:$B,$A512,'Source 2026'!$A:$A,"Amount (NIS)")+SUMIFS('Source 2026'!$G:$G,'Source 2026'!$B:$B,$A512,'Source 2026'!$A:$A,"Amount (NIS)")+SUMIFS('Source 2026'!$J:$J,'Source 2026'!$B:$B,$A512,'Source 2026'!$A:$A,"Amount (NIS)")+SUMIFS('Source 2026'!$M:$M,'Source 2026'!$B:$B,$A512,'Source 2026'!$A:$A,"Amount (NIS)")</f>
        <v>0</v>
      </c>
      <c r="J512" s="8" t="n">
        <f aca="false">I512*$J$5</f>
        <v>0</v>
      </c>
      <c r="K512" s="8" t="n">
        <f aca="false">J512-H512</f>
        <v>-94.6</v>
      </c>
      <c r="L512" s="9" t="n">
        <f aca="false">IF(AND(H512=0,J512=0),0,IF(H512=0,"New",(J512-H512)/H512))</f>
        <v>-1</v>
      </c>
    </row>
    <row r="513" customFormat="false" ht="15" hidden="false" customHeight="false" outlineLevel="0" collapsed="false">
      <c r="A513" s="7" t="n">
        <v>4408100</v>
      </c>
      <c r="B513" s="7" t="str">
        <f aca="false">IFERROR(INDEX('Source 2026'!$C:$C,MATCH($A513,'Source 2026'!$B:$B,0)),IFERROR(INDEX('Source 2025'!$C:$C,MATCH($A513,'Source 2025'!$B:$B,0)),""))</f>
        <v>11U Lחגורת בטן וחזה אחרי ניתוח</v>
      </c>
      <c r="C513" s="8" t="n">
        <f aca="false">SUMIFS('Source 2025'!$D:$D,'Source 2025'!$B:$B,$A513,'Source 2025'!$A:$A,"Quantity (units)")+SUMIFS('Source 2025'!$E:$E,'Source 2025'!$B:$B,$A513,'Source 2025'!$A:$A,"Quantity (units)")+SUMIFS('Source 2025'!$F:$F,'Source 2025'!$B:$B,$A513,'Source 2025'!$A:$A,"Quantity (units)")+SUMIFS('Source 2025'!$G:$G,'Source 2025'!$B:$B,$A513,'Source 2025'!$A:$A,"Quantity (units)")+SUMIFS('Source 2025'!$J:$J,'Source 2025'!$B:$B,$A513,'Source 2025'!$A:$A,"Quantity (units)")+SUMIFS('Source 2025'!$M:$M,'Source 2025'!$B:$B,$A513,'Source 2025'!$A:$A,"Quantity (units)")</f>
        <v>1</v>
      </c>
      <c r="D513" s="8" t="n">
        <f aca="false">SUMIFS('Source 2026'!$D:$D,'Source 2026'!$B:$B,$A513,'Source 2026'!$A:$A,"Quantity (units)")+SUMIFS('Source 2026'!$E:$E,'Source 2026'!$B:$B,$A513,'Source 2026'!$A:$A,"Quantity (units)")+SUMIFS('Source 2026'!$F:$F,'Source 2026'!$B:$B,$A513,'Source 2026'!$A:$A,"Quantity (units)")+SUMIFS('Source 2026'!$G:$G,'Source 2026'!$B:$B,$A513,'Source 2026'!$A:$A,"Quantity (units)")+SUMIFS('Source 2026'!$J:$J,'Source 2026'!$B:$B,$A513,'Source 2026'!$A:$A,"Quantity (units)")+SUMIFS('Source 2026'!$M:$M,'Source 2026'!$B:$B,$A513,'Source 2026'!$A:$A,"Quantity (units)")</f>
        <v>0</v>
      </c>
      <c r="E513" s="8" t="n">
        <f aca="false">D513*$J$5</f>
        <v>0</v>
      </c>
      <c r="F513" s="8" t="n">
        <f aca="false">E513-C513</f>
        <v>-1</v>
      </c>
      <c r="G513" s="9" t="n">
        <f aca="false">IF(AND(C513=0,E513=0),0,IF(C513=0,"New",(E513-C513)/C513))</f>
        <v>-1</v>
      </c>
      <c r="H513" s="8" t="n">
        <f aca="false">SUMIFS('Source 2025'!$D:$D,'Source 2025'!$B:$B,$A513,'Source 2025'!$A:$A,"Amount (NIS)")+SUMIFS('Source 2025'!$E:$E,'Source 2025'!$B:$B,$A513,'Source 2025'!$A:$A,"Amount (NIS)")+SUMIFS('Source 2025'!$F:$F,'Source 2025'!$B:$B,$A513,'Source 2025'!$A:$A,"Amount (NIS)")+SUMIFS('Source 2025'!$G:$G,'Source 2025'!$B:$B,$A513,'Source 2025'!$A:$A,"Amount (NIS)")+SUMIFS('Source 2025'!$J:$J,'Source 2025'!$B:$B,$A513,'Source 2025'!$A:$A,"Amount (NIS)")+SUMIFS('Source 2025'!$M:$M,'Source 2025'!$B:$B,$A513,'Source 2025'!$A:$A,"Amount (NIS)")</f>
        <v>94.5</v>
      </c>
      <c r="I513" s="8" t="n">
        <f aca="false">SUMIFS('Source 2026'!$D:$D,'Source 2026'!$B:$B,$A513,'Source 2026'!$A:$A,"Amount (NIS)")+SUMIFS('Source 2026'!$E:$E,'Source 2026'!$B:$B,$A513,'Source 2026'!$A:$A,"Amount (NIS)")+SUMIFS('Source 2026'!$F:$F,'Source 2026'!$B:$B,$A513,'Source 2026'!$A:$A,"Amount (NIS)")+SUMIFS('Source 2026'!$G:$G,'Source 2026'!$B:$B,$A513,'Source 2026'!$A:$A,"Amount (NIS)")+SUMIFS('Source 2026'!$J:$J,'Source 2026'!$B:$B,$A513,'Source 2026'!$A:$A,"Amount (NIS)")+SUMIFS('Source 2026'!$M:$M,'Source 2026'!$B:$B,$A513,'Source 2026'!$A:$A,"Amount (NIS)")</f>
        <v>0</v>
      </c>
      <c r="J513" s="8" t="n">
        <f aca="false">I513*$J$5</f>
        <v>0</v>
      </c>
      <c r="K513" s="8" t="n">
        <f aca="false">J513-H513</f>
        <v>-94.5</v>
      </c>
      <c r="L513" s="9" t="n">
        <f aca="false">IF(AND(H513=0,J513=0),0,IF(H513=0,"New",(J513-H513)/H513))</f>
        <v>-1</v>
      </c>
    </row>
    <row r="514" customFormat="false" ht="15" hidden="false" customHeight="false" outlineLevel="0" collapsed="false">
      <c r="A514" s="7" t="n">
        <v>4413170</v>
      </c>
      <c r="B514" s="7" t="str">
        <f aca="false">IFERROR(INDEX('Source 2026'!$C:$C,MATCH($A514,'Source 2026'!$B:$B,0)),IFERROR(INDEX('Source 2025'!$C:$C,MATCH($A514,'Source 2025'!$B:$B,0)),""))</f>
        <v>T402 M מיצב פיקה</v>
      </c>
      <c r="C514" s="8" t="n">
        <f aca="false">SUMIFS('Source 2025'!$D:$D,'Source 2025'!$B:$B,$A514,'Source 2025'!$A:$A,"Quantity (units)")+SUMIFS('Source 2025'!$E:$E,'Source 2025'!$B:$B,$A514,'Source 2025'!$A:$A,"Quantity (units)")+SUMIFS('Source 2025'!$F:$F,'Source 2025'!$B:$B,$A514,'Source 2025'!$A:$A,"Quantity (units)")+SUMIFS('Source 2025'!$G:$G,'Source 2025'!$B:$B,$A514,'Source 2025'!$A:$A,"Quantity (units)")+SUMIFS('Source 2025'!$J:$J,'Source 2025'!$B:$B,$A514,'Source 2025'!$A:$A,"Quantity (units)")+SUMIFS('Source 2025'!$M:$M,'Source 2025'!$B:$B,$A514,'Source 2025'!$A:$A,"Quantity (units)")</f>
        <v>1</v>
      </c>
      <c r="D514" s="8" t="n">
        <f aca="false">SUMIFS('Source 2026'!$D:$D,'Source 2026'!$B:$B,$A514,'Source 2026'!$A:$A,"Quantity (units)")+SUMIFS('Source 2026'!$E:$E,'Source 2026'!$B:$B,$A514,'Source 2026'!$A:$A,"Quantity (units)")+SUMIFS('Source 2026'!$F:$F,'Source 2026'!$B:$B,$A514,'Source 2026'!$A:$A,"Quantity (units)")+SUMIFS('Source 2026'!$G:$G,'Source 2026'!$B:$B,$A514,'Source 2026'!$A:$A,"Quantity (units)")+SUMIFS('Source 2026'!$J:$J,'Source 2026'!$B:$B,$A514,'Source 2026'!$A:$A,"Quantity (units)")+SUMIFS('Source 2026'!$M:$M,'Source 2026'!$B:$B,$A514,'Source 2026'!$A:$A,"Quantity (units)")</f>
        <v>0</v>
      </c>
      <c r="E514" s="8" t="n">
        <f aca="false">D514*$J$5</f>
        <v>0</v>
      </c>
      <c r="F514" s="8" t="n">
        <f aca="false">E514-C514</f>
        <v>-1</v>
      </c>
      <c r="G514" s="9" t="n">
        <f aca="false">IF(AND(C514=0,E514=0),0,IF(C514=0,"New",(E514-C514)/C514))</f>
        <v>-1</v>
      </c>
      <c r="H514" s="8" t="n">
        <f aca="false">SUMIFS('Source 2025'!$D:$D,'Source 2025'!$B:$B,$A514,'Source 2025'!$A:$A,"Amount (NIS)")+SUMIFS('Source 2025'!$E:$E,'Source 2025'!$B:$B,$A514,'Source 2025'!$A:$A,"Amount (NIS)")+SUMIFS('Source 2025'!$F:$F,'Source 2025'!$B:$B,$A514,'Source 2025'!$A:$A,"Amount (NIS)")+SUMIFS('Source 2025'!$G:$G,'Source 2025'!$B:$B,$A514,'Source 2025'!$A:$A,"Amount (NIS)")+SUMIFS('Source 2025'!$J:$J,'Source 2025'!$B:$B,$A514,'Source 2025'!$A:$A,"Amount (NIS)")+SUMIFS('Source 2025'!$M:$M,'Source 2025'!$B:$B,$A514,'Source 2025'!$A:$A,"Amount (NIS)")</f>
        <v>94.5</v>
      </c>
      <c r="I514" s="8" t="n">
        <f aca="false">SUMIFS('Source 2026'!$D:$D,'Source 2026'!$B:$B,$A514,'Source 2026'!$A:$A,"Amount (NIS)")+SUMIFS('Source 2026'!$E:$E,'Source 2026'!$B:$B,$A514,'Source 2026'!$A:$A,"Amount (NIS)")+SUMIFS('Source 2026'!$F:$F,'Source 2026'!$B:$B,$A514,'Source 2026'!$A:$A,"Amount (NIS)")+SUMIFS('Source 2026'!$G:$G,'Source 2026'!$B:$B,$A514,'Source 2026'!$A:$A,"Amount (NIS)")+SUMIFS('Source 2026'!$J:$J,'Source 2026'!$B:$B,$A514,'Source 2026'!$A:$A,"Amount (NIS)")+SUMIFS('Source 2026'!$M:$M,'Source 2026'!$B:$B,$A514,'Source 2026'!$A:$A,"Amount (NIS)")</f>
        <v>0</v>
      </c>
      <c r="J514" s="8" t="n">
        <f aca="false">I514*$J$5</f>
        <v>0</v>
      </c>
      <c r="K514" s="8" t="n">
        <f aca="false">J514-H514</f>
        <v>-94.5</v>
      </c>
      <c r="L514" s="9" t="n">
        <f aca="false">IF(AND(H514=0,J514=0),0,IF(H514=0,"New",(J514-H514)/H514))</f>
        <v>-1</v>
      </c>
    </row>
    <row r="515" customFormat="false" ht="15" hidden="false" customHeight="false" outlineLevel="0" collapsed="false">
      <c r="A515" s="7" t="n">
        <v>4413174</v>
      </c>
      <c r="B515" s="7" t="str">
        <f aca="false">IFERROR(INDEX('Source 2026'!$C:$C,MATCH($A515,'Source 2026'!$B:$B,0)),IFERROR(INDEX('Source 2025'!$C:$C,MATCH($A515,'Source 2025'!$B:$B,0)),""))</f>
        <v>85+ Sמתלה ליד)כיס(+רצועת חיזוק</v>
      </c>
      <c r="C515" s="8" t="n">
        <f aca="false">SUMIFS('Source 2025'!$D:$D,'Source 2025'!$B:$B,$A515,'Source 2025'!$A:$A,"Quantity (units)")+SUMIFS('Source 2025'!$E:$E,'Source 2025'!$B:$B,$A515,'Source 2025'!$A:$A,"Quantity (units)")+SUMIFS('Source 2025'!$F:$F,'Source 2025'!$B:$B,$A515,'Source 2025'!$A:$A,"Quantity (units)")+SUMIFS('Source 2025'!$G:$G,'Source 2025'!$B:$B,$A515,'Source 2025'!$A:$A,"Quantity (units)")+SUMIFS('Source 2025'!$J:$J,'Source 2025'!$B:$B,$A515,'Source 2025'!$A:$A,"Quantity (units)")+SUMIFS('Source 2025'!$M:$M,'Source 2025'!$B:$B,$A515,'Source 2025'!$A:$A,"Quantity (units)")</f>
        <v>1</v>
      </c>
      <c r="D515" s="8" t="n">
        <f aca="false">SUMIFS('Source 2026'!$D:$D,'Source 2026'!$B:$B,$A515,'Source 2026'!$A:$A,"Quantity (units)")+SUMIFS('Source 2026'!$E:$E,'Source 2026'!$B:$B,$A515,'Source 2026'!$A:$A,"Quantity (units)")+SUMIFS('Source 2026'!$F:$F,'Source 2026'!$B:$B,$A515,'Source 2026'!$A:$A,"Quantity (units)")+SUMIFS('Source 2026'!$G:$G,'Source 2026'!$B:$B,$A515,'Source 2026'!$A:$A,"Quantity (units)")+SUMIFS('Source 2026'!$J:$J,'Source 2026'!$B:$B,$A515,'Source 2026'!$A:$A,"Quantity (units)")+SUMIFS('Source 2026'!$M:$M,'Source 2026'!$B:$B,$A515,'Source 2026'!$A:$A,"Quantity (units)")</f>
        <v>0</v>
      </c>
      <c r="E515" s="8" t="n">
        <f aca="false">D515*$J$5</f>
        <v>0</v>
      </c>
      <c r="F515" s="8" t="n">
        <f aca="false">E515-C515</f>
        <v>-1</v>
      </c>
      <c r="G515" s="9" t="n">
        <f aca="false">IF(AND(C515=0,E515=0),0,IF(C515=0,"New",(E515-C515)/C515))</f>
        <v>-1</v>
      </c>
      <c r="H515" s="8" t="n">
        <f aca="false">SUMIFS('Source 2025'!$D:$D,'Source 2025'!$B:$B,$A515,'Source 2025'!$A:$A,"Amount (NIS)")+SUMIFS('Source 2025'!$E:$E,'Source 2025'!$B:$B,$A515,'Source 2025'!$A:$A,"Amount (NIS)")+SUMIFS('Source 2025'!$F:$F,'Source 2025'!$B:$B,$A515,'Source 2025'!$A:$A,"Amount (NIS)")+SUMIFS('Source 2025'!$G:$G,'Source 2025'!$B:$B,$A515,'Source 2025'!$A:$A,"Amount (NIS)")+SUMIFS('Source 2025'!$J:$J,'Source 2025'!$B:$B,$A515,'Source 2025'!$A:$A,"Amount (NIS)")+SUMIFS('Source 2025'!$M:$M,'Source 2025'!$B:$B,$A515,'Source 2025'!$A:$A,"Amount (NIS)")</f>
        <v>94.5</v>
      </c>
      <c r="I515" s="8" t="n">
        <f aca="false">SUMIFS('Source 2026'!$D:$D,'Source 2026'!$B:$B,$A515,'Source 2026'!$A:$A,"Amount (NIS)")+SUMIFS('Source 2026'!$E:$E,'Source 2026'!$B:$B,$A515,'Source 2026'!$A:$A,"Amount (NIS)")+SUMIFS('Source 2026'!$F:$F,'Source 2026'!$B:$B,$A515,'Source 2026'!$A:$A,"Amount (NIS)")+SUMIFS('Source 2026'!$G:$G,'Source 2026'!$B:$B,$A515,'Source 2026'!$A:$A,"Amount (NIS)")+SUMIFS('Source 2026'!$J:$J,'Source 2026'!$B:$B,$A515,'Source 2026'!$A:$A,"Amount (NIS)")+SUMIFS('Source 2026'!$M:$M,'Source 2026'!$B:$B,$A515,'Source 2026'!$A:$A,"Amount (NIS)")</f>
        <v>0</v>
      </c>
      <c r="J515" s="8" t="n">
        <f aca="false">I515*$J$5</f>
        <v>0</v>
      </c>
      <c r="K515" s="8" t="n">
        <f aca="false">J515-H515</f>
        <v>-94.5</v>
      </c>
      <c r="L515" s="9" t="n">
        <f aca="false">IF(AND(H515=0,J515=0),0,IF(H515=0,"New",(J515-H515)/H515))</f>
        <v>-1</v>
      </c>
    </row>
    <row r="516" customFormat="false" ht="15" hidden="false" customHeight="false" outlineLevel="0" collapsed="false">
      <c r="A516" s="7" t="n">
        <v>4413175</v>
      </c>
      <c r="B516" s="7" t="str">
        <f aca="false">IFERROR(INDEX('Source 2026'!$C:$C,MATCH($A516,'Source 2026'!$B:$B,0)),IFERROR(INDEX('Source 2025'!$C:$C,MATCH($A516,'Source 2025'!$B:$B,0)),""))</f>
        <v>85+ Mמתלה ליד)כיס(+רצועת חיזוק</v>
      </c>
      <c r="C516" s="8" t="n">
        <f aca="false">SUMIFS('Source 2025'!$D:$D,'Source 2025'!$B:$B,$A516,'Source 2025'!$A:$A,"Quantity (units)")+SUMIFS('Source 2025'!$E:$E,'Source 2025'!$B:$B,$A516,'Source 2025'!$A:$A,"Quantity (units)")+SUMIFS('Source 2025'!$F:$F,'Source 2025'!$B:$B,$A516,'Source 2025'!$A:$A,"Quantity (units)")+SUMIFS('Source 2025'!$G:$G,'Source 2025'!$B:$B,$A516,'Source 2025'!$A:$A,"Quantity (units)")+SUMIFS('Source 2025'!$J:$J,'Source 2025'!$B:$B,$A516,'Source 2025'!$A:$A,"Quantity (units)")+SUMIFS('Source 2025'!$M:$M,'Source 2025'!$B:$B,$A516,'Source 2025'!$A:$A,"Quantity (units)")</f>
        <v>2</v>
      </c>
      <c r="D516" s="8" t="n">
        <f aca="false">SUMIFS('Source 2026'!$D:$D,'Source 2026'!$B:$B,$A516,'Source 2026'!$A:$A,"Quantity (units)")+SUMIFS('Source 2026'!$E:$E,'Source 2026'!$B:$B,$A516,'Source 2026'!$A:$A,"Quantity (units)")+SUMIFS('Source 2026'!$F:$F,'Source 2026'!$B:$B,$A516,'Source 2026'!$A:$A,"Quantity (units)")+SUMIFS('Source 2026'!$G:$G,'Source 2026'!$B:$B,$A516,'Source 2026'!$A:$A,"Quantity (units)")+SUMIFS('Source 2026'!$J:$J,'Source 2026'!$B:$B,$A516,'Source 2026'!$A:$A,"Quantity (units)")+SUMIFS('Source 2026'!$M:$M,'Source 2026'!$B:$B,$A516,'Source 2026'!$A:$A,"Quantity (units)")</f>
        <v>1</v>
      </c>
      <c r="E516" s="8" t="n">
        <f aca="false">D516*$J$5</f>
        <v>1.37142857142857</v>
      </c>
      <c r="F516" s="8" t="n">
        <f aca="false">E516-C516</f>
        <v>-0.628571428571429</v>
      </c>
      <c r="G516" s="9" t="n">
        <f aca="false">IF(AND(C516=0,E516=0),0,IF(C516=0,"New",(E516-C516)/C516))</f>
        <v>-0.314285714285714</v>
      </c>
      <c r="H516" s="8" t="n">
        <f aca="false">SUMIFS('Source 2025'!$D:$D,'Source 2025'!$B:$B,$A516,'Source 2025'!$A:$A,"Amount (NIS)")+SUMIFS('Source 2025'!$E:$E,'Source 2025'!$B:$B,$A516,'Source 2025'!$A:$A,"Amount (NIS)")+SUMIFS('Source 2025'!$F:$F,'Source 2025'!$B:$B,$A516,'Source 2025'!$A:$A,"Amount (NIS)")+SUMIFS('Source 2025'!$G:$G,'Source 2025'!$B:$B,$A516,'Source 2025'!$A:$A,"Amount (NIS)")+SUMIFS('Source 2025'!$J:$J,'Source 2025'!$B:$B,$A516,'Source 2025'!$A:$A,"Amount (NIS)")+SUMIFS('Source 2025'!$M:$M,'Source 2025'!$B:$B,$A516,'Source 2025'!$A:$A,"Amount (NIS)")</f>
        <v>189.1</v>
      </c>
      <c r="I516" s="8" t="n">
        <f aca="false">SUMIFS('Source 2026'!$D:$D,'Source 2026'!$B:$B,$A516,'Source 2026'!$A:$A,"Amount (NIS)")+SUMIFS('Source 2026'!$E:$E,'Source 2026'!$B:$B,$A516,'Source 2026'!$A:$A,"Amount (NIS)")+SUMIFS('Source 2026'!$F:$F,'Source 2026'!$B:$B,$A516,'Source 2026'!$A:$A,"Amount (NIS)")+SUMIFS('Source 2026'!$G:$G,'Source 2026'!$B:$B,$A516,'Source 2026'!$A:$A,"Amount (NIS)")+SUMIFS('Source 2026'!$J:$J,'Source 2026'!$B:$B,$A516,'Source 2026'!$A:$A,"Amount (NIS)")+SUMIFS('Source 2026'!$M:$M,'Source 2026'!$B:$B,$A516,'Source 2026'!$A:$A,"Amount (NIS)")</f>
        <v>94.6</v>
      </c>
      <c r="J516" s="8" t="n">
        <f aca="false">I516*$J$5</f>
        <v>129.737142857143</v>
      </c>
      <c r="K516" s="8" t="n">
        <f aca="false">J516-H516</f>
        <v>-59.3628571428571</v>
      </c>
      <c r="L516" s="9" t="n">
        <f aca="false">IF(AND(H516=0,J516=0),0,IF(H516=0,"New",(J516-H516)/H516))</f>
        <v>-0.313923094356727</v>
      </c>
    </row>
    <row r="517" customFormat="false" ht="15" hidden="false" customHeight="false" outlineLevel="0" collapsed="false">
      <c r="A517" s="7" t="n">
        <v>4413210</v>
      </c>
      <c r="B517" s="7" t="str">
        <f aca="false">IFERROR(INDEX('Source 2026'!$C:$C,MATCH($A517,'Source 2026'!$B:$B,0)),IFERROR(INDEX('Source 2025'!$C:$C,MATCH($A517,'Source 2025'!$B:$B,0)),""))</f>
        <v>T95 S מגן מרפק רגיל</v>
      </c>
      <c r="C517" s="8" t="n">
        <f aca="false">SUMIFS('Source 2025'!$D:$D,'Source 2025'!$B:$B,$A517,'Source 2025'!$A:$A,"Quantity (units)")+SUMIFS('Source 2025'!$E:$E,'Source 2025'!$B:$B,$A517,'Source 2025'!$A:$A,"Quantity (units)")+SUMIFS('Source 2025'!$F:$F,'Source 2025'!$B:$B,$A517,'Source 2025'!$A:$A,"Quantity (units)")+SUMIFS('Source 2025'!$G:$G,'Source 2025'!$B:$B,$A517,'Source 2025'!$A:$A,"Quantity (units)")+SUMIFS('Source 2025'!$J:$J,'Source 2025'!$B:$B,$A517,'Source 2025'!$A:$A,"Quantity (units)")+SUMIFS('Source 2025'!$M:$M,'Source 2025'!$B:$B,$A517,'Source 2025'!$A:$A,"Quantity (units)")</f>
        <v>0</v>
      </c>
      <c r="D517" s="8" t="n">
        <f aca="false">SUMIFS('Source 2026'!$D:$D,'Source 2026'!$B:$B,$A517,'Source 2026'!$A:$A,"Quantity (units)")+SUMIFS('Source 2026'!$E:$E,'Source 2026'!$B:$B,$A517,'Source 2026'!$A:$A,"Quantity (units)")+SUMIFS('Source 2026'!$F:$F,'Source 2026'!$B:$B,$A517,'Source 2026'!$A:$A,"Quantity (units)")+SUMIFS('Source 2026'!$G:$G,'Source 2026'!$B:$B,$A517,'Source 2026'!$A:$A,"Quantity (units)")+SUMIFS('Source 2026'!$J:$J,'Source 2026'!$B:$B,$A517,'Source 2026'!$A:$A,"Quantity (units)")+SUMIFS('Source 2026'!$M:$M,'Source 2026'!$B:$B,$A517,'Source 2026'!$A:$A,"Quantity (units)")</f>
        <v>1</v>
      </c>
      <c r="E517" s="8" t="n">
        <f aca="false">D517*$J$5</f>
        <v>1.37142857142857</v>
      </c>
      <c r="F517" s="8" t="n">
        <f aca="false">E517-C517</f>
        <v>1.37142857142857</v>
      </c>
      <c r="G517" s="9" t="str">
        <f aca="false">IF(AND(C517=0,E517=0),0,IF(C517=0,"New",(E517-C517)/C517))</f>
        <v>New</v>
      </c>
      <c r="H517" s="8" t="n">
        <f aca="false">SUMIFS('Source 2025'!$D:$D,'Source 2025'!$B:$B,$A517,'Source 2025'!$A:$A,"Amount (NIS)")+SUMIFS('Source 2025'!$E:$E,'Source 2025'!$B:$B,$A517,'Source 2025'!$A:$A,"Amount (NIS)")+SUMIFS('Source 2025'!$F:$F,'Source 2025'!$B:$B,$A517,'Source 2025'!$A:$A,"Amount (NIS)")+SUMIFS('Source 2025'!$G:$G,'Source 2025'!$B:$B,$A517,'Source 2025'!$A:$A,"Amount (NIS)")+SUMIFS('Source 2025'!$J:$J,'Source 2025'!$B:$B,$A517,'Source 2025'!$A:$A,"Amount (NIS)")+SUMIFS('Source 2025'!$M:$M,'Source 2025'!$B:$B,$A517,'Source 2025'!$A:$A,"Amount (NIS)")</f>
        <v>0</v>
      </c>
      <c r="I517" s="8" t="n">
        <f aca="false">SUMIFS('Source 2026'!$D:$D,'Source 2026'!$B:$B,$A517,'Source 2026'!$A:$A,"Amount (NIS)")+SUMIFS('Source 2026'!$E:$E,'Source 2026'!$B:$B,$A517,'Source 2026'!$A:$A,"Amount (NIS)")+SUMIFS('Source 2026'!$F:$F,'Source 2026'!$B:$B,$A517,'Source 2026'!$A:$A,"Amount (NIS)")+SUMIFS('Source 2026'!$G:$G,'Source 2026'!$B:$B,$A517,'Source 2026'!$A:$A,"Amount (NIS)")+SUMIFS('Source 2026'!$J:$J,'Source 2026'!$B:$B,$A517,'Source 2026'!$A:$A,"Amount (NIS)")+SUMIFS('Source 2026'!$M:$M,'Source 2026'!$B:$B,$A517,'Source 2026'!$A:$A,"Amount (NIS)")</f>
        <v>94.5</v>
      </c>
      <c r="J517" s="8" t="n">
        <f aca="false">I517*$J$5</f>
        <v>129.6</v>
      </c>
      <c r="K517" s="8" t="n">
        <f aca="false">J517-H517</f>
        <v>129.6</v>
      </c>
      <c r="L517" s="9" t="str">
        <f aca="false">IF(AND(H517=0,J517=0),0,IF(H517=0,"New",(J517-H517)/H517))</f>
        <v>New</v>
      </c>
    </row>
    <row r="518" customFormat="false" ht="15" hidden="false" customHeight="false" outlineLevel="0" collapsed="false">
      <c r="A518" s="7" t="n">
        <v>4415131</v>
      </c>
      <c r="B518" s="7" t="str">
        <f aca="false">IFERROR(INDEX('Source 2026'!$C:$C,MATCH($A518,'Source 2026'!$B:$B,0)),IFERROR(INDEX('Source 2025'!$C:$C,MATCH($A518,'Source 2025'!$B:$B,0)),""))</f>
        <v>T27L M סד ליד שמאל</v>
      </c>
      <c r="C518" s="8" t="n">
        <f aca="false">SUMIFS('Source 2025'!$D:$D,'Source 2025'!$B:$B,$A518,'Source 2025'!$A:$A,"Quantity (units)")+SUMIFS('Source 2025'!$E:$E,'Source 2025'!$B:$B,$A518,'Source 2025'!$A:$A,"Quantity (units)")+SUMIFS('Source 2025'!$F:$F,'Source 2025'!$B:$B,$A518,'Source 2025'!$A:$A,"Quantity (units)")+SUMIFS('Source 2025'!$G:$G,'Source 2025'!$B:$B,$A518,'Source 2025'!$A:$A,"Quantity (units)")+SUMIFS('Source 2025'!$J:$J,'Source 2025'!$B:$B,$A518,'Source 2025'!$A:$A,"Quantity (units)")+SUMIFS('Source 2025'!$M:$M,'Source 2025'!$B:$B,$A518,'Source 2025'!$A:$A,"Quantity (units)")</f>
        <v>1</v>
      </c>
      <c r="D518" s="8" t="n">
        <f aca="false">SUMIFS('Source 2026'!$D:$D,'Source 2026'!$B:$B,$A518,'Source 2026'!$A:$A,"Quantity (units)")+SUMIFS('Source 2026'!$E:$E,'Source 2026'!$B:$B,$A518,'Source 2026'!$A:$A,"Quantity (units)")+SUMIFS('Source 2026'!$F:$F,'Source 2026'!$B:$B,$A518,'Source 2026'!$A:$A,"Quantity (units)")+SUMIFS('Source 2026'!$G:$G,'Source 2026'!$B:$B,$A518,'Source 2026'!$A:$A,"Quantity (units)")+SUMIFS('Source 2026'!$J:$J,'Source 2026'!$B:$B,$A518,'Source 2026'!$A:$A,"Quantity (units)")+SUMIFS('Source 2026'!$M:$M,'Source 2026'!$B:$B,$A518,'Source 2026'!$A:$A,"Quantity (units)")</f>
        <v>0</v>
      </c>
      <c r="E518" s="8" t="n">
        <f aca="false">D518*$J$5</f>
        <v>0</v>
      </c>
      <c r="F518" s="8" t="n">
        <f aca="false">E518-C518</f>
        <v>-1</v>
      </c>
      <c r="G518" s="9" t="n">
        <f aca="false">IF(AND(C518=0,E518=0),0,IF(C518=0,"New",(E518-C518)/C518))</f>
        <v>-1</v>
      </c>
      <c r="H518" s="8" t="n">
        <f aca="false">SUMIFS('Source 2025'!$D:$D,'Source 2025'!$B:$B,$A518,'Source 2025'!$A:$A,"Amount (NIS)")+SUMIFS('Source 2025'!$E:$E,'Source 2025'!$B:$B,$A518,'Source 2025'!$A:$A,"Amount (NIS)")+SUMIFS('Source 2025'!$F:$F,'Source 2025'!$B:$B,$A518,'Source 2025'!$A:$A,"Amount (NIS)")+SUMIFS('Source 2025'!$G:$G,'Source 2025'!$B:$B,$A518,'Source 2025'!$A:$A,"Amount (NIS)")+SUMIFS('Source 2025'!$J:$J,'Source 2025'!$B:$B,$A518,'Source 2025'!$A:$A,"Amount (NIS)")+SUMIFS('Source 2025'!$M:$M,'Source 2025'!$B:$B,$A518,'Source 2025'!$A:$A,"Amount (NIS)")</f>
        <v>94.5</v>
      </c>
      <c r="I518" s="8" t="n">
        <f aca="false">SUMIFS('Source 2026'!$D:$D,'Source 2026'!$B:$B,$A518,'Source 2026'!$A:$A,"Amount (NIS)")+SUMIFS('Source 2026'!$E:$E,'Source 2026'!$B:$B,$A518,'Source 2026'!$A:$A,"Amount (NIS)")+SUMIFS('Source 2026'!$F:$F,'Source 2026'!$B:$B,$A518,'Source 2026'!$A:$A,"Amount (NIS)")+SUMIFS('Source 2026'!$G:$G,'Source 2026'!$B:$B,$A518,'Source 2026'!$A:$A,"Amount (NIS)")+SUMIFS('Source 2026'!$J:$J,'Source 2026'!$B:$B,$A518,'Source 2026'!$A:$A,"Amount (NIS)")+SUMIFS('Source 2026'!$M:$M,'Source 2026'!$B:$B,$A518,'Source 2026'!$A:$A,"Amount (NIS)")</f>
        <v>0</v>
      </c>
      <c r="J518" s="8" t="n">
        <f aca="false">I518*$J$5</f>
        <v>0</v>
      </c>
      <c r="K518" s="8" t="n">
        <f aca="false">J518-H518</f>
        <v>-94.5</v>
      </c>
      <c r="L518" s="9" t="n">
        <f aca="false">IF(AND(H518=0,J518=0),0,IF(H518=0,"New",(J518-H518)/H518))</f>
        <v>-1</v>
      </c>
    </row>
    <row r="519" customFormat="false" ht="15" hidden="false" customHeight="false" outlineLevel="0" collapsed="false">
      <c r="A519" s="7" t="n">
        <v>4408010</v>
      </c>
      <c r="B519" s="7" t="str">
        <f aca="false">IFERROR(INDEX('Source 2026'!$C:$C,MATCH($A519,'Source 2026'!$B:$B,0)),IFERROR(INDEX('Source 2025'!$C:$C,MATCH($A519,'Source 2025'!$B:$B,0)),""))</f>
        <v>079 L ח.גב סג.כפולה שחור+אדום</v>
      </c>
      <c r="C519" s="8" t="n">
        <f aca="false">SUMIFS('Source 2025'!$D:$D,'Source 2025'!$B:$B,$A519,'Source 2025'!$A:$A,"Quantity (units)")+SUMIFS('Source 2025'!$E:$E,'Source 2025'!$B:$B,$A519,'Source 2025'!$A:$A,"Quantity (units)")+SUMIFS('Source 2025'!$F:$F,'Source 2025'!$B:$B,$A519,'Source 2025'!$A:$A,"Quantity (units)")+SUMIFS('Source 2025'!$G:$G,'Source 2025'!$B:$B,$A519,'Source 2025'!$A:$A,"Quantity (units)")+SUMIFS('Source 2025'!$J:$J,'Source 2025'!$B:$B,$A519,'Source 2025'!$A:$A,"Quantity (units)")+SUMIFS('Source 2025'!$M:$M,'Source 2025'!$B:$B,$A519,'Source 2025'!$A:$A,"Quantity (units)")</f>
        <v>2</v>
      </c>
      <c r="D519" s="8" t="n">
        <f aca="false">SUMIFS('Source 2026'!$D:$D,'Source 2026'!$B:$B,$A519,'Source 2026'!$A:$A,"Quantity (units)")+SUMIFS('Source 2026'!$E:$E,'Source 2026'!$B:$B,$A519,'Source 2026'!$A:$A,"Quantity (units)")+SUMIFS('Source 2026'!$F:$F,'Source 2026'!$B:$B,$A519,'Source 2026'!$A:$A,"Quantity (units)")+SUMIFS('Source 2026'!$G:$G,'Source 2026'!$B:$B,$A519,'Source 2026'!$A:$A,"Quantity (units)")+SUMIFS('Source 2026'!$J:$J,'Source 2026'!$B:$B,$A519,'Source 2026'!$A:$A,"Quantity (units)")+SUMIFS('Source 2026'!$M:$M,'Source 2026'!$B:$B,$A519,'Source 2026'!$A:$A,"Quantity (units)")</f>
        <v>1</v>
      </c>
      <c r="E519" s="8" t="n">
        <f aca="false">D519*$J$5</f>
        <v>1.37142857142857</v>
      </c>
      <c r="F519" s="8" t="n">
        <f aca="false">E519-C519</f>
        <v>-0.628571428571429</v>
      </c>
      <c r="G519" s="9" t="n">
        <f aca="false">IF(AND(C519=0,E519=0),0,IF(C519=0,"New",(E519-C519)/C519))</f>
        <v>-0.314285714285714</v>
      </c>
      <c r="H519" s="8" t="n">
        <f aca="false">SUMIFS('Source 2025'!$D:$D,'Source 2025'!$B:$B,$A519,'Source 2025'!$A:$A,"Amount (NIS)")+SUMIFS('Source 2025'!$E:$E,'Source 2025'!$B:$B,$A519,'Source 2025'!$A:$A,"Amount (NIS)")+SUMIFS('Source 2025'!$F:$F,'Source 2025'!$B:$B,$A519,'Source 2025'!$A:$A,"Amount (NIS)")+SUMIFS('Source 2025'!$G:$G,'Source 2025'!$B:$B,$A519,'Source 2025'!$A:$A,"Amount (NIS)")+SUMIFS('Source 2025'!$J:$J,'Source 2025'!$B:$B,$A519,'Source 2025'!$A:$A,"Amount (NIS)")+SUMIFS('Source 2025'!$M:$M,'Source 2025'!$B:$B,$A519,'Source 2025'!$A:$A,"Amount (NIS)")</f>
        <v>195.7</v>
      </c>
      <c r="I519" s="8" t="n">
        <f aca="false">SUMIFS('Source 2026'!$D:$D,'Source 2026'!$B:$B,$A519,'Source 2026'!$A:$A,"Amount (NIS)")+SUMIFS('Source 2026'!$E:$E,'Source 2026'!$B:$B,$A519,'Source 2026'!$A:$A,"Amount (NIS)")+SUMIFS('Source 2026'!$F:$F,'Source 2026'!$B:$B,$A519,'Source 2026'!$A:$A,"Amount (NIS)")+SUMIFS('Source 2026'!$G:$G,'Source 2026'!$B:$B,$A519,'Source 2026'!$A:$A,"Amount (NIS)")+SUMIFS('Source 2026'!$J:$J,'Source 2026'!$B:$B,$A519,'Source 2026'!$A:$A,"Amount (NIS)")+SUMIFS('Source 2026'!$M:$M,'Source 2026'!$B:$B,$A519,'Source 2026'!$A:$A,"Amount (NIS)")</f>
        <v>101.5</v>
      </c>
      <c r="J519" s="8" t="n">
        <f aca="false">I519*$J$5</f>
        <v>139.2</v>
      </c>
      <c r="K519" s="8" t="n">
        <f aca="false">J519-H519</f>
        <v>-56.5</v>
      </c>
      <c r="L519" s="9" t="n">
        <f aca="false">IF(AND(H519=0,J519=0),0,IF(H519=0,"New",(J519-H519)/H519))</f>
        <v>-0.288707204905468</v>
      </c>
    </row>
    <row r="520" customFormat="false" ht="15" hidden="false" customHeight="false" outlineLevel="0" collapsed="false">
      <c r="A520" s="7" t="n">
        <v>4413178</v>
      </c>
      <c r="B520" s="7" t="str">
        <f aca="false">IFERROR(INDEX('Source 2026'!$C:$C,MATCH($A520,'Source 2026'!$B:$B,0)),IFERROR(INDEX('Source 2025'!$C:$C,MATCH($A520,'Source 2025'!$B:$B,0)),""))</f>
        <v>T39 XL מגן שוק</v>
      </c>
      <c r="C520" s="8" t="n">
        <f aca="false">SUMIFS('Source 2025'!$D:$D,'Source 2025'!$B:$B,$A520,'Source 2025'!$A:$A,"Quantity (units)")+SUMIFS('Source 2025'!$E:$E,'Source 2025'!$B:$B,$A520,'Source 2025'!$A:$A,"Quantity (units)")+SUMIFS('Source 2025'!$F:$F,'Source 2025'!$B:$B,$A520,'Source 2025'!$A:$A,"Quantity (units)")+SUMIFS('Source 2025'!$G:$G,'Source 2025'!$B:$B,$A520,'Source 2025'!$A:$A,"Quantity (units)")+SUMIFS('Source 2025'!$J:$J,'Source 2025'!$B:$B,$A520,'Source 2025'!$A:$A,"Quantity (units)")+SUMIFS('Source 2025'!$M:$M,'Source 2025'!$B:$B,$A520,'Source 2025'!$A:$A,"Quantity (units)")</f>
        <v>1</v>
      </c>
      <c r="D520" s="8" t="n">
        <f aca="false">SUMIFS('Source 2026'!$D:$D,'Source 2026'!$B:$B,$A520,'Source 2026'!$A:$A,"Quantity (units)")+SUMIFS('Source 2026'!$E:$E,'Source 2026'!$B:$B,$A520,'Source 2026'!$A:$A,"Quantity (units)")+SUMIFS('Source 2026'!$F:$F,'Source 2026'!$B:$B,$A520,'Source 2026'!$A:$A,"Quantity (units)")+SUMIFS('Source 2026'!$G:$G,'Source 2026'!$B:$B,$A520,'Source 2026'!$A:$A,"Quantity (units)")+SUMIFS('Source 2026'!$J:$J,'Source 2026'!$B:$B,$A520,'Source 2026'!$A:$A,"Quantity (units)")+SUMIFS('Source 2026'!$M:$M,'Source 2026'!$B:$B,$A520,'Source 2026'!$A:$A,"Quantity (units)")</f>
        <v>0</v>
      </c>
      <c r="E520" s="8" t="n">
        <f aca="false">D520*$J$5</f>
        <v>0</v>
      </c>
      <c r="F520" s="8" t="n">
        <f aca="false">E520-C520</f>
        <v>-1</v>
      </c>
      <c r="G520" s="9" t="n">
        <f aca="false">IF(AND(C520=0,E520=0),0,IF(C520=0,"New",(E520-C520)/C520))</f>
        <v>-1</v>
      </c>
      <c r="H520" s="8" t="n">
        <f aca="false">SUMIFS('Source 2025'!$D:$D,'Source 2025'!$B:$B,$A520,'Source 2025'!$A:$A,"Amount (NIS)")+SUMIFS('Source 2025'!$E:$E,'Source 2025'!$B:$B,$A520,'Source 2025'!$A:$A,"Amount (NIS)")+SUMIFS('Source 2025'!$F:$F,'Source 2025'!$B:$B,$A520,'Source 2025'!$A:$A,"Amount (NIS)")+SUMIFS('Source 2025'!$G:$G,'Source 2025'!$B:$B,$A520,'Source 2025'!$A:$A,"Amount (NIS)")+SUMIFS('Source 2025'!$J:$J,'Source 2025'!$B:$B,$A520,'Source 2025'!$A:$A,"Amount (NIS)")+SUMIFS('Source 2025'!$M:$M,'Source 2025'!$B:$B,$A520,'Source 2025'!$A:$A,"Amount (NIS)")</f>
        <v>93.4</v>
      </c>
      <c r="I520" s="8" t="n">
        <f aca="false">SUMIFS('Source 2026'!$D:$D,'Source 2026'!$B:$B,$A520,'Source 2026'!$A:$A,"Amount (NIS)")+SUMIFS('Source 2026'!$E:$E,'Source 2026'!$B:$B,$A520,'Source 2026'!$A:$A,"Amount (NIS)")+SUMIFS('Source 2026'!$F:$F,'Source 2026'!$B:$B,$A520,'Source 2026'!$A:$A,"Amount (NIS)")+SUMIFS('Source 2026'!$G:$G,'Source 2026'!$B:$B,$A520,'Source 2026'!$A:$A,"Amount (NIS)")+SUMIFS('Source 2026'!$J:$J,'Source 2026'!$B:$B,$A520,'Source 2026'!$A:$A,"Amount (NIS)")+SUMIFS('Source 2026'!$M:$M,'Source 2026'!$B:$B,$A520,'Source 2026'!$A:$A,"Amount (NIS)")</f>
        <v>0</v>
      </c>
      <c r="J520" s="8" t="n">
        <f aca="false">I520*$J$5</f>
        <v>0</v>
      </c>
      <c r="K520" s="8" t="n">
        <f aca="false">J520-H520</f>
        <v>-93.4</v>
      </c>
      <c r="L520" s="9" t="n">
        <f aca="false">IF(AND(H520=0,J520=0),0,IF(H520=0,"New",(J520-H520)/H520))</f>
        <v>-1</v>
      </c>
    </row>
    <row r="521" customFormat="false" ht="15" hidden="false" customHeight="false" outlineLevel="0" collapsed="false">
      <c r="A521" s="7" t="n">
        <v>4403034</v>
      </c>
      <c r="B521" s="7" t="str">
        <f aca="false">IFERROR(INDEX('Source 2026'!$C:$C,MATCH($A521,'Source 2026'!$B:$B,0)),IFERROR(INDEX('Source 2025'!$C:$C,MATCH($A521,'Source 2025'!$B:$B,0)),""))</f>
        <v>ST3555 S-Mגרב לילה לטיפ.בדורבן</v>
      </c>
      <c r="C521" s="8" t="n">
        <f aca="false">SUMIFS('Source 2025'!$D:$D,'Source 2025'!$B:$B,$A521,'Source 2025'!$A:$A,"Quantity (units)")+SUMIFS('Source 2025'!$E:$E,'Source 2025'!$B:$B,$A521,'Source 2025'!$A:$A,"Quantity (units)")+SUMIFS('Source 2025'!$F:$F,'Source 2025'!$B:$B,$A521,'Source 2025'!$A:$A,"Quantity (units)")+SUMIFS('Source 2025'!$G:$G,'Source 2025'!$B:$B,$A521,'Source 2025'!$A:$A,"Quantity (units)")+SUMIFS('Source 2025'!$J:$J,'Source 2025'!$B:$B,$A521,'Source 2025'!$A:$A,"Quantity (units)")+SUMIFS('Source 2025'!$M:$M,'Source 2025'!$B:$B,$A521,'Source 2025'!$A:$A,"Quantity (units)")</f>
        <v>1</v>
      </c>
      <c r="D521" s="8" t="n">
        <f aca="false">SUMIFS('Source 2026'!$D:$D,'Source 2026'!$B:$B,$A521,'Source 2026'!$A:$A,"Quantity (units)")+SUMIFS('Source 2026'!$E:$E,'Source 2026'!$B:$B,$A521,'Source 2026'!$A:$A,"Quantity (units)")+SUMIFS('Source 2026'!$F:$F,'Source 2026'!$B:$B,$A521,'Source 2026'!$A:$A,"Quantity (units)")+SUMIFS('Source 2026'!$G:$G,'Source 2026'!$B:$B,$A521,'Source 2026'!$A:$A,"Quantity (units)")+SUMIFS('Source 2026'!$J:$J,'Source 2026'!$B:$B,$A521,'Source 2026'!$A:$A,"Quantity (units)")+SUMIFS('Source 2026'!$M:$M,'Source 2026'!$B:$B,$A521,'Source 2026'!$A:$A,"Quantity (units)")</f>
        <v>2</v>
      </c>
      <c r="E521" s="8" t="n">
        <f aca="false">D521*$J$5</f>
        <v>2.74285714285714</v>
      </c>
      <c r="F521" s="8" t="n">
        <f aca="false">E521-C521</f>
        <v>1.74285714285714</v>
      </c>
      <c r="G521" s="9" t="n">
        <f aca="false">IF(AND(C521=0,E521=0),0,IF(C521=0,"New",(E521-C521)/C521))</f>
        <v>1.74285714285714</v>
      </c>
      <c r="H521" s="8" t="n">
        <f aca="false">SUMIFS('Source 2025'!$D:$D,'Source 2025'!$B:$B,$A521,'Source 2025'!$A:$A,"Amount (NIS)")+SUMIFS('Source 2025'!$E:$E,'Source 2025'!$B:$B,$A521,'Source 2025'!$A:$A,"Amount (NIS)")+SUMIFS('Source 2025'!$F:$F,'Source 2025'!$B:$B,$A521,'Source 2025'!$A:$A,"Amount (NIS)")+SUMIFS('Source 2025'!$G:$G,'Source 2025'!$B:$B,$A521,'Source 2025'!$A:$A,"Amount (NIS)")+SUMIFS('Source 2025'!$J:$J,'Source 2025'!$B:$B,$A521,'Source 2025'!$A:$A,"Amount (NIS)")+SUMIFS('Source 2025'!$M:$M,'Source 2025'!$B:$B,$A521,'Source 2025'!$A:$A,"Amount (NIS)")</f>
        <v>92.1</v>
      </c>
      <c r="I521" s="8" t="n">
        <f aca="false">SUMIFS('Source 2026'!$D:$D,'Source 2026'!$B:$B,$A521,'Source 2026'!$A:$A,"Amount (NIS)")+SUMIFS('Source 2026'!$E:$E,'Source 2026'!$B:$B,$A521,'Source 2026'!$A:$A,"Amount (NIS)")+SUMIFS('Source 2026'!$F:$F,'Source 2026'!$B:$B,$A521,'Source 2026'!$A:$A,"Amount (NIS)")+SUMIFS('Source 2026'!$G:$G,'Source 2026'!$B:$B,$A521,'Source 2026'!$A:$A,"Amount (NIS)")+SUMIFS('Source 2026'!$J:$J,'Source 2026'!$B:$B,$A521,'Source 2026'!$A:$A,"Amount (NIS)")+SUMIFS('Source 2026'!$M:$M,'Source 2026'!$B:$B,$A521,'Source 2026'!$A:$A,"Amount (NIS)")</f>
        <v>184.6</v>
      </c>
      <c r="J521" s="8" t="n">
        <f aca="false">I521*$J$5</f>
        <v>253.165714285714</v>
      </c>
      <c r="K521" s="8" t="n">
        <f aca="false">J521-H521</f>
        <v>161.065714285714</v>
      </c>
      <c r="L521" s="9" t="n">
        <f aca="false">IF(AND(H521=0,J521=0),0,IF(H521=0,"New",(J521-H521)/H521))</f>
        <v>1.74881340158213</v>
      </c>
    </row>
    <row r="522" customFormat="false" ht="15" hidden="false" customHeight="false" outlineLevel="0" collapsed="false">
      <c r="A522" s="7" t="n">
        <v>4403035</v>
      </c>
      <c r="B522" s="7" t="str">
        <f aca="false">IFERROR(INDEX('Source 2026'!$C:$C,MATCH($A522,'Source 2026'!$B:$B,0)),IFERROR(INDEX('Source 2025'!$C:$C,MATCH($A522,'Source 2025'!$B:$B,0)),""))</f>
        <v>ST3555L-XLגרב לילה לטיפ.בדורבן</v>
      </c>
      <c r="C522" s="8" t="n">
        <f aca="false">SUMIFS('Source 2025'!$D:$D,'Source 2025'!$B:$B,$A522,'Source 2025'!$A:$A,"Quantity (units)")+SUMIFS('Source 2025'!$E:$E,'Source 2025'!$B:$B,$A522,'Source 2025'!$A:$A,"Quantity (units)")+SUMIFS('Source 2025'!$F:$F,'Source 2025'!$B:$B,$A522,'Source 2025'!$A:$A,"Quantity (units)")+SUMIFS('Source 2025'!$G:$G,'Source 2025'!$B:$B,$A522,'Source 2025'!$A:$A,"Quantity (units)")+SUMIFS('Source 2025'!$J:$J,'Source 2025'!$B:$B,$A522,'Source 2025'!$A:$A,"Quantity (units)")+SUMIFS('Source 2025'!$M:$M,'Source 2025'!$B:$B,$A522,'Source 2025'!$A:$A,"Quantity (units)")</f>
        <v>0</v>
      </c>
      <c r="D522" s="8" t="n">
        <f aca="false">SUMIFS('Source 2026'!$D:$D,'Source 2026'!$B:$B,$A522,'Source 2026'!$A:$A,"Quantity (units)")+SUMIFS('Source 2026'!$E:$E,'Source 2026'!$B:$B,$A522,'Source 2026'!$A:$A,"Quantity (units)")+SUMIFS('Source 2026'!$F:$F,'Source 2026'!$B:$B,$A522,'Source 2026'!$A:$A,"Quantity (units)")+SUMIFS('Source 2026'!$G:$G,'Source 2026'!$B:$B,$A522,'Source 2026'!$A:$A,"Quantity (units)")+SUMIFS('Source 2026'!$J:$J,'Source 2026'!$B:$B,$A522,'Source 2026'!$A:$A,"Quantity (units)")+SUMIFS('Source 2026'!$M:$M,'Source 2026'!$B:$B,$A522,'Source 2026'!$A:$A,"Quantity (units)")</f>
        <v>1</v>
      </c>
      <c r="E522" s="8" t="n">
        <f aca="false">D522*$J$5</f>
        <v>1.37142857142857</v>
      </c>
      <c r="F522" s="8" t="n">
        <f aca="false">E522-C522</f>
        <v>1.37142857142857</v>
      </c>
      <c r="G522" s="9" t="str">
        <f aca="false">IF(AND(C522=0,E522=0),0,IF(C522=0,"New",(E522-C522)/C522))</f>
        <v>New</v>
      </c>
      <c r="H522" s="8" t="n">
        <f aca="false">SUMIFS('Source 2025'!$D:$D,'Source 2025'!$B:$B,$A522,'Source 2025'!$A:$A,"Amount (NIS)")+SUMIFS('Source 2025'!$E:$E,'Source 2025'!$B:$B,$A522,'Source 2025'!$A:$A,"Amount (NIS)")+SUMIFS('Source 2025'!$F:$F,'Source 2025'!$B:$B,$A522,'Source 2025'!$A:$A,"Amount (NIS)")+SUMIFS('Source 2025'!$G:$G,'Source 2025'!$B:$B,$A522,'Source 2025'!$A:$A,"Amount (NIS)")+SUMIFS('Source 2025'!$J:$J,'Source 2025'!$B:$B,$A522,'Source 2025'!$A:$A,"Amount (NIS)")+SUMIFS('Source 2025'!$M:$M,'Source 2025'!$B:$B,$A522,'Source 2025'!$A:$A,"Amount (NIS)")</f>
        <v>0</v>
      </c>
      <c r="I522" s="8" t="n">
        <f aca="false">SUMIFS('Source 2026'!$D:$D,'Source 2026'!$B:$B,$A522,'Source 2026'!$A:$A,"Amount (NIS)")+SUMIFS('Source 2026'!$E:$E,'Source 2026'!$B:$B,$A522,'Source 2026'!$A:$A,"Amount (NIS)")+SUMIFS('Source 2026'!$F:$F,'Source 2026'!$B:$B,$A522,'Source 2026'!$A:$A,"Amount (NIS)")+SUMIFS('Source 2026'!$G:$G,'Source 2026'!$B:$B,$A522,'Source 2026'!$A:$A,"Amount (NIS)")+SUMIFS('Source 2026'!$J:$J,'Source 2026'!$B:$B,$A522,'Source 2026'!$A:$A,"Amount (NIS)")+SUMIFS('Source 2026'!$M:$M,'Source 2026'!$B:$B,$A522,'Source 2026'!$A:$A,"Amount (NIS)")</f>
        <v>92.3</v>
      </c>
      <c r="J522" s="8" t="n">
        <f aca="false">I522*$J$5</f>
        <v>126.582857142857</v>
      </c>
      <c r="K522" s="8" t="n">
        <f aca="false">J522-H522</f>
        <v>126.582857142857</v>
      </c>
      <c r="L522" s="9" t="str">
        <f aca="false">IF(AND(H522=0,J522=0),0,IF(H522=0,"New",(J522-H522)/H522))</f>
        <v>New</v>
      </c>
    </row>
    <row r="523" customFormat="false" ht="15" hidden="false" customHeight="false" outlineLevel="0" collapsed="false">
      <c r="A523" s="7" t="n">
        <v>4415089</v>
      </c>
      <c r="B523" s="7" t="str">
        <f aca="false">IFERROR(INDEX('Source 2026'!$C:$C,MATCH($A523,'Source 2026'!$B:$B,0)),IFERROR(INDEX('Source 2025'!$C:$C,MATCH($A523,'Source 2025'!$B:$B,0)),""))</f>
        <v>27L M סד ליד שמאל</v>
      </c>
      <c r="C523" s="8" t="n">
        <f aca="false">SUMIFS('Source 2025'!$D:$D,'Source 2025'!$B:$B,$A523,'Source 2025'!$A:$A,"Quantity (units)")+SUMIFS('Source 2025'!$E:$E,'Source 2025'!$B:$B,$A523,'Source 2025'!$A:$A,"Quantity (units)")+SUMIFS('Source 2025'!$F:$F,'Source 2025'!$B:$B,$A523,'Source 2025'!$A:$A,"Quantity (units)")+SUMIFS('Source 2025'!$G:$G,'Source 2025'!$B:$B,$A523,'Source 2025'!$A:$A,"Quantity (units)")+SUMIFS('Source 2025'!$J:$J,'Source 2025'!$B:$B,$A523,'Source 2025'!$A:$A,"Quantity (units)")+SUMIFS('Source 2025'!$M:$M,'Source 2025'!$B:$B,$A523,'Source 2025'!$A:$A,"Quantity (units)")</f>
        <v>1</v>
      </c>
      <c r="D523" s="8" t="n">
        <f aca="false">SUMIFS('Source 2026'!$D:$D,'Source 2026'!$B:$B,$A523,'Source 2026'!$A:$A,"Quantity (units)")+SUMIFS('Source 2026'!$E:$E,'Source 2026'!$B:$B,$A523,'Source 2026'!$A:$A,"Quantity (units)")+SUMIFS('Source 2026'!$F:$F,'Source 2026'!$B:$B,$A523,'Source 2026'!$A:$A,"Quantity (units)")+SUMIFS('Source 2026'!$G:$G,'Source 2026'!$B:$B,$A523,'Source 2026'!$A:$A,"Quantity (units)")+SUMIFS('Source 2026'!$J:$J,'Source 2026'!$B:$B,$A523,'Source 2026'!$A:$A,"Quantity (units)")+SUMIFS('Source 2026'!$M:$M,'Source 2026'!$B:$B,$A523,'Source 2026'!$A:$A,"Quantity (units)")</f>
        <v>0</v>
      </c>
      <c r="E523" s="8" t="n">
        <f aca="false">D523*$J$5</f>
        <v>0</v>
      </c>
      <c r="F523" s="8" t="n">
        <f aca="false">E523-C523</f>
        <v>-1</v>
      </c>
      <c r="G523" s="9" t="n">
        <f aca="false">IF(AND(C523=0,E523=0),0,IF(C523=0,"New",(E523-C523)/C523))</f>
        <v>-1</v>
      </c>
      <c r="H523" s="8" t="n">
        <f aca="false">SUMIFS('Source 2025'!$D:$D,'Source 2025'!$B:$B,$A523,'Source 2025'!$A:$A,"Amount (NIS)")+SUMIFS('Source 2025'!$E:$E,'Source 2025'!$B:$B,$A523,'Source 2025'!$A:$A,"Amount (NIS)")+SUMIFS('Source 2025'!$F:$F,'Source 2025'!$B:$B,$A523,'Source 2025'!$A:$A,"Amount (NIS)")+SUMIFS('Source 2025'!$G:$G,'Source 2025'!$B:$B,$A523,'Source 2025'!$A:$A,"Amount (NIS)")+SUMIFS('Source 2025'!$J:$J,'Source 2025'!$B:$B,$A523,'Source 2025'!$A:$A,"Amount (NIS)")+SUMIFS('Source 2025'!$M:$M,'Source 2025'!$B:$B,$A523,'Source 2025'!$A:$A,"Amount (NIS)")</f>
        <v>90.1</v>
      </c>
      <c r="I523" s="8" t="n">
        <f aca="false">SUMIFS('Source 2026'!$D:$D,'Source 2026'!$B:$B,$A523,'Source 2026'!$A:$A,"Amount (NIS)")+SUMIFS('Source 2026'!$E:$E,'Source 2026'!$B:$B,$A523,'Source 2026'!$A:$A,"Amount (NIS)")+SUMIFS('Source 2026'!$F:$F,'Source 2026'!$B:$B,$A523,'Source 2026'!$A:$A,"Amount (NIS)")+SUMIFS('Source 2026'!$G:$G,'Source 2026'!$B:$B,$A523,'Source 2026'!$A:$A,"Amount (NIS)")+SUMIFS('Source 2026'!$J:$J,'Source 2026'!$B:$B,$A523,'Source 2026'!$A:$A,"Amount (NIS)")+SUMIFS('Source 2026'!$M:$M,'Source 2026'!$B:$B,$A523,'Source 2026'!$A:$A,"Amount (NIS)")</f>
        <v>0</v>
      </c>
      <c r="J523" s="8" t="n">
        <f aca="false">I523*$J$5</f>
        <v>0</v>
      </c>
      <c r="K523" s="8" t="n">
        <f aca="false">J523-H523</f>
        <v>-90.1</v>
      </c>
      <c r="L523" s="9" t="n">
        <f aca="false">IF(AND(H523=0,J523=0),0,IF(H523=0,"New",(J523-H523)/H523))</f>
        <v>-1</v>
      </c>
    </row>
    <row r="524" customFormat="false" ht="15" hidden="false" customHeight="false" outlineLevel="0" collapsed="false">
      <c r="A524" s="7" t="n">
        <v>4415090</v>
      </c>
      <c r="B524" s="7" t="str">
        <f aca="false">IFERROR(INDEX('Source 2026'!$C:$C,MATCH($A524,'Source 2026'!$B:$B,0)),IFERROR(INDEX('Source 2025'!$C:$C,MATCH($A524,'Source 2025'!$B:$B,0)),""))</f>
        <v>27L L סד ליד שמאל</v>
      </c>
      <c r="C524" s="8" t="n">
        <f aca="false">SUMIFS('Source 2025'!$D:$D,'Source 2025'!$B:$B,$A524,'Source 2025'!$A:$A,"Quantity (units)")+SUMIFS('Source 2025'!$E:$E,'Source 2025'!$B:$B,$A524,'Source 2025'!$A:$A,"Quantity (units)")+SUMIFS('Source 2025'!$F:$F,'Source 2025'!$B:$B,$A524,'Source 2025'!$A:$A,"Quantity (units)")+SUMIFS('Source 2025'!$G:$G,'Source 2025'!$B:$B,$A524,'Source 2025'!$A:$A,"Quantity (units)")+SUMIFS('Source 2025'!$J:$J,'Source 2025'!$B:$B,$A524,'Source 2025'!$A:$A,"Quantity (units)")+SUMIFS('Source 2025'!$M:$M,'Source 2025'!$B:$B,$A524,'Source 2025'!$A:$A,"Quantity (units)")</f>
        <v>1</v>
      </c>
      <c r="D524" s="8" t="n">
        <f aca="false">SUMIFS('Source 2026'!$D:$D,'Source 2026'!$B:$B,$A524,'Source 2026'!$A:$A,"Quantity (units)")+SUMIFS('Source 2026'!$E:$E,'Source 2026'!$B:$B,$A524,'Source 2026'!$A:$A,"Quantity (units)")+SUMIFS('Source 2026'!$F:$F,'Source 2026'!$B:$B,$A524,'Source 2026'!$A:$A,"Quantity (units)")+SUMIFS('Source 2026'!$G:$G,'Source 2026'!$B:$B,$A524,'Source 2026'!$A:$A,"Quantity (units)")+SUMIFS('Source 2026'!$J:$J,'Source 2026'!$B:$B,$A524,'Source 2026'!$A:$A,"Quantity (units)")+SUMIFS('Source 2026'!$M:$M,'Source 2026'!$B:$B,$A524,'Source 2026'!$A:$A,"Quantity (units)")</f>
        <v>0</v>
      </c>
      <c r="E524" s="8" t="n">
        <f aca="false">D524*$J$5</f>
        <v>0</v>
      </c>
      <c r="F524" s="8" t="n">
        <f aca="false">E524-C524</f>
        <v>-1</v>
      </c>
      <c r="G524" s="9" t="n">
        <f aca="false">IF(AND(C524=0,E524=0),0,IF(C524=0,"New",(E524-C524)/C524))</f>
        <v>-1</v>
      </c>
      <c r="H524" s="8" t="n">
        <f aca="false">SUMIFS('Source 2025'!$D:$D,'Source 2025'!$B:$B,$A524,'Source 2025'!$A:$A,"Amount (NIS)")+SUMIFS('Source 2025'!$E:$E,'Source 2025'!$B:$B,$A524,'Source 2025'!$A:$A,"Amount (NIS)")+SUMIFS('Source 2025'!$F:$F,'Source 2025'!$B:$B,$A524,'Source 2025'!$A:$A,"Amount (NIS)")+SUMIFS('Source 2025'!$G:$G,'Source 2025'!$B:$B,$A524,'Source 2025'!$A:$A,"Amount (NIS)")+SUMIFS('Source 2025'!$J:$J,'Source 2025'!$B:$B,$A524,'Source 2025'!$A:$A,"Amount (NIS)")+SUMIFS('Source 2025'!$M:$M,'Source 2025'!$B:$B,$A524,'Source 2025'!$A:$A,"Amount (NIS)")</f>
        <v>90.1</v>
      </c>
      <c r="I524" s="8" t="n">
        <f aca="false">SUMIFS('Source 2026'!$D:$D,'Source 2026'!$B:$B,$A524,'Source 2026'!$A:$A,"Amount (NIS)")+SUMIFS('Source 2026'!$E:$E,'Source 2026'!$B:$B,$A524,'Source 2026'!$A:$A,"Amount (NIS)")+SUMIFS('Source 2026'!$F:$F,'Source 2026'!$B:$B,$A524,'Source 2026'!$A:$A,"Amount (NIS)")+SUMIFS('Source 2026'!$G:$G,'Source 2026'!$B:$B,$A524,'Source 2026'!$A:$A,"Amount (NIS)")+SUMIFS('Source 2026'!$J:$J,'Source 2026'!$B:$B,$A524,'Source 2026'!$A:$A,"Amount (NIS)")+SUMIFS('Source 2026'!$M:$M,'Source 2026'!$B:$B,$A524,'Source 2026'!$A:$A,"Amount (NIS)")</f>
        <v>0</v>
      </c>
      <c r="J524" s="8" t="n">
        <f aca="false">I524*$J$5</f>
        <v>0</v>
      </c>
      <c r="K524" s="8" t="n">
        <f aca="false">J524-H524</f>
        <v>-90.1</v>
      </c>
      <c r="L524" s="9" t="n">
        <f aca="false">IF(AND(H524=0,J524=0),0,IF(H524=0,"New",(J524-H524)/H524))</f>
        <v>-1</v>
      </c>
    </row>
    <row r="525" customFormat="false" ht="15" hidden="false" customHeight="false" outlineLevel="0" collapsed="false">
      <c r="A525" s="7" t="n">
        <v>4413022</v>
      </c>
      <c r="B525" s="7" t="str">
        <f aca="false">IFERROR(INDEX('Source 2026'!$C:$C,MATCH($A525,'Source 2026'!$B:$B,0)),IFERROR(INDEX('Source 2025'!$C:$C,MATCH($A525,'Source 2025'!$B:$B,0)),""))</f>
        <v>303 45-46 מדרסי סיליק.לח.סכרת</v>
      </c>
      <c r="C525" s="8" t="n">
        <f aca="false">SUMIFS('Source 2025'!$D:$D,'Source 2025'!$B:$B,$A525,'Source 2025'!$A:$A,"Quantity (units)")+SUMIFS('Source 2025'!$E:$E,'Source 2025'!$B:$B,$A525,'Source 2025'!$A:$A,"Quantity (units)")+SUMIFS('Source 2025'!$F:$F,'Source 2025'!$B:$B,$A525,'Source 2025'!$A:$A,"Quantity (units)")+SUMIFS('Source 2025'!$G:$G,'Source 2025'!$B:$B,$A525,'Source 2025'!$A:$A,"Quantity (units)")+SUMIFS('Source 2025'!$J:$J,'Source 2025'!$B:$B,$A525,'Source 2025'!$A:$A,"Quantity (units)")+SUMIFS('Source 2025'!$M:$M,'Source 2025'!$B:$B,$A525,'Source 2025'!$A:$A,"Quantity (units)")</f>
        <v>3</v>
      </c>
      <c r="D525" s="8" t="n">
        <f aca="false">SUMIFS('Source 2026'!$D:$D,'Source 2026'!$B:$B,$A525,'Source 2026'!$A:$A,"Quantity (units)")+SUMIFS('Source 2026'!$E:$E,'Source 2026'!$B:$B,$A525,'Source 2026'!$A:$A,"Quantity (units)")+SUMIFS('Source 2026'!$F:$F,'Source 2026'!$B:$B,$A525,'Source 2026'!$A:$A,"Quantity (units)")+SUMIFS('Source 2026'!$G:$G,'Source 2026'!$B:$B,$A525,'Source 2026'!$A:$A,"Quantity (units)")+SUMIFS('Source 2026'!$J:$J,'Source 2026'!$B:$B,$A525,'Source 2026'!$A:$A,"Quantity (units)")+SUMIFS('Source 2026'!$M:$M,'Source 2026'!$B:$B,$A525,'Source 2026'!$A:$A,"Quantity (units)")</f>
        <v>2</v>
      </c>
      <c r="E525" s="8" t="n">
        <f aca="false">D525*$J$5</f>
        <v>2.74285714285714</v>
      </c>
      <c r="F525" s="8" t="n">
        <f aca="false">E525-C525</f>
        <v>-0.257142857142857</v>
      </c>
      <c r="G525" s="9" t="n">
        <f aca="false">IF(AND(C525=0,E525=0),0,IF(C525=0,"New",(E525-C525)/C525))</f>
        <v>-0.0857142857142857</v>
      </c>
      <c r="H525" s="8" t="n">
        <f aca="false">SUMIFS('Source 2025'!$D:$D,'Source 2025'!$B:$B,$A525,'Source 2025'!$A:$A,"Amount (NIS)")+SUMIFS('Source 2025'!$E:$E,'Source 2025'!$B:$B,$A525,'Source 2025'!$A:$A,"Amount (NIS)")+SUMIFS('Source 2025'!$F:$F,'Source 2025'!$B:$B,$A525,'Source 2025'!$A:$A,"Amount (NIS)")+SUMIFS('Source 2025'!$G:$G,'Source 2025'!$B:$B,$A525,'Source 2025'!$A:$A,"Amount (NIS)")+SUMIFS('Source 2025'!$J:$J,'Source 2025'!$B:$B,$A525,'Source 2025'!$A:$A,"Amount (NIS)")+SUMIFS('Source 2025'!$M:$M,'Source 2025'!$B:$B,$A525,'Source 2025'!$A:$A,"Amount (NIS)")</f>
        <v>327</v>
      </c>
      <c r="I525" s="8" t="n">
        <f aca="false">SUMIFS('Source 2026'!$D:$D,'Source 2026'!$B:$B,$A525,'Source 2026'!$A:$A,"Amount (NIS)")+SUMIFS('Source 2026'!$E:$E,'Source 2026'!$B:$B,$A525,'Source 2026'!$A:$A,"Amount (NIS)")+SUMIFS('Source 2026'!$F:$F,'Source 2026'!$B:$B,$A525,'Source 2026'!$A:$A,"Amount (NIS)")+SUMIFS('Source 2026'!$G:$G,'Source 2026'!$B:$B,$A525,'Source 2026'!$A:$A,"Amount (NIS)")+SUMIFS('Source 2026'!$J:$J,'Source 2026'!$B:$B,$A525,'Source 2026'!$A:$A,"Amount (NIS)")+SUMIFS('Source 2026'!$M:$M,'Source 2026'!$B:$B,$A525,'Source 2026'!$A:$A,"Amount (NIS)")</f>
        <v>237.1</v>
      </c>
      <c r="J525" s="8" t="n">
        <f aca="false">I525*$J$5</f>
        <v>325.165714285714</v>
      </c>
      <c r="K525" s="8" t="n">
        <f aca="false">J525-H525</f>
        <v>-1.83428571428573</v>
      </c>
      <c r="L525" s="9" t="n">
        <f aca="false">IF(AND(H525=0,J525=0),0,IF(H525=0,"New",(J525-H525)/H525))</f>
        <v>-0.00560943643512455</v>
      </c>
    </row>
    <row r="526" customFormat="false" ht="15" hidden="false" customHeight="false" outlineLevel="0" collapsed="false">
      <c r="A526" s="7" t="n">
        <v>4413504</v>
      </c>
      <c r="B526" s="7" t="str">
        <f aca="false">IFERROR(INDEX('Source 2026'!$C:$C,MATCH($A526,'Source 2026'!$B:$B,0)),IFERROR(INDEX('Source 2025'!$C:$C,MATCH($A526,'Source 2025'!$B:$B,0)),""))</f>
        <v>95B XXLמגן מרפק שחור</v>
      </c>
      <c r="C526" s="8" t="n">
        <f aca="false">SUMIFS('Source 2025'!$D:$D,'Source 2025'!$B:$B,$A526,'Source 2025'!$A:$A,"Quantity (units)")+SUMIFS('Source 2025'!$E:$E,'Source 2025'!$B:$B,$A526,'Source 2025'!$A:$A,"Quantity (units)")+SUMIFS('Source 2025'!$F:$F,'Source 2025'!$B:$B,$A526,'Source 2025'!$A:$A,"Quantity (units)")+SUMIFS('Source 2025'!$G:$G,'Source 2025'!$B:$B,$A526,'Source 2025'!$A:$A,"Quantity (units)")+SUMIFS('Source 2025'!$J:$J,'Source 2025'!$B:$B,$A526,'Source 2025'!$A:$A,"Quantity (units)")+SUMIFS('Source 2025'!$M:$M,'Source 2025'!$B:$B,$A526,'Source 2025'!$A:$A,"Quantity (units)")</f>
        <v>5</v>
      </c>
      <c r="D526" s="8" t="n">
        <f aca="false">SUMIFS('Source 2026'!$D:$D,'Source 2026'!$B:$B,$A526,'Source 2026'!$A:$A,"Quantity (units)")+SUMIFS('Source 2026'!$E:$E,'Source 2026'!$B:$B,$A526,'Source 2026'!$A:$A,"Quantity (units)")+SUMIFS('Source 2026'!$F:$F,'Source 2026'!$B:$B,$A526,'Source 2026'!$A:$A,"Quantity (units)")+SUMIFS('Source 2026'!$G:$G,'Source 2026'!$B:$B,$A526,'Source 2026'!$A:$A,"Quantity (units)")+SUMIFS('Source 2026'!$J:$J,'Source 2026'!$B:$B,$A526,'Source 2026'!$A:$A,"Quantity (units)")+SUMIFS('Source 2026'!$M:$M,'Source 2026'!$B:$B,$A526,'Source 2026'!$A:$A,"Quantity (units)")</f>
        <v>8</v>
      </c>
      <c r="E526" s="8" t="n">
        <f aca="false">D526*$J$5</f>
        <v>10.9714285714286</v>
      </c>
      <c r="F526" s="8" t="n">
        <f aca="false">E526-C526</f>
        <v>5.97142857142857</v>
      </c>
      <c r="G526" s="9" t="n">
        <f aca="false">IF(AND(C526=0,E526=0),0,IF(C526=0,"New",(E526-C526)/C526))</f>
        <v>1.19428571428571</v>
      </c>
      <c r="H526" s="8" t="n">
        <f aca="false">SUMIFS('Source 2025'!$D:$D,'Source 2025'!$B:$B,$A526,'Source 2025'!$A:$A,"Amount (NIS)")+SUMIFS('Source 2025'!$E:$E,'Source 2025'!$B:$B,$A526,'Source 2025'!$A:$A,"Amount (NIS)")+SUMIFS('Source 2025'!$F:$F,'Source 2025'!$B:$B,$A526,'Source 2025'!$A:$A,"Amount (NIS)")+SUMIFS('Source 2025'!$G:$G,'Source 2025'!$B:$B,$A526,'Source 2025'!$A:$A,"Amount (NIS)")+SUMIFS('Source 2025'!$J:$J,'Source 2025'!$B:$B,$A526,'Source 2025'!$A:$A,"Amount (NIS)")+SUMIFS('Source 2025'!$M:$M,'Source 2025'!$B:$B,$A526,'Source 2025'!$A:$A,"Amount (NIS)")</f>
        <v>147.2</v>
      </c>
      <c r="I526" s="8" t="n">
        <f aca="false">SUMIFS('Source 2026'!$D:$D,'Source 2026'!$B:$B,$A526,'Source 2026'!$A:$A,"Amount (NIS)")+SUMIFS('Source 2026'!$E:$E,'Source 2026'!$B:$B,$A526,'Source 2026'!$A:$A,"Amount (NIS)")+SUMIFS('Source 2026'!$F:$F,'Source 2026'!$B:$B,$A526,'Source 2026'!$A:$A,"Amount (NIS)")+SUMIFS('Source 2026'!$G:$G,'Source 2026'!$B:$B,$A526,'Source 2026'!$A:$A,"Amount (NIS)")+SUMIFS('Source 2026'!$J:$J,'Source 2026'!$B:$B,$A526,'Source 2026'!$A:$A,"Amount (NIS)")+SUMIFS('Source 2026'!$M:$M,'Source 2026'!$B:$B,$A526,'Source 2026'!$A:$A,"Amount (NIS)")</f>
        <v>236.8</v>
      </c>
      <c r="J526" s="8" t="n">
        <f aca="false">I526*$J$5</f>
        <v>324.754285714286</v>
      </c>
      <c r="K526" s="8" t="n">
        <f aca="false">J526-H526</f>
        <v>177.554285714286</v>
      </c>
      <c r="L526" s="9" t="n">
        <f aca="false">IF(AND(H526=0,J526=0),0,IF(H526=0,"New",(J526-H526)/H526))</f>
        <v>1.20621118012422</v>
      </c>
    </row>
    <row r="527" customFormat="false" ht="15" hidden="false" customHeight="false" outlineLevel="0" collapsed="false">
      <c r="A527" s="7" t="n">
        <v>4413116</v>
      </c>
      <c r="B527" s="7" t="str">
        <f aca="false">IFERROR(INDEX('Source 2026'!$C:$C,MATCH($A527,'Source 2026'!$B:$B,0)),IFERROR(INDEX('Source 2025'!$C:$C,MATCH($A527,'Source 2025'!$B:$B,0)),""))</f>
        <v>50 S מתלה אשכים לאחר ניתוח</v>
      </c>
      <c r="C527" s="8" t="n">
        <f aca="false">SUMIFS('Source 2025'!$D:$D,'Source 2025'!$B:$B,$A527,'Source 2025'!$A:$A,"Quantity (units)")+SUMIFS('Source 2025'!$E:$E,'Source 2025'!$B:$B,$A527,'Source 2025'!$A:$A,"Quantity (units)")+SUMIFS('Source 2025'!$F:$F,'Source 2025'!$B:$B,$A527,'Source 2025'!$A:$A,"Quantity (units)")+SUMIFS('Source 2025'!$G:$G,'Source 2025'!$B:$B,$A527,'Source 2025'!$A:$A,"Quantity (units)")+SUMIFS('Source 2025'!$J:$J,'Source 2025'!$B:$B,$A527,'Source 2025'!$A:$A,"Quantity (units)")+SUMIFS('Source 2025'!$M:$M,'Source 2025'!$B:$B,$A527,'Source 2025'!$A:$A,"Quantity (units)")</f>
        <v>0</v>
      </c>
      <c r="D527" s="8" t="n">
        <f aca="false">SUMIFS('Source 2026'!$D:$D,'Source 2026'!$B:$B,$A527,'Source 2026'!$A:$A,"Quantity (units)")+SUMIFS('Source 2026'!$E:$E,'Source 2026'!$B:$B,$A527,'Source 2026'!$A:$A,"Quantity (units)")+SUMIFS('Source 2026'!$F:$F,'Source 2026'!$B:$B,$A527,'Source 2026'!$A:$A,"Quantity (units)")+SUMIFS('Source 2026'!$G:$G,'Source 2026'!$B:$B,$A527,'Source 2026'!$A:$A,"Quantity (units)")+SUMIFS('Source 2026'!$J:$J,'Source 2026'!$B:$B,$A527,'Source 2026'!$A:$A,"Quantity (units)")+SUMIFS('Source 2026'!$M:$M,'Source 2026'!$B:$B,$A527,'Source 2026'!$A:$A,"Quantity (units)")</f>
        <v>-1</v>
      </c>
      <c r="E527" s="8" t="n">
        <f aca="false">D527*$J$5</f>
        <v>-1.37142857142857</v>
      </c>
      <c r="F527" s="8" t="n">
        <f aca="false">E527-C527</f>
        <v>-1.37142857142857</v>
      </c>
      <c r="G527" s="9" t="str">
        <f aca="false">IF(AND(C527=0,E527=0),0,IF(C527=0,"New",(E527-C527)/C527))</f>
        <v>New</v>
      </c>
      <c r="H527" s="8" t="n">
        <f aca="false">SUMIFS('Source 2025'!$D:$D,'Source 2025'!$B:$B,$A527,'Source 2025'!$A:$A,"Amount (NIS)")+SUMIFS('Source 2025'!$E:$E,'Source 2025'!$B:$B,$A527,'Source 2025'!$A:$A,"Amount (NIS)")+SUMIFS('Source 2025'!$F:$F,'Source 2025'!$B:$B,$A527,'Source 2025'!$A:$A,"Amount (NIS)")+SUMIFS('Source 2025'!$G:$G,'Source 2025'!$B:$B,$A527,'Source 2025'!$A:$A,"Amount (NIS)")+SUMIFS('Source 2025'!$J:$J,'Source 2025'!$B:$B,$A527,'Source 2025'!$A:$A,"Amount (NIS)")+SUMIFS('Source 2025'!$M:$M,'Source 2025'!$B:$B,$A527,'Source 2025'!$A:$A,"Amount (NIS)")</f>
        <v>0</v>
      </c>
      <c r="I527" s="8" t="n">
        <f aca="false">SUMIFS('Source 2026'!$D:$D,'Source 2026'!$B:$B,$A527,'Source 2026'!$A:$A,"Amount (NIS)")+SUMIFS('Source 2026'!$E:$E,'Source 2026'!$B:$B,$A527,'Source 2026'!$A:$A,"Amount (NIS)")+SUMIFS('Source 2026'!$F:$F,'Source 2026'!$B:$B,$A527,'Source 2026'!$A:$A,"Amount (NIS)")+SUMIFS('Source 2026'!$G:$G,'Source 2026'!$B:$B,$A527,'Source 2026'!$A:$A,"Amount (NIS)")+SUMIFS('Source 2026'!$J:$J,'Source 2026'!$B:$B,$A527,'Source 2026'!$A:$A,"Amount (NIS)")+SUMIFS('Source 2026'!$M:$M,'Source 2026'!$B:$B,$A527,'Source 2026'!$A:$A,"Amount (NIS)")</f>
        <v>-88.8</v>
      </c>
      <c r="J527" s="8" t="n">
        <f aca="false">I527*$J$5</f>
        <v>-121.782857142857</v>
      </c>
      <c r="K527" s="8" t="n">
        <f aca="false">J527-H527</f>
        <v>-121.782857142857</v>
      </c>
      <c r="L527" s="9" t="str">
        <f aca="false">IF(AND(H527=0,J527=0),0,IF(H527=0,"New",(J527-H527)/H527))</f>
        <v>New</v>
      </c>
    </row>
    <row r="528" customFormat="false" ht="15" hidden="false" customHeight="false" outlineLevel="0" collapsed="false">
      <c r="A528" s="7" t="n">
        <v>4413144</v>
      </c>
      <c r="B528" s="7" t="str">
        <f aca="false">IFERROR(INDEX('Source 2026'!$C:$C,MATCH($A528,'Source 2026'!$B:$B,0)),IFERROR(INDEX('Source 2025'!$C:$C,MATCH($A528,'Source 2025'!$B:$B,0)),""))</f>
        <v>95 XXL מגן מרפק רגיל לבן</v>
      </c>
      <c r="C528" s="8" t="n">
        <f aca="false">SUMIFS('Source 2025'!$D:$D,'Source 2025'!$B:$B,$A528,'Source 2025'!$A:$A,"Quantity (units)")+SUMIFS('Source 2025'!$E:$E,'Source 2025'!$B:$B,$A528,'Source 2025'!$A:$A,"Quantity (units)")+SUMIFS('Source 2025'!$F:$F,'Source 2025'!$B:$B,$A528,'Source 2025'!$A:$A,"Quantity (units)")+SUMIFS('Source 2025'!$G:$G,'Source 2025'!$B:$B,$A528,'Source 2025'!$A:$A,"Quantity (units)")+SUMIFS('Source 2025'!$J:$J,'Source 2025'!$B:$B,$A528,'Source 2025'!$A:$A,"Quantity (units)")+SUMIFS('Source 2025'!$M:$M,'Source 2025'!$B:$B,$A528,'Source 2025'!$A:$A,"Quantity (units)")</f>
        <v>2</v>
      </c>
      <c r="D528" s="8" t="n">
        <f aca="false">SUMIFS('Source 2026'!$D:$D,'Source 2026'!$B:$B,$A528,'Source 2026'!$A:$A,"Quantity (units)")+SUMIFS('Source 2026'!$E:$E,'Source 2026'!$B:$B,$A528,'Source 2026'!$A:$A,"Quantity (units)")+SUMIFS('Source 2026'!$F:$F,'Source 2026'!$B:$B,$A528,'Source 2026'!$A:$A,"Quantity (units)")+SUMIFS('Source 2026'!$G:$G,'Source 2026'!$B:$B,$A528,'Source 2026'!$A:$A,"Quantity (units)")+SUMIFS('Source 2026'!$J:$J,'Source 2026'!$B:$B,$A528,'Source 2026'!$A:$A,"Quantity (units)")+SUMIFS('Source 2026'!$M:$M,'Source 2026'!$B:$B,$A528,'Source 2026'!$A:$A,"Quantity (units)")</f>
        <v>5</v>
      </c>
      <c r="E528" s="8" t="n">
        <f aca="false">D528*$J$5</f>
        <v>6.85714285714286</v>
      </c>
      <c r="F528" s="8" t="n">
        <f aca="false">E528-C528</f>
        <v>4.85714285714286</v>
      </c>
      <c r="G528" s="9" t="n">
        <f aca="false">IF(AND(C528=0,E528=0),0,IF(C528=0,"New",(E528-C528)/C528))</f>
        <v>2.42857142857143</v>
      </c>
      <c r="H528" s="8" t="n">
        <f aca="false">SUMIFS('Source 2025'!$D:$D,'Source 2025'!$B:$B,$A528,'Source 2025'!$A:$A,"Amount (NIS)")+SUMIFS('Source 2025'!$E:$E,'Source 2025'!$B:$B,$A528,'Source 2025'!$A:$A,"Amount (NIS)")+SUMIFS('Source 2025'!$F:$F,'Source 2025'!$B:$B,$A528,'Source 2025'!$A:$A,"Amount (NIS)")+SUMIFS('Source 2025'!$G:$G,'Source 2025'!$B:$B,$A528,'Source 2025'!$A:$A,"Amount (NIS)")+SUMIFS('Source 2025'!$J:$J,'Source 2025'!$B:$B,$A528,'Source 2025'!$A:$A,"Amount (NIS)")+SUMIFS('Source 2025'!$M:$M,'Source 2025'!$B:$B,$A528,'Source 2025'!$A:$A,"Amount (NIS)")</f>
        <v>61.8</v>
      </c>
      <c r="I528" s="8" t="n">
        <f aca="false">SUMIFS('Source 2026'!$D:$D,'Source 2026'!$B:$B,$A528,'Source 2026'!$A:$A,"Amount (NIS)")+SUMIFS('Source 2026'!$E:$E,'Source 2026'!$B:$B,$A528,'Source 2026'!$A:$A,"Amount (NIS)")+SUMIFS('Source 2026'!$F:$F,'Source 2026'!$B:$B,$A528,'Source 2026'!$A:$A,"Amount (NIS)")+SUMIFS('Source 2026'!$G:$G,'Source 2026'!$B:$B,$A528,'Source 2026'!$A:$A,"Amount (NIS)")+SUMIFS('Source 2026'!$J:$J,'Source 2026'!$B:$B,$A528,'Source 2026'!$A:$A,"Amount (NIS)")+SUMIFS('Source 2026'!$M:$M,'Source 2026'!$B:$B,$A528,'Source 2026'!$A:$A,"Amount (NIS)")</f>
        <v>146.2</v>
      </c>
      <c r="J528" s="8" t="n">
        <f aca="false">I528*$J$5</f>
        <v>200.502857142857</v>
      </c>
      <c r="K528" s="8" t="n">
        <f aca="false">J528-H528</f>
        <v>138.702857142857</v>
      </c>
      <c r="L528" s="9" t="n">
        <f aca="false">IF(AND(H528=0,J528=0),0,IF(H528=0,"New",(J528-H528)/H528))</f>
        <v>2.24438280166435</v>
      </c>
    </row>
    <row r="529" customFormat="false" ht="15" hidden="false" customHeight="false" outlineLevel="0" collapsed="false">
      <c r="A529" s="7" t="n">
        <v>4413124</v>
      </c>
      <c r="B529" s="7" t="str">
        <f aca="false">IFERROR(INDEX('Source 2026'!$C:$C,MATCH($A529,'Source 2026'!$B:$B,0)),IFERROR(INDEX('Source 2025'!$C:$C,MATCH($A529,'Source 2025'!$B:$B,0)),""))</f>
        <v>55 XL מתלה אשכים לספורטאים</v>
      </c>
      <c r="C529" s="8" t="n">
        <f aca="false">SUMIFS('Source 2025'!$D:$D,'Source 2025'!$B:$B,$A529,'Source 2025'!$A:$A,"Quantity (units)")+SUMIFS('Source 2025'!$E:$E,'Source 2025'!$B:$B,$A529,'Source 2025'!$A:$A,"Quantity (units)")+SUMIFS('Source 2025'!$F:$F,'Source 2025'!$B:$B,$A529,'Source 2025'!$A:$A,"Quantity (units)")+SUMIFS('Source 2025'!$G:$G,'Source 2025'!$B:$B,$A529,'Source 2025'!$A:$A,"Quantity (units)")+SUMIFS('Source 2025'!$J:$J,'Source 2025'!$B:$B,$A529,'Source 2025'!$A:$A,"Quantity (units)")+SUMIFS('Source 2025'!$M:$M,'Source 2025'!$B:$B,$A529,'Source 2025'!$A:$A,"Quantity (units)")</f>
        <v>0</v>
      </c>
      <c r="D529" s="8" t="n">
        <f aca="false">SUMIFS('Source 2026'!$D:$D,'Source 2026'!$B:$B,$A529,'Source 2026'!$A:$A,"Quantity (units)")+SUMIFS('Source 2026'!$E:$E,'Source 2026'!$B:$B,$A529,'Source 2026'!$A:$A,"Quantity (units)")+SUMIFS('Source 2026'!$F:$F,'Source 2026'!$B:$B,$A529,'Source 2026'!$A:$A,"Quantity (units)")+SUMIFS('Source 2026'!$G:$G,'Source 2026'!$B:$B,$A529,'Source 2026'!$A:$A,"Quantity (units)")+SUMIFS('Source 2026'!$J:$J,'Source 2026'!$B:$B,$A529,'Source 2026'!$A:$A,"Quantity (units)")+SUMIFS('Source 2026'!$M:$M,'Source 2026'!$B:$B,$A529,'Source 2026'!$A:$A,"Quantity (units)")</f>
        <v>1</v>
      </c>
      <c r="E529" s="8" t="n">
        <f aca="false">D529*$J$5</f>
        <v>1.37142857142857</v>
      </c>
      <c r="F529" s="8" t="n">
        <f aca="false">E529-C529</f>
        <v>1.37142857142857</v>
      </c>
      <c r="G529" s="9" t="str">
        <f aca="false">IF(AND(C529=0,E529=0),0,IF(C529=0,"New",(E529-C529)/C529))</f>
        <v>New</v>
      </c>
      <c r="H529" s="8" t="n">
        <f aca="false">SUMIFS('Source 2025'!$D:$D,'Source 2025'!$B:$B,$A529,'Source 2025'!$A:$A,"Amount (NIS)")+SUMIFS('Source 2025'!$E:$E,'Source 2025'!$B:$B,$A529,'Source 2025'!$A:$A,"Amount (NIS)")+SUMIFS('Source 2025'!$F:$F,'Source 2025'!$B:$B,$A529,'Source 2025'!$A:$A,"Amount (NIS)")+SUMIFS('Source 2025'!$G:$G,'Source 2025'!$B:$B,$A529,'Source 2025'!$A:$A,"Amount (NIS)")+SUMIFS('Source 2025'!$J:$J,'Source 2025'!$B:$B,$A529,'Source 2025'!$A:$A,"Amount (NIS)")+SUMIFS('Source 2025'!$M:$M,'Source 2025'!$B:$B,$A529,'Source 2025'!$A:$A,"Amount (NIS)")</f>
        <v>0</v>
      </c>
      <c r="I529" s="8" t="n">
        <f aca="false">SUMIFS('Source 2026'!$D:$D,'Source 2026'!$B:$B,$A529,'Source 2026'!$A:$A,"Amount (NIS)")+SUMIFS('Source 2026'!$E:$E,'Source 2026'!$B:$B,$A529,'Source 2026'!$A:$A,"Amount (NIS)")+SUMIFS('Source 2026'!$F:$F,'Source 2026'!$B:$B,$A529,'Source 2026'!$A:$A,"Amount (NIS)")+SUMIFS('Source 2026'!$G:$G,'Source 2026'!$B:$B,$A529,'Source 2026'!$A:$A,"Amount (NIS)")+SUMIFS('Source 2026'!$J:$J,'Source 2026'!$B:$B,$A529,'Source 2026'!$A:$A,"Amount (NIS)")+SUMIFS('Source 2026'!$M:$M,'Source 2026'!$B:$B,$A529,'Source 2026'!$A:$A,"Amount (NIS)")</f>
        <v>84.3</v>
      </c>
      <c r="J529" s="8" t="n">
        <f aca="false">I529*$J$5</f>
        <v>115.611428571429</v>
      </c>
      <c r="K529" s="8" t="n">
        <f aca="false">J529-H529</f>
        <v>115.611428571429</v>
      </c>
      <c r="L529" s="9" t="str">
        <f aca="false">IF(AND(H529=0,J529=0),0,IF(H529=0,"New",(J529-H529)/H529))</f>
        <v>New</v>
      </c>
    </row>
    <row r="530" customFormat="false" ht="15" hidden="false" customHeight="false" outlineLevel="0" collapsed="false">
      <c r="A530" s="7" t="n">
        <v>4413173</v>
      </c>
      <c r="B530" s="7" t="str">
        <f aca="false">IFERROR(INDEX('Source 2026'!$C:$C,MATCH($A530,'Source 2026'!$B:$B,0)),IFERROR(INDEX('Source 2025'!$C:$C,MATCH($A530,'Source 2025'!$B:$B,0)),""))</f>
        <v>T402 XXL מיצב פיקה</v>
      </c>
      <c r="C530" s="8" t="n">
        <f aca="false">SUMIFS('Source 2025'!$D:$D,'Source 2025'!$B:$B,$A530,'Source 2025'!$A:$A,"Quantity (units)")+SUMIFS('Source 2025'!$E:$E,'Source 2025'!$B:$B,$A530,'Source 2025'!$A:$A,"Quantity (units)")+SUMIFS('Source 2025'!$F:$F,'Source 2025'!$B:$B,$A530,'Source 2025'!$A:$A,"Quantity (units)")+SUMIFS('Source 2025'!$G:$G,'Source 2025'!$B:$B,$A530,'Source 2025'!$A:$A,"Quantity (units)")+SUMIFS('Source 2025'!$J:$J,'Source 2025'!$B:$B,$A530,'Source 2025'!$A:$A,"Quantity (units)")+SUMIFS('Source 2025'!$M:$M,'Source 2025'!$B:$B,$A530,'Source 2025'!$A:$A,"Quantity (units)")</f>
        <v>1</v>
      </c>
      <c r="D530" s="8" t="n">
        <f aca="false">SUMIFS('Source 2026'!$D:$D,'Source 2026'!$B:$B,$A530,'Source 2026'!$A:$A,"Quantity (units)")+SUMIFS('Source 2026'!$E:$E,'Source 2026'!$B:$B,$A530,'Source 2026'!$A:$A,"Quantity (units)")+SUMIFS('Source 2026'!$F:$F,'Source 2026'!$B:$B,$A530,'Source 2026'!$A:$A,"Quantity (units)")+SUMIFS('Source 2026'!$G:$G,'Source 2026'!$B:$B,$A530,'Source 2026'!$A:$A,"Quantity (units)")+SUMIFS('Source 2026'!$J:$J,'Source 2026'!$B:$B,$A530,'Source 2026'!$A:$A,"Quantity (units)")+SUMIFS('Source 2026'!$M:$M,'Source 2026'!$B:$B,$A530,'Source 2026'!$A:$A,"Quantity (units)")</f>
        <v>0</v>
      </c>
      <c r="E530" s="8" t="n">
        <f aca="false">D530*$J$5</f>
        <v>0</v>
      </c>
      <c r="F530" s="8" t="n">
        <f aca="false">E530-C530</f>
        <v>-1</v>
      </c>
      <c r="G530" s="9" t="n">
        <f aca="false">IF(AND(C530=0,E530=0),0,IF(C530=0,"New",(E530-C530)/C530))</f>
        <v>-1</v>
      </c>
      <c r="H530" s="8" t="n">
        <f aca="false">SUMIFS('Source 2025'!$D:$D,'Source 2025'!$B:$B,$A530,'Source 2025'!$A:$A,"Amount (NIS)")+SUMIFS('Source 2025'!$E:$E,'Source 2025'!$B:$B,$A530,'Source 2025'!$A:$A,"Amount (NIS)")+SUMIFS('Source 2025'!$F:$F,'Source 2025'!$B:$B,$A530,'Source 2025'!$A:$A,"Amount (NIS)")+SUMIFS('Source 2025'!$G:$G,'Source 2025'!$B:$B,$A530,'Source 2025'!$A:$A,"Amount (NIS)")+SUMIFS('Source 2025'!$J:$J,'Source 2025'!$B:$B,$A530,'Source 2025'!$A:$A,"Amount (NIS)")+SUMIFS('Source 2025'!$M:$M,'Source 2025'!$B:$B,$A530,'Source 2025'!$A:$A,"Amount (NIS)")</f>
        <v>82</v>
      </c>
      <c r="I530" s="8" t="n">
        <f aca="false">SUMIFS('Source 2026'!$D:$D,'Source 2026'!$B:$B,$A530,'Source 2026'!$A:$A,"Amount (NIS)")+SUMIFS('Source 2026'!$E:$E,'Source 2026'!$B:$B,$A530,'Source 2026'!$A:$A,"Amount (NIS)")+SUMIFS('Source 2026'!$F:$F,'Source 2026'!$B:$B,$A530,'Source 2026'!$A:$A,"Amount (NIS)")+SUMIFS('Source 2026'!$G:$G,'Source 2026'!$B:$B,$A530,'Source 2026'!$A:$A,"Amount (NIS)")+SUMIFS('Source 2026'!$J:$J,'Source 2026'!$B:$B,$A530,'Source 2026'!$A:$A,"Amount (NIS)")+SUMIFS('Source 2026'!$M:$M,'Source 2026'!$B:$B,$A530,'Source 2026'!$A:$A,"Amount (NIS)")</f>
        <v>0</v>
      </c>
      <c r="J530" s="8" t="n">
        <f aca="false">I530*$J$5</f>
        <v>0</v>
      </c>
      <c r="K530" s="8" t="n">
        <f aca="false">J530-H530</f>
        <v>-82</v>
      </c>
      <c r="L530" s="9" t="n">
        <f aca="false">IF(AND(H530=0,J530=0),0,IF(H530=0,"New",(J530-H530)/H530))</f>
        <v>-1</v>
      </c>
    </row>
    <row r="531" customFormat="false" ht="15" hidden="false" customHeight="false" outlineLevel="0" collapsed="false">
      <c r="A531" s="7" t="n">
        <v>4420007</v>
      </c>
      <c r="B531" s="7" t="str">
        <f aca="false">IFERROR(INDEX('Source 2026'!$C:$C,MATCH($A531,'Source 2026'!$B:$B,0)),IFERROR(INDEX('Source 2025'!$C:$C,MATCH($A531,'Source 2025'!$B:$B,0)),""))</f>
        <v>377   רפ.ורטופדית ספורט זוג38</v>
      </c>
      <c r="C531" s="8" t="n">
        <f aca="false">SUMIFS('Source 2025'!$D:$D,'Source 2025'!$B:$B,$A531,'Source 2025'!$A:$A,"Quantity (units)")+SUMIFS('Source 2025'!$E:$E,'Source 2025'!$B:$B,$A531,'Source 2025'!$A:$A,"Quantity (units)")+SUMIFS('Source 2025'!$F:$F,'Source 2025'!$B:$B,$A531,'Source 2025'!$A:$A,"Quantity (units)")+SUMIFS('Source 2025'!$G:$G,'Source 2025'!$B:$B,$A531,'Source 2025'!$A:$A,"Quantity (units)")+SUMIFS('Source 2025'!$J:$J,'Source 2025'!$B:$B,$A531,'Source 2025'!$A:$A,"Quantity (units)")+SUMIFS('Source 2025'!$M:$M,'Source 2025'!$B:$B,$A531,'Source 2025'!$A:$A,"Quantity (units)")</f>
        <v>2</v>
      </c>
      <c r="D531" s="8" t="n">
        <f aca="false">SUMIFS('Source 2026'!$D:$D,'Source 2026'!$B:$B,$A531,'Source 2026'!$A:$A,"Quantity (units)")+SUMIFS('Source 2026'!$E:$E,'Source 2026'!$B:$B,$A531,'Source 2026'!$A:$A,"Quantity (units)")+SUMIFS('Source 2026'!$F:$F,'Source 2026'!$B:$B,$A531,'Source 2026'!$A:$A,"Quantity (units)")+SUMIFS('Source 2026'!$G:$G,'Source 2026'!$B:$B,$A531,'Source 2026'!$A:$A,"Quantity (units)")+SUMIFS('Source 2026'!$J:$J,'Source 2026'!$B:$B,$A531,'Source 2026'!$A:$A,"Quantity (units)")+SUMIFS('Source 2026'!$M:$M,'Source 2026'!$B:$B,$A531,'Source 2026'!$A:$A,"Quantity (units)")</f>
        <v>0</v>
      </c>
      <c r="E531" s="8" t="n">
        <f aca="false">D531*$J$5</f>
        <v>0</v>
      </c>
      <c r="F531" s="8" t="n">
        <f aca="false">E531-C531</f>
        <v>-2</v>
      </c>
      <c r="G531" s="9" t="n">
        <f aca="false">IF(AND(C531=0,E531=0),0,IF(C531=0,"New",(E531-C531)/C531))</f>
        <v>-1</v>
      </c>
      <c r="H531" s="8" t="n">
        <f aca="false">SUMIFS('Source 2025'!$D:$D,'Source 2025'!$B:$B,$A531,'Source 2025'!$A:$A,"Amount (NIS)")+SUMIFS('Source 2025'!$E:$E,'Source 2025'!$B:$B,$A531,'Source 2025'!$A:$A,"Amount (NIS)")+SUMIFS('Source 2025'!$F:$F,'Source 2025'!$B:$B,$A531,'Source 2025'!$A:$A,"Amount (NIS)")+SUMIFS('Source 2025'!$G:$G,'Source 2025'!$B:$B,$A531,'Source 2025'!$A:$A,"Amount (NIS)")+SUMIFS('Source 2025'!$J:$J,'Source 2025'!$B:$B,$A531,'Source 2025'!$A:$A,"Amount (NIS)")+SUMIFS('Source 2025'!$M:$M,'Source 2025'!$B:$B,$A531,'Source 2025'!$A:$A,"Amount (NIS)")</f>
        <v>81.5</v>
      </c>
      <c r="I531" s="8" t="n">
        <f aca="false">SUMIFS('Source 2026'!$D:$D,'Source 2026'!$B:$B,$A531,'Source 2026'!$A:$A,"Amount (NIS)")+SUMIFS('Source 2026'!$E:$E,'Source 2026'!$B:$B,$A531,'Source 2026'!$A:$A,"Amount (NIS)")+SUMIFS('Source 2026'!$F:$F,'Source 2026'!$B:$B,$A531,'Source 2026'!$A:$A,"Amount (NIS)")+SUMIFS('Source 2026'!$G:$G,'Source 2026'!$B:$B,$A531,'Source 2026'!$A:$A,"Amount (NIS)")+SUMIFS('Source 2026'!$J:$J,'Source 2026'!$B:$B,$A531,'Source 2026'!$A:$A,"Amount (NIS)")+SUMIFS('Source 2026'!$M:$M,'Source 2026'!$B:$B,$A531,'Source 2026'!$A:$A,"Amount (NIS)")</f>
        <v>0</v>
      </c>
      <c r="J531" s="8" t="n">
        <f aca="false">I531*$J$5</f>
        <v>0</v>
      </c>
      <c r="K531" s="8" t="n">
        <f aca="false">J531-H531</f>
        <v>-81.5</v>
      </c>
      <c r="L531" s="9" t="n">
        <f aca="false">IF(AND(H531=0,J531=0),0,IF(H531=0,"New",(J531-H531)/H531))</f>
        <v>-1</v>
      </c>
    </row>
    <row r="532" customFormat="false" ht="15" hidden="false" customHeight="false" outlineLevel="0" collapsed="false">
      <c r="A532" s="7" t="n">
        <v>4420028</v>
      </c>
      <c r="B532" s="7" t="str">
        <f aca="false">IFERROR(INDEX('Source 2026'!$C:$C,MATCH($A532,'Source 2026'!$B:$B,0)),IFERROR(INDEX('Source 2025'!$C:$C,MATCH($A532,'Source 2025'!$B:$B,0)),""))</f>
        <v>35-37 רפידת ספורט 376 מידה</v>
      </c>
      <c r="C532" s="8" t="n">
        <f aca="false">SUMIFS('Source 2025'!$D:$D,'Source 2025'!$B:$B,$A532,'Source 2025'!$A:$A,"Quantity (units)")+SUMIFS('Source 2025'!$E:$E,'Source 2025'!$B:$B,$A532,'Source 2025'!$A:$A,"Quantity (units)")+SUMIFS('Source 2025'!$F:$F,'Source 2025'!$B:$B,$A532,'Source 2025'!$A:$A,"Quantity (units)")+SUMIFS('Source 2025'!$G:$G,'Source 2025'!$B:$B,$A532,'Source 2025'!$A:$A,"Quantity (units)")+SUMIFS('Source 2025'!$J:$J,'Source 2025'!$B:$B,$A532,'Source 2025'!$A:$A,"Quantity (units)")+SUMIFS('Source 2025'!$M:$M,'Source 2025'!$B:$B,$A532,'Source 2025'!$A:$A,"Quantity (units)")</f>
        <v>-1</v>
      </c>
      <c r="D532" s="8" t="n">
        <f aca="false">SUMIFS('Source 2026'!$D:$D,'Source 2026'!$B:$B,$A532,'Source 2026'!$A:$A,"Quantity (units)")+SUMIFS('Source 2026'!$E:$E,'Source 2026'!$B:$B,$A532,'Source 2026'!$A:$A,"Quantity (units)")+SUMIFS('Source 2026'!$F:$F,'Source 2026'!$B:$B,$A532,'Source 2026'!$A:$A,"Quantity (units)")+SUMIFS('Source 2026'!$G:$G,'Source 2026'!$B:$B,$A532,'Source 2026'!$A:$A,"Quantity (units)")+SUMIFS('Source 2026'!$J:$J,'Source 2026'!$B:$B,$A532,'Source 2026'!$A:$A,"Quantity (units)")+SUMIFS('Source 2026'!$M:$M,'Source 2026'!$B:$B,$A532,'Source 2026'!$A:$A,"Quantity (units)")</f>
        <v>1</v>
      </c>
      <c r="E532" s="8" t="n">
        <f aca="false">D532*$J$5</f>
        <v>1.37142857142857</v>
      </c>
      <c r="F532" s="8" t="n">
        <f aca="false">E532-C532</f>
        <v>2.37142857142857</v>
      </c>
      <c r="G532" s="9" t="n">
        <f aca="false">IF(AND(C532=0,E532=0),0,IF(C532=0,"New",(E532-C532)/C532))</f>
        <v>-2.37142857142857</v>
      </c>
      <c r="H532" s="8" t="n">
        <f aca="false">SUMIFS('Source 2025'!$D:$D,'Source 2025'!$B:$B,$A532,'Source 2025'!$A:$A,"Amount (NIS)")+SUMIFS('Source 2025'!$E:$E,'Source 2025'!$B:$B,$A532,'Source 2025'!$A:$A,"Amount (NIS)")+SUMIFS('Source 2025'!$F:$F,'Source 2025'!$B:$B,$A532,'Source 2025'!$A:$A,"Amount (NIS)")+SUMIFS('Source 2025'!$G:$G,'Source 2025'!$B:$B,$A532,'Source 2025'!$A:$A,"Amount (NIS)")+SUMIFS('Source 2025'!$J:$J,'Source 2025'!$B:$B,$A532,'Source 2025'!$A:$A,"Amount (NIS)")+SUMIFS('Source 2025'!$M:$M,'Source 2025'!$B:$B,$A532,'Source 2025'!$A:$A,"Amount (NIS)")</f>
        <v>-43.2</v>
      </c>
      <c r="I532" s="8" t="n">
        <f aca="false">SUMIFS('Source 2026'!$D:$D,'Source 2026'!$B:$B,$A532,'Source 2026'!$A:$A,"Amount (NIS)")+SUMIFS('Source 2026'!$E:$E,'Source 2026'!$B:$B,$A532,'Source 2026'!$A:$A,"Amount (NIS)")+SUMIFS('Source 2026'!$F:$F,'Source 2026'!$B:$B,$A532,'Source 2026'!$A:$A,"Amount (NIS)")+SUMIFS('Source 2026'!$G:$G,'Source 2026'!$B:$B,$A532,'Source 2026'!$A:$A,"Amount (NIS)")+SUMIFS('Source 2026'!$J:$J,'Source 2026'!$B:$B,$A532,'Source 2026'!$A:$A,"Amount (NIS)")+SUMIFS('Source 2026'!$M:$M,'Source 2026'!$B:$B,$A532,'Source 2026'!$A:$A,"Amount (NIS)")</f>
        <v>35.1</v>
      </c>
      <c r="J532" s="8" t="n">
        <f aca="false">I532*$J$5</f>
        <v>48.1371428571429</v>
      </c>
      <c r="K532" s="8" t="n">
        <f aca="false">J532-H532</f>
        <v>91.3371428571429</v>
      </c>
      <c r="L532" s="9" t="n">
        <f aca="false">IF(AND(H532=0,J532=0),0,IF(H532=0,"New",(J532-H532)/H532))</f>
        <v>-2.11428571428571</v>
      </c>
    </row>
    <row r="533" customFormat="false" ht="15" hidden="false" customHeight="false" outlineLevel="0" collapsed="false">
      <c r="A533" s="7" t="n">
        <v>4420026</v>
      </c>
      <c r="B533" s="7" t="str">
        <f aca="false">IFERROR(INDEX('Source 2026'!$C:$C,MATCH($A533,'Source 2026'!$B:$B,0)),IFERROR(INDEX('Source 2025'!$C:$C,MATCH($A533,'Source 2025'!$B:$B,0)),""))</f>
        <v>AC40 רצועה לפיקת הברך</v>
      </c>
      <c r="C533" s="8" t="n">
        <f aca="false">SUMIFS('Source 2025'!$D:$D,'Source 2025'!$B:$B,$A533,'Source 2025'!$A:$A,"Quantity (units)")+SUMIFS('Source 2025'!$E:$E,'Source 2025'!$B:$B,$A533,'Source 2025'!$A:$A,"Quantity (units)")+SUMIFS('Source 2025'!$F:$F,'Source 2025'!$B:$B,$A533,'Source 2025'!$A:$A,"Quantity (units)")+SUMIFS('Source 2025'!$G:$G,'Source 2025'!$B:$B,$A533,'Source 2025'!$A:$A,"Quantity (units)")+SUMIFS('Source 2025'!$J:$J,'Source 2025'!$B:$B,$A533,'Source 2025'!$A:$A,"Quantity (units)")+SUMIFS('Source 2025'!$M:$M,'Source 2025'!$B:$B,$A533,'Source 2025'!$A:$A,"Quantity (units)")</f>
        <v>4</v>
      </c>
      <c r="D533" s="8" t="n">
        <f aca="false">SUMIFS('Source 2026'!$D:$D,'Source 2026'!$B:$B,$A533,'Source 2026'!$A:$A,"Quantity (units)")+SUMIFS('Source 2026'!$E:$E,'Source 2026'!$B:$B,$A533,'Source 2026'!$A:$A,"Quantity (units)")+SUMIFS('Source 2026'!$F:$F,'Source 2026'!$B:$B,$A533,'Source 2026'!$A:$A,"Quantity (units)")+SUMIFS('Source 2026'!$G:$G,'Source 2026'!$B:$B,$A533,'Source 2026'!$A:$A,"Quantity (units)")+SUMIFS('Source 2026'!$J:$J,'Source 2026'!$B:$B,$A533,'Source 2026'!$A:$A,"Quantity (units)")+SUMIFS('Source 2026'!$M:$M,'Source 2026'!$B:$B,$A533,'Source 2026'!$A:$A,"Quantity (units)")</f>
        <v>5</v>
      </c>
      <c r="E533" s="8" t="n">
        <f aca="false">D533*$J$5</f>
        <v>6.85714285714286</v>
      </c>
      <c r="F533" s="8" t="n">
        <f aca="false">E533-C533</f>
        <v>2.85714285714286</v>
      </c>
      <c r="G533" s="9" t="n">
        <f aca="false">IF(AND(C533=0,E533=0),0,IF(C533=0,"New",(E533-C533)/C533))</f>
        <v>0.714285714285714</v>
      </c>
      <c r="H533" s="8" t="n">
        <f aca="false">SUMIFS('Source 2025'!$D:$D,'Source 2025'!$B:$B,$A533,'Source 2025'!$A:$A,"Amount (NIS)")+SUMIFS('Source 2025'!$E:$E,'Source 2025'!$B:$B,$A533,'Source 2025'!$A:$A,"Amount (NIS)")+SUMIFS('Source 2025'!$F:$F,'Source 2025'!$B:$B,$A533,'Source 2025'!$A:$A,"Amount (NIS)")+SUMIFS('Source 2025'!$G:$G,'Source 2025'!$B:$B,$A533,'Source 2025'!$A:$A,"Amount (NIS)")+SUMIFS('Source 2025'!$J:$J,'Source 2025'!$B:$B,$A533,'Source 2025'!$A:$A,"Amount (NIS)")+SUMIFS('Source 2025'!$M:$M,'Source 2025'!$B:$B,$A533,'Source 2025'!$A:$A,"Amount (NIS)")</f>
        <v>315.3</v>
      </c>
      <c r="I533" s="8" t="n">
        <f aca="false">SUMIFS('Source 2026'!$D:$D,'Source 2026'!$B:$B,$A533,'Source 2026'!$A:$A,"Amount (NIS)")+SUMIFS('Source 2026'!$E:$E,'Source 2026'!$B:$B,$A533,'Source 2026'!$A:$A,"Amount (NIS)")+SUMIFS('Source 2026'!$F:$F,'Source 2026'!$B:$B,$A533,'Source 2026'!$A:$A,"Amount (NIS)")+SUMIFS('Source 2026'!$G:$G,'Source 2026'!$B:$B,$A533,'Source 2026'!$A:$A,"Amount (NIS)")+SUMIFS('Source 2026'!$J:$J,'Source 2026'!$B:$B,$A533,'Source 2026'!$A:$A,"Amount (NIS)")+SUMIFS('Source 2026'!$M:$M,'Source 2026'!$B:$B,$A533,'Source 2026'!$A:$A,"Amount (NIS)")</f>
        <v>392.1</v>
      </c>
      <c r="J533" s="8" t="n">
        <f aca="false">I533*$J$5</f>
        <v>537.737142857143</v>
      </c>
      <c r="K533" s="8" t="n">
        <f aca="false">J533-H533</f>
        <v>222.437142857143</v>
      </c>
      <c r="L533" s="9" t="n">
        <f aca="false">IF(AND(H533=0,J533=0),0,IF(H533=0,"New",(J533-H533)/H533))</f>
        <v>0.7054777762675</v>
      </c>
    </row>
    <row r="534" customFormat="false" ht="15" hidden="false" customHeight="false" outlineLevel="0" collapsed="false">
      <c r="A534" s="7" t="n">
        <v>4403006</v>
      </c>
      <c r="B534" s="7" t="str">
        <f aca="false">IFERROR(INDEX('Source 2026'!$C:$C,MATCH($A534,'Source 2026'!$B:$B,0)),IFERROR(INDEX('Source 2025'!$C:$C,MATCH($A534,'Source 2025'!$B:$B,0)),""))</f>
        <v>390W גרב כסף לסכרתיים לבן35-38</v>
      </c>
      <c r="C534" s="8" t="n">
        <f aca="false">SUMIFS('Source 2025'!$D:$D,'Source 2025'!$B:$B,$A534,'Source 2025'!$A:$A,"Quantity (units)")+SUMIFS('Source 2025'!$E:$E,'Source 2025'!$B:$B,$A534,'Source 2025'!$A:$A,"Quantity (units)")+SUMIFS('Source 2025'!$F:$F,'Source 2025'!$B:$B,$A534,'Source 2025'!$A:$A,"Quantity (units)")+SUMIFS('Source 2025'!$G:$G,'Source 2025'!$B:$B,$A534,'Source 2025'!$A:$A,"Quantity (units)")+SUMIFS('Source 2025'!$J:$J,'Source 2025'!$B:$B,$A534,'Source 2025'!$A:$A,"Quantity (units)")+SUMIFS('Source 2025'!$M:$M,'Source 2025'!$B:$B,$A534,'Source 2025'!$A:$A,"Quantity (units)")</f>
        <v>12</v>
      </c>
      <c r="D534" s="8" t="n">
        <f aca="false">SUMIFS('Source 2026'!$D:$D,'Source 2026'!$B:$B,$A534,'Source 2026'!$A:$A,"Quantity (units)")+SUMIFS('Source 2026'!$E:$E,'Source 2026'!$B:$B,$A534,'Source 2026'!$A:$A,"Quantity (units)")+SUMIFS('Source 2026'!$F:$F,'Source 2026'!$B:$B,$A534,'Source 2026'!$A:$A,"Quantity (units)")+SUMIFS('Source 2026'!$G:$G,'Source 2026'!$B:$B,$A534,'Source 2026'!$A:$A,"Quantity (units)")+SUMIFS('Source 2026'!$J:$J,'Source 2026'!$B:$B,$A534,'Source 2026'!$A:$A,"Quantity (units)")+SUMIFS('Source 2026'!$M:$M,'Source 2026'!$B:$B,$A534,'Source 2026'!$A:$A,"Quantity (units)")</f>
        <v>12</v>
      </c>
      <c r="E534" s="8" t="n">
        <f aca="false">D534*$J$5</f>
        <v>16.4571428571429</v>
      </c>
      <c r="F534" s="8" t="n">
        <f aca="false">E534-C534</f>
        <v>4.45714285714286</v>
      </c>
      <c r="G534" s="9" t="n">
        <f aca="false">IF(AND(C534=0,E534=0),0,IF(C534=0,"New",(E534-C534)/C534))</f>
        <v>0.371428571428571</v>
      </c>
      <c r="H534" s="8" t="n">
        <f aca="false">SUMIFS('Source 2025'!$D:$D,'Source 2025'!$B:$B,$A534,'Source 2025'!$A:$A,"Amount (NIS)")+SUMIFS('Source 2025'!$E:$E,'Source 2025'!$B:$B,$A534,'Source 2025'!$A:$A,"Amount (NIS)")+SUMIFS('Source 2025'!$F:$F,'Source 2025'!$B:$B,$A534,'Source 2025'!$A:$A,"Amount (NIS)")+SUMIFS('Source 2025'!$G:$G,'Source 2025'!$B:$B,$A534,'Source 2025'!$A:$A,"Amount (NIS)")+SUMIFS('Source 2025'!$J:$J,'Source 2025'!$B:$B,$A534,'Source 2025'!$A:$A,"Amount (NIS)")+SUMIFS('Source 2025'!$M:$M,'Source 2025'!$B:$B,$A534,'Source 2025'!$A:$A,"Amount (NIS)")</f>
        <v>345</v>
      </c>
      <c r="I534" s="8" t="n">
        <f aca="false">SUMIFS('Source 2026'!$D:$D,'Source 2026'!$B:$B,$A534,'Source 2026'!$A:$A,"Amount (NIS)")+SUMIFS('Source 2026'!$E:$E,'Source 2026'!$B:$B,$A534,'Source 2026'!$A:$A,"Amount (NIS)")+SUMIFS('Source 2026'!$F:$F,'Source 2026'!$B:$B,$A534,'Source 2026'!$A:$A,"Amount (NIS)")+SUMIFS('Source 2026'!$G:$G,'Source 2026'!$B:$B,$A534,'Source 2026'!$A:$A,"Amount (NIS)")+SUMIFS('Source 2026'!$J:$J,'Source 2026'!$B:$B,$A534,'Source 2026'!$A:$A,"Amount (NIS)")+SUMIFS('Source 2026'!$M:$M,'Source 2026'!$B:$B,$A534,'Source 2026'!$A:$A,"Amount (NIS)")</f>
        <v>421.3</v>
      </c>
      <c r="J534" s="8" t="n">
        <f aca="false">I534*$J$5</f>
        <v>577.782857142857</v>
      </c>
      <c r="K534" s="8" t="n">
        <f aca="false">J534-H534</f>
        <v>232.782857142857</v>
      </c>
      <c r="L534" s="9" t="n">
        <f aca="false">IF(AND(H534=0,J534=0),0,IF(H534=0,"New",(J534-H534)/H534))</f>
        <v>0.674732919254659</v>
      </c>
    </row>
    <row r="535" customFormat="false" ht="15" hidden="false" customHeight="false" outlineLevel="0" collapsed="false">
      <c r="A535" s="7" t="n">
        <v>4413482</v>
      </c>
      <c r="B535" s="7" t="str">
        <f aca="false">IFERROR(INDEX('Source 2026'!$C:$C,MATCH($A535,'Source 2026'!$B:$B,0)),IFERROR(INDEX('Source 2025'!$C:$C,MATCH($A535,'Source 2025'!$B:$B,0)),""))</f>
        <v>310Lמדרס 3/4לכאבי דורבן וספורט</v>
      </c>
      <c r="C535" s="8" t="n">
        <f aca="false">SUMIFS('Source 2025'!$D:$D,'Source 2025'!$B:$B,$A535,'Source 2025'!$A:$A,"Quantity (units)")+SUMIFS('Source 2025'!$E:$E,'Source 2025'!$B:$B,$A535,'Source 2025'!$A:$A,"Quantity (units)")+SUMIFS('Source 2025'!$F:$F,'Source 2025'!$B:$B,$A535,'Source 2025'!$A:$A,"Quantity (units)")+SUMIFS('Source 2025'!$G:$G,'Source 2025'!$B:$B,$A535,'Source 2025'!$A:$A,"Quantity (units)")+SUMIFS('Source 2025'!$J:$J,'Source 2025'!$B:$B,$A535,'Source 2025'!$A:$A,"Quantity (units)")+SUMIFS('Source 2025'!$M:$M,'Source 2025'!$B:$B,$A535,'Source 2025'!$A:$A,"Quantity (units)")</f>
        <v>-1</v>
      </c>
      <c r="D535" s="8" t="n">
        <f aca="false">SUMIFS('Source 2026'!$D:$D,'Source 2026'!$B:$B,$A535,'Source 2026'!$A:$A,"Quantity (units)")+SUMIFS('Source 2026'!$E:$E,'Source 2026'!$B:$B,$A535,'Source 2026'!$A:$A,"Quantity (units)")+SUMIFS('Source 2026'!$F:$F,'Source 2026'!$B:$B,$A535,'Source 2026'!$A:$A,"Quantity (units)")+SUMIFS('Source 2026'!$G:$G,'Source 2026'!$B:$B,$A535,'Source 2026'!$A:$A,"Quantity (units)")+SUMIFS('Source 2026'!$J:$J,'Source 2026'!$B:$B,$A535,'Source 2026'!$A:$A,"Quantity (units)")+SUMIFS('Source 2026'!$M:$M,'Source 2026'!$B:$B,$A535,'Source 2026'!$A:$A,"Quantity (units)")</f>
        <v>0</v>
      </c>
      <c r="E535" s="8" t="n">
        <f aca="false">D535*$J$5</f>
        <v>0</v>
      </c>
      <c r="F535" s="8" t="n">
        <f aca="false">E535-C535</f>
        <v>1</v>
      </c>
      <c r="G535" s="9" t="n">
        <f aca="false">IF(AND(C535=0,E535=0),0,IF(C535=0,"New",(E535-C535)/C535))</f>
        <v>-1</v>
      </c>
      <c r="H535" s="8" t="n">
        <f aca="false">SUMIFS('Source 2025'!$D:$D,'Source 2025'!$B:$B,$A535,'Source 2025'!$A:$A,"Amount (NIS)")+SUMIFS('Source 2025'!$E:$E,'Source 2025'!$B:$B,$A535,'Source 2025'!$A:$A,"Amount (NIS)")+SUMIFS('Source 2025'!$F:$F,'Source 2025'!$B:$B,$A535,'Source 2025'!$A:$A,"Amount (NIS)")+SUMIFS('Source 2025'!$G:$G,'Source 2025'!$B:$B,$A535,'Source 2025'!$A:$A,"Amount (NIS)")+SUMIFS('Source 2025'!$J:$J,'Source 2025'!$B:$B,$A535,'Source 2025'!$A:$A,"Amount (NIS)")+SUMIFS('Source 2025'!$M:$M,'Source 2025'!$B:$B,$A535,'Source 2025'!$A:$A,"Amount (NIS)")</f>
        <v>-75.6</v>
      </c>
      <c r="I535" s="8" t="n">
        <f aca="false">SUMIFS('Source 2026'!$D:$D,'Source 2026'!$B:$B,$A535,'Source 2026'!$A:$A,"Amount (NIS)")+SUMIFS('Source 2026'!$E:$E,'Source 2026'!$B:$B,$A535,'Source 2026'!$A:$A,"Amount (NIS)")+SUMIFS('Source 2026'!$F:$F,'Source 2026'!$B:$B,$A535,'Source 2026'!$A:$A,"Amount (NIS)")+SUMIFS('Source 2026'!$G:$G,'Source 2026'!$B:$B,$A535,'Source 2026'!$A:$A,"Amount (NIS)")+SUMIFS('Source 2026'!$J:$J,'Source 2026'!$B:$B,$A535,'Source 2026'!$A:$A,"Amount (NIS)")+SUMIFS('Source 2026'!$M:$M,'Source 2026'!$B:$B,$A535,'Source 2026'!$A:$A,"Amount (NIS)")</f>
        <v>0</v>
      </c>
      <c r="J535" s="8" t="n">
        <f aca="false">I535*$J$5</f>
        <v>0</v>
      </c>
      <c r="K535" s="8" t="n">
        <f aca="false">J535-H535</f>
        <v>75.6</v>
      </c>
      <c r="L535" s="9" t="n">
        <f aca="false">IF(AND(H535=0,J535=0),0,IF(H535=0,"New",(J535-H535)/H535))</f>
        <v>-1</v>
      </c>
    </row>
    <row r="536" customFormat="false" ht="15" hidden="false" customHeight="false" outlineLevel="0" collapsed="false">
      <c r="A536" s="7" t="n">
        <v>4413399</v>
      </c>
      <c r="B536" s="7" t="str">
        <f aca="false">IFERROR(INDEX('Source 2026'!$C:$C,MATCH($A536,'Source 2026'!$B:$B,0)),IFERROR(INDEX('Source 2025'!$C:$C,MATCH($A536,'Source 2025'!$B:$B,0)),""))</f>
        <v>21 XS מגן יד</v>
      </c>
      <c r="C536" s="8" t="n">
        <f aca="false">SUMIFS('Source 2025'!$D:$D,'Source 2025'!$B:$B,$A536,'Source 2025'!$A:$A,"Quantity (units)")+SUMIFS('Source 2025'!$E:$E,'Source 2025'!$B:$B,$A536,'Source 2025'!$A:$A,"Quantity (units)")+SUMIFS('Source 2025'!$F:$F,'Source 2025'!$B:$B,$A536,'Source 2025'!$A:$A,"Quantity (units)")+SUMIFS('Source 2025'!$G:$G,'Source 2025'!$B:$B,$A536,'Source 2025'!$A:$A,"Quantity (units)")+SUMIFS('Source 2025'!$J:$J,'Source 2025'!$B:$B,$A536,'Source 2025'!$A:$A,"Quantity (units)")+SUMIFS('Source 2025'!$M:$M,'Source 2025'!$B:$B,$A536,'Source 2025'!$A:$A,"Quantity (units)")</f>
        <v>-1</v>
      </c>
      <c r="D536" s="8" t="n">
        <f aca="false">SUMIFS('Source 2026'!$D:$D,'Source 2026'!$B:$B,$A536,'Source 2026'!$A:$A,"Quantity (units)")+SUMIFS('Source 2026'!$E:$E,'Source 2026'!$B:$B,$A536,'Source 2026'!$A:$A,"Quantity (units)")+SUMIFS('Source 2026'!$F:$F,'Source 2026'!$B:$B,$A536,'Source 2026'!$A:$A,"Quantity (units)")+SUMIFS('Source 2026'!$G:$G,'Source 2026'!$B:$B,$A536,'Source 2026'!$A:$A,"Quantity (units)")+SUMIFS('Source 2026'!$J:$J,'Source 2026'!$B:$B,$A536,'Source 2026'!$A:$A,"Quantity (units)")+SUMIFS('Source 2026'!$M:$M,'Source 2026'!$B:$B,$A536,'Source 2026'!$A:$A,"Quantity (units)")</f>
        <v>1</v>
      </c>
      <c r="E536" s="8" t="n">
        <f aca="false">D536*$J$5</f>
        <v>1.37142857142857</v>
      </c>
      <c r="F536" s="8" t="n">
        <f aca="false">E536-C536</f>
        <v>2.37142857142857</v>
      </c>
      <c r="G536" s="9" t="n">
        <f aca="false">IF(AND(C536=0,E536=0),0,IF(C536=0,"New",(E536-C536)/C536))</f>
        <v>-2.37142857142857</v>
      </c>
      <c r="H536" s="8" t="n">
        <f aca="false">SUMIFS('Source 2025'!$D:$D,'Source 2025'!$B:$B,$A536,'Source 2025'!$A:$A,"Amount (NIS)")+SUMIFS('Source 2025'!$E:$E,'Source 2025'!$B:$B,$A536,'Source 2025'!$A:$A,"Amount (NIS)")+SUMIFS('Source 2025'!$F:$F,'Source 2025'!$B:$B,$A536,'Source 2025'!$A:$A,"Amount (NIS)")+SUMIFS('Source 2025'!$G:$G,'Source 2025'!$B:$B,$A536,'Source 2025'!$A:$A,"Amount (NIS)")+SUMIFS('Source 2025'!$J:$J,'Source 2025'!$B:$B,$A536,'Source 2025'!$A:$A,"Amount (NIS)")+SUMIFS('Source 2025'!$M:$M,'Source 2025'!$B:$B,$A536,'Source 2025'!$A:$A,"Amount (NIS)")</f>
        <v>-37.8</v>
      </c>
      <c r="I536" s="8" t="n">
        <f aca="false">SUMIFS('Source 2026'!$D:$D,'Source 2026'!$B:$B,$A536,'Source 2026'!$A:$A,"Amount (NIS)")+SUMIFS('Source 2026'!$E:$E,'Source 2026'!$B:$B,$A536,'Source 2026'!$A:$A,"Amount (NIS)")+SUMIFS('Source 2026'!$F:$F,'Source 2026'!$B:$B,$A536,'Source 2026'!$A:$A,"Amount (NIS)")+SUMIFS('Source 2026'!$G:$G,'Source 2026'!$B:$B,$A536,'Source 2026'!$A:$A,"Amount (NIS)")+SUMIFS('Source 2026'!$J:$J,'Source 2026'!$B:$B,$A536,'Source 2026'!$A:$A,"Amount (NIS)")+SUMIFS('Source 2026'!$M:$M,'Source 2026'!$B:$B,$A536,'Source 2026'!$A:$A,"Amount (NIS)")</f>
        <v>36.5</v>
      </c>
      <c r="J536" s="8" t="n">
        <f aca="false">I536*$J$5</f>
        <v>50.0571428571429</v>
      </c>
      <c r="K536" s="8" t="n">
        <f aca="false">J536-H536</f>
        <v>87.8571428571429</v>
      </c>
      <c r="L536" s="9" t="n">
        <f aca="false">IF(AND(H536=0,J536=0),0,IF(H536=0,"New",(J536-H536)/H536))</f>
        <v>-2.32426303854875</v>
      </c>
    </row>
    <row r="537" customFormat="false" ht="15" hidden="false" customHeight="false" outlineLevel="0" collapsed="false">
      <c r="A537" s="7" t="n">
        <v>4413070</v>
      </c>
      <c r="B537" s="7" t="str">
        <f aca="false">IFERROR(INDEX('Source 2026'!$C:$C,MATCH($A537,'Source 2026'!$B:$B,0)),IFERROR(INDEX('Source 2025'!$C:$C,MATCH($A537,'Source 2025'!$B:$B,0)),""))</f>
        <v>388R סד לילה לבוהן</v>
      </c>
      <c r="C537" s="8" t="n">
        <f aca="false">SUMIFS('Source 2025'!$D:$D,'Source 2025'!$B:$B,$A537,'Source 2025'!$A:$A,"Quantity (units)")+SUMIFS('Source 2025'!$E:$E,'Source 2025'!$B:$B,$A537,'Source 2025'!$A:$A,"Quantity (units)")+SUMIFS('Source 2025'!$F:$F,'Source 2025'!$B:$B,$A537,'Source 2025'!$A:$A,"Quantity (units)")+SUMIFS('Source 2025'!$G:$G,'Source 2025'!$B:$B,$A537,'Source 2025'!$A:$A,"Quantity (units)")+SUMIFS('Source 2025'!$J:$J,'Source 2025'!$B:$B,$A537,'Source 2025'!$A:$A,"Quantity (units)")+SUMIFS('Source 2025'!$M:$M,'Source 2025'!$B:$B,$A537,'Source 2025'!$A:$A,"Quantity (units)")</f>
        <v>-1</v>
      </c>
      <c r="D537" s="8" t="n">
        <f aca="false">SUMIFS('Source 2026'!$D:$D,'Source 2026'!$B:$B,$A537,'Source 2026'!$A:$A,"Quantity (units)")+SUMIFS('Source 2026'!$E:$E,'Source 2026'!$B:$B,$A537,'Source 2026'!$A:$A,"Quantity (units)")+SUMIFS('Source 2026'!$F:$F,'Source 2026'!$B:$B,$A537,'Source 2026'!$A:$A,"Quantity (units)")+SUMIFS('Source 2026'!$G:$G,'Source 2026'!$B:$B,$A537,'Source 2026'!$A:$A,"Quantity (units)")+SUMIFS('Source 2026'!$J:$J,'Source 2026'!$B:$B,$A537,'Source 2026'!$A:$A,"Quantity (units)")+SUMIFS('Source 2026'!$M:$M,'Source 2026'!$B:$B,$A537,'Source 2026'!$A:$A,"Quantity (units)")</f>
        <v>0</v>
      </c>
      <c r="E537" s="8" t="n">
        <f aca="false">D537*$J$5</f>
        <v>0</v>
      </c>
      <c r="F537" s="8" t="n">
        <f aca="false">E537-C537</f>
        <v>1</v>
      </c>
      <c r="G537" s="9" t="n">
        <f aca="false">IF(AND(C537=0,E537=0),0,IF(C537=0,"New",(E537-C537)/C537))</f>
        <v>-1</v>
      </c>
      <c r="H537" s="8" t="n">
        <f aca="false">SUMIFS('Source 2025'!$D:$D,'Source 2025'!$B:$B,$A537,'Source 2025'!$A:$A,"Amount (NIS)")+SUMIFS('Source 2025'!$E:$E,'Source 2025'!$B:$B,$A537,'Source 2025'!$A:$A,"Amount (NIS)")+SUMIFS('Source 2025'!$F:$F,'Source 2025'!$B:$B,$A537,'Source 2025'!$A:$A,"Amount (NIS)")+SUMIFS('Source 2025'!$G:$G,'Source 2025'!$B:$B,$A537,'Source 2025'!$A:$A,"Amount (NIS)")+SUMIFS('Source 2025'!$J:$J,'Source 2025'!$B:$B,$A537,'Source 2025'!$A:$A,"Amount (NIS)")+SUMIFS('Source 2025'!$M:$M,'Source 2025'!$B:$B,$A537,'Source 2025'!$A:$A,"Amount (NIS)")</f>
        <v>-74</v>
      </c>
      <c r="I537" s="8" t="n">
        <f aca="false">SUMIFS('Source 2026'!$D:$D,'Source 2026'!$B:$B,$A537,'Source 2026'!$A:$A,"Amount (NIS)")+SUMIFS('Source 2026'!$E:$E,'Source 2026'!$B:$B,$A537,'Source 2026'!$A:$A,"Amount (NIS)")+SUMIFS('Source 2026'!$F:$F,'Source 2026'!$B:$B,$A537,'Source 2026'!$A:$A,"Amount (NIS)")+SUMIFS('Source 2026'!$G:$G,'Source 2026'!$B:$B,$A537,'Source 2026'!$A:$A,"Amount (NIS)")+SUMIFS('Source 2026'!$J:$J,'Source 2026'!$B:$B,$A537,'Source 2026'!$A:$A,"Amount (NIS)")+SUMIFS('Source 2026'!$M:$M,'Source 2026'!$B:$B,$A537,'Source 2026'!$A:$A,"Amount (NIS)")</f>
        <v>0</v>
      </c>
      <c r="J537" s="8" t="n">
        <f aca="false">I537*$J$5</f>
        <v>0</v>
      </c>
      <c r="K537" s="8" t="n">
        <f aca="false">J537-H537</f>
        <v>74</v>
      </c>
      <c r="L537" s="9" t="n">
        <f aca="false">IF(AND(H537=0,J537=0),0,IF(H537=0,"New",(J537-H537)/H537))</f>
        <v>-1</v>
      </c>
    </row>
    <row r="538" customFormat="false" ht="15" hidden="false" customHeight="false" outlineLevel="0" collapsed="false">
      <c r="A538" s="7" t="n">
        <v>4413523</v>
      </c>
      <c r="B538" s="7" t="str">
        <f aca="false">IFERROR(INDEX('Source 2026'!$C:$C,MATCH($A538,'Source 2026'!$B:$B,0)),IFERROR(INDEX('Source 2025'!$C:$C,MATCH($A538,'Source 2025'!$B:$B,0)),""))</f>
        <v>35-38 מדרסי אפיק ג'ל נוחות</v>
      </c>
      <c r="C538" s="8" t="n">
        <f aca="false">SUMIFS('Source 2025'!$D:$D,'Source 2025'!$B:$B,$A538,'Source 2025'!$A:$A,"Quantity (units)")+SUMIFS('Source 2025'!$E:$E,'Source 2025'!$B:$B,$A538,'Source 2025'!$A:$A,"Quantity (units)")+SUMIFS('Source 2025'!$F:$F,'Source 2025'!$B:$B,$A538,'Source 2025'!$A:$A,"Quantity (units)")+SUMIFS('Source 2025'!$G:$G,'Source 2025'!$B:$B,$A538,'Source 2025'!$A:$A,"Quantity (units)")+SUMIFS('Source 2025'!$J:$J,'Source 2025'!$B:$B,$A538,'Source 2025'!$A:$A,"Quantity (units)")+SUMIFS('Source 2025'!$M:$M,'Source 2025'!$B:$B,$A538,'Source 2025'!$A:$A,"Quantity (units)")</f>
        <v>7</v>
      </c>
      <c r="D538" s="8" t="n">
        <f aca="false">SUMIFS('Source 2026'!$D:$D,'Source 2026'!$B:$B,$A538,'Source 2026'!$A:$A,"Quantity (units)")+SUMIFS('Source 2026'!$E:$E,'Source 2026'!$B:$B,$A538,'Source 2026'!$A:$A,"Quantity (units)")+SUMIFS('Source 2026'!$F:$F,'Source 2026'!$B:$B,$A538,'Source 2026'!$A:$A,"Quantity (units)")+SUMIFS('Source 2026'!$G:$G,'Source 2026'!$B:$B,$A538,'Source 2026'!$A:$A,"Quantity (units)")+SUMIFS('Source 2026'!$J:$J,'Source 2026'!$B:$B,$A538,'Source 2026'!$A:$A,"Quantity (units)")+SUMIFS('Source 2026'!$M:$M,'Source 2026'!$B:$B,$A538,'Source 2026'!$A:$A,"Quantity (units)")</f>
        <v>8</v>
      </c>
      <c r="E538" s="8" t="n">
        <f aca="false">D538*$J$5</f>
        <v>10.9714285714286</v>
      </c>
      <c r="F538" s="8" t="n">
        <f aca="false">E538-C538</f>
        <v>3.97142857142857</v>
      </c>
      <c r="G538" s="9" t="n">
        <f aca="false">IF(AND(C538=0,E538=0),0,IF(C538=0,"New",(E538-C538)/C538))</f>
        <v>0.56734693877551</v>
      </c>
      <c r="H538" s="8" t="n">
        <f aca="false">SUMIFS('Source 2025'!$D:$D,'Source 2025'!$B:$B,$A538,'Source 2025'!$A:$A,"Amount (NIS)")+SUMIFS('Source 2025'!$E:$E,'Source 2025'!$B:$B,$A538,'Source 2025'!$A:$A,"Amount (NIS)")+SUMIFS('Source 2025'!$F:$F,'Source 2025'!$B:$B,$A538,'Source 2025'!$A:$A,"Amount (NIS)")+SUMIFS('Source 2025'!$G:$G,'Source 2025'!$B:$B,$A538,'Source 2025'!$A:$A,"Amount (NIS)")+SUMIFS('Source 2025'!$J:$J,'Source 2025'!$B:$B,$A538,'Source 2025'!$A:$A,"Amount (NIS)")+SUMIFS('Source 2025'!$M:$M,'Source 2025'!$B:$B,$A538,'Source 2025'!$A:$A,"Amount (NIS)")</f>
        <v>700.1</v>
      </c>
      <c r="I538" s="8" t="n">
        <f aca="false">SUMIFS('Source 2026'!$D:$D,'Source 2026'!$B:$B,$A538,'Source 2026'!$A:$A,"Amount (NIS)")+SUMIFS('Source 2026'!$E:$E,'Source 2026'!$B:$B,$A538,'Source 2026'!$A:$A,"Amount (NIS)")+SUMIFS('Source 2026'!$F:$F,'Source 2026'!$B:$B,$A538,'Source 2026'!$A:$A,"Amount (NIS)")+SUMIFS('Source 2026'!$G:$G,'Source 2026'!$B:$B,$A538,'Source 2026'!$A:$A,"Amount (NIS)")+SUMIFS('Source 2026'!$J:$J,'Source 2026'!$B:$B,$A538,'Source 2026'!$A:$A,"Amount (NIS)")+SUMIFS('Source 2026'!$M:$M,'Source 2026'!$B:$B,$A538,'Source 2026'!$A:$A,"Amount (NIS)")</f>
        <v>773</v>
      </c>
      <c r="J538" s="8" t="n">
        <f aca="false">I538*$J$5</f>
        <v>1060.11428571429</v>
      </c>
      <c r="K538" s="8" t="n">
        <f aca="false">J538-H538</f>
        <v>360.014285714286</v>
      </c>
      <c r="L538" s="9" t="n">
        <f aca="false">IF(AND(H538=0,J538=0),0,IF(H538=0,"New",(J538-H538)/H538))</f>
        <v>0.514232660640317</v>
      </c>
    </row>
    <row r="539" customFormat="false" ht="15" hidden="false" customHeight="false" outlineLevel="0" collapsed="false">
      <c r="A539" s="7" t="n">
        <v>4413019</v>
      </c>
      <c r="B539" s="7" t="str">
        <f aca="false">IFERROR(INDEX('Source 2026'!$C:$C,MATCH($A539,'Source 2026'!$B:$B,0)),IFERROR(INDEX('Source 2025'!$C:$C,MATCH($A539,'Source 2025'!$B:$B,0)),""))</f>
        <v>303 39-40 מדרסי סיליק.לח.סכרת</v>
      </c>
      <c r="C539" s="8" t="n">
        <f aca="false">SUMIFS('Source 2025'!$D:$D,'Source 2025'!$B:$B,$A539,'Source 2025'!$A:$A,"Quantity (units)")+SUMIFS('Source 2025'!$E:$E,'Source 2025'!$B:$B,$A539,'Source 2025'!$A:$A,"Quantity (units)")+SUMIFS('Source 2025'!$F:$F,'Source 2025'!$B:$B,$A539,'Source 2025'!$A:$A,"Quantity (units)")+SUMIFS('Source 2025'!$G:$G,'Source 2025'!$B:$B,$A539,'Source 2025'!$A:$A,"Quantity (units)")+SUMIFS('Source 2025'!$J:$J,'Source 2025'!$B:$B,$A539,'Source 2025'!$A:$A,"Quantity (units)")+SUMIFS('Source 2025'!$M:$M,'Source 2025'!$B:$B,$A539,'Source 2025'!$A:$A,"Quantity (units)")</f>
        <v>0</v>
      </c>
      <c r="D539" s="8" t="n">
        <f aca="false">SUMIFS('Source 2026'!$D:$D,'Source 2026'!$B:$B,$A539,'Source 2026'!$A:$A,"Quantity (units)")+SUMIFS('Source 2026'!$E:$E,'Source 2026'!$B:$B,$A539,'Source 2026'!$A:$A,"Quantity (units)")+SUMIFS('Source 2026'!$F:$F,'Source 2026'!$B:$B,$A539,'Source 2026'!$A:$A,"Quantity (units)")+SUMIFS('Source 2026'!$G:$G,'Source 2026'!$B:$B,$A539,'Source 2026'!$A:$A,"Quantity (units)")+SUMIFS('Source 2026'!$J:$J,'Source 2026'!$B:$B,$A539,'Source 2026'!$A:$A,"Quantity (units)")+SUMIFS('Source 2026'!$M:$M,'Source 2026'!$B:$B,$A539,'Source 2026'!$A:$A,"Quantity (units)")</f>
        <v>-1</v>
      </c>
      <c r="E539" s="8" t="n">
        <f aca="false">D539*$J$5</f>
        <v>-1.37142857142857</v>
      </c>
      <c r="F539" s="8" t="n">
        <f aca="false">E539-C539</f>
        <v>-1.37142857142857</v>
      </c>
      <c r="G539" s="9" t="str">
        <f aca="false">IF(AND(C539=0,E539=0),0,IF(C539=0,"New",(E539-C539)/C539))</f>
        <v>New</v>
      </c>
      <c r="H539" s="8" t="n">
        <f aca="false">SUMIFS('Source 2025'!$D:$D,'Source 2025'!$B:$B,$A539,'Source 2025'!$A:$A,"Amount (NIS)")+SUMIFS('Source 2025'!$E:$E,'Source 2025'!$B:$B,$A539,'Source 2025'!$A:$A,"Amount (NIS)")+SUMIFS('Source 2025'!$F:$F,'Source 2025'!$B:$B,$A539,'Source 2025'!$A:$A,"Amount (NIS)")+SUMIFS('Source 2025'!$G:$G,'Source 2025'!$B:$B,$A539,'Source 2025'!$A:$A,"Amount (NIS)")+SUMIFS('Source 2025'!$J:$J,'Source 2025'!$B:$B,$A539,'Source 2025'!$A:$A,"Amount (NIS)")+SUMIFS('Source 2025'!$M:$M,'Source 2025'!$B:$B,$A539,'Source 2025'!$A:$A,"Amount (NIS)")</f>
        <v>0</v>
      </c>
      <c r="I539" s="8" t="n">
        <f aca="false">SUMIFS('Source 2026'!$D:$D,'Source 2026'!$B:$B,$A539,'Source 2026'!$A:$A,"Amount (NIS)")+SUMIFS('Source 2026'!$E:$E,'Source 2026'!$B:$B,$A539,'Source 2026'!$A:$A,"Amount (NIS)")+SUMIFS('Source 2026'!$F:$F,'Source 2026'!$B:$B,$A539,'Source 2026'!$A:$A,"Amount (NIS)")+SUMIFS('Source 2026'!$G:$G,'Source 2026'!$B:$B,$A539,'Source 2026'!$A:$A,"Amount (NIS)")+SUMIFS('Source 2026'!$J:$J,'Source 2026'!$B:$B,$A539,'Source 2026'!$A:$A,"Amount (NIS)")+SUMIFS('Source 2026'!$M:$M,'Source 2026'!$B:$B,$A539,'Source 2026'!$A:$A,"Amount (NIS)")</f>
        <v>-71.1</v>
      </c>
      <c r="J539" s="8" t="n">
        <f aca="false">I539*$J$5</f>
        <v>-97.5085714285714</v>
      </c>
      <c r="K539" s="8" t="n">
        <f aca="false">J539-H539</f>
        <v>-97.5085714285714</v>
      </c>
      <c r="L539" s="9" t="str">
        <f aca="false">IF(AND(H539=0,J539=0),0,IF(H539=0,"New",(J539-H539)/H539))</f>
        <v>New</v>
      </c>
    </row>
    <row r="540" customFormat="false" ht="15" hidden="false" customHeight="false" outlineLevel="0" collapsed="false">
      <c r="A540" s="7" t="n">
        <v>4415070</v>
      </c>
      <c r="B540" s="7" t="str">
        <f aca="false">IFERROR(INDEX('Source 2026'!$C:$C,MATCH($A540,'Source 2026'!$B:$B,0)),IFERROR(INDEX('Source 2025'!$C:$C,MATCH($A540,'Source 2025'!$B:$B,0)),""))</f>
        <v>T28C M סד לאגודל כפפה</v>
      </c>
      <c r="C540" s="8" t="n">
        <f aca="false">SUMIFS('Source 2025'!$D:$D,'Source 2025'!$B:$B,$A540,'Source 2025'!$A:$A,"Quantity (units)")+SUMIFS('Source 2025'!$E:$E,'Source 2025'!$B:$B,$A540,'Source 2025'!$A:$A,"Quantity (units)")+SUMIFS('Source 2025'!$F:$F,'Source 2025'!$B:$B,$A540,'Source 2025'!$A:$A,"Quantity (units)")+SUMIFS('Source 2025'!$G:$G,'Source 2025'!$B:$B,$A540,'Source 2025'!$A:$A,"Quantity (units)")+SUMIFS('Source 2025'!$J:$J,'Source 2025'!$B:$B,$A540,'Source 2025'!$A:$A,"Quantity (units)")+SUMIFS('Source 2025'!$M:$M,'Source 2025'!$B:$B,$A540,'Source 2025'!$A:$A,"Quantity (units)")</f>
        <v>1</v>
      </c>
      <c r="D540" s="8" t="n">
        <f aca="false">SUMIFS('Source 2026'!$D:$D,'Source 2026'!$B:$B,$A540,'Source 2026'!$A:$A,"Quantity (units)")+SUMIFS('Source 2026'!$E:$E,'Source 2026'!$B:$B,$A540,'Source 2026'!$A:$A,"Quantity (units)")+SUMIFS('Source 2026'!$F:$F,'Source 2026'!$B:$B,$A540,'Source 2026'!$A:$A,"Quantity (units)")+SUMIFS('Source 2026'!$G:$G,'Source 2026'!$B:$B,$A540,'Source 2026'!$A:$A,"Quantity (units)")+SUMIFS('Source 2026'!$J:$J,'Source 2026'!$B:$B,$A540,'Source 2026'!$A:$A,"Quantity (units)")+SUMIFS('Source 2026'!$M:$M,'Source 2026'!$B:$B,$A540,'Source 2026'!$A:$A,"Quantity (units)")</f>
        <v>0</v>
      </c>
      <c r="E540" s="8" t="n">
        <f aca="false">D540*$J$5</f>
        <v>0</v>
      </c>
      <c r="F540" s="8" t="n">
        <f aca="false">E540-C540</f>
        <v>-1</v>
      </c>
      <c r="G540" s="9" t="n">
        <f aca="false">IF(AND(C540=0,E540=0),0,IF(C540=0,"New",(E540-C540)/C540))</f>
        <v>-1</v>
      </c>
      <c r="H540" s="8" t="n">
        <f aca="false">SUMIFS('Source 2025'!$D:$D,'Source 2025'!$B:$B,$A540,'Source 2025'!$A:$A,"Amount (NIS)")+SUMIFS('Source 2025'!$E:$E,'Source 2025'!$B:$B,$A540,'Source 2025'!$A:$A,"Amount (NIS)")+SUMIFS('Source 2025'!$F:$F,'Source 2025'!$B:$B,$A540,'Source 2025'!$A:$A,"Amount (NIS)")+SUMIFS('Source 2025'!$G:$G,'Source 2025'!$B:$B,$A540,'Source 2025'!$A:$A,"Amount (NIS)")+SUMIFS('Source 2025'!$J:$J,'Source 2025'!$B:$B,$A540,'Source 2025'!$A:$A,"Amount (NIS)")+SUMIFS('Source 2025'!$M:$M,'Source 2025'!$B:$B,$A540,'Source 2025'!$A:$A,"Amount (NIS)")</f>
        <v>66.1</v>
      </c>
      <c r="I540" s="8" t="n">
        <f aca="false">SUMIFS('Source 2026'!$D:$D,'Source 2026'!$B:$B,$A540,'Source 2026'!$A:$A,"Amount (NIS)")+SUMIFS('Source 2026'!$E:$E,'Source 2026'!$B:$B,$A540,'Source 2026'!$A:$A,"Amount (NIS)")+SUMIFS('Source 2026'!$F:$F,'Source 2026'!$B:$B,$A540,'Source 2026'!$A:$A,"Amount (NIS)")+SUMIFS('Source 2026'!$G:$G,'Source 2026'!$B:$B,$A540,'Source 2026'!$A:$A,"Amount (NIS)")+SUMIFS('Source 2026'!$J:$J,'Source 2026'!$B:$B,$A540,'Source 2026'!$A:$A,"Amount (NIS)")+SUMIFS('Source 2026'!$M:$M,'Source 2026'!$B:$B,$A540,'Source 2026'!$A:$A,"Amount (NIS)")</f>
        <v>0</v>
      </c>
      <c r="J540" s="8" t="n">
        <f aca="false">I540*$J$5</f>
        <v>0</v>
      </c>
      <c r="K540" s="8" t="n">
        <f aca="false">J540-H540</f>
        <v>-66.1</v>
      </c>
      <c r="L540" s="9" t="n">
        <f aca="false">IF(AND(H540=0,J540=0),0,IF(H540=0,"New",(J540-H540)/H540))</f>
        <v>-1</v>
      </c>
    </row>
    <row r="541" customFormat="false" ht="15" hidden="false" customHeight="false" outlineLevel="0" collapsed="false">
      <c r="A541" s="7" t="n">
        <v>4408050</v>
      </c>
      <c r="B541" s="7" t="str">
        <f aca="false">IFERROR(INDEX('Source 2026'!$C:$C,MATCH($A541,'Source 2026'!$B:$B,0)),IFERROR(INDEX('Source 2025'!$C:$C,MATCH($A541,'Source 2025'!$B:$B,0)),""))</f>
        <v>20 XXL חבק יד מתכוון עם צמדן</v>
      </c>
      <c r="C541" s="8" t="n">
        <f aca="false">SUMIFS('Source 2025'!$D:$D,'Source 2025'!$B:$B,$A541,'Source 2025'!$A:$A,"Quantity (units)")+SUMIFS('Source 2025'!$E:$E,'Source 2025'!$B:$B,$A541,'Source 2025'!$A:$A,"Quantity (units)")+SUMIFS('Source 2025'!$F:$F,'Source 2025'!$B:$B,$A541,'Source 2025'!$A:$A,"Quantity (units)")+SUMIFS('Source 2025'!$G:$G,'Source 2025'!$B:$B,$A541,'Source 2025'!$A:$A,"Quantity (units)")+SUMIFS('Source 2025'!$J:$J,'Source 2025'!$B:$B,$A541,'Source 2025'!$A:$A,"Quantity (units)")+SUMIFS('Source 2025'!$M:$M,'Source 2025'!$B:$B,$A541,'Source 2025'!$A:$A,"Quantity (units)")</f>
        <v>4</v>
      </c>
      <c r="D541" s="8" t="n">
        <f aca="false">SUMIFS('Source 2026'!$D:$D,'Source 2026'!$B:$B,$A541,'Source 2026'!$A:$A,"Quantity (units)")+SUMIFS('Source 2026'!$E:$E,'Source 2026'!$B:$B,$A541,'Source 2026'!$A:$A,"Quantity (units)")+SUMIFS('Source 2026'!$F:$F,'Source 2026'!$B:$B,$A541,'Source 2026'!$A:$A,"Quantity (units)")+SUMIFS('Source 2026'!$G:$G,'Source 2026'!$B:$B,$A541,'Source 2026'!$A:$A,"Quantity (units)")+SUMIFS('Source 2026'!$J:$J,'Source 2026'!$B:$B,$A541,'Source 2026'!$A:$A,"Quantity (units)")+SUMIFS('Source 2026'!$M:$M,'Source 2026'!$B:$B,$A541,'Source 2026'!$A:$A,"Quantity (units)")</f>
        <v>2</v>
      </c>
      <c r="E541" s="8" t="n">
        <f aca="false">D541*$J$5</f>
        <v>2.74285714285714</v>
      </c>
      <c r="F541" s="8" t="n">
        <f aca="false">E541-C541</f>
        <v>-1.25714285714286</v>
      </c>
      <c r="G541" s="9" t="n">
        <f aca="false">IF(AND(C541=0,E541=0),0,IF(C541=0,"New",(E541-C541)/C541))</f>
        <v>-0.314285714285714</v>
      </c>
      <c r="H541" s="8" t="n">
        <f aca="false">SUMIFS('Source 2025'!$D:$D,'Source 2025'!$B:$B,$A541,'Source 2025'!$A:$A,"Amount (NIS)")+SUMIFS('Source 2025'!$E:$E,'Source 2025'!$B:$B,$A541,'Source 2025'!$A:$A,"Amount (NIS)")+SUMIFS('Source 2025'!$F:$F,'Source 2025'!$B:$B,$A541,'Source 2025'!$A:$A,"Amount (NIS)")+SUMIFS('Source 2025'!$G:$G,'Source 2025'!$B:$B,$A541,'Source 2025'!$A:$A,"Amount (NIS)")+SUMIFS('Source 2025'!$J:$J,'Source 2025'!$B:$B,$A541,'Source 2025'!$A:$A,"Amount (NIS)")+SUMIFS('Source 2025'!$M:$M,'Source 2025'!$B:$B,$A541,'Source 2025'!$A:$A,"Amount (NIS)")</f>
        <v>130.7</v>
      </c>
      <c r="I541" s="8" t="n">
        <f aca="false">SUMIFS('Source 2026'!$D:$D,'Source 2026'!$B:$B,$A541,'Source 2026'!$A:$A,"Amount (NIS)")+SUMIFS('Source 2026'!$E:$E,'Source 2026'!$B:$B,$A541,'Source 2026'!$A:$A,"Amount (NIS)")+SUMIFS('Source 2026'!$F:$F,'Source 2026'!$B:$B,$A541,'Source 2026'!$A:$A,"Amount (NIS)")+SUMIFS('Source 2026'!$G:$G,'Source 2026'!$B:$B,$A541,'Source 2026'!$A:$A,"Amount (NIS)")+SUMIFS('Source 2026'!$J:$J,'Source 2026'!$B:$B,$A541,'Source 2026'!$A:$A,"Amount (NIS)")+SUMIFS('Source 2026'!$M:$M,'Source 2026'!$B:$B,$A541,'Source 2026'!$A:$A,"Amount (NIS)")</f>
        <v>66.5</v>
      </c>
      <c r="J541" s="8" t="n">
        <f aca="false">I541*$J$5</f>
        <v>91.2</v>
      </c>
      <c r="K541" s="8" t="n">
        <f aca="false">J541-H541</f>
        <v>-39.5</v>
      </c>
      <c r="L541" s="9" t="n">
        <f aca="false">IF(AND(H541=0,J541=0),0,IF(H541=0,"New",(J541-H541)/H541))</f>
        <v>-0.302218821729151</v>
      </c>
    </row>
    <row r="542" customFormat="false" ht="15" hidden="false" customHeight="false" outlineLevel="0" collapsed="false">
      <c r="A542" s="7" t="n">
        <v>4413143</v>
      </c>
      <c r="B542" s="7" t="str">
        <f aca="false">IFERROR(INDEX('Source 2026'!$C:$C,MATCH($A542,'Source 2026'!$B:$B,0)),IFERROR(INDEX('Source 2025'!$C:$C,MATCH($A542,'Source 2025'!$B:$B,0)),""))</f>
        <v>95 XS מגן מרפק רגיל לבן</v>
      </c>
      <c r="C542" s="8" t="n">
        <f aca="false">SUMIFS('Source 2025'!$D:$D,'Source 2025'!$B:$B,$A542,'Source 2025'!$A:$A,"Quantity (units)")+SUMIFS('Source 2025'!$E:$E,'Source 2025'!$B:$B,$A542,'Source 2025'!$A:$A,"Quantity (units)")+SUMIFS('Source 2025'!$F:$F,'Source 2025'!$B:$B,$A542,'Source 2025'!$A:$A,"Quantity (units)")+SUMIFS('Source 2025'!$G:$G,'Source 2025'!$B:$B,$A542,'Source 2025'!$A:$A,"Quantity (units)")+SUMIFS('Source 2025'!$J:$J,'Source 2025'!$B:$B,$A542,'Source 2025'!$A:$A,"Quantity (units)")+SUMIFS('Source 2025'!$M:$M,'Source 2025'!$B:$B,$A542,'Source 2025'!$A:$A,"Quantity (units)")</f>
        <v>25</v>
      </c>
      <c r="D542" s="8" t="n">
        <f aca="false">SUMIFS('Source 2026'!$D:$D,'Source 2026'!$B:$B,$A542,'Source 2026'!$A:$A,"Quantity (units)")+SUMIFS('Source 2026'!$E:$E,'Source 2026'!$B:$B,$A542,'Source 2026'!$A:$A,"Quantity (units)")+SUMIFS('Source 2026'!$F:$F,'Source 2026'!$B:$B,$A542,'Source 2026'!$A:$A,"Quantity (units)")+SUMIFS('Source 2026'!$G:$G,'Source 2026'!$B:$B,$A542,'Source 2026'!$A:$A,"Quantity (units)")+SUMIFS('Source 2026'!$J:$J,'Source 2026'!$B:$B,$A542,'Source 2026'!$A:$A,"Quantity (units)")+SUMIFS('Source 2026'!$M:$M,'Source 2026'!$B:$B,$A542,'Source 2026'!$A:$A,"Quantity (units)")</f>
        <v>23</v>
      </c>
      <c r="E542" s="8" t="n">
        <f aca="false">D542*$J$5</f>
        <v>31.5428571428571</v>
      </c>
      <c r="F542" s="8" t="n">
        <f aca="false">E542-C542</f>
        <v>6.54285714285714</v>
      </c>
      <c r="G542" s="9" t="n">
        <f aca="false">IF(AND(C542=0,E542=0),0,IF(C542=0,"New",(E542-C542)/C542))</f>
        <v>0.261714285714286</v>
      </c>
      <c r="H542" s="8" t="n">
        <f aca="false">SUMIFS('Source 2025'!$D:$D,'Source 2025'!$B:$B,$A542,'Source 2025'!$A:$A,"Amount (NIS)")+SUMIFS('Source 2025'!$E:$E,'Source 2025'!$B:$B,$A542,'Source 2025'!$A:$A,"Amount (NIS)")+SUMIFS('Source 2025'!$F:$F,'Source 2025'!$B:$B,$A542,'Source 2025'!$A:$A,"Amount (NIS)")+SUMIFS('Source 2025'!$G:$G,'Source 2025'!$B:$B,$A542,'Source 2025'!$A:$A,"Amount (NIS)")+SUMIFS('Source 2025'!$J:$J,'Source 2025'!$B:$B,$A542,'Source 2025'!$A:$A,"Amount (NIS)")+SUMIFS('Source 2025'!$M:$M,'Source 2025'!$B:$B,$A542,'Source 2025'!$A:$A,"Amount (NIS)")</f>
        <v>753.5</v>
      </c>
      <c r="I542" s="8" t="n">
        <f aca="false">SUMIFS('Source 2026'!$D:$D,'Source 2026'!$B:$B,$A542,'Source 2026'!$A:$A,"Amount (NIS)")+SUMIFS('Source 2026'!$E:$E,'Source 2026'!$B:$B,$A542,'Source 2026'!$A:$A,"Amount (NIS)")+SUMIFS('Source 2026'!$F:$F,'Source 2026'!$B:$B,$A542,'Source 2026'!$A:$A,"Amount (NIS)")+SUMIFS('Source 2026'!$G:$G,'Source 2026'!$B:$B,$A542,'Source 2026'!$A:$A,"Amount (NIS)")+SUMIFS('Source 2026'!$J:$J,'Source 2026'!$B:$B,$A542,'Source 2026'!$A:$A,"Amount (NIS)")+SUMIFS('Source 2026'!$M:$M,'Source 2026'!$B:$B,$A542,'Source 2026'!$A:$A,"Amount (NIS)")</f>
        <v>691.9</v>
      </c>
      <c r="J542" s="8" t="n">
        <f aca="false">I542*$J$5</f>
        <v>948.891428571429</v>
      </c>
      <c r="K542" s="8" t="n">
        <f aca="false">J542-H542</f>
        <v>195.391428571429</v>
      </c>
      <c r="L542" s="9" t="n">
        <f aca="false">IF(AND(H542=0,J542=0),0,IF(H542=0,"New",(J542-H542)/H542))</f>
        <v>0.259311783107404</v>
      </c>
    </row>
    <row r="543" customFormat="false" ht="15" hidden="false" customHeight="false" outlineLevel="0" collapsed="false">
      <c r="A543" s="7" t="n">
        <v>4413420</v>
      </c>
      <c r="B543" s="7" t="str">
        <f aca="false">IFERROR(INDEX('Source 2026'!$C:$C,MATCH($A543,'Source 2026'!$B:$B,0)),IFERROR(INDEX('Source 2025'!$C:$C,MATCH($A543,'Source 2025'!$B:$B,0)),""))</f>
        <v>SC35L  S מגן קרסול שמאל</v>
      </c>
      <c r="C543" s="8" t="n">
        <f aca="false">SUMIFS('Source 2025'!$D:$D,'Source 2025'!$B:$B,$A543,'Source 2025'!$A:$A,"Quantity (units)")+SUMIFS('Source 2025'!$E:$E,'Source 2025'!$B:$B,$A543,'Source 2025'!$A:$A,"Quantity (units)")+SUMIFS('Source 2025'!$F:$F,'Source 2025'!$B:$B,$A543,'Source 2025'!$A:$A,"Quantity (units)")+SUMIFS('Source 2025'!$G:$G,'Source 2025'!$B:$B,$A543,'Source 2025'!$A:$A,"Quantity (units)")+SUMIFS('Source 2025'!$J:$J,'Source 2025'!$B:$B,$A543,'Source 2025'!$A:$A,"Quantity (units)")+SUMIFS('Source 2025'!$M:$M,'Source 2025'!$B:$B,$A543,'Source 2025'!$A:$A,"Quantity (units)")</f>
        <v>2</v>
      </c>
      <c r="D543" s="8" t="n">
        <f aca="false">SUMIFS('Source 2026'!$D:$D,'Source 2026'!$B:$B,$A543,'Source 2026'!$A:$A,"Quantity (units)")+SUMIFS('Source 2026'!$E:$E,'Source 2026'!$B:$B,$A543,'Source 2026'!$A:$A,"Quantity (units)")+SUMIFS('Source 2026'!$F:$F,'Source 2026'!$B:$B,$A543,'Source 2026'!$A:$A,"Quantity (units)")+SUMIFS('Source 2026'!$G:$G,'Source 2026'!$B:$B,$A543,'Source 2026'!$A:$A,"Quantity (units)")+SUMIFS('Source 2026'!$J:$J,'Source 2026'!$B:$B,$A543,'Source 2026'!$A:$A,"Quantity (units)")+SUMIFS('Source 2026'!$M:$M,'Source 2026'!$B:$B,$A543,'Source 2026'!$A:$A,"Quantity (units)")</f>
        <v>1</v>
      </c>
      <c r="E543" s="8" t="n">
        <f aca="false">D543*$J$5</f>
        <v>1.37142857142857</v>
      </c>
      <c r="F543" s="8" t="n">
        <f aca="false">E543-C543</f>
        <v>-0.628571428571429</v>
      </c>
      <c r="G543" s="9" t="n">
        <f aca="false">IF(AND(C543=0,E543=0),0,IF(C543=0,"New",(E543-C543)/C543))</f>
        <v>-0.314285714285714</v>
      </c>
      <c r="H543" s="8" t="n">
        <f aca="false">SUMIFS('Source 2025'!$D:$D,'Source 2025'!$B:$B,$A543,'Source 2025'!$A:$A,"Amount (NIS)")+SUMIFS('Source 2025'!$E:$E,'Source 2025'!$B:$B,$A543,'Source 2025'!$A:$A,"Amount (NIS)")+SUMIFS('Source 2025'!$F:$F,'Source 2025'!$B:$B,$A543,'Source 2025'!$A:$A,"Amount (NIS)")+SUMIFS('Source 2025'!$G:$G,'Source 2025'!$B:$B,$A543,'Source 2025'!$A:$A,"Amount (NIS)")+SUMIFS('Source 2025'!$J:$J,'Source 2025'!$B:$B,$A543,'Source 2025'!$A:$A,"Amount (NIS)")+SUMIFS('Source 2025'!$M:$M,'Source 2025'!$B:$B,$A543,'Source 2025'!$A:$A,"Amount (NIS)")</f>
        <v>154.6</v>
      </c>
      <c r="I543" s="8" t="n">
        <f aca="false">SUMIFS('Source 2026'!$D:$D,'Source 2026'!$B:$B,$A543,'Source 2026'!$A:$A,"Amount (NIS)")+SUMIFS('Source 2026'!$E:$E,'Source 2026'!$B:$B,$A543,'Source 2026'!$A:$A,"Amount (NIS)")+SUMIFS('Source 2026'!$F:$F,'Source 2026'!$B:$B,$A543,'Source 2026'!$A:$A,"Amount (NIS)")+SUMIFS('Source 2026'!$G:$G,'Source 2026'!$B:$B,$A543,'Source 2026'!$A:$A,"Amount (NIS)")+SUMIFS('Source 2026'!$J:$J,'Source 2026'!$B:$B,$A543,'Source 2026'!$A:$A,"Amount (NIS)")+SUMIFS('Source 2026'!$M:$M,'Source 2026'!$B:$B,$A543,'Source 2026'!$A:$A,"Amount (NIS)")</f>
        <v>93.7</v>
      </c>
      <c r="J543" s="8" t="n">
        <f aca="false">I543*$J$5</f>
        <v>128.502857142857</v>
      </c>
      <c r="K543" s="8" t="n">
        <f aca="false">J543-H543</f>
        <v>-26.0971428571428</v>
      </c>
      <c r="L543" s="9" t="n">
        <f aca="false">IF(AND(H543=0,J543=0),0,IF(H543=0,"New",(J543-H543)/H543))</f>
        <v>-0.168804287562373</v>
      </c>
    </row>
    <row r="544" customFormat="false" ht="15" hidden="false" customHeight="false" outlineLevel="0" collapsed="false">
      <c r="A544" s="7" t="n">
        <v>4408042</v>
      </c>
      <c r="B544" s="7" t="str">
        <f aca="false">IFERROR(INDEX('Source 2026'!$C:$C,MATCH($A544,'Source 2026'!$B:$B,0)),IFERROR(INDEX('Source 2025'!$C:$C,MATCH($A544,'Source 2025'!$B:$B,0)),""))</f>
        <v>18 L ח.הריון מכנס למניעת כאבים</v>
      </c>
      <c r="C544" s="8" t="n">
        <f aca="false">SUMIFS('Source 2025'!$D:$D,'Source 2025'!$B:$B,$A544,'Source 2025'!$A:$A,"Quantity (units)")+SUMIFS('Source 2025'!$E:$E,'Source 2025'!$B:$B,$A544,'Source 2025'!$A:$A,"Quantity (units)")+SUMIFS('Source 2025'!$F:$F,'Source 2025'!$B:$B,$A544,'Source 2025'!$A:$A,"Quantity (units)")+SUMIFS('Source 2025'!$G:$G,'Source 2025'!$B:$B,$A544,'Source 2025'!$A:$A,"Quantity (units)")+SUMIFS('Source 2025'!$J:$J,'Source 2025'!$B:$B,$A544,'Source 2025'!$A:$A,"Quantity (units)")+SUMIFS('Source 2025'!$M:$M,'Source 2025'!$B:$B,$A544,'Source 2025'!$A:$A,"Quantity (units)")</f>
        <v>-1</v>
      </c>
      <c r="D544" s="8" t="n">
        <f aca="false">SUMIFS('Source 2026'!$D:$D,'Source 2026'!$B:$B,$A544,'Source 2026'!$A:$A,"Quantity (units)")+SUMIFS('Source 2026'!$E:$E,'Source 2026'!$B:$B,$A544,'Source 2026'!$A:$A,"Quantity (units)")+SUMIFS('Source 2026'!$F:$F,'Source 2026'!$B:$B,$A544,'Source 2026'!$A:$A,"Quantity (units)")+SUMIFS('Source 2026'!$G:$G,'Source 2026'!$B:$B,$A544,'Source 2026'!$A:$A,"Quantity (units)")+SUMIFS('Source 2026'!$J:$J,'Source 2026'!$B:$B,$A544,'Source 2026'!$A:$A,"Quantity (units)")+SUMIFS('Source 2026'!$M:$M,'Source 2026'!$B:$B,$A544,'Source 2026'!$A:$A,"Quantity (units)")</f>
        <v>-1</v>
      </c>
      <c r="E544" s="8" t="n">
        <f aca="false">D544*$J$5</f>
        <v>-1.37142857142857</v>
      </c>
      <c r="F544" s="8" t="n">
        <f aca="false">E544-C544</f>
        <v>-0.371428571428571</v>
      </c>
      <c r="G544" s="9" t="n">
        <f aca="false">IF(AND(C544=0,E544=0),0,IF(C544=0,"New",(E544-C544)/C544))</f>
        <v>0.371428571428571</v>
      </c>
      <c r="H544" s="8" t="n">
        <f aca="false">SUMIFS('Source 2025'!$D:$D,'Source 2025'!$B:$B,$A544,'Source 2025'!$A:$A,"Amount (NIS)")+SUMIFS('Source 2025'!$E:$E,'Source 2025'!$B:$B,$A544,'Source 2025'!$A:$A,"Amount (NIS)")+SUMIFS('Source 2025'!$F:$F,'Source 2025'!$B:$B,$A544,'Source 2025'!$A:$A,"Amount (NIS)")+SUMIFS('Source 2025'!$G:$G,'Source 2025'!$B:$B,$A544,'Source 2025'!$A:$A,"Amount (NIS)")+SUMIFS('Source 2025'!$J:$J,'Source 2025'!$B:$B,$A544,'Source 2025'!$A:$A,"Amount (NIS)")+SUMIFS('Source 2025'!$M:$M,'Source 2025'!$B:$B,$A544,'Source 2025'!$A:$A,"Amount (NIS)")</f>
        <v>-307.2</v>
      </c>
      <c r="I544" s="8" t="n">
        <f aca="false">SUMIFS('Source 2026'!$D:$D,'Source 2026'!$B:$B,$A544,'Source 2026'!$A:$A,"Amount (NIS)")+SUMIFS('Source 2026'!$E:$E,'Source 2026'!$B:$B,$A544,'Source 2026'!$A:$A,"Amount (NIS)")+SUMIFS('Source 2026'!$F:$F,'Source 2026'!$B:$B,$A544,'Source 2026'!$A:$A,"Amount (NIS)")+SUMIFS('Source 2026'!$G:$G,'Source 2026'!$B:$B,$A544,'Source 2026'!$A:$A,"Amount (NIS)")+SUMIFS('Source 2026'!$J:$J,'Source 2026'!$B:$B,$A544,'Source 2026'!$A:$A,"Amount (NIS)")+SUMIFS('Source 2026'!$M:$M,'Source 2026'!$B:$B,$A544,'Source 2026'!$A:$A,"Amount (NIS)")</f>
        <v>-247.5</v>
      </c>
      <c r="J544" s="8" t="n">
        <f aca="false">I544*$J$5</f>
        <v>-339.428571428571</v>
      </c>
      <c r="K544" s="8" t="n">
        <f aca="false">J544-H544</f>
        <v>-32.2285714285715</v>
      </c>
      <c r="L544" s="9" t="n">
        <f aca="false">IF(AND(H544=0,J544=0),0,IF(H544=0,"New",(J544-H544)/H544))</f>
        <v>0.104910714285714</v>
      </c>
    </row>
    <row r="545" customFormat="false" ht="15" hidden="false" customHeight="false" outlineLevel="0" collapsed="false">
      <c r="A545" s="7" t="n">
        <v>4419014</v>
      </c>
      <c r="B545" s="7" t="str">
        <f aca="false">IFERROR(INDEX('Source 2026'!$C:$C,MATCH($A545,'Source 2026'!$B:$B,0)),IFERROR(INDEX('Source 2025'!$C:$C,MATCH($A545,'Source 2025'!$B:$B,0)),""))</f>
        <v>239TR L-XL STRAP4U</v>
      </c>
      <c r="C545" s="8" t="n">
        <f aca="false">SUMIFS('Source 2025'!$D:$D,'Source 2025'!$B:$B,$A545,'Source 2025'!$A:$A,"Quantity (units)")+SUMIFS('Source 2025'!$E:$E,'Source 2025'!$B:$B,$A545,'Source 2025'!$A:$A,"Quantity (units)")+SUMIFS('Source 2025'!$F:$F,'Source 2025'!$B:$B,$A545,'Source 2025'!$A:$A,"Quantity (units)")+SUMIFS('Source 2025'!$G:$G,'Source 2025'!$B:$B,$A545,'Source 2025'!$A:$A,"Quantity (units)")+SUMIFS('Source 2025'!$J:$J,'Source 2025'!$B:$B,$A545,'Source 2025'!$A:$A,"Quantity (units)")+SUMIFS('Source 2025'!$M:$M,'Source 2025'!$B:$B,$A545,'Source 2025'!$A:$A,"Quantity (units)")</f>
        <v>-4</v>
      </c>
      <c r="D545" s="8" t="n">
        <f aca="false">SUMIFS('Source 2026'!$D:$D,'Source 2026'!$B:$B,$A545,'Source 2026'!$A:$A,"Quantity (units)")+SUMIFS('Source 2026'!$E:$E,'Source 2026'!$B:$B,$A545,'Source 2026'!$A:$A,"Quantity (units)")+SUMIFS('Source 2026'!$F:$F,'Source 2026'!$B:$B,$A545,'Source 2026'!$A:$A,"Quantity (units)")+SUMIFS('Source 2026'!$G:$G,'Source 2026'!$B:$B,$A545,'Source 2026'!$A:$A,"Quantity (units)")+SUMIFS('Source 2026'!$J:$J,'Source 2026'!$B:$B,$A545,'Source 2026'!$A:$A,"Quantity (units)")+SUMIFS('Source 2026'!$M:$M,'Source 2026'!$B:$B,$A545,'Source 2026'!$A:$A,"Quantity (units)")</f>
        <v>0</v>
      </c>
      <c r="E545" s="8" t="n">
        <f aca="false">D545*$J$5</f>
        <v>0</v>
      </c>
      <c r="F545" s="8" t="n">
        <f aca="false">E545-C545</f>
        <v>4</v>
      </c>
      <c r="G545" s="9" t="n">
        <f aca="false">IF(AND(C545=0,E545=0),0,IF(C545=0,"New",(E545-C545)/C545))</f>
        <v>-1</v>
      </c>
      <c r="H545" s="8" t="n">
        <f aca="false">SUMIFS('Source 2025'!$D:$D,'Source 2025'!$B:$B,$A545,'Source 2025'!$A:$A,"Amount (NIS)")+SUMIFS('Source 2025'!$E:$E,'Source 2025'!$B:$B,$A545,'Source 2025'!$A:$A,"Amount (NIS)")+SUMIFS('Source 2025'!$F:$F,'Source 2025'!$B:$B,$A545,'Source 2025'!$A:$A,"Amount (NIS)")+SUMIFS('Source 2025'!$G:$G,'Source 2025'!$B:$B,$A545,'Source 2025'!$A:$A,"Amount (NIS)")+SUMIFS('Source 2025'!$J:$J,'Source 2025'!$B:$B,$A545,'Source 2025'!$A:$A,"Amount (NIS)")+SUMIFS('Source 2025'!$M:$M,'Source 2025'!$B:$B,$A545,'Source 2025'!$A:$A,"Amount (NIS)")</f>
        <v>-55.3</v>
      </c>
      <c r="I545" s="8" t="n">
        <f aca="false">SUMIFS('Source 2026'!$D:$D,'Source 2026'!$B:$B,$A545,'Source 2026'!$A:$A,"Amount (NIS)")+SUMIFS('Source 2026'!$E:$E,'Source 2026'!$B:$B,$A545,'Source 2026'!$A:$A,"Amount (NIS)")+SUMIFS('Source 2026'!$F:$F,'Source 2026'!$B:$B,$A545,'Source 2026'!$A:$A,"Amount (NIS)")+SUMIFS('Source 2026'!$G:$G,'Source 2026'!$B:$B,$A545,'Source 2026'!$A:$A,"Amount (NIS)")+SUMIFS('Source 2026'!$J:$J,'Source 2026'!$B:$B,$A545,'Source 2026'!$A:$A,"Amount (NIS)")+SUMIFS('Source 2026'!$M:$M,'Source 2026'!$B:$B,$A545,'Source 2026'!$A:$A,"Amount (NIS)")</f>
        <v>0</v>
      </c>
      <c r="J545" s="8" t="n">
        <f aca="false">I545*$J$5</f>
        <v>0</v>
      </c>
      <c r="K545" s="8" t="n">
        <f aca="false">J545-H545</f>
        <v>55.3</v>
      </c>
      <c r="L545" s="9" t="n">
        <f aca="false">IF(AND(H545=0,J545=0),0,IF(H545=0,"New",(J545-H545)/H545))</f>
        <v>-1</v>
      </c>
    </row>
    <row r="546" customFormat="false" ht="15" hidden="false" customHeight="false" outlineLevel="0" collapsed="false">
      <c r="A546" s="7" t="n">
        <v>4401014</v>
      </c>
      <c r="B546" s="7" t="str">
        <f aca="false">IFERROR(INDEX('Source 2026'!$C:$C,MATCH($A546,'Source 2026'!$B:$B,0)),IFERROR(INDEX('Source 2025'!$C:$C,MATCH($A546,'Source 2025'!$B:$B,0)),""))</f>
        <v>805AT-W  אתלטיק טייפ לבן 20מ""מ</v>
      </c>
      <c r="C546" s="8" t="n">
        <f aca="false">SUMIFS('Source 2025'!$D:$D,'Source 2025'!$B:$B,$A546,'Source 2025'!$A:$A,"Quantity (units)")+SUMIFS('Source 2025'!$E:$E,'Source 2025'!$B:$B,$A546,'Source 2025'!$A:$A,"Quantity (units)")+SUMIFS('Source 2025'!$F:$F,'Source 2025'!$B:$B,$A546,'Source 2025'!$A:$A,"Quantity (units)")+SUMIFS('Source 2025'!$G:$G,'Source 2025'!$B:$B,$A546,'Source 2025'!$A:$A,"Quantity (units)")+SUMIFS('Source 2025'!$J:$J,'Source 2025'!$B:$B,$A546,'Source 2025'!$A:$A,"Quantity (units)")+SUMIFS('Source 2025'!$M:$M,'Source 2025'!$B:$B,$A546,'Source 2025'!$A:$A,"Quantity (units)")</f>
        <v>47</v>
      </c>
      <c r="D546" s="8" t="n">
        <f aca="false">SUMIFS('Source 2026'!$D:$D,'Source 2026'!$B:$B,$A546,'Source 2026'!$A:$A,"Quantity (units)")+SUMIFS('Source 2026'!$E:$E,'Source 2026'!$B:$B,$A546,'Source 2026'!$A:$A,"Quantity (units)")+SUMIFS('Source 2026'!$F:$F,'Source 2026'!$B:$B,$A546,'Source 2026'!$A:$A,"Quantity (units)")+SUMIFS('Source 2026'!$G:$G,'Source 2026'!$B:$B,$A546,'Source 2026'!$A:$A,"Quantity (units)")+SUMIFS('Source 2026'!$J:$J,'Source 2026'!$B:$B,$A546,'Source 2026'!$A:$A,"Quantity (units)")+SUMIFS('Source 2026'!$M:$M,'Source 2026'!$B:$B,$A546,'Source 2026'!$A:$A,"Quantity (units)")</f>
        <v>41</v>
      </c>
      <c r="E546" s="8" t="n">
        <f aca="false">D546*$J$5</f>
        <v>56.2285714285714</v>
      </c>
      <c r="F546" s="8" t="n">
        <f aca="false">E546-C546</f>
        <v>9.22857142857143</v>
      </c>
      <c r="G546" s="9" t="n">
        <f aca="false">IF(AND(C546=0,E546=0),0,IF(C546=0,"New",(E546-C546)/C546))</f>
        <v>0.196352583586626</v>
      </c>
      <c r="H546" s="8" t="n">
        <f aca="false">SUMIFS('Source 2025'!$D:$D,'Source 2025'!$B:$B,$A546,'Source 2025'!$A:$A,"Amount (NIS)")+SUMIFS('Source 2025'!$E:$E,'Source 2025'!$B:$B,$A546,'Source 2025'!$A:$A,"Amount (NIS)")+SUMIFS('Source 2025'!$F:$F,'Source 2025'!$B:$B,$A546,'Source 2025'!$A:$A,"Amount (NIS)")+SUMIFS('Source 2025'!$G:$G,'Source 2025'!$B:$B,$A546,'Source 2025'!$A:$A,"Amount (NIS)")+SUMIFS('Source 2025'!$J:$J,'Source 2025'!$B:$B,$A546,'Source 2025'!$A:$A,"Amount (NIS)")+SUMIFS('Source 2025'!$M:$M,'Source 2025'!$B:$B,$A546,'Source 2025'!$A:$A,"Amount (NIS)")</f>
        <v>719.1</v>
      </c>
      <c r="I546" s="8" t="n">
        <f aca="false">SUMIFS('Source 2026'!$D:$D,'Source 2026'!$B:$B,$A546,'Source 2026'!$A:$A,"Amount (NIS)")+SUMIFS('Source 2026'!$E:$E,'Source 2026'!$B:$B,$A546,'Source 2026'!$A:$A,"Amount (NIS)")+SUMIFS('Source 2026'!$F:$F,'Source 2026'!$B:$B,$A546,'Source 2026'!$A:$A,"Amount (NIS)")+SUMIFS('Source 2026'!$G:$G,'Source 2026'!$B:$B,$A546,'Source 2026'!$A:$A,"Amount (NIS)")+SUMIFS('Source 2026'!$J:$J,'Source 2026'!$B:$B,$A546,'Source 2026'!$A:$A,"Amount (NIS)")+SUMIFS('Source 2026'!$M:$M,'Source 2026'!$B:$B,$A546,'Source 2026'!$A:$A,"Amount (NIS)")</f>
        <v>665.2</v>
      </c>
      <c r="J546" s="8" t="n">
        <f aca="false">I546*$J$5</f>
        <v>912.274285714286</v>
      </c>
      <c r="K546" s="8" t="n">
        <f aca="false">J546-H546</f>
        <v>193.174285714286</v>
      </c>
      <c r="L546" s="9" t="n">
        <f aca="false">IF(AND(H546=0,J546=0),0,IF(H546=0,"New",(J546-H546)/H546))</f>
        <v>0.268633410811133</v>
      </c>
    </row>
    <row r="547" customFormat="false" ht="15" hidden="false" customHeight="false" outlineLevel="0" collapsed="false">
      <c r="A547" s="7" t="n">
        <v>4419012</v>
      </c>
      <c r="B547" s="7" t="str">
        <f aca="false">IFERROR(INDEX('Source 2026'!$C:$C,MATCH($A547,'Source 2026'!$B:$B,0)),IFERROR(INDEX('Source 2025'!$C:$C,MATCH($A547,'Source 2025'!$B:$B,0)),""))</f>
        <v>239P S-M STRAP4U</v>
      </c>
      <c r="C547" s="8" t="n">
        <f aca="false">SUMIFS('Source 2025'!$D:$D,'Source 2025'!$B:$B,$A547,'Source 2025'!$A:$A,"Quantity (units)")+SUMIFS('Source 2025'!$E:$E,'Source 2025'!$B:$B,$A547,'Source 2025'!$A:$A,"Quantity (units)")+SUMIFS('Source 2025'!$F:$F,'Source 2025'!$B:$B,$A547,'Source 2025'!$A:$A,"Quantity (units)")+SUMIFS('Source 2025'!$G:$G,'Source 2025'!$B:$B,$A547,'Source 2025'!$A:$A,"Quantity (units)")+SUMIFS('Source 2025'!$J:$J,'Source 2025'!$B:$B,$A547,'Source 2025'!$A:$A,"Quantity (units)")+SUMIFS('Source 2025'!$M:$M,'Source 2025'!$B:$B,$A547,'Source 2025'!$A:$A,"Quantity (units)")</f>
        <v>-4</v>
      </c>
      <c r="D547" s="8" t="n">
        <f aca="false">SUMIFS('Source 2026'!$D:$D,'Source 2026'!$B:$B,$A547,'Source 2026'!$A:$A,"Quantity (units)")+SUMIFS('Source 2026'!$E:$E,'Source 2026'!$B:$B,$A547,'Source 2026'!$A:$A,"Quantity (units)")+SUMIFS('Source 2026'!$F:$F,'Source 2026'!$B:$B,$A547,'Source 2026'!$A:$A,"Quantity (units)")+SUMIFS('Source 2026'!$G:$G,'Source 2026'!$B:$B,$A547,'Source 2026'!$A:$A,"Quantity (units)")+SUMIFS('Source 2026'!$J:$J,'Source 2026'!$B:$B,$A547,'Source 2026'!$A:$A,"Quantity (units)")+SUMIFS('Source 2026'!$M:$M,'Source 2026'!$B:$B,$A547,'Source 2026'!$A:$A,"Quantity (units)")</f>
        <v>0</v>
      </c>
      <c r="E547" s="8" t="n">
        <f aca="false">D547*$J$5</f>
        <v>0</v>
      </c>
      <c r="F547" s="8" t="n">
        <f aca="false">E547-C547</f>
        <v>4</v>
      </c>
      <c r="G547" s="9" t="n">
        <f aca="false">IF(AND(C547=0,E547=0),0,IF(C547=0,"New",(E547-C547)/C547))</f>
        <v>-1</v>
      </c>
      <c r="H547" s="8" t="n">
        <f aca="false">SUMIFS('Source 2025'!$D:$D,'Source 2025'!$B:$B,$A547,'Source 2025'!$A:$A,"Amount (NIS)")+SUMIFS('Source 2025'!$E:$E,'Source 2025'!$B:$B,$A547,'Source 2025'!$A:$A,"Amount (NIS)")+SUMIFS('Source 2025'!$F:$F,'Source 2025'!$B:$B,$A547,'Source 2025'!$A:$A,"Amount (NIS)")+SUMIFS('Source 2025'!$G:$G,'Source 2025'!$B:$B,$A547,'Source 2025'!$A:$A,"Amount (NIS)")+SUMIFS('Source 2025'!$J:$J,'Source 2025'!$B:$B,$A547,'Source 2025'!$A:$A,"Amount (NIS)")+SUMIFS('Source 2025'!$M:$M,'Source 2025'!$B:$B,$A547,'Source 2025'!$A:$A,"Amount (NIS)")</f>
        <v>-53.5</v>
      </c>
      <c r="I547" s="8" t="n">
        <f aca="false">SUMIFS('Source 2026'!$D:$D,'Source 2026'!$B:$B,$A547,'Source 2026'!$A:$A,"Amount (NIS)")+SUMIFS('Source 2026'!$E:$E,'Source 2026'!$B:$B,$A547,'Source 2026'!$A:$A,"Amount (NIS)")+SUMIFS('Source 2026'!$F:$F,'Source 2026'!$B:$B,$A547,'Source 2026'!$A:$A,"Amount (NIS)")+SUMIFS('Source 2026'!$G:$G,'Source 2026'!$B:$B,$A547,'Source 2026'!$A:$A,"Amount (NIS)")+SUMIFS('Source 2026'!$J:$J,'Source 2026'!$B:$B,$A547,'Source 2026'!$A:$A,"Amount (NIS)")+SUMIFS('Source 2026'!$M:$M,'Source 2026'!$B:$B,$A547,'Source 2026'!$A:$A,"Amount (NIS)")</f>
        <v>0</v>
      </c>
      <c r="J547" s="8" t="n">
        <f aca="false">I547*$J$5</f>
        <v>0</v>
      </c>
      <c r="K547" s="8" t="n">
        <f aca="false">J547-H547</f>
        <v>53.5</v>
      </c>
      <c r="L547" s="9" t="n">
        <f aca="false">IF(AND(H547=0,J547=0),0,IF(H547=0,"New",(J547-H547)/H547))</f>
        <v>-1</v>
      </c>
    </row>
    <row r="548" customFormat="false" ht="15" hidden="false" customHeight="false" outlineLevel="0" collapsed="false">
      <c r="A548" s="7" t="n">
        <v>4413426</v>
      </c>
      <c r="B548" s="7" t="str">
        <f aca="false">IFERROR(INDEX('Source 2026'!$C:$C,MATCH($A548,'Source 2026'!$B:$B,0)),IFERROR(INDEX('Source 2025'!$C:$C,MATCH($A548,'Source 2025'!$B:$B,0)),""))</f>
        <v>SC35R  L מגן קרסול ימין</v>
      </c>
      <c r="C548" s="8" t="n">
        <f aca="false">SUMIFS('Source 2025'!$D:$D,'Source 2025'!$B:$B,$A548,'Source 2025'!$A:$A,"Quantity (units)")+SUMIFS('Source 2025'!$E:$E,'Source 2025'!$B:$B,$A548,'Source 2025'!$A:$A,"Quantity (units)")+SUMIFS('Source 2025'!$F:$F,'Source 2025'!$B:$B,$A548,'Source 2025'!$A:$A,"Quantity (units)")+SUMIFS('Source 2025'!$G:$G,'Source 2025'!$B:$B,$A548,'Source 2025'!$A:$A,"Quantity (units)")+SUMIFS('Source 2025'!$J:$J,'Source 2025'!$B:$B,$A548,'Source 2025'!$A:$A,"Quantity (units)")+SUMIFS('Source 2025'!$M:$M,'Source 2025'!$B:$B,$A548,'Source 2025'!$A:$A,"Quantity (units)")</f>
        <v>4</v>
      </c>
      <c r="D548" s="8" t="n">
        <f aca="false">SUMIFS('Source 2026'!$D:$D,'Source 2026'!$B:$B,$A548,'Source 2026'!$A:$A,"Quantity (units)")+SUMIFS('Source 2026'!$E:$E,'Source 2026'!$B:$B,$A548,'Source 2026'!$A:$A,"Quantity (units)")+SUMIFS('Source 2026'!$F:$F,'Source 2026'!$B:$B,$A548,'Source 2026'!$A:$A,"Quantity (units)")+SUMIFS('Source 2026'!$G:$G,'Source 2026'!$B:$B,$A548,'Source 2026'!$A:$A,"Quantity (units)")+SUMIFS('Source 2026'!$J:$J,'Source 2026'!$B:$B,$A548,'Source 2026'!$A:$A,"Quantity (units)")+SUMIFS('Source 2026'!$M:$M,'Source 2026'!$B:$B,$A548,'Source 2026'!$A:$A,"Quantity (units)")</f>
        <v>4</v>
      </c>
      <c r="E548" s="8" t="n">
        <f aca="false">D548*$J$5</f>
        <v>5.48571428571429</v>
      </c>
      <c r="F548" s="8" t="n">
        <f aca="false">E548-C548</f>
        <v>1.48571428571429</v>
      </c>
      <c r="G548" s="9" t="n">
        <f aca="false">IF(AND(C548=0,E548=0),0,IF(C548=0,"New",(E548-C548)/C548))</f>
        <v>0.371428571428571</v>
      </c>
      <c r="H548" s="8" t="n">
        <f aca="false">SUMIFS('Source 2025'!$D:$D,'Source 2025'!$B:$B,$A548,'Source 2025'!$A:$A,"Amount (NIS)")+SUMIFS('Source 2025'!$E:$E,'Source 2025'!$B:$B,$A548,'Source 2025'!$A:$A,"Amount (NIS)")+SUMIFS('Source 2025'!$F:$F,'Source 2025'!$B:$B,$A548,'Source 2025'!$A:$A,"Amount (NIS)")+SUMIFS('Source 2025'!$G:$G,'Source 2025'!$B:$B,$A548,'Source 2025'!$A:$A,"Amount (NIS)")+SUMIFS('Source 2025'!$J:$J,'Source 2025'!$B:$B,$A548,'Source 2025'!$A:$A,"Amount (NIS)")+SUMIFS('Source 2025'!$M:$M,'Source 2025'!$B:$B,$A548,'Source 2025'!$A:$A,"Amount (NIS)")</f>
        <v>309.2</v>
      </c>
      <c r="I548" s="8" t="n">
        <f aca="false">SUMIFS('Source 2026'!$D:$D,'Source 2026'!$B:$B,$A548,'Source 2026'!$A:$A,"Amount (NIS)")+SUMIFS('Source 2026'!$E:$E,'Source 2026'!$B:$B,$A548,'Source 2026'!$A:$A,"Amount (NIS)")+SUMIFS('Source 2026'!$F:$F,'Source 2026'!$B:$B,$A548,'Source 2026'!$A:$A,"Amount (NIS)")+SUMIFS('Source 2026'!$G:$G,'Source 2026'!$B:$B,$A548,'Source 2026'!$A:$A,"Amount (NIS)")+SUMIFS('Source 2026'!$J:$J,'Source 2026'!$B:$B,$A548,'Source 2026'!$A:$A,"Amount (NIS)")+SUMIFS('Source 2026'!$M:$M,'Source 2026'!$B:$B,$A548,'Source 2026'!$A:$A,"Amount (NIS)")</f>
        <v>362.2</v>
      </c>
      <c r="J548" s="8" t="n">
        <f aca="false">I548*$J$5</f>
        <v>496.731428571429</v>
      </c>
      <c r="K548" s="8" t="n">
        <f aca="false">J548-H548</f>
        <v>187.531428571429</v>
      </c>
      <c r="L548" s="9" t="n">
        <f aca="false">IF(AND(H548=0,J548=0),0,IF(H548=0,"New",(J548-H548)/H548))</f>
        <v>0.606505267048605</v>
      </c>
    </row>
    <row r="549" customFormat="false" ht="15" hidden="false" customHeight="false" outlineLevel="0" collapsed="false">
      <c r="A549" s="7" t="n">
        <v>4408060</v>
      </c>
      <c r="B549" s="7" t="str">
        <f aca="false">IFERROR(INDEX('Source 2026'!$C:$C,MATCH($A549,'Source 2026'!$B:$B,0)),IFERROR(INDEX('Source 2025'!$C:$C,MATCH($A549,'Source 2025'!$B:$B,0)),""))</f>
        <v>25 M חבק יד אגודלי</v>
      </c>
      <c r="C549" s="8" t="n">
        <f aca="false">SUMIFS('Source 2025'!$D:$D,'Source 2025'!$B:$B,$A549,'Source 2025'!$A:$A,"Quantity (units)")+SUMIFS('Source 2025'!$E:$E,'Source 2025'!$B:$B,$A549,'Source 2025'!$A:$A,"Quantity (units)")+SUMIFS('Source 2025'!$F:$F,'Source 2025'!$B:$B,$A549,'Source 2025'!$A:$A,"Quantity (units)")+SUMIFS('Source 2025'!$G:$G,'Source 2025'!$B:$B,$A549,'Source 2025'!$A:$A,"Quantity (units)")+SUMIFS('Source 2025'!$J:$J,'Source 2025'!$B:$B,$A549,'Source 2025'!$A:$A,"Quantity (units)")+SUMIFS('Source 2025'!$M:$M,'Source 2025'!$B:$B,$A549,'Source 2025'!$A:$A,"Quantity (units)")</f>
        <v>-1</v>
      </c>
      <c r="D549" s="8" t="n">
        <f aca="false">SUMIFS('Source 2026'!$D:$D,'Source 2026'!$B:$B,$A549,'Source 2026'!$A:$A,"Quantity (units)")+SUMIFS('Source 2026'!$E:$E,'Source 2026'!$B:$B,$A549,'Source 2026'!$A:$A,"Quantity (units)")+SUMIFS('Source 2026'!$F:$F,'Source 2026'!$B:$B,$A549,'Source 2026'!$A:$A,"Quantity (units)")+SUMIFS('Source 2026'!$G:$G,'Source 2026'!$B:$B,$A549,'Source 2026'!$A:$A,"Quantity (units)")+SUMIFS('Source 2026'!$J:$J,'Source 2026'!$B:$B,$A549,'Source 2026'!$A:$A,"Quantity (units)")+SUMIFS('Source 2026'!$M:$M,'Source 2026'!$B:$B,$A549,'Source 2026'!$A:$A,"Quantity (units)")</f>
        <v>0</v>
      </c>
      <c r="E549" s="8" t="n">
        <f aca="false">D549*$J$5</f>
        <v>0</v>
      </c>
      <c r="F549" s="8" t="n">
        <f aca="false">E549-C549</f>
        <v>1</v>
      </c>
      <c r="G549" s="9" t="n">
        <f aca="false">IF(AND(C549=0,E549=0),0,IF(C549=0,"New",(E549-C549)/C549))</f>
        <v>-1</v>
      </c>
      <c r="H549" s="8" t="n">
        <f aca="false">SUMIFS('Source 2025'!$D:$D,'Source 2025'!$B:$B,$A549,'Source 2025'!$A:$A,"Amount (NIS)")+SUMIFS('Source 2025'!$E:$E,'Source 2025'!$B:$B,$A549,'Source 2025'!$A:$A,"Amount (NIS)")+SUMIFS('Source 2025'!$F:$F,'Source 2025'!$B:$B,$A549,'Source 2025'!$A:$A,"Amount (NIS)")+SUMIFS('Source 2025'!$G:$G,'Source 2025'!$B:$B,$A549,'Source 2025'!$A:$A,"Amount (NIS)")+SUMIFS('Source 2025'!$J:$J,'Source 2025'!$B:$B,$A549,'Source 2025'!$A:$A,"Amount (NIS)")+SUMIFS('Source 2025'!$M:$M,'Source 2025'!$B:$B,$A549,'Source 2025'!$A:$A,"Amount (NIS)")</f>
        <v>-50.9</v>
      </c>
      <c r="I549" s="8" t="n">
        <f aca="false">SUMIFS('Source 2026'!$D:$D,'Source 2026'!$B:$B,$A549,'Source 2026'!$A:$A,"Amount (NIS)")+SUMIFS('Source 2026'!$E:$E,'Source 2026'!$B:$B,$A549,'Source 2026'!$A:$A,"Amount (NIS)")+SUMIFS('Source 2026'!$F:$F,'Source 2026'!$B:$B,$A549,'Source 2026'!$A:$A,"Amount (NIS)")+SUMIFS('Source 2026'!$G:$G,'Source 2026'!$B:$B,$A549,'Source 2026'!$A:$A,"Amount (NIS)")+SUMIFS('Source 2026'!$J:$J,'Source 2026'!$B:$B,$A549,'Source 2026'!$A:$A,"Amount (NIS)")+SUMIFS('Source 2026'!$M:$M,'Source 2026'!$B:$B,$A549,'Source 2026'!$A:$A,"Amount (NIS)")</f>
        <v>0</v>
      </c>
      <c r="J549" s="8" t="n">
        <f aca="false">I549*$J$5</f>
        <v>0</v>
      </c>
      <c r="K549" s="8" t="n">
        <f aca="false">J549-H549</f>
        <v>50.9</v>
      </c>
      <c r="L549" s="9" t="n">
        <f aca="false">IF(AND(H549=0,J549=0),0,IF(H549=0,"New",(J549-H549)/H549))</f>
        <v>-1</v>
      </c>
    </row>
    <row r="550" customFormat="false" ht="15" hidden="false" customHeight="false" outlineLevel="0" collapsed="false">
      <c r="A550" s="7" t="n">
        <v>4413332</v>
      </c>
      <c r="B550" s="7" t="str">
        <f aca="false">IFERROR(INDEX('Source 2026'!$C:$C,MATCH($A550,'Source 2026'!$B:$B,0)),IFERROR(INDEX('Source 2025'!$C:$C,MATCH($A550,'Source 2025'!$B:$B,0)),""))</f>
        <v>45  XS מגן ברך רגיל לבן</v>
      </c>
      <c r="C550" s="8" t="n">
        <f aca="false">SUMIFS('Source 2025'!$D:$D,'Source 2025'!$B:$B,$A550,'Source 2025'!$A:$A,"Quantity (units)")+SUMIFS('Source 2025'!$E:$E,'Source 2025'!$B:$B,$A550,'Source 2025'!$A:$A,"Quantity (units)")+SUMIFS('Source 2025'!$F:$F,'Source 2025'!$B:$B,$A550,'Source 2025'!$A:$A,"Quantity (units)")+SUMIFS('Source 2025'!$G:$G,'Source 2025'!$B:$B,$A550,'Source 2025'!$A:$A,"Quantity (units)")+SUMIFS('Source 2025'!$J:$J,'Source 2025'!$B:$B,$A550,'Source 2025'!$A:$A,"Quantity (units)")+SUMIFS('Source 2025'!$M:$M,'Source 2025'!$B:$B,$A550,'Source 2025'!$A:$A,"Quantity (units)")</f>
        <v>5</v>
      </c>
      <c r="D550" s="8" t="n">
        <f aca="false">SUMIFS('Source 2026'!$D:$D,'Source 2026'!$B:$B,$A550,'Source 2026'!$A:$A,"Quantity (units)")+SUMIFS('Source 2026'!$E:$E,'Source 2026'!$B:$B,$A550,'Source 2026'!$A:$A,"Quantity (units)")+SUMIFS('Source 2026'!$F:$F,'Source 2026'!$B:$B,$A550,'Source 2026'!$A:$A,"Quantity (units)")+SUMIFS('Source 2026'!$G:$G,'Source 2026'!$B:$B,$A550,'Source 2026'!$A:$A,"Quantity (units)")+SUMIFS('Source 2026'!$J:$J,'Source 2026'!$B:$B,$A550,'Source 2026'!$A:$A,"Quantity (units)")+SUMIFS('Source 2026'!$M:$M,'Source 2026'!$B:$B,$A550,'Source 2026'!$A:$A,"Quantity (units)")</f>
        <v>7</v>
      </c>
      <c r="E550" s="8" t="n">
        <f aca="false">D550*$J$5</f>
        <v>9.6</v>
      </c>
      <c r="F550" s="8" t="n">
        <f aca="false">E550-C550</f>
        <v>4.6</v>
      </c>
      <c r="G550" s="9" t="n">
        <f aca="false">IF(AND(C550=0,E550=0),0,IF(C550=0,"New",(E550-C550)/C550))</f>
        <v>0.92</v>
      </c>
      <c r="H550" s="8" t="n">
        <f aca="false">SUMIFS('Source 2025'!$D:$D,'Source 2025'!$B:$B,$A550,'Source 2025'!$A:$A,"Amount (NIS)")+SUMIFS('Source 2025'!$E:$E,'Source 2025'!$B:$B,$A550,'Source 2025'!$A:$A,"Amount (NIS)")+SUMIFS('Source 2025'!$F:$F,'Source 2025'!$B:$B,$A550,'Source 2025'!$A:$A,"Amount (NIS)")+SUMIFS('Source 2025'!$G:$G,'Source 2025'!$B:$B,$A550,'Source 2025'!$A:$A,"Amount (NIS)")+SUMIFS('Source 2025'!$J:$J,'Source 2025'!$B:$B,$A550,'Source 2025'!$A:$A,"Amount (NIS)")+SUMIFS('Source 2025'!$M:$M,'Source 2025'!$B:$B,$A550,'Source 2025'!$A:$A,"Amount (NIS)")</f>
        <v>146.2</v>
      </c>
      <c r="I550" s="8" t="n">
        <f aca="false">SUMIFS('Source 2026'!$D:$D,'Source 2026'!$B:$B,$A550,'Source 2026'!$A:$A,"Amount (NIS)")+SUMIFS('Source 2026'!$E:$E,'Source 2026'!$B:$B,$A550,'Source 2026'!$A:$A,"Amount (NIS)")+SUMIFS('Source 2026'!$F:$F,'Source 2026'!$B:$B,$A550,'Source 2026'!$A:$A,"Amount (NIS)")+SUMIFS('Source 2026'!$G:$G,'Source 2026'!$B:$B,$A550,'Source 2026'!$A:$A,"Amount (NIS)")+SUMIFS('Source 2026'!$J:$J,'Source 2026'!$B:$B,$A550,'Source 2026'!$A:$A,"Amount (NIS)")+SUMIFS('Source 2026'!$M:$M,'Source 2026'!$B:$B,$A550,'Source 2026'!$A:$A,"Amount (NIS)")</f>
        <v>195.6</v>
      </c>
      <c r="J550" s="8" t="n">
        <f aca="false">I550*$J$5</f>
        <v>268.251428571429</v>
      </c>
      <c r="K550" s="8" t="n">
        <f aca="false">J550-H550</f>
        <v>122.051428571429</v>
      </c>
      <c r="L550" s="9" t="n">
        <f aca="false">IF(AND(H550=0,J550=0),0,IF(H550=0,"New",(J550-H550)/H550))</f>
        <v>0.834825092827829</v>
      </c>
    </row>
    <row r="551" customFormat="false" ht="15" hidden="false" customHeight="false" outlineLevel="0" collapsed="false">
      <c r="A551" s="7" t="n">
        <v>4413422</v>
      </c>
      <c r="B551" s="7" t="str">
        <f aca="false">IFERROR(INDEX('Source 2026'!$C:$C,MATCH($A551,'Source 2026'!$B:$B,0)),IFERROR(INDEX('Source 2025'!$C:$C,MATCH($A551,'Source 2025'!$B:$B,0)),""))</f>
        <v>SC35L  L מגן קרסול שמאל</v>
      </c>
      <c r="C551" s="8" t="n">
        <f aca="false">SUMIFS('Source 2025'!$D:$D,'Source 2025'!$B:$B,$A551,'Source 2025'!$A:$A,"Quantity (units)")+SUMIFS('Source 2025'!$E:$E,'Source 2025'!$B:$B,$A551,'Source 2025'!$A:$A,"Quantity (units)")+SUMIFS('Source 2025'!$F:$F,'Source 2025'!$B:$B,$A551,'Source 2025'!$A:$A,"Quantity (units)")+SUMIFS('Source 2025'!$G:$G,'Source 2025'!$B:$B,$A551,'Source 2025'!$A:$A,"Quantity (units)")+SUMIFS('Source 2025'!$J:$J,'Source 2025'!$B:$B,$A551,'Source 2025'!$A:$A,"Quantity (units)")+SUMIFS('Source 2025'!$M:$M,'Source 2025'!$B:$B,$A551,'Source 2025'!$A:$A,"Quantity (units)")</f>
        <v>3</v>
      </c>
      <c r="D551" s="8" t="n">
        <f aca="false">SUMIFS('Source 2026'!$D:$D,'Source 2026'!$B:$B,$A551,'Source 2026'!$A:$A,"Quantity (units)")+SUMIFS('Source 2026'!$E:$E,'Source 2026'!$B:$B,$A551,'Source 2026'!$A:$A,"Quantity (units)")+SUMIFS('Source 2026'!$F:$F,'Source 2026'!$B:$B,$A551,'Source 2026'!$A:$A,"Quantity (units)")+SUMIFS('Source 2026'!$G:$G,'Source 2026'!$B:$B,$A551,'Source 2026'!$A:$A,"Quantity (units)")+SUMIFS('Source 2026'!$J:$J,'Source 2026'!$B:$B,$A551,'Source 2026'!$A:$A,"Quantity (units)")+SUMIFS('Source 2026'!$M:$M,'Source 2026'!$B:$B,$A551,'Source 2026'!$A:$A,"Quantity (units)")</f>
        <v>3</v>
      </c>
      <c r="E551" s="8" t="n">
        <f aca="false">D551*$J$5</f>
        <v>4.11428571428571</v>
      </c>
      <c r="F551" s="8" t="n">
        <f aca="false">E551-C551</f>
        <v>1.11428571428571</v>
      </c>
      <c r="G551" s="9" t="n">
        <f aca="false">IF(AND(C551=0,E551=0),0,IF(C551=0,"New",(E551-C551)/C551))</f>
        <v>0.371428571428571</v>
      </c>
      <c r="H551" s="8" t="n">
        <f aca="false">SUMIFS('Source 2025'!$D:$D,'Source 2025'!$B:$B,$A551,'Source 2025'!$A:$A,"Amount (NIS)")+SUMIFS('Source 2025'!$E:$E,'Source 2025'!$B:$B,$A551,'Source 2025'!$A:$A,"Amount (NIS)")+SUMIFS('Source 2025'!$F:$F,'Source 2025'!$B:$B,$A551,'Source 2025'!$A:$A,"Amount (NIS)")+SUMIFS('Source 2025'!$G:$G,'Source 2025'!$B:$B,$A551,'Source 2025'!$A:$A,"Amount (NIS)")+SUMIFS('Source 2025'!$J:$J,'Source 2025'!$B:$B,$A551,'Source 2025'!$A:$A,"Amount (NIS)")+SUMIFS('Source 2025'!$M:$M,'Source 2025'!$B:$B,$A551,'Source 2025'!$A:$A,"Amount (NIS)")</f>
        <v>231.9</v>
      </c>
      <c r="I551" s="8" t="n">
        <f aca="false">SUMIFS('Source 2026'!$D:$D,'Source 2026'!$B:$B,$A551,'Source 2026'!$A:$A,"Amount (NIS)")+SUMIFS('Source 2026'!$E:$E,'Source 2026'!$B:$B,$A551,'Source 2026'!$A:$A,"Amount (NIS)")+SUMIFS('Source 2026'!$F:$F,'Source 2026'!$B:$B,$A551,'Source 2026'!$A:$A,"Amount (NIS)")+SUMIFS('Source 2026'!$G:$G,'Source 2026'!$B:$B,$A551,'Source 2026'!$A:$A,"Amount (NIS)")+SUMIFS('Source 2026'!$J:$J,'Source 2026'!$B:$B,$A551,'Source 2026'!$A:$A,"Amount (NIS)")+SUMIFS('Source 2026'!$M:$M,'Source 2026'!$B:$B,$A551,'Source 2026'!$A:$A,"Amount (NIS)")</f>
        <v>281</v>
      </c>
      <c r="J551" s="8" t="n">
        <f aca="false">I551*$J$5</f>
        <v>385.371428571429</v>
      </c>
      <c r="K551" s="8" t="n">
        <f aca="false">J551-H551</f>
        <v>153.471428571429</v>
      </c>
      <c r="L551" s="9" t="n">
        <f aca="false">IF(AND(H551=0,J551=0),0,IF(H551=0,"New",(J551-H551)/H551))</f>
        <v>0.661800036961745</v>
      </c>
    </row>
    <row r="552" customFormat="false" ht="15" hidden="false" customHeight="false" outlineLevel="0" collapsed="false">
      <c r="A552" s="7" t="n">
        <v>4408134</v>
      </c>
      <c r="B552" s="7" t="str">
        <f aca="false">IFERROR(INDEX('Source 2026'!$C:$C,MATCH($A552,'Source 2026'!$B:$B,0)),IFERROR(INDEX('Source 2025'!$C:$C,MATCH($A552,'Source 2025'!$B:$B,0)),""))</f>
        <v>077A S-M חגורת גב</v>
      </c>
      <c r="C552" s="8" t="n">
        <f aca="false">SUMIFS('Source 2025'!$D:$D,'Source 2025'!$B:$B,$A552,'Source 2025'!$A:$A,"Quantity (units)")+SUMIFS('Source 2025'!$E:$E,'Source 2025'!$B:$B,$A552,'Source 2025'!$A:$A,"Quantity (units)")+SUMIFS('Source 2025'!$F:$F,'Source 2025'!$B:$B,$A552,'Source 2025'!$A:$A,"Quantity (units)")+SUMIFS('Source 2025'!$G:$G,'Source 2025'!$B:$B,$A552,'Source 2025'!$A:$A,"Quantity (units)")+SUMIFS('Source 2025'!$J:$J,'Source 2025'!$B:$B,$A552,'Source 2025'!$A:$A,"Quantity (units)")+SUMIFS('Source 2025'!$M:$M,'Source 2025'!$B:$B,$A552,'Source 2025'!$A:$A,"Quantity (units)")</f>
        <v>7</v>
      </c>
      <c r="D552" s="8" t="n">
        <f aca="false">SUMIFS('Source 2026'!$D:$D,'Source 2026'!$B:$B,$A552,'Source 2026'!$A:$A,"Quantity (units)")+SUMIFS('Source 2026'!$E:$E,'Source 2026'!$B:$B,$A552,'Source 2026'!$A:$A,"Quantity (units)")+SUMIFS('Source 2026'!$F:$F,'Source 2026'!$B:$B,$A552,'Source 2026'!$A:$A,"Quantity (units)")+SUMIFS('Source 2026'!$G:$G,'Source 2026'!$B:$B,$A552,'Source 2026'!$A:$A,"Quantity (units)")+SUMIFS('Source 2026'!$J:$J,'Source 2026'!$B:$B,$A552,'Source 2026'!$A:$A,"Quantity (units)")+SUMIFS('Source 2026'!$M:$M,'Source 2026'!$B:$B,$A552,'Source 2026'!$A:$A,"Quantity (units)")</f>
        <v>8</v>
      </c>
      <c r="E552" s="8" t="n">
        <f aca="false">D552*$J$5</f>
        <v>10.9714285714286</v>
      </c>
      <c r="F552" s="8" t="n">
        <f aca="false">E552-C552</f>
        <v>3.97142857142857</v>
      </c>
      <c r="G552" s="9" t="n">
        <f aca="false">IF(AND(C552=0,E552=0),0,IF(C552=0,"New",(E552-C552)/C552))</f>
        <v>0.56734693877551</v>
      </c>
      <c r="H552" s="8" t="n">
        <f aca="false">SUMIFS('Source 2025'!$D:$D,'Source 2025'!$B:$B,$A552,'Source 2025'!$A:$A,"Amount (NIS)")+SUMIFS('Source 2025'!$E:$E,'Source 2025'!$B:$B,$A552,'Source 2025'!$A:$A,"Amount (NIS)")+SUMIFS('Source 2025'!$F:$F,'Source 2025'!$B:$B,$A552,'Source 2025'!$A:$A,"Amount (NIS)")+SUMIFS('Source 2025'!$G:$G,'Source 2025'!$B:$B,$A552,'Source 2025'!$A:$A,"Amount (NIS)")+SUMIFS('Source 2025'!$J:$J,'Source 2025'!$B:$B,$A552,'Source 2025'!$A:$A,"Amount (NIS)")+SUMIFS('Source 2025'!$M:$M,'Source 2025'!$B:$B,$A552,'Source 2025'!$A:$A,"Amount (NIS)")</f>
        <v>1044.4</v>
      </c>
      <c r="I552" s="8" t="n">
        <f aca="false">SUMIFS('Source 2026'!$D:$D,'Source 2026'!$B:$B,$A552,'Source 2026'!$A:$A,"Amount (NIS)")+SUMIFS('Source 2026'!$E:$E,'Source 2026'!$B:$B,$A552,'Source 2026'!$A:$A,"Amount (NIS)")+SUMIFS('Source 2026'!$F:$F,'Source 2026'!$B:$B,$A552,'Source 2026'!$A:$A,"Amount (NIS)")+SUMIFS('Source 2026'!$G:$G,'Source 2026'!$B:$B,$A552,'Source 2026'!$A:$A,"Amount (NIS)")+SUMIFS('Source 2026'!$J:$J,'Source 2026'!$B:$B,$A552,'Source 2026'!$A:$A,"Amount (NIS)")+SUMIFS('Source 2026'!$M:$M,'Source 2026'!$B:$B,$A552,'Source 2026'!$A:$A,"Amount (NIS)")</f>
        <v>1093</v>
      </c>
      <c r="J552" s="8" t="n">
        <f aca="false">I552*$J$5</f>
        <v>1498.97142857143</v>
      </c>
      <c r="K552" s="8" t="n">
        <f aca="false">J552-H552</f>
        <v>454.571428571428</v>
      </c>
      <c r="L552" s="9" t="n">
        <f aca="false">IF(AND(H552=0,J552=0),0,IF(H552=0,"New",(J552-H552)/H552))</f>
        <v>0.435246484652842</v>
      </c>
    </row>
    <row r="553" customFormat="false" ht="15" hidden="false" customHeight="false" outlineLevel="0" collapsed="false">
      <c r="A553" s="7" t="n">
        <v>4413368</v>
      </c>
      <c r="B553" s="7" t="str">
        <f aca="false">IFERROR(INDEX('Source 2026'!$C:$C,MATCH($A553,'Source 2026'!$B:$B,0)),IFERROR(INDEX('Source 2025'!$C:$C,MATCH($A553,'Source 2025'!$B:$B,0)),""))</f>
        <v>95C XS'מגן מרפק בז</v>
      </c>
      <c r="C553" s="8" t="n">
        <f aca="false">SUMIFS('Source 2025'!$D:$D,'Source 2025'!$B:$B,$A553,'Source 2025'!$A:$A,"Quantity (units)")+SUMIFS('Source 2025'!$E:$E,'Source 2025'!$B:$B,$A553,'Source 2025'!$A:$A,"Quantity (units)")+SUMIFS('Source 2025'!$F:$F,'Source 2025'!$B:$B,$A553,'Source 2025'!$A:$A,"Quantity (units)")+SUMIFS('Source 2025'!$G:$G,'Source 2025'!$B:$B,$A553,'Source 2025'!$A:$A,"Quantity (units)")+SUMIFS('Source 2025'!$J:$J,'Source 2025'!$B:$B,$A553,'Source 2025'!$A:$A,"Quantity (units)")+SUMIFS('Source 2025'!$M:$M,'Source 2025'!$B:$B,$A553,'Source 2025'!$A:$A,"Quantity (units)")</f>
        <v>12</v>
      </c>
      <c r="D553" s="8" t="n">
        <f aca="false">SUMIFS('Source 2026'!$D:$D,'Source 2026'!$B:$B,$A553,'Source 2026'!$A:$A,"Quantity (units)")+SUMIFS('Source 2026'!$E:$E,'Source 2026'!$B:$B,$A553,'Source 2026'!$A:$A,"Quantity (units)")+SUMIFS('Source 2026'!$F:$F,'Source 2026'!$B:$B,$A553,'Source 2026'!$A:$A,"Quantity (units)")+SUMIFS('Source 2026'!$G:$G,'Source 2026'!$B:$B,$A553,'Source 2026'!$A:$A,"Quantity (units)")+SUMIFS('Source 2026'!$J:$J,'Source 2026'!$B:$B,$A553,'Source 2026'!$A:$A,"Quantity (units)")+SUMIFS('Source 2026'!$M:$M,'Source 2026'!$B:$B,$A553,'Source 2026'!$A:$A,"Quantity (units)")</f>
        <v>10</v>
      </c>
      <c r="E553" s="8" t="n">
        <f aca="false">D553*$J$5</f>
        <v>13.7142857142857</v>
      </c>
      <c r="F553" s="8" t="n">
        <f aca="false">E553-C553</f>
        <v>1.71428571428572</v>
      </c>
      <c r="G553" s="9" t="n">
        <f aca="false">IF(AND(C553=0,E553=0),0,IF(C553=0,"New",(E553-C553)/C553))</f>
        <v>0.142857142857143</v>
      </c>
      <c r="H553" s="8" t="n">
        <f aca="false">SUMIFS('Source 2025'!$D:$D,'Source 2025'!$B:$B,$A553,'Source 2025'!$A:$A,"Amount (NIS)")+SUMIFS('Source 2025'!$E:$E,'Source 2025'!$B:$B,$A553,'Source 2025'!$A:$A,"Amount (NIS)")+SUMIFS('Source 2025'!$F:$F,'Source 2025'!$B:$B,$A553,'Source 2025'!$A:$A,"Amount (NIS)")+SUMIFS('Source 2025'!$G:$G,'Source 2025'!$B:$B,$A553,'Source 2025'!$A:$A,"Amount (NIS)")+SUMIFS('Source 2025'!$J:$J,'Source 2025'!$B:$B,$A553,'Source 2025'!$A:$A,"Amount (NIS)")+SUMIFS('Source 2025'!$M:$M,'Source 2025'!$B:$B,$A553,'Source 2025'!$A:$A,"Amount (NIS)")</f>
        <v>351.9</v>
      </c>
      <c r="I553" s="8" t="n">
        <f aca="false">SUMIFS('Source 2026'!$D:$D,'Source 2026'!$B:$B,$A553,'Source 2026'!$A:$A,"Amount (NIS)")+SUMIFS('Source 2026'!$E:$E,'Source 2026'!$B:$B,$A553,'Source 2026'!$A:$A,"Amount (NIS)")+SUMIFS('Source 2026'!$F:$F,'Source 2026'!$B:$B,$A553,'Source 2026'!$A:$A,"Amount (NIS)")+SUMIFS('Source 2026'!$G:$G,'Source 2026'!$B:$B,$A553,'Source 2026'!$A:$A,"Amount (NIS)")+SUMIFS('Source 2026'!$J:$J,'Source 2026'!$B:$B,$A553,'Source 2026'!$A:$A,"Amount (NIS)")+SUMIFS('Source 2026'!$M:$M,'Source 2026'!$B:$B,$A553,'Source 2026'!$A:$A,"Amount (NIS)")</f>
        <v>303.8</v>
      </c>
      <c r="J553" s="8" t="n">
        <f aca="false">I553*$J$5</f>
        <v>416.64</v>
      </c>
      <c r="K553" s="8" t="n">
        <f aca="false">J553-H553</f>
        <v>64.7400000000001</v>
      </c>
      <c r="L553" s="9" t="n">
        <f aca="false">IF(AND(H553=0,J553=0),0,IF(H553=0,"New",(J553-H553)/H553))</f>
        <v>0.183972719522592</v>
      </c>
    </row>
    <row r="554" customFormat="false" ht="15" hidden="false" customHeight="false" outlineLevel="0" collapsed="false">
      <c r="A554" s="7" t="n">
        <v>4422000</v>
      </c>
      <c r="B554" s="7" t="str">
        <f aca="false">IFERROR(INDEX('Source 2026'!$C:$C,MATCH($A554,'Source 2026'!$B:$B,0)),IFERROR(INDEX('Source 2025'!$C:$C,MATCH($A554,'Source 2025'!$B:$B,0)),""))</f>
        <v>801  תחבושת אלסטית מקררת</v>
      </c>
      <c r="C554" s="8" t="n">
        <f aca="false">SUMIFS('Source 2025'!$D:$D,'Source 2025'!$B:$B,$A554,'Source 2025'!$A:$A,"Quantity (units)")+SUMIFS('Source 2025'!$E:$E,'Source 2025'!$B:$B,$A554,'Source 2025'!$A:$A,"Quantity (units)")+SUMIFS('Source 2025'!$F:$F,'Source 2025'!$B:$B,$A554,'Source 2025'!$A:$A,"Quantity (units)")+SUMIFS('Source 2025'!$G:$G,'Source 2025'!$B:$B,$A554,'Source 2025'!$A:$A,"Quantity (units)")+SUMIFS('Source 2025'!$J:$J,'Source 2025'!$B:$B,$A554,'Source 2025'!$A:$A,"Quantity (units)")+SUMIFS('Source 2025'!$M:$M,'Source 2025'!$B:$B,$A554,'Source 2025'!$A:$A,"Quantity (units)")</f>
        <v>129</v>
      </c>
      <c r="D554" s="8" t="n">
        <f aca="false">SUMIFS('Source 2026'!$D:$D,'Source 2026'!$B:$B,$A554,'Source 2026'!$A:$A,"Quantity (units)")+SUMIFS('Source 2026'!$E:$E,'Source 2026'!$B:$B,$A554,'Source 2026'!$A:$A,"Quantity (units)")+SUMIFS('Source 2026'!$F:$F,'Source 2026'!$B:$B,$A554,'Source 2026'!$A:$A,"Quantity (units)")+SUMIFS('Source 2026'!$G:$G,'Source 2026'!$B:$B,$A554,'Source 2026'!$A:$A,"Quantity (units)")+SUMIFS('Source 2026'!$J:$J,'Source 2026'!$B:$B,$A554,'Source 2026'!$A:$A,"Quantity (units)")+SUMIFS('Source 2026'!$M:$M,'Source 2026'!$B:$B,$A554,'Source 2026'!$A:$A,"Quantity (units)")</f>
        <v>124</v>
      </c>
      <c r="E554" s="8" t="n">
        <f aca="false">D554*$J$5</f>
        <v>170.057142857143</v>
      </c>
      <c r="F554" s="8" t="n">
        <f aca="false">E554-C554</f>
        <v>41.0571428571429</v>
      </c>
      <c r="G554" s="9" t="n">
        <f aca="false">IF(AND(C554=0,E554=0),0,IF(C554=0,"New",(E554-C554)/C554))</f>
        <v>0.318272425249169</v>
      </c>
      <c r="H554" s="8" t="n">
        <f aca="false">SUMIFS('Source 2025'!$D:$D,'Source 2025'!$B:$B,$A554,'Source 2025'!$A:$A,"Amount (NIS)")+SUMIFS('Source 2025'!$E:$E,'Source 2025'!$B:$B,$A554,'Source 2025'!$A:$A,"Amount (NIS)")+SUMIFS('Source 2025'!$F:$F,'Source 2025'!$B:$B,$A554,'Source 2025'!$A:$A,"Amount (NIS)")+SUMIFS('Source 2025'!$G:$G,'Source 2025'!$B:$B,$A554,'Source 2025'!$A:$A,"Amount (NIS)")+SUMIFS('Source 2025'!$J:$J,'Source 2025'!$B:$B,$A554,'Source 2025'!$A:$A,"Amount (NIS)")+SUMIFS('Source 2025'!$M:$M,'Source 2025'!$B:$B,$A554,'Source 2025'!$A:$A,"Amount (NIS)")</f>
        <v>2674.4</v>
      </c>
      <c r="I554" s="8" t="n">
        <f aca="false">SUMIFS('Source 2026'!$D:$D,'Source 2026'!$B:$B,$A554,'Source 2026'!$A:$A,"Amount (NIS)")+SUMIFS('Source 2026'!$E:$E,'Source 2026'!$B:$B,$A554,'Source 2026'!$A:$A,"Amount (NIS)")+SUMIFS('Source 2026'!$F:$F,'Source 2026'!$B:$B,$A554,'Source 2026'!$A:$A,"Amount (NIS)")+SUMIFS('Source 2026'!$G:$G,'Source 2026'!$B:$B,$A554,'Source 2026'!$A:$A,"Amount (NIS)")+SUMIFS('Source 2026'!$J:$J,'Source 2026'!$B:$B,$A554,'Source 2026'!$A:$A,"Amount (NIS)")+SUMIFS('Source 2026'!$M:$M,'Source 2026'!$B:$B,$A554,'Source 2026'!$A:$A,"Amount (NIS)")</f>
        <v>2627.7</v>
      </c>
      <c r="J554" s="8" t="n">
        <f aca="false">I554*$J$5</f>
        <v>3603.70285714286</v>
      </c>
      <c r="K554" s="8" t="n">
        <f aca="false">J554-H554</f>
        <v>929.302857142857</v>
      </c>
      <c r="L554" s="9" t="n">
        <f aca="false">IF(AND(H554=0,J554=0),0,IF(H554=0,"New",(J554-H554)/H554))</f>
        <v>0.347480876885603</v>
      </c>
    </row>
    <row r="555" customFormat="false" ht="15" hidden="false" customHeight="false" outlineLevel="0" collapsed="false">
      <c r="A555" s="7" t="n">
        <v>4401012</v>
      </c>
      <c r="B555" s="7" t="str">
        <f aca="false">IFERROR(INDEX('Source 2026'!$C:$C,MATCH($A555,'Source 2026'!$B:$B,0)),IFERROR(INDEX('Source 2025'!$C:$C,MATCH($A555,'Source 2025'!$B:$B,0)),""))</f>
        <v>805AT-B אתלטיק טייפ שחור 20מ""מ</v>
      </c>
      <c r="C555" s="8" t="n">
        <f aca="false">SUMIFS('Source 2025'!$D:$D,'Source 2025'!$B:$B,$A555,'Source 2025'!$A:$A,"Quantity (units)")+SUMIFS('Source 2025'!$E:$E,'Source 2025'!$B:$B,$A555,'Source 2025'!$A:$A,"Quantity (units)")+SUMIFS('Source 2025'!$F:$F,'Source 2025'!$B:$B,$A555,'Source 2025'!$A:$A,"Quantity (units)")+SUMIFS('Source 2025'!$G:$G,'Source 2025'!$B:$B,$A555,'Source 2025'!$A:$A,"Quantity (units)")+SUMIFS('Source 2025'!$J:$J,'Source 2025'!$B:$B,$A555,'Source 2025'!$A:$A,"Quantity (units)")+SUMIFS('Source 2025'!$M:$M,'Source 2025'!$B:$B,$A555,'Source 2025'!$A:$A,"Quantity (units)")</f>
        <v>20</v>
      </c>
      <c r="D555" s="8" t="n">
        <f aca="false">SUMIFS('Source 2026'!$D:$D,'Source 2026'!$B:$B,$A555,'Source 2026'!$A:$A,"Quantity (units)")+SUMIFS('Source 2026'!$E:$E,'Source 2026'!$B:$B,$A555,'Source 2026'!$A:$A,"Quantity (units)")+SUMIFS('Source 2026'!$F:$F,'Source 2026'!$B:$B,$A555,'Source 2026'!$A:$A,"Quantity (units)")+SUMIFS('Source 2026'!$G:$G,'Source 2026'!$B:$B,$A555,'Source 2026'!$A:$A,"Quantity (units)")+SUMIFS('Source 2026'!$J:$J,'Source 2026'!$B:$B,$A555,'Source 2026'!$A:$A,"Quantity (units)")+SUMIFS('Source 2026'!$M:$M,'Source 2026'!$B:$B,$A555,'Source 2026'!$A:$A,"Quantity (units)")</f>
        <v>21</v>
      </c>
      <c r="E555" s="8" t="n">
        <f aca="false">D555*$J$5</f>
        <v>28.8</v>
      </c>
      <c r="F555" s="8" t="n">
        <f aca="false">E555-C555</f>
        <v>8.8</v>
      </c>
      <c r="G555" s="9" t="n">
        <f aca="false">IF(AND(C555=0,E555=0),0,IF(C555=0,"New",(E555-C555)/C555))</f>
        <v>0.44</v>
      </c>
      <c r="H555" s="8" t="n">
        <f aca="false">SUMIFS('Source 2025'!$D:$D,'Source 2025'!$B:$B,$A555,'Source 2025'!$A:$A,"Amount (NIS)")+SUMIFS('Source 2025'!$E:$E,'Source 2025'!$B:$B,$A555,'Source 2025'!$A:$A,"Amount (NIS)")+SUMIFS('Source 2025'!$F:$F,'Source 2025'!$B:$B,$A555,'Source 2025'!$A:$A,"Amount (NIS)")+SUMIFS('Source 2025'!$G:$G,'Source 2025'!$B:$B,$A555,'Source 2025'!$A:$A,"Amount (NIS)")+SUMIFS('Source 2025'!$J:$J,'Source 2025'!$B:$B,$A555,'Source 2025'!$A:$A,"Amount (NIS)")+SUMIFS('Source 2025'!$M:$M,'Source 2025'!$B:$B,$A555,'Source 2025'!$A:$A,"Amount (NIS)")</f>
        <v>318.7</v>
      </c>
      <c r="I555" s="8" t="n">
        <f aca="false">SUMIFS('Source 2026'!$D:$D,'Source 2026'!$B:$B,$A555,'Source 2026'!$A:$A,"Amount (NIS)")+SUMIFS('Source 2026'!$E:$E,'Source 2026'!$B:$B,$A555,'Source 2026'!$A:$A,"Amount (NIS)")+SUMIFS('Source 2026'!$F:$F,'Source 2026'!$B:$B,$A555,'Source 2026'!$A:$A,"Amount (NIS)")+SUMIFS('Source 2026'!$G:$G,'Source 2026'!$B:$B,$A555,'Source 2026'!$A:$A,"Amount (NIS)")+SUMIFS('Source 2026'!$J:$J,'Source 2026'!$B:$B,$A555,'Source 2026'!$A:$A,"Amount (NIS)")+SUMIFS('Source 2026'!$M:$M,'Source 2026'!$B:$B,$A555,'Source 2026'!$A:$A,"Amount (NIS)")</f>
        <v>358.6</v>
      </c>
      <c r="J555" s="8" t="n">
        <f aca="false">I555*$J$5</f>
        <v>491.794285714286</v>
      </c>
      <c r="K555" s="8" t="n">
        <f aca="false">J555-H555</f>
        <v>173.094285714286</v>
      </c>
      <c r="L555" s="9" t="n">
        <f aca="false">IF(AND(H555=0,J555=0),0,IF(H555=0,"New",(J555-H555)/H555))</f>
        <v>0.543126092608365</v>
      </c>
    </row>
    <row r="556" customFormat="false" ht="15" hidden="false" customHeight="false" outlineLevel="0" collapsed="false">
      <c r="A556" s="7" t="n">
        <v>4413423</v>
      </c>
      <c r="B556" s="7" t="str">
        <f aca="false">IFERROR(INDEX('Source 2026'!$C:$C,MATCH($A556,'Source 2026'!$B:$B,0)),IFERROR(INDEX('Source 2025'!$C:$C,MATCH($A556,'Source 2025'!$B:$B,0)),""))</f>
        <v>SC35L XL מגן קרסול שמאל</v>
      </c>
      <c r="C556" s="8" t="n">
        <f aca="false">SUMIFS('Source 2025'!$D:$D,'Source 2025'!$B:$B,$A556,'Source 2025'!$A:$A,"Quantity (units)")+SUMIFS('Source 2025'!$E:$E,'Source 2025'!$B:$B,$A556,'Source 2025'!$A:$A,"Quantity (units)")+SUMIFS('Source 2025'!$F:$F,'Source 2025'!$B:$B,$A556,'Source 2025'!$A:$A,"Quantity (units)")+SUMIFS('Source 2025'!$G:$G,'Source 2025'!$B:$B,$A556,'Source 2025'!$A:$A,"Quantity (units)")+SUMIFS('Source 2025'!$J:$J,'Source 2025'!$B:$B,$A556,'Source 2025'!$A:$A,"Quantity (units)")+SUMIFS('Source 2025'!$M:$M,'Source 2025'!$B:$B,$A556,'Source 2025'!$A:$A,"Quantity (units)")</f>
        <v>1</v>
      </c>
      <c r="D556" s="8" t="n">
        <f aca="false">SUMIFS('Source 2026'!$D:$D,'Source 2026'!$B:$B,$A556,'Source 2026'!$A:$A,"Quantity (units)")+SUMIFS('Source 2026'!$E:$E,'Source 2026'!$B:$B,$A556,'Source 2026'!$A:$A,"Quantity (units)")+SUMIFS('Source 2026'!$F:$F,'Source 2026'!$B:$B,$A556,'Source 2026'!$A:$A,"Quantity (units)")+SUMIFS('Source 2026'!$G:$G,'Source 2026'!$B:$B,$A556,'Source 2026'!$A:$A,"Quantity (units)")+SUMIFS('Source 2026'!$J:$J,'Source 2026'!$B:$B,$A556,'Source 2026'!$A:$A,"Quantity (units)")+SUMIFS('Source 2026'!$M:$M,'Source 2026'!$B:$B,$A556,'Source 2026'!$A:$A,"Quantity (units)")</f>
        <v>1</v>
      </c>
      <c r="E556" s="8" t="n">
        <f aca="false">D556*$J$5</f>
        <v>1.37142857142857</v>
      </c>
      <c r="F556" s="8" t="n">
        <f aca="false">E556-C556</f>
        <v>0.371428571428571</v>
      </c>
      <c r="G556" s="9" t="n">
        <f aca="false">IF(AND(C556=0,E556=0),0,IF(C556=0,"New",(E556-C556)/C556))</f>
        <v>0.371428571428571</v>
      </c>
      <c r="H556" s="8" t="n">
        <f aca="false">SUMIFS('Source 2025'!$D:$D,'Source 2025'!$B:$B,$A556,'Source 2025'!$A:$A,"Amount (NIS)")+SUMIFS('Source 2025'!$E:$E,'Source 2025'!$B:$B,$A556,'Source 2025'!$A:$A,"Amount (NIS)")+SUMIFS('Source 2025'!$F:$F,'Source 2025'!$B:$B,$A556,'Source 2025'!$A:$A,"Amount (NIS)")+SUMIFS('Source 2025'!$G:$G,'Source 2025'!$B:$B,$A556,'Source 2025'!$A:$A,"Amount (NIS)")+SUMIFS('Source 2025'!$J:$J,'Source 2025'!$B:$B,$A556,'Source 2025'!$A:$A,"Amount (NIS)")+SUMIFS('Source 2025'!$M:$M,'Source 2025'!$B:$B,$A556,'Source 2025'!$A:$A,"Amount (NIS)")</f>
        <v>72.1</v>
      </c>
      <c r="I556" s="8" t="n">
        <f aca="false">SUMIFS('Source 2026'!$D:$D,'Source 2026'!$B:$B,$A556,'Source 2026'!$A:$A,"Amount (NIS)")+SUMIFS('Source 2026'!$E:$E,'Source 2026'!$B:$B,$A556,'Source 2026'!$A:$A,"Amount (NIS)")+SUMIFS('Source 2026'!$F:$F,'Source 2026'!$B:$B,$A556,'Source 2026'!$A:$A,"Amount (NIS)")+SUMIFS('Source 2026'!$G:$G,'Source 2026'!$B:$B,$A556,'Source 2026'!$A:$A,"Amount (NIS)")+SUMIFS('Source 2026'!$J:$J,'Source 2026'!$B:$B,$A556,'Source 2026'!$A:$A,"Amount (NIS)")+SUMIFS('Source 2026'!$M:$M,'Source 2026'!$B:$B,$A556,'Source 2026'!$A:$A,"Amount (NIS)")</f>
        <v>111.8</v>
      </c>
      <c r="J556" s="8" t="n">
        <f aca="false">I556*$J$5</f>
        <v>153.325714285714</v>
      </c>
      <c r="K556" s="8" t="n">
        <f aca="false">J556-H556</f>
        <v>81.2257142857143</v>
      </c>
      <c r="L556" s="9" t="n">
        <f aca="false">IF(AND(H556=0,J556=0),0,IF(H556=0,"New",(J556-H556)/H556))</f>
        <v>1.12657023974638</v>
      </c>
    </row>
    <row r="557" customFormat="false" ht="15" hidden="false" customHeight="false" outlineLevel="0" collapsed="false">
      <c r="A557" s="7" t="n">
        <v>4408031</v>
      </c>
      <c r="B557" s="7" t="str">
        <f aca="false">IFERROR(INDEX('Source 2026'!$C:$C,MATCH($A557,'Source 2026'!$B:$B,0)),IFERROR(INDEX('Source 2025'!$C:$C,MATCH($A557,'Source 2025'!$B:$B,0)),""))</f>
        <v>11 S""חגורת בטן""אורירית</v>
      </c>
      <c r="C557" s="8" t="n">
        <f aca="false">SUMIFS('Source 2025'!$D:$D,'Source 2025'!$B:$B,$A557,'Source 2025'!$A:$A,"Quantity (units)")+SUMIFS('Source 2025'!$E:$E,'Source 2025'!$B:$B,$A557,'Source 2025'!$A:$A,"Quantity (units)")+SUMIFS('Source 2025'!$F:$F,'Source 2025'!$B:$B,$A557,'Source 2025'!$A:$A,"Quantity (units)")+SUMIFS('Source 2025'!$G:$G,'Source 2025'!$B:$B,$A557,'Source 2025'!$A:$A,"Quantity (units)")+SUMIFS('Source 2025'!$J:$J,'Source 2025'!$B:$B,$A557,'Source 2025'!$A:$A,"Quantity (units)")+SUMIFS('Source 2025'!$M:$M,'Source 2025'!$B:$B,$A557,'Source 2025'!$A:$A,"Quantity (units)")</f>
        <v>5</v>
      </c>
      <c r="D557" s="8" t="n">
        <f aca="false">SUMIFS('Source 2026'!$D:$D,'Source 2026'!$B:$B,$A557,'Source 2026'!$A:$A,"Quantity (units)")+SUMIFS('Source 2026'!$E:$E,'Source 2026'!$B:$B,$A557,'Source 2026'!$A:$A,"Quantity (units)")+SUMIFS('Source 2026'!$F:$F,'Source 2026'!$B:$B,$A557,'Source 2026'!$A:$A,"Quantity (units)")+SUMIFS('Source 2026'!$G:$G,'Source 2026'!$B:$B,$A557,'Source 2026'!$A:$A,"Quantity (units)")+SUMIFS('Source 2026'!$J:$J,'Source 2026'!$B:$B,$A557,'Source 2026'!$A:$A,"Quantity (units)")+SUMIFS('Source 2026'!$M:$M,'Source 2026'!$B:$B,$A557,'Source 2026'!$A:$A,"Quantity (units)")</f>
        <v>5</v>
      </c>
      <c r="E557" s="8" t="n">
        <f aca="false">D557*$J$5</f>
        <v>6.85714285714286</v>
      </c>
      <c r="F557" s="8" t="n">
        <f aca="false">E557-C557</f>
        <v>1.85714285714286</v>
      </c>
      <c r="G557" s="9" t="n">
        <f aca="false">IF(AND(C557=0,E557=0),0,IF(C557=0,"New",(E557-C557)/C557))</f>
        <v>0.371428571428572</v>
      </c>
      <c r="H557" s="8" t="n">
        <f aca="false">SUMIFS('Source 2025'!$D:$D,'Source 2025'!$B:$B,$A557,'Source 2025'!$A:$A,"Amount (NIS)")+SUMIFS('Source 2025'!$E:$E,'Source 2025'!$B:$B,$A557,'Source 2025'!$A:$A,"Amount (NIS)")+SUMIFS('Source 2025'!$F:$F,'Source 2025'!$B:$B,$A557,'Source 2025'!$A:$A,"Amount (NIS)")+SUMIFS('Source 2025'!$G:$G,'Source 2025'!$B:$B,$A557,'Source 2025'!$A:$A,"Amount (NIS)")+SUMIFS('Source 2025'!$J:$J,'Source 2025'!$B:$B,$A557,'Source 2025'!$A:$A,"Amount (NIS)")+SUMIFS('Source 2025'!$M:$M,'Source 2025'!$B:$B,$A557,'Source 2025'!$A:$A,"Amount (NIS)")</f>
        <v>495.9</v>
      </c>
      <c r="I557" s="8" t="n">
        <f aca="false">SUMIFS('Source 2026'!$D:$D,'Source 2026'!$B:$B,$A557,'Source 2026'!$A:$A,"Amount (NIS)")+SUMIFS('Source 2026'!$E:$E,'Source 2026'!$B:$B,$A557,'Source 2026'!$A:$A,"Amount (NIS)")+SUMIFS('Source 2026'!$F:$F,'Source 2026'!$B:$B,$A557,'Source 2026'!$A:$A,"Amount (NIS)")+SUMIFS('Source 2026'!$G:$G,'Source 2026'!$B:$B,$A557,'Source 2026'!$A:$A,"Amount (NIS)")+SUMIFS('Source 2026'!$J:$J,'Source 2026'!$B:$B,$A557,'Source 2026'!$A:$A,"Amount (NIS)")+SUMIFS('Source 2026'!$M:$M,'Source 2026'!$B:$B,$A557,'Source 2026'!$A:$A,"Amount (NIS)")</f>
        <v>534.5</v>
      </c>
      <c r="J557" s="8" t="n">
        <f aca="false">I557*$J$5</f>
        <v>733.028571428572</v>
      </c>
      <c r="K557" s="8" t="n">
        <f aca="false">J557-H557</f>
        <v>237.128571428571</v>
      </c>
      <c r="L557" s="9" t="n">
        <f aca="false">IF(AND(H557=0,J557=0),0,IF(H557=0,"New",(J557-H557)/H557))</f>
        <v>0.478178204131017</v>
      </c>
    </row>
    <row r="558" customFormat="false" ht="15" hidden="false" customHeight="false" outlineLevel="0" collapsed="false">
      <c r="A558" s="7" t="n">
        <v>4420034</v>
      </c>
      <c r="B558" s="7" t="str">
        <f aca="false">IFERROR(INDEX('Source 2026'!$C:$C,MATCH($A558,'Source 2026'!$B:$B,0)),IFERROR(INDEX('Source 2025'!$C:$C,MATCH($A558,'Source 2025'!$B:$B,0)),""))</f>
        <v>381 HV רצועה אלסטית</v>
      </c>
      <c r="C558" s="8" t="n">
        <f aca="false">SUMIFS('Source 2025'!$D:$D,'Source 2025'!$B:$B,$A558,'Source 2025'!$A:$A,"Quantity (units)")+SUMIFS('Source 2025'!$E:$E,'Source 2025'!$B:$B,$A558,'Source 2025'!$A:$A,"Quantity (units)")+SUMIFS('Source 2025'!$F:$F,'Source 2025'!$B:$B,$A558,'Source 2025'!$A:$A,"Quantity (units)")+SUMIFS('Source 2025'!$G:$G,'Source 2025'!$B:$B,$A558,'Source 2025'!$A:$A,"Quantity (units)")+SUMIFS('Source 2025'!$J:$J,'Source 2025'!$B:$B,$A558,'Source 2025'!$A:$A,"Quantity (units)")+SUMIFS('Source 2025'!$M:$M,'Source 2025'!$B:$B,$A558,'Source 2025'!$A:$A,"Quantity (units)")</f>
        <v>2</v>
      </c>
      <c r="D558" s="8" t="n">
        <f aca="false">SUMIFS('Source 2026'!$D:$D,'Source 2026'!$B:$B,$A558,'Source 2026'!$A:$A,"Quantity (units)")+SUMIFS('Source 2026'!$E:$E,'Source 2026'!$B:$B,$A558,'Source 2026'!$A:$A,"Quantity (units)")+SUMIFS('Source 2026'!$F:$F,'Source 2026'!$B:$B,$A558,'Source 2026'!$A:$A,"Quantity (units)")+SUMIFS('Source 2026'!$G:$G,'Source 2026'!$B:$B,$A558,'Source 2026'!$A:$A,"Quantity (units)")+SUMIFS('Source 2026'!$J:$J,'Source 2026'!$B:$B,$A558,'Source 2026'!$A:$A,"Quantity (units)")+SUMIFS('Source 2026'!$M:$M,'Source 2026'!$B:$B,$A558,'Source 2026'!$A:$A,"Quantity (units)")</f>
        <v>3</v>
      </c>
      <c r="E558" s="8" t="n">
        <f aca="false">D558*$J$5</f>
        <v>4.11428571428571</v>
      </c>
      <c r="F558" s="8" t="n">
        <f aca="false">E558-C558</f>
        <v>2.11428571428571</v>
      </c>
      <c r="G558" s="9" t="n">
        <f aca="false">IF(AND(C558=0,E558=0),0,IF(C558=0,"New",(E558-C558)/C558))</f>
        <v>1.05714285714286</v>
      </c>
      <c r="H558" s="8" t="n">
        <f aca="false">SUMIFS('Source 2025'!$D:$D,'Source 2025'!$B:$B,$A558,'Source 2025'!$A:$A,"Amount (NIS)")+SUMIFS('Source 2025'!$E:$E,'Source 2025'!$B:$B,$A558,'Source 2025'!$A:$A,"Amount (NIS)")+SUMIFS('Source 2025'!$F:$F,'Source 2025'!$B:$B,$A558,'Source 2025'!$A:$A,"Amount (NIS)")+SUMIFS('Source 2025'!$G:$G,'Source 2025'!$B:$B,$A558,'Source 2025'!$A:$A,"Amount (NIS)")+SUMIFS('Source 2025'!$J:$J,'Source 2025'!$B:$B,$A558,'Source 2025'!$A:$A,"Amount (NIS)")+SUMIFS('Source 2025'!$M:$M,'Source 2025'!$B:$B,$A558,'Source 2025'!$A:$A,"Amount (NIS)")</f>
        <v>75.5</v>
      </c>
      <c r="I558" s="8" t="n">
        <f aca="false">SUMIFS('Source 2026'!$D:$D,'Source 2026'!$B:$B,$A558,'Source 2026'!$A:$A,"Amount (NIS)")+SUMIFS('Source 2026'!$E:$E,'Source 2026'!$B:$B,$A558,'Source 2026'!$A:$A,"Amount (NIS)")+SUMIFS('Source 2026'!$F:$F,'Source 2026'!$B:$B,$A558,'Source 2026'!$A:$A,"Amount (NIS)")+SUMIFS('Source 2026'!$G:$G,'Source 2026'!$B:$B,$A558,'Source 2026'!$A:$A,"Amount (NIS)")+SUMIFS('Source 2026'!$J:$J,'Source 2026'!$B:$B,$A558,'Source 2026'!$A:$A,"Amount (NIS)")+SUMIFS('Source 2026'!$M:$M,'Source 2026'!$B:$B,$A558,'Source 2026'!$A:$A,"Amount (NIS)")</f>
        <v>113.3</v>
      </c>
      <c r="J558" s="8" t="n">
        <f aca="false">I558*$J$5</f>
        <v>155.382857142857</v>
      </c>
      <c r="K558" s="8" t="n">
        <f aca="false">J558-H558</f>
        <v>79.8828571428572</v>
      </c>
      <c r="L558" s="9" t="n">
        <f aca="false">IF(AND(H558=0,J558=0),0,IF(H558=0,"New",(J558-H558)/H558))</f>
        <v>1.05805108798486</v>
      </c>
    </row>
    <row r="559" customFormat="false" ht="15" hidden="false" customHeight="false" outlineLevel="0" collapsed="false">
      <c r="A559" s="7" t="n">
        <v>4413166</v>
      </c>
      <c r="B559" s="7" t="str">
        <f aca="false">IFERROR(INDEX('Source 2026'!$C:$C,MATCH($A559,'Source 2026'!$B:$B,0)),IFERROR(INDEX('Source 2025'!$C:$C,MATCH($A559,'Source 2025'!$B:$B,0)),""))</f>
        <v>80 S תתמתלה ליד רצועה</v>
      </c>
      <c r="C559" s="8" t="n">
        <f aca="false">SUMIFS('Source 2025'!$D:$D,'Source 2025'!$B:$B,$A559,'Source 2025'!$A:$A,"Quantity (units)")+SUMIFS('Source 2025'!$E:$E,'Source 2025'!$B:$B,$A559,'Source 2025'!$A:$A,"Quantity (units)")+SUMIFS('Source 2025'!$F:$F,'Source 2025'!$B:$B,$A559,'Source 2025'!$A:$A,"Quantity (units)")+SUMIFS('Source 2025'!$G:$G,'Source 2025'!$B:$B,$A559,'Source 2025'!$A:$A,"Quantity (units)")+SUMIFS('Source 2025'!$J:$J,'Source 2025'!$B:$B,$A559,'Source 2025'!$A:$A,"Quantity (units)")+SUMIFS('Source 2025'!$M:$M,'Source 2025'!$B:$B,$A559,'Source 2025'!$A:$A,"Quantity (units)")</f>
        <v>-1</v>
      </c>
      <c r="D559" s="8" t="n">
        <f aca="false">SUMIFS('Source 2026'!$D:$D,'Source 2026'!$B:$B,$A559,'Source 2026'!$A:$A,"Quantity (units)")+SUMIFS('Source 2026'!$E:$E,'Source 2026'!$B:$B,$A559,'Source 2026'!$A:$A,"Quantity (units)")+SUMIFS('Source 2026'!$F:$F,'Source 2026'!$B:$B,$A559,'Source 2026'!$A:$A,"Quantity (units)")+SUMIFS('Source 2026'!$G:$G,'Source 2026'!$B:$B,$A559,'Source 2026'!$A:$A,"Quantity (units)")+SUMIFS('Source 2026'!$J:$J,'Source 2026'!$B:$B,$A559,'Source 2026'!$A:$A,"Quantity (units)")+SUMIFS('Source 2026'!$M:$M,'Source 2026'!$B:$B,$A559,'Source 2026'!$A:$A,"Quantity (units)")</f>
        <v>0</v>
      </c>
      <c r="E559" s="8" t="n">
        <f aca="false">D559*$J$5</f>
        <v>0</v>
      </c>
      <c r="F559" s="8" t="n">
        <f aca="false">E559-C559</f>
        <v>1</v>
      </c>
      <c r="G559" s="9" t="n">
        <f aca="false">IF(AND(C559=0,E559=0),0,IF(C559=0,"New",(E559-C559)/C559))</f>
        <v>-1</v>
      </c>
      <c r="H559" s="8" t="n">
        <f aca="false">SUMIFS('Source 2025'!$D:$D,'Source 2025'!$B:$B,$A559,'Source 2025'!$A:$A,"Amount (NIS)")+SUMIFS('Source 2025'!$E:$E,'Source 2025'!$B:$B,$A559,'Source 2025'!$A:$A,"Amount (NIS)")+SUMIFS('Source 2025'!$F:$F,'Source 2025'!$B:$B,$A559,'Source 2025'!$A:$A,"Amount (NIS)")+SUMIFS('Source 2025'!$G:$G,'Source 2025'!$B:$B,$A559,'Source 2025'!$A:$A,"Amount (NIS)")+SUMIFS('Source 2025'!$J:$J,'Source 2025'!$B:$B,$A559,'Source 2025'!$A:$A,"Amount (NIS)")+SUMIFS('Source 2025'!$M:$M,'Source 2025'!$B:$B,$A559,'Source 2025'!$A:$A,"Amount (NIS)")</f>
        <v>-37.8</v>
      </c>
      <c r="I559" s="8" t="n">
        <f aca="false">SUMIFS('Source 2026'!$D:$D,'Source 2026'!$B:$B,$A559,'Source 2026'!$A:$A,"Amount (NIS)")+SUMIFS('Source 2026'!$E:$E,'Source 2026'!$B:$B,$A559,'Source 2026'!$A:$A,"Amount (NIS)")+SUMIFS('Source 2026'!$F:$F,'Source 2026'!$B:$B,$A559,'Source 2026'!$A:$A,"Amount (NIS)")+SUMIFS('Source 2026'!$G:$G,'Source 2026'!$B:$B,$A559,'Source 2026'!$A:$A,"Amount (NIS)")+SUMIFS('Source 2026'!$J:$J,'Source 2026'!$B:$B,$A559,'Source 2026'!$A:$A,"Amount (NIS)")+SUMIFS('Source 2026'!$M:$M,'Source 2026'!$B:$B,$A559,'Source 2026'!$A:$A,"Amount (NIS)")</f>
        <v>0</v>
      </c>
      <c r="J559" s="8" t="n">
        <f aca="false">I559*$J$5</f>
        <v>0</v>
      </c>
      <c r="K559" s="8" t="n">
        <f aca="false">J559-H559</f>
        <v>37.8</v>
      </c>
      <c r="L559" s="9" t="n">
        <f aca="false">IF(AND(H559=0,J559=0),0,IF(H559=0,"New",(J559-H559)/H559))</f>
        <v>-1</v>
      </c>
    </row>
    <row r="560" customFormat="false" ht="15" hidden="false" customHeight="false" outlineLevel="0" collapsed="false">
      <c r="A560" s="7" t="n">
        <v>4413115</v>
      </c>
      <c r="B560" s="7" t="str">
        <f aca="false">IFERROR(INDEX('Source 2026'!$C:$C,MATCH($A560,'Source 2026'!$B:$B,0)),IFERROR(INDEX('Source 2025'!$C:$C,MATCH($A560,'Source 2025'!$B:$B,0)),""))</f>
        <v>49 XXL מגן ירך</v>
      </c>
      <c r="C560" s="8" t="n">
        <f aca="false">SUMIFS('Source 2025'!$D:$D,'Source 2025'!$B:$B,$A560,'Source 2025'!$A:$A,"Quantity (units)")+SUMIFS('Source 2025'!$E:$E,'Source 2025'!$B:$B,$A560,'Source 2025'!$A:$A,"Quantity (units)")+SUMIFS('Source 2025'!$F:$F,'Source 2025'!$B:$B,$A560,'Source 2025'!$A:$A,"Quantity (units)")+SUMIFS('Source 2025'!$G:$G,'Source 2025'!$B:$B,$A560,'Source 2025'!$A:$A,"Quantity (units)")+SUMIFS('Source 2025'!$J:$J,'Source 2025'!$B:$B,$A560,'Source 2025'!$A:$A,"Quantity (units)")+SUMIFS('Source 2025'!$M:$M,'Source 2025'!$B:$B,$A560,'Source 2025'!$A:$A,"Quantity (units)")</f>
        <v>4</v>
      </c>
      <c r="D560" s="8" t="n">
        <f aca="false">SUMIFS('Source 2026'!$D:$D,'Source 2026'!$B:$B,$A560,'Source 2026'!$A:$A,"Quantity (units)")+SUMIFS('Source 2026'!$E:$E,'Source 2026'!$B:$B,$A560,'Source 2026'!$A:$A,"Quantity (units)")+SUMIFS('Source 2026'!$F:$F,'Source 2026'!$B:$B,$A560,'Source 2026'!$A:$A,"Quantity (units)")+SUMIFS('Source 2026'!$G:$G,'Source 2026'!$B:$B,$A560,'Source 2026'!$A:$A,"Quantity (units)")+SUMIFS('Source 2026'!$J:$J,'Source 2026'!$B:$B,$A560,'Source 2026'!$A:$A,"Quantity (units)")+SUMIFS('Source 2026'!$M:$M,'Source 2026'!$B:$B,$A560,'Source 2026'!$A:$A,"Quantity (units)")</f>
        <v>5</v>
      </c>
      <c r="E560" s="8" t="n">
        <f aca="false">D560*$J$5</f>
        <v>6.85714285714286</v>
      </c>
      <c r="F560" s="8" t="n">
        <f aca="false">E560-C560</f>
        <v>2.85714285714286</v>
      </c>
      <c r="G560" s="9" t="n">
        <f aca="false">IF(AND(C560=0,E560=0),0,IF(C560=0,"New",(E560-C560)/C560))</f>
        <v>0.714285714285714</v>
      </c>
      <c r="H560" s="8" t="n">
        <f aca="false">SUMIFS('Source 2025'!$D:$D,'Source 2025'!$B:$B,$A560,'Source 2025'!$A:$A,"Amount (NIS)")+SUMIFS('Source 2025'!$E:$E,'Source 2025'!$B:$B,$A560,'Source 2025'!$A:$A,"Amount (NIS)")+SUMIFS('Source 2025'!$F:$F,'Source 2025'!$B:$B,$A560,'Source 2025'!$A:$A,"Amount (NIS)")+SUMIFS('Source 2025'!$G:$G,'Source 2025'!$B:$B,$A560,'Source 2025'!$A:$A,"Amount (NIS)")+SUMIFS('Source 2025'!$J:$J,'Source 2025'!$B:$B,$A560,'Source 2025'!$A:$A,"Amount (NIS)")+SUMIFS('Source 2025'!$M:$M,'Source 2025'!$B:$B,$A560,'Source 2025'!$A:$A,"Amount (NIS)")</f>
        <v>138.3</v>
      </c>
      <c r="I560" s="8" t="n">
        <f aca="false">SUMIFS('Source 2026'!$D:$D,'Source 2026'!$B:$B,$A560,'Source 2026'!$A:$A,"Amount (NIS)")+SUMIFS('Source 2026'!$E:$E,'Source 2026'!$B:$B,$A560,'Source 2026'!$A:$A,"Amount (NIS)")+SUMIFS('Source 2026'!$F:$F,'Source 2026'!$B:$B,$A560,'Source 2026'!$A:$A,"Amount (NIS)")+SUMIFS('Source 2026'!$G:$G,'Source 2026'!$B:$B,$A560,'Source 2026'!$A:$A,"Amount (NIS)")+SUMIFS('Source 2026'!$J:$J,'Source 2026'!$B:$B,$A560,'Source 2026'!$A:$A,"Amount (NIS)")+SUMIFS('Source 2026'!$M:$M,'Source 2026'!$B:$B,$A560,'Source 2026'!$A:$A,"Amount (NIS)")</f>
        <v>175.5</v>
      </c>
      <c r="J560" s="8" t="n">
        <f aca="false">I560*$J$5</f>
        <v>240.685714285714</v>
      </c>
      <c r="K560" s="8" t="n">
        <f aca="false">J560-H560</f>
        <v>102.385714285714</v>
      </c>
      <c r="L560" s="9" t="n">
        <f aca="false">IF(AND(H560=0,J560=0),0,IF(H560=0,"New",(J560-H560)/H560))</f>
        <v>0.740316083049272</v>
      </c>
    </row>
    <row r="561" customFormat="false" ht="15" hidden="false" customHeight="false" outlineLevel="0" collapsed="false">
      <c r="A561" s="7" t="n">
        <v>4420009</v>
      </c>
      <c r="B561" s="7" t="str">
        <f aca="false">IFERROR(INDEX('Source 2026'!$C:$C,MATCH($A561,'Source 2026'!$B:$B,0)),IFERROR(INDEX('Source 2025'!$C:$C,MATCH($A561,'Source 2025'!$B:$B,0)),""))</f>
        <v>377  רפ.אורטופדית ספורט זוג40</v>
      </c>
      <c r="C561" s="8" t="n">
        <f aca="false">SUMIFS('Source 2025'!$D:$D,'Source 2025'!$B:$B,$A561,'Source 2025'!$A:$A,"Quantity (units)")+SUMIFS('Source 2025'!$E:$E,'Source 2025'!$B:$B,$A561,'Source 2025'!$A:$A,"Quantity (units)")+SUMIFS('Source 2025'!$F:$F,'Source 2025'!$B:$B,$A561,'Source 2025'!$A:$A,"Quantity (units)")+SUMIFS('Source 2025'!$G:$G,'Source 2025'!$B:$B,$A561,'Source 2025'!$A:$A,"Quantity (units)")+SUMIFS('Source 2025'!$J:$J,'Source 2025'!$B:$B,$A561,'Source 2025'!$A:$A,"Quantity (units)")+SUMIFS('Source 2025'!$M:$M,'Source 2025'!$B:$B,$A561,'Source 2025'!$A:$A,"Quantity (units)")</f>
        <v>0</v>
      </c>
      <c r="D561" s="8" t="n">
        <f aca="false">SUMIFS('Source 2026'!$D:$D,'Source 2026'!$B:$B,$A561,'Source 2026'!$A:$A,"Quantity (units)")+SUMIFS('Source 2026'!$E:$E,'Source 2026'!$B:$B,$A561,'Source 2026'!$A:$A,"Quantity (units)")+SUMIFS('Source 2026'!$F:$F,'Source 2026'!$B:$B,$A561,'Source 2026'!$A:$A,"Quantity (units)")+SUMIFS('Source 2026'!$G:$G,'Source 2026'!$B:$B,$A561,'Source 2026'!$A:$A,"Quantity (units)")+SUMIFS('Source 2026'!$J:$J,'Source 2026'!$B:$B,$A561,'Source 2026'!$A:$A,"Quantity (units)")+SUMIFS('Source 2026'!$M:$M,'Source 2026'!$B:$B,$A561,'Source 2026'!$A:$A,"Quantity (units)")</f>
        <v>-1</v>
      </c>
      <c r="E561" s="8" t="n">
        <f aca="false">D561*$J$5</f>
        <v>-1.37142857142857</v>
      </c>
      <c r="F561" s="8" t="n">
        <f aca="false">E561-C561</f>
        <v>-1.37142857142857</v>
      </c>
      <c r="G561" s="9" t="str">
        <f aca="false">IF(AND(C561=0,E561=0),0,IF(C561=0,"New",(E561-C561)/C561))</f>
        <v>New</v>
      </c>
      <c r="H561" s="8" t="n">
        <f aca="false">SUMIFS('Source 2025'!$D:$D,'Source 2025'!$B:$B,$A561,'Source 2025'!$A:$A,"Amount (NIS)")+SUMIFS('Source 2025'!$E:$E,'Source 2025'!$B:$B,$A561,'Source 2025'!$A:$A,"Amount (NIS)")+SUMIFS('Source 2025'!$F:$F,'Source 2025'!$B:$B,$A561,'Source 2025'!$A:$A,"Amount (NIS)")+SUMIFS('Source 2025'!$G:$G,'Source 2025'!$B:$B,$A561,'Source 2025'!$A:$A,"Amount (NIS)")+SUMIFS('Source 2025'!$J:$J,'Source 2025'!$B:$B,$A561,'Source 2025'!$A:$A,"Amount (NIS)")+SUMIFS('Source 2025'!$M:$M,'Source 2025'!$B:$B,$A561,'Source 2025'!$A:$A,"Amount (NIS)")</f>
        <v>0</v>
      </c>
      <c r="I561" s="8" t="n">
        <f aca="false">SUMIFS('Source 2026'!$D:$D,'Source 2026'!$B:$B,$A561,'Source 2026'!$A:$A,"Amount (NIS)")+SUMIFS('Source 2026'!$E:$E,'Source 2026'!$B:$B,$A561,'Source 2026'!$A:$A,"Amount (NIS)")+SUMIFS('Source 2026'!$F:$F,'Source 2026'!$B:$B,$A561,'Source 2026'!$A:$A,"Amount (NIS)")+SUMIFS('Source 2026'!$G:$G,'Source 2026'!$B:$B,$A561,'Source 2026'!$A:$A,"Amount (NIS)")+SUMIFS('Source 2026'!$J:$J,'Source 2026'!$B:$B,$A561,'Source 2026'!$A:$A,"Amount (NIS)")+SUMIFS('Source 2026'!$M:$M,'Source 2026'!$B:$B,$A561,'Source 2026'!$A:$A,"Amount (NIS)")</f>
        <v>-36.5</v>
      </c>
      <c r="J561" s="8" t="n">
        <f aca="false">I561*$J$5</f>
        <v>-50.0571428571429</v>
      </c>
      <c r="K561" s="8" t="n">
        <f aca="false">J561-H561</f>
        <v>-50.0571428571429</v>
      </c>
      <c r="L561" s="9" t="str">
        <f aca="false">IF(AND(H561=0,J561=0),0,IF(H561=0,"New",(J561-H561)/H561))</f>
        <v>New</v>
      </c>
    </row>
    <row r="562" customFormat="false" ht="15" hidden="false" customHeight="false" outlineLevel="0" collapsed="false">
      <c r="A562" s="7" t="n">
        <v>4420012</v>
      </c>
      <c r="B562" s="7" t="str">
        <f aca="false">IFERROR(INDEX('Source 2026'!$C:$C,MATCH($A562,'Source 2026'!$B:$B,0)),IFERROR(INDEX('Source 2025'!$C:$C,MATCH($A562,'Source 2025'!$B:$B,0)),""))</f>
        <v>377   רפידה אורט.ספורט זוג43</v>
      </c>
      <c r="C562" s="8" t="n">
        <f aca="false">SUMIFS('Source 2025'!$D:$D,'Source 2025'!$B:$B,$A562,'Source 2025'!$A:$A,"Quantity (units)")+SUMIFS('Source 2025'!$E:$E,'Source 2025'!$B:$B,$A562,'Source 2025'!$A:$A,"Quantity (units)")+SUMIFS('Source 2025'!$F:$F,'Source 2025'!$B:$B,$A562,'Source 2025'!$A:$A,"Quantity (units)")+SUMIFS('Source 2025'!$G:$G,'Source 2025'!$B:$B,$A562,'Source 2025'!$A:$A,"Quantity (units)")+SUMIFS('Source 2025'!$J:$J,'Source 2025'!$B:$B,$A562,'Source 2025'!$A:$A,"Quantity (units)")+SUMIFS('Source 2025'!$M:$M,'Source 2025'!$B:$B,$A562,'Source 2025'!$A:$A,"Quantity (units)")</f>
        <v>0</v>
      </c>
      <c r="D562" s="8" t="n">
        <f aca="false">SUMIFS('Source 2026'!$D:$D,'Source 2026'!$B:$B,$A562,'Source 2026'!$A:$A,"Quantity (units)")+SUMIFS('Source 2026'!$E:$E,'Source 2026'!$B:$B,$A562,'Source 2026'!$A:$A,"Quantity (units)")+SUMIFS('Source 2026'!$F:$F,'Source 2026'!$B:$B,$A562,'Source 2026'!$A:$A,"Quantity (units)")+SUMIFS('Source 2026'!$G:$G,'Source 2026'!$B:$B,$A562,'Source 2026'!$A:$A,"Quantity (units)")+SUMIFS('Source 2026'!$J:$J,'Source 2026'!$B:$B,$A562,'Source 2026'!$A:$A,"Quantity (units)")+SUMIFS('Source 2026'!$M:$M,'Source 2026'!$B:$B,$A562,'Source 2026'!$A:$A,"Quantity (units)")</f>
        <v>-1</v>
      </c>
      <c r="E562" s="8" t="n">
        <f aca="false">D562*$J$5</f>
        <v>-1.37142857142857</v>
      </c>
      <c r="F562" s="8" t="n">
        <f aca="false">E562-C562</f>
        <v>-1.37142857142857</v>
      </c>
      <c r="G562" s="9" t="str">
        <f aca="false">IF(AND(C562=0,E562=0),0,IF(C562=0,"New",(E562-C562)/C562))</f>
        <v>New</v>
      </c>
      <c r="H562" s="8" t="n">
        <f aca="false">SUMIFS('Source 2025'!$D:$D,'Source 2025'!$B:$B,$A562,'Source 2025'!$A:$A,"Amount (NIS)")+SUMIFS('Source 2025'!$E:$E,'Source 2025'!$B:$B,$A562,'Source 2025'!$A:$A,"Amount (NIS)")+SUMIFS('Source 2025'!$F:$F,'Source 2025'!$B:$B,$A562,'Source 2025'!$A:$A,"Amount (NIS)")+SUMIFS('Source 2025'!$G:$G,'Source 2025'!$B:$B,$A562,'Source 2025'!$A:$A,"Amount (NIS)")+SUMIFS('Source 2025'!$J:$J,'Source 2025'!$B:$B,$A562,'Source 2025'!$A:$A,"Amount (NIS)")+SUMIFS('Source 2025'!$M:$M,'Source 2025'!$B:$B,$A562,'Source 2025'!$A:$A,"Amount (NIS)")</f>
        <v>0</v>
      </c>
      <c r="I562" s="8" t="n">
        <f aca="false">SUMIFS('Source 2026'!$D:$D,'Source 2026'!$B:$B,$A562,'Source 2026'!$A:$A,"Amount (NIS)")+SUMIFS('Source 2026'!$E:$E,'Source 2026'!$B:$B,$A562,'Source 2026'!$A:$A,"Amount (NIS)")+SUMIFS('Source 2026'!$F:$F,'Source 2026'!$B:$B,$A562,'Source 2026'!$A:$A,"Amount (NIS)")+SUMIFS('Source 2026'!$G:$G,'Source 2026'!$B:$B,$A562,'Source 2026'!$A:$A,"Amount (NIS)")+SUMIFS('Source 2026'!$J:$J,'Source 2026'!$B:$B,$A562,'Source 2026'!$A:$A,"Amount (NIS)")+SUMIFS('Source 2026'!$M:$M,'Source 2026'!$B:$B,$A562,'Source 2026'!$A:$A,"Amount (NIS)")</f>
        <v>-36.5</v>
      </c>
      <c r="J562" s="8" t="n">
        <f aca="false">I562*$J$5</f>
        <v>-50.0571428571429</v>
      </c>
      <c r="K562" s="8" t="n">
        <f aca="false">J562-H562</f>
        <v>-50.0571428571429</v>
      </c>
      <c r="L562" s="9" t="str">
        <f aca="false">IF(AND(H562=0,J562=0),0,IF(H562=0,"New",(J562-H562)/H562))</f>
        <v>New</v>
      </c>
    </row>
    <row r="563" customFormat="false" ht="15" hidden="false" customHeight="false" outlineLevel="0" collapsed="false">
      <c r="A563" s="7" t="n">
        <v>4422003</v>
      </c>
      <c r="B563" s="7" t="str">
        <f aca="false">IFERROR(INDEX('Source 2026'!$C:$C,MATCH($A563,'Source 2026'!$B:$B,0)),IFERROR(INDEX('Source 2025'!$C:$C,MATCH($A563,'Source 2025'!$B:$B,0)),""))</f>
        <v>FC331Z- 120 תתתרסיס מרענן לרגל</v>
      </c>
      <c r="C563" s="8" t="n">
        <f aca="false">SUMIFS('Source 2025'!$D:$D,'Source 2025'!$B:$B,$A563,'Source 2025'!$A:$A,"Quantity (units)")+SUMIFS('Source 2025'!$E:$E,'Source 2025'!$B:$B,$A563,'Source 2025'!$A:$A,"Quantity (units)")+SUMIFS('Source 2025'!$F:$F,'Source 2025'!$B:$B,$A563,'Source 2025'!$A:$A,"Quantity (units)")+SUMIFS('Source 2025'!$G:$G,'Source 2025'!$B:$B,$A563,'Source 2025'!$A:$A,"Quantity (units)")+SUMIFS('Source 2025'!$J:$J,'Source 2025'!$B:$B,$A563,'Source 2025'!$A:$A,"Quantity (units)")+SUMIFS('Source 2025'!$M:$M,'Source 2025'!$B:$B,$A563,'Source 2025'!$A:$A,"Quantity (units)")</f>
        <v>-1</v>
      </c>
      <c r="D563" s="8" t="n">
        <f aca="false">SUMIFS('Source 2026'!$D:$D,'Source 2026'!$B:$B,$A563,'Source 2026'!$A:$A,"Quantity (units)")+SUMIFS('Source 2026'!$E:$E,'Source 2026'!$B:$B,$A563,'Source 2026'!$A:$A,"Quantity (units)")+SUMIFS('Source 2026'!$F:$F,'Source 2026'!$B:$B,$A563,'Source 2026'!$A:$A,"Quantity (units)")+SUMIFS('Source 2026'!$G:$G,'Source 2026'!$B:$B,$A563,'Source 2026'!$A:$A,"Quantity (units)")+SUMIFS('Source 2026'!$J:$J,'Source 2026'!$B:$B,$A563,'Source 2026'!$A:$A,"Quantity (units)")+SUMIFS('Source 2026'!$M:$M,'Source 2026'!$B:$B,$A563,'Source 2026'!$A:$A,"Quantity (units)")</f>
        <v>0</v>
      </c>
      <c r="E563" s="8" t="n">
        <f aca="false">D563*$J$5</f>
        <v>0</v>
      </c>
      <c r="F563" s="8" t="n">
        <f aca="false">E563-C563</f>
        <v>1</v>
      </c>
      <c r="G563" s="9" t="n">
        <f aca="false">IF(AND(C563=0,E563=0),0,IF(C563=0,"New",(E563-C563)/C563))</f>
        <v>-1</v>
      </c>
      <c r="H563" s="8" t="n">
        <f aca="false">SUMIFS('Source 2025'!$D:$D,'Source 2025'!$B:$B,$A563,'Source 2025'!$A:$A,"Amount (NIS)")+SUMIFS('Source 2025'!$E:$E,'Source 2025'!$B:$B,$A563,'Source 2025'!$A:$A,"Amount (NIS)")+SUMIFS('Source 2025'!$F:$F,'Source 2025'!$B:$B,$A563,'Source 2025'!$A:$A,"Amount (NIS)")+SUMIFS('Source 2025'!$G:$G,'Source 2025'!$B:$B,$A563,'Source 2025'!$A:$A,"Amount (NIS)")+SUMIFS('Source 2025'!$J:$J,'Source 2025'!$B:$B,$A563,'Source 2025'!$A:$A,"Amount (NIS)")+SUMIFS('Source 2025'!$M:$M,'Source 2025'!$B:$B,$A563,'Source 2025'!$A:$A,"Amount (NIS)")</f>
        <v>-36.5</v>
      </c>
      <c r="I563" s="8" t="n">
        <f aca="false">SUMIFS('Source 2026'!$D:$D,'Source 2026'!$B:$B,$A563,'Source 2026'!$A:$A,"Amount (NIS)")+SUMIFS('Source 2026'!$E:$E,'Source 2026'!$B:$B,$A563,'Source 2026'!$A:$A,"Amount (NIS)")+SUMIFS('Source 2026'!$F:$F,'Source 2026'!$B:$B,$A563,'Source 2026'!$A:$A,"Amount (NIS)")+SUMIFS('Source 2026'!$G:$G,'Source 2026'!$B:$B,$A563,'Source 2026'!$A:$A,"Amount (NIS)")+SUMIFS('Source 2026'!$J:$J,'Source 2026'!$B:$B,$A563,'Source 2026'!$A:$A,"Amount (NIS)")+SUMIFS('Source 2026'!$M:$M,'Source 2026'!$B:$B,$A563,'Source 2026'!$A:$A,"Amount (NIS)")</f>
        <v>0</v>
      </c>
      <c r="J563" s="8" t="n">
        <f aca="false">I563*$J$5</f>
        <v>0</v>
      </c>
      <c r="K563" s="8" t="n">
        <f aca="false">J563-H563</f>
        <v>36.5</v>
      </c>
      <c r="L563" s="9" t="n">
        <f aca="false">IF(AND(H563=0,J563=0),0,IF(H563=0,"New",(J563-H563)/H563))</f>
        <v>-1</v>
      </c>
    </row>
    <row r="564" customFormat="false" ht="15" hidden="false" customHeight="false" outlineLevel="0" collapsed="false">
      <c r="A564" s="7" t="n">
        <v>4416006</v>
      </c>
      <c r="B564" s="7" t="str">
        <f aca="false">IFERROR(INDEX('Source 2026'!$C:$C,MATCH($A564,'Source 2026'!$B:$B,0)),IFERROR(INDEX('Source 2025'!$C:$C,MATCH($A564,'Source 2025'!$B:$B,0)),""))</f>
        <v>308 Sעקבים סיליק.כחול לדורבן</v>
      </c>
      <c r="C564" s="8" t="n">
        <f aca="false">SUMIFS('Source 2025'!$D:$D,'Source 2025'!$B:$B,$A564,'Source 2025'!$A:$A,"Quantity (units)")+SUMIFS('Source 2025'!$E:$E,'Source 2025'!$B:$B,$A564,'Source 2025'!$A:$A,"Quantity (units)")+SUMIFS('Source 2025'!$F:$F,'Source 2025'!$B:$B,$A564,'Source 2025'!$A:$A,"Quantity (units)")+SUMIFS('Source 2025'!$G:$G,'Source 2025'!$B:$B,$A564,'Source 2025'!$A:$A,"Quantity (units)")+SUMIFS('Source 2025'!$J:$J,'Source 2025'!$B:$B,$A564,'Source 2025'!$A:$A,"Quantity (units)")+SUMIFS('Source 2025'!$M:$M,'Source 2025'!$B:$B,$A564,'Source 2025'!$A:$A,"Quantity (units)")</f>
        <v>-1</v>
      </c>
      <c r="D564" s="8" t="n">
        <f aca="false">SUMIFS('Source 2026'!$D:$D,'Source 2026'!$B:$B,$A564,'Source 2026'!$A:$A,"Quantity (units)")+SUMIFS('Source 2026'!$E:$E,'Source 2026'!$B:$B,$A564,'Source 2026'!$A:$A,"Quantity (units)")+SUMIFS('Source 2026'!$F:$F,'Source 2026'!$B:$B,$A564,'Source 2026'!$A:$A,"Quantity (units)")+SUMIFS('Source 2026'!$G:$G,'Source 2026'!$B:$B,$A564,'Source 2026'!$A:$A,"Quantity (units)")+SUMIFS('Source 2026'!$J:$J,'Source 2026'!$B:$B,$A564,'Source 2026'!$A:$A,"Quantity (units)")+SUMIFS('Source 2026'!$M:$M,'Source 2026'!$B:$B,$A564,'Source 2026'!$A:$A,"Quantity (units)")</f>
        <v>-1</v>
      </c>
      <c r="E564" s="8" t="n">
        <f aca="false">D564*$J$5</f>
        <v>-1.37142857142857</v>
      </c>
      <c r="F564" s="8" t="n">
        <f aca="false">E564-C564</f>
        <v>-0.371428571428571</v>
      </c>
      <c r="G564" s="9" t="n">
        <f aca="false">IF(AND(C564=0,E564=0),0,IF(C564=0,"New",(E564-C564)/C564))</f>
        <v>0.371428571428571</v>
      </c>
      <c r="H564" s="8" t="n">
        <f aca="false">SUMIFS('Source 2025'!$D:$D,'Source 2025'!$B:$B,$A564,'Source 2025'!$A:$A,"Amount (NIS)")+SUMIFS('Source 2025'!$E:$E,'Source 2025'!$B:$B,$A564,'Source 2025'!$A:$A,"Amount (NIS)")+SUMIFS('Source 2025'!$F:$F,'Source 2025'!$B:$B,$A564,'Source 2025'!$A:$A,"Amount (NIS)")+SUMIFS('Source 2025'!$G:$G,'Source 2025'!$B:$B,$A564,'Source 2025'!$A:$A,"Amount (NIS)")+SUMIFS('Source 2025'!$J:$J,'Source 2025'!$B:$B,$A564,'Source 2025'!$A:$A,"Amount (NIS)")+SUMIFS('Source 2025'!$M:$M,'Source 2025'!$B:$B,$A564,'Source 2025'!$A:$A,"Amount (NIS)")</f>
        <v>-25.3</v>
      </c>
      <c r="I564" s="8" t="n">
        <f aca="false">SUMIFS('Source 2026'!$D:$D,'Source 2026'!$B:$B,$A564,'Source 2026'!$A:$A,"Amount (NIS)")+SUMIFS('Source 2026'!$E:$E,'Source 2026'!$B:$B,$A564,'Source 2026'!$A:$A,"Amount (NIS)")+SUMIFS('Source 2026'!$F:$F,'Source 2026'!$B:$B,$A564,'Source 2026'!$A:$A,"Amount (NIS)")+SUMIFS('Source 2026'!$G:$G,'Source 2026'!$B:$B,$A564,'Source 2026'!$A:$A,"Amount (NIS)")+SUMIFS('Source 2026'!$J:$J,'Source 2026'!$B:$B,$A564,'Source 2026'!$A:$A,"Amount (NIS)")+SUMIFS('Source 2026'!$M:$M,'Source 2026'!$B:$B,$A564,'Source 2026'!$A:$A,"Amount (NIS)")</f>
        <v>-58.4</v>
      </c>
      <c r="J564" s="8" t="n">
        <f aca="false">I564*$J$5</f>
        <v>-80.0914285714286</v>
      </c>
      <c r="K564" s="8" t="n">
        <f aca="false">J564-H564</f>
        <v>-54.7914285714286</v>
      </c>
      <c r="L564" s="9" t="n">
        <f aca="false">IF(AND(H564=0,J564=0),0,IF(H564=0,"New",(J564-H564)/H564))</f>
        <v>2.1656691134952</v>
      </c>
    </row>
    <row r="565" customFormat="false" ht="15" hidden="false" customHeight="false" outlineLevel="0" collapsed="false">
      <c r="A565" s="7" t="n">
        <v>4413464</v>
      </c>
      <c r="B565" s="7" t="str">
        <f aca="false">IFERROR(INDEX('Source 2026'!$C:$C,MATCH($A565,'Source 2026'!$B:$B,0)),IFERROR(INDEX('Source 2025'!$C:$C,MATCH($A565,'Source 2025'!$B:$B,0)),""))</f>
        <v>605XL מסכה אלה</v>
      </c>
      <c r="C565" s="8" t="n">
        <f aca="false">SUMIFS('Source 2025'!$D:$D,'Source 2025'!$B:$B,$A565,'Source 2025'!$A:$A,"Quantity (units)")+SUMIFS('Source 2025'!$E:$E,'Source 2025'!$B:$B,$A565,'Source 2025'!$A:$A,"Quantity (units)")+SUMIFS('Source 2025'!$F:$F,'Source 2025'!$B:$B,$A565,'Source 2025'!$A:$A,"Quantity (units)")+SUMIFS('Source 2025'!$G:$G,'Source 2025'!$B:$B,$A565,'Source 2025'!$A:$A,"Quantity (units)")+SUMIFS('Source 2025'!$J:$J,'Source 2025'!$B:$B,$A565,'Source 2025'!$A:$A,"Quantity (units)")+SUMIFS('Source 2025'!$M:$M,'Source 2025'!$B:$B,$A565,'Source 2025'!$A:$A,"Quantity (units)")</f>
        <v>-4</v>
      </c>
      <c r="D565" s="8" t="n">
        <f aca="false">SUMIFS('Source 2026'!$D:$D,'Source 2026'!$B:$B,$A565,'Source 2026'!$A:$A,"Quantity (units)")+SUMIFS('Source 2026'!$E:$E,'Source 2026'!$B:$B,$A565,'Source 2026'!$A:$A,"Quantity (units)")+SUMIFS('Source 2026'!$F:$F,'Source 2026'!$B:$B,$A565,'Source 2026'!$A:$A,"Quantity (units)")+SUMIFS('Source 2026'!$G:$G,'Source 2026'!$B:$B,$A565,'Source 2026'!$A:$A,"Quantity (units)")+SUMIFS('Source 2026'!$J:$J,'Source 2026'!$B:$B,$A565,'Source 2026'!$A:$A,"Quantity (units)")+SUMIFS('Source 2026'!$M:$M,'Source 2026'!$B:$B,$A565,'Source 2026'!$A:$A,"Quantity (units)")</f>
        <v>0</v>
      </c>
      <c r="E565" s="8" t="n">
        <f aca="false">D565*$J$5</f>
        <v>0</v>
      </c>
      <c r="F565" s="8" t="n">
        <f aca="false">E565-C565</f>
        <v>4</v>
      </c>
      <c r="G565" s="9" t="n">
        <f aca="false">IF(AND(C565=0,E565=0),0,IF(C565=0,"New",(E565-C565)/C565))</f>
        <v>-1</v>
      </c>
      <c r="H565" s="8" t="n">
        <f aca="false">SUMIFS('Source 2025'!$D:$D,'Source 2025'!$B:$B,$A565,'Source 2025'!$A:$A,"Amount (NIS)")+SUMIFS('Source 2025'!$E:$E,'Source 2025'!$B:$B,$A565,'Source 2025'!$A:$A,"Amount (NIS)")+SUMIFS('Source 2025'!$F:$F,'Source 2025'!$B:$B,$A565,'Source 2025'!$A:$A,"Amount (NIS)")+SUMIFS('Source 2025'!$G:$G,'Source 2025'!$B:$B,$A565,'Source 2025'!$A:$A,"Amount (NIS)")+SUMIFS('Source 2025'!$J:$J,'Source 2025'!$B:$B,$A565,'Source 2025'!$A:$A,"Amount (NIS)")+SUMIFS('Source 2025'!$M:$M,'Source 2025'!$B:$B,$A565,'Source 2025'!$A:$A,"Amount (NIS)")</f>
        <v>-32.5</v>
      </c>
      <c r="I565" s="8" t="n">
        <f aca="false">SUMIFS('Source 2026'!$D:$D,'Source 2026'!$B:$B,$A565,'Source 2026'!$A:$A,"Amount (NIS)")+SUMIFS('Source 2026'!$E:$E,'Source 2026'!$B:$B,$A565,'Source 2026'!$A:$A,"Amount (NIS)")+SUMIFS('Source 2026'!$F:$F,'Source 2026'!$B:$B,$A565,'Source 2026'!$A:$A,"Amount (NIS)")+SUMIFS('Source 2026'!$G:$G,'Source 2026'!$B:$B,$A565,'Source 2026'!$A:$A,"Amount (NIS)")+SUMIFS('Source 2026'!$J:$J,'Source 2026'!$B:$B,$A565,'Source 2026'!$A:$A,"Amount (NIS)")+SUMIFS('Source 2026'!$M:$M,'Source 2026'!$B:$B,$A565,'Source 2026'!$A:$A,"Amount (NIS)")</f>
        <v>0</v>
      </c>
      <c r="J565" s="8" t="n">
        <f aca="false">I565*$J$5</f>
        <v>0</v>
      </c>
      <c r="K565" s="8" t="n">
        <f aca="false">J565-H565</f>
        <v>32.5</v>
      </c>
      <c r="L565" s="9" t="n">
        <f aca="false">IF(AND(H565=0,J565=0),0,IF(H565=0,"New",(J565-H565)/H565))</f>
        <v>-1</v>
      </c>
    </row>
    <row r="566" customFormat="false" ht="15" hidden="false" customHeight="false" outlineLevel="0" collapsed="false">
      <c r="A566" s="7" t="n">
        <v>4408220</v>
      </c>
      <c r="B566" s="7" t="str">
        <f aca="false">IFERROR(INDEX('Source 2026'!$C:$C,MATCH($A566,'Source 2026'!$B:$B,0)),IFERROR(INDEX('Source 2025'!$C:$C,MATCH($A566,'Source 2025'!$B:$B,0)),""))</f>
        <v>078G-M חגורת גב אפורה</v>
      </c>
      <c r="C566" s="8" t="n">
        <f aca="false">SUMIFS('Source 2025'!$D:$D,'Source 2025'!$B:$B,$A566,'Source 2025'!$A:$A,"Quantity (units)")+SUMIFS('Source 2025'!$E:$E,'Source 2025'!$B:$B,$A566,'Source 2025'!$A:$A,"Quantity (units)")+SUMIFS('Source 2025'!$F:$F,'Source 2025'!$B:$B,$A566,'Source 2025'!$A:$A,"Quantity (units)")+SUMIFS('Source 2025'!$G:$G,'Source 2025'!$B:$B,$A566,'Source 2025'!$A:$A,"Quantity (units)")+SUMIFS('Source 2025'!$J:$J,'Source 2025'!$B:$B,$A566,'Source 2025'!$A:$A,"Quantity (units)")+SUMIFS('Source 2025'!$M:$M,'Source 2025'!$B:$B,$A566,'Source 2025'!$A:$A,"Quantity (units)")</f>
        <v>27</v>
      </c>
      <c r="D566" s="8" t="n">
        <f aca="false">SUMIFS('Source 2026'!$D:$D,'Source 2026'!$B:$B,$A566,'Source 2026'!$A:$A,"Quantity (units)")+SUMIFS('Source 2026'!$E:$E,'Source 2026'!$B:$B,$A566,'Source 2026'!$A:$A,"Quantity (units)")+SUMIFS('Source 2026'!$F:$F,'Source 2026'!$B:$B,$A566,'Source 2026'!$A:$A,"Quantity (units)")+SUMIFS('Source 2026'!$G:$G,'Source 2026'!$B:$B,$A566,'Source 2026'!$A:$A,"Quantity (units)")+SUMIFS('Source 2026'!$J:$J,'Source 2026'!$B:$B,$A566,'Source 2026'!$A:$A,"Quantity (units)")+SUMIFS('Source 2026'!$M:$M,'Source 2026'!$B:$B,$A566,'Source 2026'!$A:$A,"Quantity (units)")</f>
        <v>27</v>
      </c>
      <c r="E566" s="8" t="n">
        <f aca="false">D566*$J$5</f>
        <v>37.0285714285714</v>
      </c>
      <c r="F566" s="8" t="n">
        <f aca="false">E566-C566</f>
        <v>10.0285714285714</v>
      </c>
      <c r="G566" s="9" t="n">
        <f aca="false">IF(AND(C566=0,E566=0),0,IF(C566=0,"New",(E566-C566)/C566))</f>
        <v>0.371428571428572</v>
      </c>
      <c r="H566" s="8" t="n">
        <f aca="false">SUMIFS('Source 2025'!$D:$D,'Source 2025'!$B:$B,$A566,'Source 2025'!$A:$A,"Amount (NIS)")+SUMIFS('Source 2025'!$E:$E,'Source 2025'!$B:$B,$A566,'Source 2025'!$A:$A,"Amount (NIS)")+SUMIFS('Source 2025'!$F:$F,'Source 2025'!$B:$B,$A566,'Source 2025'!$A:$A,"Amount (NIS)")+SUMIFS('Source 2025'!$G:$G,'Source 2025'!$B:$B,$A566,'Source 2025'!$A:$A,"Amount (NIS)")+SUMIFS('Source 2025'!$J:$J,'Source 2025'!$B:$B,$A566,'Source 2025'!$A:$A,"Amount (NIS)")+SUMIFS('Source 2025'!$M:$M,'Source 2025'!$B:$B,$A566,'Source 2025'!$A:$A,"Amount (NIS)")</f>
        <v>2977.7</v>
      </c>
      <c r="I566" s="8" t="n">
        <f aca="false">SUMIFS('Source 2026'!$D:$D,'Source 2026'!$B:$B,$A566,'Source 2026'!$A:$A,"Amount (NIS)")+SUMIFS('Source 2026'!$E:$E,'Source 2026'!$B:$B,$A566,'Source 2026'!$A:$A,"Amount (NIS)")+SUMIFS('Source 2026'!$F:$F,'Source 2026'!$B:$B,$A566,'Source 2026'!$A:$A,"Amount (NIS)")+SUMIFS('Source 2026'!$G:$G,'Source 2026'!$B:$B,$A566,'Source 2026'!$A:$A,"Amount (NIS)")+SUMIFS('Source 2026'!$J:$J,'Source 2026'!$B:$B,$A566,'Source 2026'!$A:$A,"Amount (NIS)")+SUMIFS('Source 2026'!$M:$M,'Source 2026'!$B:$B,$A566,'Source 2026'!$A:$A,"Amount (NIS)")</f>
        <v>3009.4</v>
      </c>
      <c r="J566" s="8" t="n">
        <f aca="false">I566*$J$5</f>
        <v>4127.17714285714</v>
      </c>
      <c r="K566" s="8" t="n">
        <f aca="false">J566-H566</f>
        <v>1149.47714285714</v>
      </c>
      <c r="L566" s="9" t="n">
        <f aca="false">IF(AND(H566=0,J566=0),0,IF(H566=0,"New",(J566-H566)/H566))</f>
        <v>0.386028526331445</v>
      </c>
    </row>
    <row r="567" customFormat="false" ht="15" hidden="false" customHeight="false" outlineLevel="0" collapsed="false">
      <c r="A567" s="7" t="n">
        <v>4419002</v>
      </c>
      <c r="B567" s="7" t="str">
        <f aca="false">IFERROR(INDEX('Source 2026'!$C:$C,MATCH($A567,'Source 2026'!$B:$B,0)),IFERROR(INDEX('Source 2025'!$C:$C,MATCH($A567,'Source 2025'!$B:$B,0)),""))</f>
        <v>FC311-תתקרם דאודורנט לכף הרגל</v>
      </c>
      <c r="C567" s="8" t="n">
        <f aca="false">SUMIFS('Source 2025'!$D:$D,'Source 2025'!$B:$B,$A567,'Source 2025'!$A:$A,"Quantity (units)")+SUMIFS('Source 2025'!$E:$E,'Source 2025'!$B:$B,$A567,'Source 2025'!$A:$A,"Quantity (units)")+SUMIFS('Source 2025'!$F:$F,'Source 2025'!$B:$B,$A567,'Source 2025'!$A:$A,"Quantity (units)")+SUMIFS('Source 2025'!$G:$G,'Source 2025'!$B:$B,$A567,'Source 2025'!$A:$A,"Quantity (units)")+SUMIFS('Source 2025'!$J:$J,'Source 2025'!$B:$B,$A567,'Source 2025'!$A:$A,"Quantity (units)")+SUMIFS('Source 2025'!$M:$M,'Source 2025'!$B:$B,$A567,'Source 2025'!$A:$A,"Quantity (units)")</f>
        <v>-1</v>
      </c>
      <c r="D567" s="8" t="n">
        <f aca="false">SUMIFS('Source 2026'!$D:$D,'Source 2026'!$B:$B,$A567,'Source 2026'!$A:$A,"Quantity (units)")+SUMIFS('Source 2026'!$E:$E,'Source 2026'!$B:$B,$A567,'Source 2026'!$A:$A,"Quantity (units)")+SUMIFS('Source 2026'!$F:$F,'Source 2026'!$B:$B,$A567,'Source 2026'!$A:$A,"Quantity (units)")+SUMIFS('Source 2026'!$G:$G,'Source 2026'!$B:$B,$A567,'Source 2026'!$A:$A,"Quantity (units)")+SUMIFS('Source 2026'!$J:$J,'Source 2026'!$B:$B,$A567,'Source 2026'!$A:$A,"Quantity (units)")+SUMIFS('Source 2026'!$M:$M,'Source 2026'!$B:$B,$A567,'Source 2026'!$A:$A,"Quantity (units)")</f>
        <v>0</v>
      </c>
      <c r="E567" s="8" t="n">
        <f aca="false">D567*$J$5</f>
        <v>0</v>
      </c>
      <c r="F567" s="8" t="n">
        <f aca="false">E567-C567</f>
        <v>1</v>
      </c>
      <c r="G567" s="9" t="n">
        <f aca="false">IF(AND(C567=0,E567=0),0,IF(C567=0,"New",(E567-C567)/C567))</f>
        <v>-1</v>
      </c>
      <c r="H567" s="8" t="n">
        <f aca="false">SUMIFS('Source 2025'!$D:$D,'Source 2025'!$B:$B,$A567,'Source 2025'!$A:$A,"Amount (NIS)")+SUMIFS('Source 2025'!$E:$E,'Source 2025'!$B:$B,$A567,'Source 2025'!$A:$A,"Amount (NIS)")+SUMIFS('Source 2025'!$F:$F,'Source 2025'!$B:$B,$A567,'Source 2025'!$A:$A,"Amount (NIS)")+SUMIFS('Source 2025'!$G:$G,'Source 2025'!$B:$B,$A567,'Source 2025'!$A:$A,"Amount (NIS)")+SUMIFS('Source 2025'!$J:$J,'Source 2025'!$B:$B,$A567,'Source 2025'!$A:$A,"Amount (NIS)")+SUMIFS('Source 2025'!$M:$M,'Source 2025'!$B:$B,$A567,'Source 2025'!$A:$A,"Amount (NIS)")</f>
        <v>-29.7</v>
      </c>
      <c r="I567" s="8" t="n">
        <f aca="false">SUMIFS('Source 2026'!$D:$D,'Source 2026'!$B:$B,$A567,'Source 2026'!$A:$A,"Amount (NIS)")+SUMIFS('Source 2026'!$E:$E,'Source 2026'!$B:$B,$A567,'Source 2026'!$A:$A,"Amount (NIS)")+SUMIFS('Source 2026'!$F:$F,'Source 2026'!$B:$B,$A567,'Source 2026'!$A:$A,"Amount (NIS)")+SUMIFS('Source 2026'!$G:$G,'Source 2026'!$B:$B,$A567,'Source 2026'!$A:$A,"Amount (NIS)")+SUMIFS('Source 2026'!$J:$J,'Source 2026'!$B:$B,$A567,'Source 2026'!$A:$A,"Amount (NIS)")+SUMIFS('Source 2026'!$M:$M,'Source 2026'!$B:$B,$A567,'Source 2026'!$A:$A,"Amount (NIS)")</f>
        <v>0</v>
      </c>
      <c r="J567" s="8" t="n">
        <f aca="false">I567*$J$5</f>
        <v>0</v>
      </c>
      <c r="K567" s="8" t="n">
        <f aca="false">J567-H567</f>
        <v>29.7</v>
      </c>
      <c r="L567" s="9" t="n">
        <f aca="false">IF(AND(H567=0,J567=0),0,IF(H567=0,"New",(J567-H567)/H567))</f>
        <v>-1</v>
      </c>
    </row>
    <row r="568" customFormat="false" ht="15" hidden="false" customHeight="false" outlineLevel="0" collapsed="false">
      <c r="A568" s="7" t="n">
        <v>4419004</v>
      </c>
      <c r="B568" s="7" t="str">
        <f aca="false">IFERROR(INDEX('Source 2026'!$C:$C,MATCH($A568,'Source 2026'!$B:$B,0)),IFERROR(INDEX('Source 2025'!$C:$C,MATCH($A568,'Source 2025'!$B:$B,0)),""))</f>
        <v>FC312-תתקרם מירוק גרגרי פילינג</v>
      </c>
      <c r="C568" s="8" t="n">
        <f aca="false">SUMIFS('Source 2025'!$D:$D,'Source 2025'!$B:$B,$A568,'Source 2025'!$A:$A,"Quantity (units)")+SUMIFS('Source 2025'!$E:$E,'Source 2025'!$B:$B,$A568,'Source 2025'!$A:$A,"Quantity (units)")+SUMIFS('Source 2025'!$F:$F,'Source 2025'!$B:$B,$A568,'Source 2025'!$A:$A,"Quantity (units)")+SUMIFS('Source 2025'!$G:$G,'Source 2025'!$B:$B,$A568,'Source 2025'!$A:$A,"Quantity (units)")+SUMIFS('Source 2025'!$J:$J,'Source 2025'!$B:$B,$A568,'Source 2025'!$A:$A,"Quantity (units)")+SUMIFS('Source 2025'!$M:$M,'Source 2025'!$B:$B,$A568,'Source 2025'!$A:$A,"Quantity (units)")</f>
        <v>-1</v>
      </c>
      <c r="D568" s="8" t="n">
        <f aca="false">SUMIFS('Source 2026'!$D:$D,'Source 2026'!$B:$B,$A568,'Source 2026'!$A:$A,"Quantity (units)")+SUMIFS('Source 2026'!$E:$E,'Source 2026'!$B:$B,$A568,'Source 2026'!$A:$A,"Quantity (units)")+SUMIFS('Source 2026'!$F:$F,'Source 2026'!$B:$B,$A568,'Source 2026'!$A:$A,"Quantity (units)")+SUMIFS('Source 2026'!$G:$G,'Source 2026'!$B:$B,$A568,'Source 2026'!$A:$A,"Quantity (units)")+SUMIFS('Source 2026'!$J:$J,'Source 2026'!$B:$B,$A568,'Source 2026'!$A:$A,"Quantity (units)")+SUMIFS('Source 2026'!$M:$M,'Source 2026'!$B:$B,$A568,'Source 2026'!$A:$A,"Quantity (units)")</f>
        <v>0</v>
      </c>
      <c r="E568" s="8" t="n">
        <f aca="false">D568*$J$5</f>
        <v>0</v>
      </c>
      <c r="F568" s="8" t="n">
        <f aca="false">E568-C568</f>
        <v>1</v>
      </c>
      <c r="G568" s="9" t="n">
        <f aca="false">IF(AND(C568=0,E568=0),0,IF(C568=0,"New",(E568-C568)/C568))</f>
        <v>-1</v>
      </c>
      <c r="H568" s="8" t="n">
        <f aca="false">SUMIFS('Source 2025'!$D:$D,'Source 2025'!$B:$B,$A568,'Source 2025'!$A:$A,"Amount (NIS)")+SUMIFS('Source 2025'!$E:$E,'Source 2025'!$B:$B,$A568,'Source 2025'!$A:$A,"Amount (NIS)")+SUMIFS('Source 2025'!$F:$F,'Source 2025'!$B:$B,$A568,'Source 2025'!$A:$A,"Amount (NIS)")+SUMIFS('Source 2025'!$G:$G,'Source 2025'!$B:$B,$A568,'Source 2025'!$A:$A,"Amount (NIS)")+SUMIFS('Source 2025'!$J:$J,'Source 2025'!$B:$B,$A568,'Source 2025'!$A:$A,"Amount (NIS)")+SUMIFS('Source 2025'!$M:$M,'Source 2025'!$B:$B,$A568,'Source 2025'!$A:$A,"Amount (NIS)")</f>
        <v>-29.7</v>
      </c>
      <c r="I568" s="8" t="n">
        <f aca="false">SUMIFS('Source 2026'!$D:$D,'Source 2026'!$B:$B,$A568,'Source 2026'!$A:$A,"Amount (NIS)")+SUMIFS('Source 2026'!$E:$E,'Source 2026'!$B:$B,$A568,'Source 2026'!$A:$A,"Amount (NIS)")+SUMIFS('Source 2026'!$F:$F,'Source 2026'!$B:$B,$A568,'Source 2026'!$A:$A,"Amount (NIS)")+SUMIFS('Source 2026'!$G:$G,'Source 2026'!$B:$B,$A568,'Source 2026'!$A:$A,"Amount (NIS)")+SUMIFS('Source 2026'!$J:$J,'Source 2026'!$B:$B,$A568,'Source 2026'!$A:$A,"Amount (NIS)")+SUMIFS('Source 2026'!$M:$M,'Source 2026'!$B:$B,$A568,'Source 2026'!$A:$A,"Amount (NIS)")</f>
        <v>0</v>
      </c>
      <c r="J568" s="8" t="n">
        <f aca="false">I568*$J$5</f>
        <v>0</v>
      </c>
      <c r="K568" s="8" t="n">
        <f aca="false">J568-H568</f>
        <v>29.7</v>
      </c>
      <c r="L568" s="9" t="n">
        <f aca="false">IF(AND(H568=0,J568=0),0,IF(H568=0,"New",(J568-H568)/H568))</f>
        <v>-1</v>
      </c>
    </row>
    <row r="569" customFormat="false" ht="15" hidden="false" customHeight="false" outlineLevel="0" collapsed="false">
      <c r="A569" s="7" t="n">
        <v>4413117</v>
      </c>
      <c r="B569" s="7" t="str">
        <f aca="false">IFERROR(INDEX('Source 2026'!$C:$C,MATCH($A569,'Source 2026'!$B:$B,0)),IFERROR(INDEX('Source 2025'!$C:$C,MATCH($A569,'Source 2025'!$B:$B,0)),""))</f>
        <v>50 L מתלה אשכים לאחר ניתוח</v>
      </c>
      <c r="C569" s="8" t="n">
        <f aca="false">SUMIFS('Source 2025'!$D:$D,'Source 2025'!$B:$B,$A569,'Source 2025'!$A:$A,"Quantity (units)")+SUMIFS('Source 2025'!$E:$E,'Source 2025'!$B:$B,$A569,'Source 2025'!$A:$A,"Quantity (units)")+SUMIFS('Source 2025'!$F:$F,'Source 2025'!$B:$B,$A569,'Source 2025'!$A:$A,"Quantity (units)")+SUMIFS('Source 2025'!$G:$G,'Source 2025'!$B:$B,$A569,'Source 2025'!$A:$A,"Quantity (units)")+SUMIFS('Source 2025'!$J:$J,'Source 2025'!$B:$B,$A569,'Source 2025'!$A:$A,"Quantity (units)")+SUMIFS('Source 2025'!$M:$M,'Source 2025'!$B:$B,$A569,'Source 2025'!$A:$A,"Quantity (units)")</f>
        <v>4</v>
      </c>
      <c r="D569" s="8" t="n">
        <f aca="false">SUMIFS('Source 2026'!$D:$D,'Source 2026'!$B:$B,$A569,'Source 2026'!$A:$A,"Quantity (units)")+SUMIFS('Source 2026'!$E:$E,'Source 2026'!$B:$B,$A569,'Source 2026'!$A:$A,"Quantity (units)")+SUMIFS('Source 2026'!$F:$F,'Source 2026'!$B:$B,$A569,'Source 2026'!$A:$A,"Quantity (units)")+SUMIFS('Source 2026'!$G:$G,'Source 2026'!$B:$B,$A569,'Source 2026'!$A:$A,"Quantity (units)")+SUMIFS('Source 2026'!$J:$J,'Source 2026'!$B:$B,$A569,'Source 2026'!$A:$A,"Quantity (units)")+SUMIFS('Source 2026'!$M:$M,'Source 2026'!$B:$B,$A569,'Source 2026'!$A:$A,"Quantity (units)")</f>
        <v>4</v>
      </c>
      <c r="E569" s="8" t="n">
        <f aca="false">D569*$J$5</f>
        <v>5.48571428571429</v>
      </c>
      <c r="F569" s="8" t="n">
        <f aca="false">E569-C569</f>
        <v>1.48571428571429</v>
      </c>
      <c r="G569" s="9" t="n">
        <f aca="false">IF(AND(C569=0,E569=0),0,IF(C569=0,"New",(E569-C569)/C569))</f>
        <v>0.371428571428571</v>
      </c>
      <c r="H569" s="8" t="n">
        <f aca="false">SUMIFS('Source 2025'!$D:$D,'Source 2025'!$B:$B,$A569,'Source 2025'!$A:$A,"Amount (NIS)")+SUMIFS('Source 2025'!$E:$E,'Source 2025'!$B:$B,$A569,'Source 2025'!$A:$A,"Amount (NIS)")+SUMIFS('Source 2025'!$F:$F,'Source 2025'!$B:$B,$A569,'Source 2025'!$A:$A,"Amount (NIS)")+SUMIFS('Source 2025'!$G:$G,'Source 2025'!$B:$B,$A569,'Source 2025'!$A:$A,"Amount (NIS)")+SUMIFS('Source 2025'!$J:$J,'Source 2025'!$B:$B,$A569,'Source 2025'!$A:$A,"Amount (NIS)")+SUMIFS('Source 2025'!$M:$M,'Source 2025'!$B:$B,$A569,'Source 2025'!$A:$A,"Amount (NIS)")</f>
        <v>414.5</v>
      </c>
      <c r="I569" s="8" t="n">
        <f aca="false">SUMIFS('Source 2026'!$D:$D,'Source 2026'!$B:$B,$A569,'Source 2026'!$A:$A,"Amount (NIS)")+SUMIFS('Source 2026'!$E:$E,'Source 2026'!$B:$B,$A569,'Source 2026'!$A:$A,"Amount (NIS)")+SUMIFS('Source 2026'!$F:$F,'Source 2026'!$B:$B,$A569,'Source 2026'!$A:$A,"Amount (NIS)")+SUMIFS('Source 2026'!$G:$G,'Source 2026'!$B:$B,$A569,'Source 2026'!$A:$A,"Amount (NIS)")+SUMIFS('Source 2026'!$J:$J,'Source 2026'!$B:$B,$A569,'Source 2026'!$A:$A,"Amount (NIS)")+SUMIFS('Source 2026'!$M:$M,'Source 2026'!$B:$B,$A569,'Source 2026'!$A:$A,"Amount (NIS)")</f>
        <v>444.1</v>
      </c>
      <c r="J569" s="8" t="n">
        <f aca="false">I569*$J$5</f>
        <v>609.051428571429</v>
      </c>
      <c r="K569" s="8" t="n">
        <f aca="false">J569-H569</f>
        <v>194.551428571429</v>
      </c>
      <c r="L569" s="9" t="n">
        <f aca="false">IF(AND(H569=0,J569=0),0,IF(H569=0,"New",(J569-H569)/H569))</f>
        <v>0.469364122005859</v>
      </c>
    </row>
    <row r="570" customFormat="false" ht="15" hidden="false" customHeight="false" outlineLevel="0" collapsed="false">
      <c r="A570" s="7" t="n">
        <v>4413530</v>
      </c>
      <c r="B570" s="7" t="str">
        <f aca="false">IFERROR(INDEX('Source 2026'!$C:$C,MATCH($A570,'Source 2026'!$B:$B,0)),IFERROR(INDEX('Source 2025'!$C:$C,MATCH($A570,'Source 2025'!$B:$B,0)),""))</f>
        <v>35C XXL מגן קרסול חום</v>
      </c>
      <c r="C570" s="8" t="n">
        <f aca="false">SUMIFS('Source 2025'!$D:$D,'Source 2025'!$B:$B,$A570,'Source 2025'!$A:$A,"Quantity (units)")+SUMIFS('Source 2025'!$E:$E,'Source 2025'!$B:$B,$A570,'Source 2025'!$A:$A,"Quantity (units)")+SUMIFS('Source 2025'!$F:$F,'Source 2025'!$B:$B,$A570,'Source 2025'!$A:$A,"Quantity (units)")+SUMIFS('Source 2025'!$G:$G,'Source 2025'!$B:$B,$A570,'Source 2025'!$A:$A,"Quantity (units)")+SUMIFS('Source 2025'!$J:$J,'Source 2025'!$B:$B,$A570,'Source 2025'!$A:$A,"Quantity (units)")+SUMIFS('Source 2025'!$M:$M,'Source 2025'!$B:$B,$A570,'Source 2025'!$A:$A,"Quantity (units)")</f>
        <v>1</v>
      </c>
      <c r="D570" s="8" t="n">
        <f aca="false">SUMIFS('Source 2026'!$D:$D,'Source 2026'!$B:$B,$A570,'Source 2026'!$A:$A,"Quantity (units)")+SUMIFS('Source 2026'!$E:$E,'Source 2026'!$B:$B,$A570,'Source 2026'!$A:$A,"Quantity (units)")+SUMIFS('Source 2026'!$F:$F,'Source 2026'!$B:$B,$A570,'Source 2026'!$A:$A,"Quantity (units)")+SUMIFS('Source 2026'!$G:$G,'Source 2026'!$B:$B,$A570,'Source 2026'!$A:$A,"Quantity (units)")+SUMIFS('Source 2026'!$J:$J,'Source 2026'!$B:$B,$A570,'Source 2026'!$A:$A,"Quantity (units)")+SUMIFS('Source 2026'!$M:$M,'Source 2026'!$B:$B,$A570,'Source 2026'!$A:$A,"Quantity (units)")</f>
        <v>0</v>
      </c>
      <c r="E570" s="8" t="n">
        <f aca="false">D570*$J$5</f>
        <v>0</v>
      </c>
      <c r="F570" s="8" t="n">
        <f aca="false">E570-C570</f>
        <v>-1</v>
      </c>
      <c r="G570" s="9" t="n">
        <f aca="false">IF(AND(C570=0,E570=0),0,IF(C570=0,"New",(E570-C570)/C570))</f>
        <v>-1</v>
      </c>
      <c r="H570" s="8" t="n">
        <f aca="false">SUMIFS('Source 2025'!$D:$D,'Source 2025'!$B:$B,$A570,'Source 2025'!$A:$A,"Amount (NIS)")+SUMIFS('Source 2025'!$E:$E,'Source 2025'!$B:$B,$A570,'Source 2025'!$A:$A,"Amount (NIS)")+SUMIFS('Source 2025'!$F:$F,'Source 2025'!$B:$B,$A570,'Source 2025'!$A:$A,"Amount (NIS)")+SUMIFS('Source 2025'!$G:$G,'Source 2025'!$B:$B,$A570,'Source 2025'!$A:$A,"Amount (NIS)")+SUMIFS('Source 2025'!$J:$J,'Source 2025'!$B:$B,$A570,'Source 2025'!$A:$A,"Amount (NIS)")+SUMIFS('Source 2025'!$M:$M,'Source 2025'!$B:$B,$A570,'Source 2025'!$A:$A,"Amount (NIS)")</f>
        <v>28.8</v>
      </c>
      <c r="I570" s="8" t="n">
        <f aca="false">SUMIFS('Source 2026'!$D:$D,'Source 2026'!$B:$B,$A570,'Source 2026'!$A:$A,"Amount (NIS)")+SUMIFS('Source 2026'!$E:$E,'Source 2026'!$B:$B,$A570,'Source 2026'!$A:$A,"Amount (NIS)")+SUMIFS('Source 2026'!$F:$F,'Source 2026'!$B:$B,$A570,'Source 2026'!$A:$A,"Amount (NIS)")+SUMIFS('Source 2026'!$G:$G,'Source 2026'!$B:$B,$A570,'Source 2026'!$A:$A,"Amount (NIS)")+SUMIFS('Source 2026'!$J:$J,'Source 2026'!$B:$B,$A570,'Source 2026'!$A:$A,"Amount (NIS)")+SUMIFS('Source 2026'!$M:$M,'Source 2026'!$B:$B,$A570,'Source 2026'!$A:$A,"Amount (NIS)")</f>
        <v>0</v>
      </c>
      <c r="J570" s="8" t="n">
        <f aca="false">I570*$J$5</f>
        <v>0</v>
      </c>
      <c r="K570" s="8" t="n">
        <f aca="false">J570-H570</f>
        <v>-28.8</v>
      </c>
      <c r="L570" s="9" t="n">
        <f aca="false">IF(AND(H570=0,J570=0),0,IF(H570=0,"New",(J570-H570)/H570))</f>
        <v>-1</v>
      </c>
    </row>
    <row r="571" customFormat="false" ht="15" hidden="false" customHeight="false" outlineLevel="0" collapsed="false">
      <c r="A571" s="7" t="n">
        <v>4413131</v>
      </c>
      <c r="B571" s="7" t="str">
        <f aca="false">IFERROR(INDEX('Source 2026'!$C:$C,MATCH($A571,'Source 2026'!$B:$B,0)),IFERROR(INDEX('Source 2025'!$C:$C,MATCH($A571,'Source 2025'!$B:$B,0)),""))</f>
        <v>76 Sמיישר כתף יציב יישור ג.רחב</v>
      </c>
      <c r="C571" s="8" t="n">
        <f aca="false">SUMIFS('Source 2025'!$D:$D,'Source 2025'!$B:$B,$A571,'Source 2025'!$A:$A,"Quantity (units)")+SUMIFS('Source 2025'!$E:$E,'Source 2025'!$B:$B,$A571,'Source 2025'!$A:$A,"Quantity (units)")+SUMIFS('Source 2025'!$F:$F,'Source 2025'!$B:$B,$A571,'Source 2025'!$A:$A,"Quantity (units)")+SUMIFS('Source 2025'!$G:$G,'Source 2025'!$B:$B,$A571,'Source 2025'!$A:$A,"Quantity (units)")+SUMIFS('Source 2025'!$J:$J,'Source 2025'!$B:$B,$A571,'Source 2025'!$A:$A,"Quantity (units)")+SUMIFS('Source 2025'!$M:$M,'Source 2025'!$B:$B,$A571,'Source 2025'!$A:$A,"Quantity (units)")</f>
        <v>9</v>
      </c>
      <c r="D571" s="8" t="n">
        <f aca="false">SUMIFS('Source 2026'!$D:$D,'Source 2026'!$B:$B,$A571,'Source 2026'!$A:$A,"Quantity (units)")+SUMIFS('Source 2026'!$E:$E,'Source 2026'!$B:$B,$A571,'Source 2026'!$A:$A,"Quantity (units)")+SUMIFS('Source 2026'!$F:$F,'Source 2026'!$B:$B,$A571,'Source 2026'!$A:$A,"Quantity (units)")+SUMIFS('Source 2026'!$G:$G,'Source 2026'!$B:$B,$A571,'Source 2026'!$A:$A,"Quantity (units)")+SUMIFS('Source 2026'!$J:$J,'Source 2026'!$B:$B,$A571,'Source 2026'!$A:$A,"Quantity (units)")+SUMIFS('Source 2026'!$M:$M,'Source 2026'!$B:$B,$A571,'Source 2026'!$A:$A,"Quantity (units)")</f>
        <v>9</v>
      </c>
      <c r="E571" s="8" t="n">
        <f aca="false">D571*$J$5</f>
        <v>12.3428571428571</v>
      </c>
      <c r="F571" s="8" t="n">
        <f aca="false">E571-C571</f>
        <v>3.34285714285714</v>
      </c>
      <c r="G571" s="9" t="n">
        <f aca="false">IF(AND(C571=0,E571=0),0,IF(C571=0,"New",(E571-C571)/C571))</f>
        <v>0.371428571428572</v>
      </c>
      <c r="H571" s="8" t="n">
        <f aca="false">SUMIFS('Source 2025'!$D:$D,'Source 2025'!$B:$B,$A571,'Source 2025'!$A:$A,"Amount (NIS)")+SUMIFS('Source 2025'!$E:$E,'Source 2025'!$B:$B,$A571,'Source 2025'!$A:$A,"Amount (NIS)")+SUMIFS('Source 2025'!$F:$F,'Source 2025'!$B:$B,$A571,'Source 2025'!$A:$A,"Amount (NIS)")+SUMIFS('Source 2025'!$G:$G,'Source 2025'!$B:$B,$A571,'Source 2025'!$A:$A,"Amount (NIS)")+SUMIFS('Source 2025'!$J:$J,'Source 2025'!$B:$B,$A571,'Source 2025'!$A:$A,"Amount (NIS)")+SUMIFS('Source 2025'!$M:$M,'Source 2025'!$B:$B,$A571,'Source 2025'!$A:$A,"Amount (NIS)")</f>
        <v>1841.6</v>
      </c>
      <c r="I571" s="8" t="n">
        <f aca="false">SUMIFS('Source 2026'!$D:$D,'Source 2026'!$B:$B,$A571,'Source 2026'!$A:$A,"Amount (NIS)")+SUMIFS('Source 2026'!$E:$E,'Source 2026'!$B:$B,$A571,'Source 2026'!$A:$A,"Amount (NIS)")+SUMIFS('Source 2026'!$F:$F,'Source 2026'!$B:$B,$A571,'Source 2026'!$A:$A,"Amount (NIS)")+SUMIFS('Source 2026'!$G:$G,'Source 2026'!$B:$B,$A571,'Source 2026'!$A:$A,"Amount (NIS)")+SUMIFS('Source 2026'!$J:$J,'Source 2026'!$B:$B,$A571,'Source 2026'!$A:$A,"Amount (NIS)")+SUMIFS('Source 2026'!$M:$M,'Source 2026'!$B:$B,$A571,'Source 2026'!$A:$A,"Amount (NIS)")</f>
        <v>1869.7</v>
      </c>
      <c r="J571" s="8" t="n">
        <f aca="false">I571*$J$5</f>
        <v>2564.16</v>
      </c>
      <c r="K571" s="8" t="n">
        <f aca="false">J571-H571</f>
        <v>722.56</v>
      </c>
      <c r="L571" s="9" t="n">
        <f aca="false">IF(AND(H571=0,J571=0),0,IF(H571=0,"New",(J571-H571)/H571))</f>
        <v>0.392354474370113</v>
      </c>
    </row>
    <row r="572" customFormat="false" ht="15" hidden="false" customHeight="false" outlineLevel="0" collapsed="false">
      <c r="A572" s="7" t="n">
        <v>4408077</v>
      </c>
      <c r="B572" s="7" t="str">
        <f aca="false">IFERROR(INDEX('Source 2026'!$C:$C,MATCH($A572,'Source 2026'!$B:$B,0)),IFERROR(INDEX('Source 2025'!$C:$C,MATCH($A572,'Source 2025'!$B:$B,0)),""))</f>
        <v>59L M חגורת שבר לצד שמאל</v>
      </c>
      <c r="C572" s="8" t="n">
        <f aca="false">SUMIFS('Source 2025'!$D:$D,'Source 2025'!$B:$B,$A572,'Source 2025'!$A:$A,"Quantity (units)")+SUMIFS('Source 2025'!$E:$E,'Source 2025'!$B:$B,$A572,'Source 2025'!$A:$A,"Quantity (units)")+SUMIFS('Source 2025'!$F:$F,'Source 2025'!$B:$B,$A572,'Source 2025'!$A:$A,"Quantity (units)")+SUMIFS('Source 2025'!$G:$G,'Source 2025'!$B:$B,$A572,'Source 2025'!$A:$A,"Quantity (units)")+SUMIFS('Source 2025'!$J:$J,'Source 2025'!$B:$B,$A572,'Source 2025'!$A:$A,"Quantity (units)")+SUMIFS('Source 2025'!$M:$M,'Source 2025'!$B:$B,$A572,'Source 2025'!$A:$A,"Quantity (units)")</f>
        <v>2</v>
      </c>
      <c r="D572" s="8" t="n">
        <f aca="false">SUMIFS('Source 2026'!$D:$D,'Source 2026'!$B:$B,$A572,'Source 2026'!$A:$A,"Quantity (units)")+SUMIFS('Source 2026'!$E:$E,'Source 2026'!$B:$B,$A572,'Source 2026'!$A:$A,"Quantity (units)")+SUMIFS('Source 2026'!$F:$F,'Source 2026'!$B:$B,$A572,'Source 2026'!$A:$A,"Quantity (units)")+SUMIFS('Source 2026'!$G:$G,'Source 2026'!$B:$B,$A572,'Source 2026'!$A:$A,"Quantity (units)")+SUMIFS('Source 2026'!$J:$J,'Source 2026'!$B:$B,$A572,'Source 2026'!$A:$A,"Quantity (units)")+SUMIFS('Source 2026'!$M:$M,'Source 2026'!$B:$B,$A572,'Source 2026'!$A:$A,"Quantity (units)")</f>
        <v>2</v>
      </c>
      <c r="E572" s="8" t="n">
        <f aca="false">D572*$J$5</f>
        <v>2.74285714285714</v>
      </c>
      <c r="F572" s="8" t="n">
        <f aca="false">E572-C572</f>
        <v>0.742857142857143</v>
      </c>
      <c r="G572" s="9" t="n">
        <f aca="false">IF(AND(C572=0,E572=0),0,IF(C572=0,"New",(E572-C572)/C572))</f>
        <v>0.371428571428571</v>
      </c>
      <c r="H572" s="8" t="n">
        <f aca="false">SUMIFS('Source 2025'!$D:$D,'Source 2025'!$B:$B,$A572,'Source 2025'!$A:$A,"Amount (NIS)")+SUMIFS('Source 2025'!$E:$E,'Source 2025'!$B:$B,$A572,'Source 2025'!$A:$A,"Amount (NIS)")+SUMIFS('Source 2025'!$F:$F,'Source 2025'!$B:$B,$A572,'Source 2025'!$A:$A,"Amount (NIS)")+SUMIFS('Source 2025'!$G:$G,'Source 2025'!$B:$B,$A572,'Source 2025'!$A:$A,"Amount (NIS)")+SUMIFS('Source 2025'!$J:$J,'Source 2025'!$B:$B,$A572,'Source 2025'!$A:$A,"Amount (NIS)")+SUMIFS('Source 2025'!$M:$M,'Source 2025'!$B:$B,$A572,'Source 2025'!$A:$A,"Amount (NIS)")</f>
        <v>346.8</v>
      </c>
      <c r="I572" s="8" t="n">
        <f aca="false">SUMIFS('Source 2026'!$D:$D,'Source 2026'!$B:$B,$A572,'Source 2026'!$A:$A,"Amount (NIS)")+SUMIFS('Source 2026'!$E:$E,'Source 2026'!$B:$B,$A572,'Source 2026'!$A:$A,"Amount (NIS)")+SUMIFS('Source 2026'!$F:$F,'Source 2026'!$B:$B,$A572,'Source 2026'!$A:$A,"Amount (NIS)")+SUMIFS('Source 2026'!$G:$G,'Source 2026'!$B:$B,$A572,'Source 2026'!$A:$A,"Amount (NIS)")+SUMIFS('Source 2026'!$J:$J,'Source 2026'!$B:$B,$A572,'Source 2026'!$A:$A,"Amount (NIS)")+SUMIFS('Source 2026'!$M:$M,'Source 2026'!$B:$B,$A572,'Source 2026'!$A:$A,"Amount (NIS)")</f>
        <v>374.9</v>
      </c>
      <c r="J572" s="8" t="n">
        <f aca="false">I572*$J$5</f>
        <v>514.148571428571</v>
      </c>
      <c r="K572" s="8" t="n">
        <f aca="false">J572-H572</f>
        <v>167.348571428571</v>
      </c>
      <c r="L572" s="9" t="n">
        <f aca="false">IF(AND(H572=0,J572=0),0,IF(H572=0,"New",(J572-H572)/H572))</f>
        <v>0.482550667325754</v>
      </c>
    </row>
    <row r="573" customFormat="false" ht="15" hidden="false" customHeight="false" outlineLevel="0" collapsed="false">
      <c r="A573" s="7" t="n">
        <v>4408147</v>
      </c>
      <c r="B573" s="7" t="str">
        <f aca="false">IFERROR(INDEX('Source 2026'!$C:$C,MATCH($A573,'Source 2026'!$B:$B,0)),IFERROR(INDEX('Source 2025'!$C:$C,MATCH($A573,'Source 2025'!$B:$B,0)),""))</f>
        <v>11PS Lחגורה למנותחי בטן</v>
      </c>
      <c r="C573" s="8" t="n">
        <f aca="false">SUMIFS('Source 2025'!$D:$D,'Source 2025'!$B:$B,$A573,'Source 2025'!$A:$A,"Quantity (units)")+SUMIFS('Source 2025'!$E:$E,'Source 2025'!$B:$B,$A573,'Source 2025'!$A:$A,"Quantity (units)")+SUMIFS('Source 2025'!$F:$F,'Source 2025'!$B:$B,$A573,'Source 2025'!$A:$A,"Quantity (units)")+SUMIFS('Source 2025'!$G:$G,'Source 2025'!$B:$B,$A573,'Source 2025'!$A:$A,"Quantity (units)")+SUMIFS('Source 2025'!$J:$J,'Source 2025'!$B:$B,$A573,'Source 2025'!$A:$A,"Quantity (units)")+SUMIFS('Source 2025'!$M:$M,'Source 2025'!$B:$B,$A573,'Source 2025'!$A:$A,"Quantity (units)")</f>
        <v>1</v>
      </c>
      <c r="D573" s="8" t="n">
        <f aca="false">SUMIFS('Source 2026'!$D:$D,'Source 2026'!$B:$B,$A573,'Source 2026'!$A:$A,"Quantity (units)")+SUMIFS('Source 2026'!$E:$E,'Source 2026'!$B:$B,$A573,'Source 2026'!$A:$A,"Quantity (units)")+SUMIFS('Source 2026'!$F:$F,'Source 2026'!$B:$B,$A573,'Source 2026'!$A:$A,"Quantity (units)")+SUMIFS('Source 2026'!$G:$G,'Source 2026'!$B:$B,$A573,'Source 2026'!$A:$A,"Quantity (units)")+SUMIFS('Source 2026'!$J:$J,'Source 2026'!$B:$B,$A573,'Source 2026'!$A:$A,"Quantity (units)")+SUMIFS('Source 2026'!$M:$M,'Source 2026'!$B:$B,$A573,'Source 2026'!$A:$A,"Quantity (units)")</f>
        <v>1</v>
      </c>
      <c r="E573" s="8" t="n">
        <f aca="false">D573*$J$5</f>
        <v>1.37142857142857</v>
      </c>
      <c r="F573" s="8" t="n">
        <f aca="false">E573-C573</f>
        <v>0.371428571428571</v>
      </c>
      <c r="G573" s="9" t="n">
        <f aca="false">IF(AND(C573=0,E573=0),0,IF(C573=0,"New",(E573-C573)/C573))</f>
        <v>0.371428571428571</v>
      </c>
      <c r="H573" s="8" t="n">
        <f aca="false">SUMIFS('Source 2025'!$D:$D,'Source 2025'!$B:$B,$A573,'Source 2025'!$A:$A,"Amount (NIS)")+SUMIFS('Source 2025'!$E:$E,'Source 2025'!$B:$B,$A573,'Source 2025'!$A:$A,"Amount (NIS)")+SUMIFS('Source 2025'!$F:$F,'Source 2025'!$B:$B,$A573,'Source 2025'!$A:$A,"Amount (NIS)")+SUMIFS('Source 2025'!$G:$G,'Source 2025'!$B:$B,$A573,'Source 2025'!$A:$A,"Amount (NIS)")+SUMIFS('Source 2025'!$J:$J,'Source 2025'!$B:$B,$A573,'Source 2025'!$A:$A,"Amount (NIS)")+SUMIFS('Source 2025'!$M:$M,'Source 2025'!$B:$B,$A573,'Source 2025'!$A:$A,"Amount (NIS)")</f>
        <v>110.6</v>
      </c>
      <c r="I573" s="8" t="n">
        <f aca="false">SUMIFS('Source 2026'!$D:$D,'Source 2026'!$B:$B,$A573,'Source 2026'!$A:$A,"Amount (NIS)")+SUMIFS('Source 2026'!$E:$E,'Source 2026'!$B:$B,$A573,'Source 2026'!$A:$A,"Amount (NIS)")+SUMIFS('Source 2026'!$F:$F,'Source 2026'!$B:$B,$A573,'Source 2026'!$A:$A,"Amount (NIS)")+SUMIFS('Source 2026'!$G:$G,'Source 2026'!$B:$B,$A573,'Source 2026'!$A:$A,"Amount (NIS)")+SUMIFS('Source 2026'!$J:$J,'Source 2026'!$B:$B,$A573,'Source 2026'!$A:$A,"Amount (NIS)")+SUMIFS('Source 2026'!$M:$M,'Source 2026'!$B:$B,$A573,'Source 2026'!$A:$A,"Amount (NIS)")</f>
        <v>135.9</v>
      </c>
      <c r="J573" s="8" t="n">
        <f aca="false">I573*$J$5</f>
        <v>186.377142857143</v>
      </c>
      <c r="K573" s="8" t="n">
        <f aca="false">J573-H573</f>
        <v>75.7771428571429</v>
      </c>
      <c r="L573" s="9" t="n">
        <f aca="false">IF(AND(H573=0,J573=0),0,IF(H573=0,"New",(J573-H573)/H573))</f>
        <v>0.685145957117024</v>
      </c>
    </row>
    <row r="574" customFormat="false" ht="15" hidden="false" customHeight="false" outlineLevel="0" collapsed="false">
      <c r="A574" s="7" t="n">
        <v>4413369</v>
      </c>
      <c r="B574" s="7" t="str">
        <f aca="false">IFERROR(INDEX('Source 2026'!$C:$C,MATCH($A574,'Source 2026'!$B:$B,0)),IFERROR(INDEX('Source 2025'!$C:$C,MATCH($A574,'Source 2025'!$B:$B,0)),""))</f>
        <v>95C XXL'מגן מרפק בז</v>
      </c>
      <c r="C574" s="8" t="n">
        <f aca="false">SUMIFS('Source 2025'!$D:$D,'Source 2025'!$B:$B,$A574,'Source 2025'!$A:$A,"Quantity (units)")+SUMIFS('Source 2025'!$E:$E,'Source 2025'!$B:$B,$A574,'Source 2025'!$A:$A,"Quantity (units)")+SUMIFS('Source 2025'!$F:$F,'Source 2025'!$B:$B,$A574,'Source 2025'!$A:$A,"Quantity (units)")+SUMIFS('Source 2025'!$G:$G,'Source 2025'!$B:$B,$A574,'Source 2025'!$A:$A,"Quantity (units)")+SUMIFS('Source 2025'!$J:$J,'Source 2025'!$B:$B,$A574,'Source 2025'!$A:$A,"Quantity (units)")+SUMIFS('Source 2025'!$M:$M,'Source 2025'!$B:$B,$A574,'Source 2025'!$A:$A,"Quantity (units)")</f>
        <v>6</v>
      </c>
      <c r="D574" s="8" t="n">
        <f aca="false">SUMIFS('Source 2026'!$D:$D,'Source 2026'!$B:$B,$A574,'Source 2026'!$A:$A,"Quantity (units)")+SUMIFS('Source 2026'!$E:$E,'Source 2026'!$B:$B,$A574,'Source 2026'!$A:$A,"Quantity (units)")+SUMIFS('Source 2026'!$F:$F,'Source 2026'!$B:$B,$A574,'Source 2026'!$A:$A,"Quantity (units)")+SUMIFS('Source 2026'!$G:$G,'Source 2026'!$B:$B,$A574,'Source 2026'!$A:$A,"Quantity (units)")+SUMIFS('Source 2026'!$J:$J,'Source 2026'!$B:$B,$A574,'Source 2026'!$A:$A,"Quantity (units)")+SUMIFS('Source 2026'!$M:$M,'Source 2026'!$B:$B,$A574,'Source 2026'!$A:$A,"Quantity (units)")</f>
        <v>7</v>
      </c>
      <c r="E574" s="8" t="n">
        <f aca="false">D574*$J$5</f>
        <v>9.6</v>
      </c>
      <c r="F574" s="8" t="n">
        <f aca="false">E574-C574</f>
        <v>3.6</v>
      </c>
      <c r="G574" s="9" t="n">
        <f aca="false">IF(AND(C574=0,E574=0),0,IF(C574=0,"New",(E574-C574)/C574))</f>
        <v>0.6</v>
      </c>
      <c r="H574" s="8" t="n">
        <f aca="false">SUMIFS('Source 2025'!$D:$D,'Source 2025'!$B:$B,$A574,'Source 2025'!$A:$A,"Amount (NIS)")+SUMIFS('Source 2025'!$E:$E,'Source 2025'!$B:$B,$A574,'Source 2025'!$A:$A,"Amount (NIS)")+SUMIFS('Source 2025'!$F:$F,'Source 2025'!$B:$B,$A574,'Source 2025'!$A:$A,"Amount (NIS)")+SUMIFS('Source 2025'!$G:$G,'Source 2025'!$B:$B,$A574,'Source 2025'!$A:$A,"Amount (NIS)")+SUMIFS('Source 2025'!$J:$J,'Source 2025'!$B:$B,$A574,'Source 2025'!$A:$A,"Amount (NIS)")+SUMIFS('Source 2025'!$M:$M,'Source 2025'!$B:$B,$A574,'Source 2025'!$A:$A,"Amount (NIS)")</f>
        <v>179.2</v>
      </c>
      <c r="I574" s="8" t="n">
        <f aca="false">SUMIFS('Source 2026'!$D:$D,'Source 2026'!$B:$B,$A574,'Source 2026'!$A:$A,"Amount (NIS)")+SUMIFS('Source 2026'!$E:$E,'Source 2026'!$B:$B,$A574,'Source 2026'!$A:$A,"Amount (NIS)")+SUMIFS('Source 2026'!$F:$F,'Source 2026'!$B:$B,$A574,'Source 2026'!$A:$A,"Amount (NIS)")+SUMIFS('Source 2026'!$G:$G,'Source 2026'!$B:$B,$A574,'Source 2026'!$A:$A,"Amount (NIS)")+SUMIFS('Source 2026'!$J:$J,'Source 2026'!$B:$B,$A574,'Source 2026'!$A:$A,"Amount (NIS)")+SUMIFS('Source 2026'!$M:$M,'Source 2026'!$B:$B,$A574,'Source 2026'!$A:$A,"Amount (NIS)")</f>
        <v>203.9</v>
      </c>
      <c r="J574" s="8" t="n">
        <f aca="false">I574*$J$5</f>
        <v>279.634285714286</v>
      </c>
      <c r="K574" s="8" t="n">
        <f aca="false">J574-H574</f>
        <v>100.434285714286</v>
      </c>
      <c r="L574" s="9" t="n">
        <f aca="false">IF(AND(H574=0,J574=0),0,IF(H574=0,"New",(J574-H574)/H574))</f>
        <v>0.56045918367347</v>
      </c>
    </row>
    <row r="575" customFormat="false" ht="15" hidden="false" customHeight="false" outlineLevel="0" collapsed="false">
      <c r="A575" s="7" t="n">
        <v>4408219</v>
      </c>
      <c r="B575" s="7" t="str">
        <f aca="false">IFERROR(INDEX('Source 2026'!$C:$C,MATCH($A575,'Source 2026'!$B:$B,0)),IFERROR(INDEX('Source 2025'!$C:$C,MATCH($A575,'Source 2025'!$B:$B,0)),""))</f>
        <v>078G-S חגורת גב אפורה</v>
      </c>
      <c r="C575" s="8" t="n">
        <f aca="false">SUMIFS('Source 2025'!$D:$D,'Source 2025'!$B:$B,$A575,'Source 2025'!$A:$A,"Quantity (units)")+SUMIFS('Source 2025'!$E:$E,'Source 2025'!$B:$B,$A575,'Source 2025'!$A:$A,"Quantity (units)")+SUMIFS('Source 2025'!$F:$F,'Source 2025'!$B:$B,$A575,'Source 2025'!$A:$A,"Quantity (units)")+SUMIFS('Source 2025'!$G:$G,'Source 2025'!$B:$B,$A575,'Source 2025'!$A:$A,"Quantity (units)")+SUMIFS('Source 2025'!$J:$J,'Source 2025'!$B:$B,$A575,'Source 2025'!$A:$A,"Quantity (units)")+SUMIFS('Source 2025'!$M:$M,'Source 2025'!$B:$B,$A575,'Source 2025'!$A:$A,"Quantity (units)")</f>
        <v>5</v>
      </c>
      <c r="D575" s="8" t="n">
        <f aca="false">SUMIFS('Source 2026'!$D:$D,'Source 2026'!$B:$B,$A575,'Source 2026'!$A:$A,"Quantity (units)")+SUMIFS('Source 2026'!$E:$E,'Source 2026'!$B:$B,$A575,'Source 2026'!$A:$A,"Quantity (units)")+SUMIFS('Source 2026'!$F:$F,'Source 2026'!$B:$B,$A575,'Source 2026'!$A:$A,"Quantity (units)")+SUMIFS('Source 2026'!$G:$G,'Source 2026'!$B:$B,$A575,'Source 2026'!$A:$A,"Quantity (units)")+SUMIFS('Source 2026'!$J:$J,'Source 2026'!$B:$B,$A575,'Source 2026'!$A:$A,"Quantity (units)")+SUMIFS('Source 2026'!$M:$M,'Source 2026'!$B:$B,$A575,'Source 2026'!$A:$A,"Quantity (units)")</f>
        <v>5</v>
      </c>
      <c r="E575" s="8" t="n">
        <f aca="false">D575*$J$5</f>
        <v>6.85714285714286</v>
      </c>
      <c r="F575" s="8" t="n">
        <f aca="false">E575-C575</f>
        <v>1.85714285714286</v>
      </c>
      <c r="G575" s="9" t="n">
        <f aca="false">IF(AND(C575=0,E575=0),0,IF(C575=0,"New",(E575-C575)/C575))</f>
        <v>0.371428571428572</v>
      </c>
      <c r="H575" s="8" t="n">
        <f aca="false">SUMIFS('Source 2025'!$D:$D,'Source 2025'!$B:$B,$A575,'Source 2025'!$A:$A,"Amount (NIS)")+SUMIFS('Source 2025'!$E:$E,'Source 2025'!$B:$B,$A575,'Source 2025'!$A:$A,"Amount (NIS)")+SUMIFS('Source 2025'!$F:$F,'Source 2025'!$B:$B,$A575,'Source 2025'!$A:$A,"Amount (NIS)")+SUMIFS('Source 2025'!$G:$G,'Source 2025'!$B:$B,$A575,'Source 2025'!$A:$A,"Amount (NIS)")+SUMIFS('Source 2025'!$J:$J,'Source 2025'!$B:$B,$A575,'Source 2025'!$A:$A,"Amount (NIS)")+SUMIFS('Source 2025'!$M:$M,'Source 2025'!$B:$B,$A575,'Source 2025'!$A:$A,"Amount (NIS)")</f>
        <v>577.8</v>
      </c>
      <c r="I575" s="8" t="n">
        <f aca="false">SUMIFS('Source 2026'!$D:$D,'Source 2026'!$B:$B,$A575,'Source 2026'!$A:$A,"Amount (NIS)")+SUMIFS('Source 2026'!$E:$E,'Source 2026'!$B:$B,$A575,'Source 2026'!$A:$A,"Amount (NIS)")+SUMIFS('Source 2026'!$F:$F,'Source 2026'!$B:$B,$A575,'Source 2026'!$A:$A,"Amount (NIS)")+SUMIFS('Source 2026'!$G:$G,'Source 2026'!$B:$B,$A575,'Source 2026'!$A:$A,"Amount (NIS)")+SUMIFS('Source 2026'!$J:$J,'Source 2026'!$B:$B,$A575,'Source 2026'!$A:$A,"Amount (NIS)")+SUMIFS('Source 2026'!$M:$M,'Source 2026'!$B:$B,$A575,'Source 2026'!$A:$A,"Amount (NIS)")</f>
        <v>554.4</v>
      </c>
      <c r="J575" s="8" t="n">
        <f aca="false">I575*$J$5</f>
        <v>760.32</v>
      </c>
      <c r="K575" s="8" t="n">
        <f aca="false">J575-H575</f>
        <v>182.52</v>
      </c>
      <c r="L575" s="9" t="n">
        <f aca="false">IF(AND(H575=0,J575=0),0,IF(H575=0,"New",(J575-H575)/H575))</f>
        <v>0.31588785046729</v>
      </c>
    </row>
    <row r="576" customFormat="false" ht="15" hidden="false" customHeight="false" outlineLevel="0" collapsed="false">
      <c r="A576" s="7" t="n">
        <v>4409010</v>
      </c>
      <c r="B576" s="7" t="str">
        <f aca="false">IFERROR(INDEX('Source 2026'!$C:$C,MATCH($A576,'Source 2026'!$B:$B,0)),IFERROR(INDEX('Source 2025'!$C:$C,MATCH($A576,'Source 2025'!$B:$B,0)),""))</f>
        <v>804AT-W      טייפ חבישה לספורט</v>
      </c>
      <c r="C576" s="8" t="n">
        <f aca="false">SUMIFS('Source 2025'!$D:$D,'Source 2025'!$B:$B,$A576,'Source 2025'!$A:$A,"Quantity (units)")+SUMIFS('Source 2025'!$E:$E,'Source 2025'!$B:$B,$A576,'Source 2025'!$A:$A,"Quantity (units)")+SUMIFS('Source 2025'!$F:$F,'Source 2025'!$B:$B,$A576,'Source 2025'!$A:$A,"Quantity (units)")+SUMIFS('Source 2025'!$G:$G,'Source 2025'!$B:$B,$A576,'Source 2025'!$A:$A,"Quantity (units)")+SUMIFS('Source 2025'!$J:$J,'Source 2025'!$B:$B,$A576,'Source 2025'!$A:$A,"Quantity (units)")+SUMIFS('Source 2025'!$M:$M,'Source 2025'!$B:$B,$A576,'Source 2025'!$A:$A,"Quantity (units)")</f>
        <v>10</v>
      </c>
      <c r="D576" s="8" t="n">
        <f aca="false">SUMIFS('Source 2026'!$D:$D,'Source 2026'!$B:$B,$A576,'Source 2026'!$A:$A,"Quantity (units)")+SUMIFS('Source 2026'!$E:$E,'Source 2026'!$B:$B,$A576,'Source 2026'!$A:$A,"Quantity (units)")+SUMIFS('Source 2026'!$F:$F,'Source 2026'!$B:$B,$A576,'Source 2026'!$A:$A,"Quantity (units)")+SUMIFS('Source 2026'!$G:$G,'Source 2026'!$B:$B,$A576,'Source 2026'!$A:$A,"Quantity (units)")+SUMIFS('Source 2026'!$J:$J,'Source 2026'!$B:$B,$A576,'Source 2026'!$A:$A,"Quantity (units)")+SUMIFS('Source 2026'!$M:$M,'Source 2026'!$B:$B,$A576,'Source 2026'!$A:$A,"Quantity (units)")</f>
        <v>8</v>
      </c>
      <c r="E576" s="8" t="n">
        <f aca="false">D576*$J$5</f>
        <v>10.9714285714286</v>
      </c>
      <c r="F576" s="8" t="n">
        <f aca="false">E576-C576</f>
        <v>0.971428571428572</v>
      </c>
      <c r="G576" s="9" t="n">
        <f aca="false">IF(AND(C576=0,E576=0),0,IF(C576=0,"New",(E576-C576)/C576))</f>
        <v>0.0971428571428572</v>
      </c>
      <c r="H576" s="8" t="n">
        <f aca="false">SUMIFS('Source 2025'!$D:$D,'Source 2025'!$B:$B,$A576,'Source 2025'!$A:$A,"Amount (NIS)")+SUMIFS('Source 2025'!$E:$E,'Source 2025'!$B:$B,$A576,'Source 2025'!$A:$A,"Amount (NIS)")+SUMIFS('Source 2025'!$F:$F,'Source 2025'!$B:$B,$A576,'Source 2025'!$A:$A,"Amount (NIS)")+SUMIFS('Source 2025'!$G:$G,'Source 2025'!$B:$B,$A576,'Source 2025'!$A:$A,"Amount (NIS)")+SUMIFS('Source 2025'!$J:$J,'Source 2025'!$B:$B,$A576,'Source 2025'!$A:$A,"Amount (NIS)")+SUMIFS('Source 2025'!$M:$M,'Source 2025'!$B:$B,$A576,'Source 2025'!$A:$A,"Amount (NIS)")</f>
        <v>159.1</v>
      </c>
      <c r="I576" s="8" t="n">
        <f aca="false">SUMIFS('Source 2026'!$D:$D,'Source 2026'!$B:$B,$A576,'Source 2026'!$A:$A,"Amount (NIS)")+SUMIFS('Source 2026'!$E:$E,'Source 2026'!$B:$B,$A576,'Source 2026'!$A:$A,"Amount (NIS)")+SUMIFS('Source 2026'!$F:$F,'Source 2026'!$B:$B,$A576,'Source 2026'!$A:$A,"Amount (NIS)")+SUMIFS('Source 2026'!$G:$G,'Source 2026'!$B:$B,$A576,'Source 2026'!$A:$A,"Amount (NIS)")+SUMIFS('Source 2026'!$J:$J,'Source 2026'!$B:$B,$A576,'Source 2026'!$A:$A,"Amount (NIS)")+SUMIFS('Source 2026'!$M:$M,'Source 2026'!$B:$B,$A576,'Source 2026'!$A:$A,"Amount (NIS)")</f>
        <v>136.1</v>
      </c>
      <c r="J576" s="8" t="n">
        <f aca="false">I576*$J$5</f>
        <v>186.651428571429</v>
      </c>
      <c r="K576" s="8" t="n">
        <f aca="false">J576-H576</f>
        <v>27.5514285714286</v>
      </c>
      <c r="L576" s="9" t="n">
        <f aca="false">IF(AND(H576=0,J576=0),0,IF(H576=0,"New",(J576-H576)/H576))</f>
        <v>0.173170512705396</v>
      </c>
    </row>
    <row r="577" customFormat="false" ht="15" hidden="false" customHeight="false" outlineLevel="0" collapsed="false">
      <c r="A577" s="7" t="n">
        <v>4413419</v>
      </c>
      <c r="B577" s="7" t="str">
        <f aca="false">IFERROR(INDEX('Source 2026'!$C:$C,MATCH($A577,'Source 2026'!$B:$B,0)),IFERROR(INDEX('Source 2025'!$C:$C,MATCH($A577,'Source 2025'!$B:$B,0)),""))</f>
        <v>SC39 XXLמגן שוק</v>
      </c>
      <c r="C577" s="8" t="n">
        <f aca="false">SUMIFS('Source 2025'!$D:$D,'Source 2025'!$B:$B,$A577,'Source 2025'!$A:$A,"Quantity (units)")+SUMIFS('Source 2025'!$E:$E,'Source 2025'!$B:$B,$A577,'Source 2025'!$A:$A,"Quantity (units)")+SUMIFS('Source 2025'!$F:$F,'Source 2025'!$B:$B,$A577,'Source 2025'!$A:$A,"Quantity (units)")+SUMIFS('Source 2025'!$G:$G,'Source 2025'!$B:$B,$A577,'Source 2025'!$A:$A,"Quantity (units)")+SUMIFS('Source 2025'!$J:$J,'Source 2025'!$B:$B,$A577,'Source 2025'!$A:$A,"Quantity (units)")+SUMIFS('Source 2025'!$M:$M,'Source 2025'!$B:$B,$A577,'Source 2025'!$A:$A,"Quantity (units)")</f>
        <v>0</v>
      </c>
      <c r="D577" s="8" t="n">
        <f aca="false">SUMIFS('Source 2026'!$D:$D,'Source 2026'!$B:$B,$A577,'Source 2026'!$A:$A,"Quantity (units)")+SUMIFS('Source 2026'!$E:$E,'Source 2026'!$B:$B,$A577,'Source 2026'!$A:$A,"Quantity (units)")+SUMIFS('Source 2026'!$F:$F,'Source 2026'!$B:$B,$A577,'Source 2026'!$A:$A,"Quantity (units)")+SUMIFS('Source 2026'!$G:$G,'Source 2026'!$B:$B,$A577,'Source 2026'!$A:$A,"Quantity (units)")+SUMIFS('Source 2026'!$J:$J,'Source 2026'!$B:$B,$A577,'Source 2026'!$A:$A,"Quantity (units)")+SUMIFS('Source 2026'!$M:$M,'Source 2026'!$B:$B,$A577,'Source 2026'!$A:$A,"Quantity (units)")</f>
        <v>0</v>
      </c>
      <c r="E577" s="8" t="n">
        <f aca="false">D577*$J$5</f>
        <v>0</v>
      </c>
      <c r="F577" s="8" t="n">
        <f aca="false">E577-C577</f>
        <v>0</v>
      </c>
      <c r="G577" s="9" t="n">
        <f aca="false">IF(AND(C577=0,E577=0),0,IF(C577=0,"New",(E577-C577)/C577))</f>
        <v>0</v>
      </c>
      <c r="H577" s="8" t="n">
        <f aca="false">SUMIFS('Source 2025'!$D:$D,'Source 2025'!$B:$B,$A577,'Source 2025'!$A:$A,"Amount (NIS)")+SUMIFS('Source 2025'!$E:$E,'Source 2025'!$B:$B,$A577,'Source 2025'!$A:$A,"Amount (NIS)")+SUMIFS('Source 2025'!$F:$F,'Source 2025'!$B:$B,$A577,'Source 2025'!$A:$A,"Amount (NIS)")+SUMIFS('Source 2025'!$G:$G,'Source 2025'!$B:$B,$A577,'Source 2025'!$A:$A,"Amount (NIS)")+SUMIFS('Source 2025'!$J:$J,'Source 2025'!$B:$B,$A577,'Source 2025'!$A:$A,"Amount (NIS)")+SUMIFS('Source 2025'!$M:$M,'Source 2025'!$B:$B,$A577,'Source 2025'!$A:$A,"Amount (NIS)")</f>
        <v>22.4</v>
      </c>
      <c r="I577" s="8" t="n">
        <f aca="false">SUMIFS('Source 2026'!$D:$D,'Source 2026'!$B:$B,$A577,'Source 2026'!$A:$A,"Amount (NIS)")+SUMIFS('Source 2026'!$E:$E,'Source 2026'!$B:$B,$A577,'Source 2026'!$A:$A,"Amount (NIS)")+SUMIFS('Source 2026'!$F:$F,'Source 2026'!$B:$B,$A577,'Source 2026'!$A:$A,"Amount (NIS)")+SUMIFS('Source 2026'!$G:$G,'Source 2026'!$B:$B,$A577,'Source 2026'!$A:$A,"Amount (NIS)")+SUMIFS('Source 2026'!$J:$J,'Source 2026'!$B:$B,$A577,'Source 2026'!$A:$A,"Amount (NIS)")+SUMIFS('Source 2026'!$M:$M,'Source 2026'!$B:$B,$A577,'Source 2026'!$A:$A,"Amount (NIS)")</f>
        <v>0</v>
      </c>
      <c r="J577" s="8" t="n">
        <f aca="false">I577*$J$5</f>
        <v>0</v>
      </c>
      <c r="K577" s="8" t="n">
        <f aca="false">J577-H577</f>
        <v>-22.4</v>
      </c>
      <c r="L577" s="9" t="n">
        <f aca="false">IF(AND(H577=0,J577=0),0,IF(H577=0,"New",(J577-H577)/H577))</f>
        <v>-1</v>
      </c>
    </row>
    <row r="578" customFormat="false" ht="15" hidden="false" customHeight="false" outlineLevel="0" collapsed="false">
      <c r="A578" s="7" t="n">
        <v>4408018</v>
      </c>
      <c r="B578" s="7" t="str">
        <f aca="false">IFERROR(INDEX('Source 2026'!$C:$C,MATCH($A578,'Source 2026'!$B:$B,0)),IFERROR(INDEX('Source 2025'!$C:$C,MATCH($A578,'Source 2025'!$B:$B,0)),""))</f>
        <v>07AU XXL.ח.גב ""איטלקית"" אוריר</v>
      </c>
      <c r="C578" s="8" t="n">
        <f aca="false">SUMIFS('Source 2025'!$D:$D,'Source 2025'!$B:$B,$A578,'Source 2025'!$A:$A,"Quantity (units)")+SUMIFS('Source 2025'!$E:$E,'Source 2025'!$B:$B,$A578,'Source 2025'!$A:$A,"Quantity (units)")+SUMIFS('Source 2025'!$F:$F,'Source 2025'!$B:$B,$A578,'Source 2025'!$A:$A,"Quantity (units)")+SUMIFS('Source 2025'!$G:$G,'Source 2025'!$B:$B,$A578,'Source 2025'!$A:$A,"Quantity (units)")+SUMIFS('Source 2025'!$J:$J,'Source 2025'!$B:$B,$A578,'Source 2025'!$A:$A,"Quantity (units)")+SUMIFS('Source 2025'!$M:$M,'Source 2025'!$B:$B,$A578,'Source 2025'!$A:$A,"Quantity (units)")</f>
        <v>0</v>
      </c>
      <c r="D578" s="8" t="n">
        <f aca="false">SUMIFS('Source 2026'!$D:$D,'Source 2026'!$B:$B,$A578,'Source 2026'!$A:$A,"Quantity (units)")+SUMIFS('Source 2026'!$E:$E,'Source 2026'!$B:$B,$A578,'Source 2026'!$A:$A,"Quantity (units)")+SUMIFS('Source 2026'!$F:$F,'Source 2026'!$B:$B,$A578,'Source 2026'!$A:$A,"Quantity (units)")+SUMIFS('Source 2026'!$G:$G,'Source 2026'!$B:$B,$A578,'Source 2026'!$A:$A,"Quantity (units)")+SUMIFS('Source 2026'!$J:$J,'Source 2026'!$B:$B,$A578,'Source 2026'!$A:$A,"Quantity (units)")+SUMIFS('Source 2026'!$M:$M,'Source 2026'!$B:$B,$A578,'Source 2026'!$A:$A,"Quantity (units)")</f>
        <v>0</v>
      </c>
      <c r="E578" s="8" t="n">
        <f aca="false">D578*$J$5</f>
        <v>0</v>
      </c>
      <c r="F578" s="8" t="n">
        <f aca="false">E578-C578</f>
        <v>0</v>
      </c>
      <c r="G578" s="9" t="n">
        <f aca="false">IF(AND(C578=0,E578=0),0,IF(C578=0,"New",(E578-C578)/C578))</f>
        <v>0</v>
      </c>
      <c r="H578" s="8" t="n">
        <f aca="false">SUMIFS('Source 2025'!$D:$D,'Source 2025'!$B:$B,$A578,'Source 2025'!$A:$A,"Amount (NIS)")+SUMIFS('Source 2025'!$E:$E,'Source 2025'!$B:$B,$A578,'Source 2025'!$A:$A,"Amount (NIS)")+SUMIFS('Source 2025'!$F:$F,'Source 2025'!$B:$B,$A578,'Source 2025'!$A:$A,"Amount (NIS)")+SUMIFS('Source 2025'!$G:$G,'Source 2025'!$B:$B,$A578,'Source 2025'!$A:$A,"Amount (NIS)")+SUMIFS('Source 2025'!$J:$J,'Source 2025'!$B:$B,$A578,'Source 2025'!$A:$A,"Amount (NIS)")+SUMIFS('Source 2025'!$M:$M,'Source 2025'!$B:$B,$A578,'Source 2025'!$A:$A,"Amount (NIS)")</f>
        <v>19.8</v>
      </c>
      <c r="I578" s="8" t="n">
        <f aca="false">SUMIFS('Source 2026'!$D:$D,'Source 2026'!$B:$B,$A578,'Source 2026'!$A:$A,"Amount (NIS)")+SUMIFS('Source 2026'!$E:$E,'Source 2026'!$B:$B,$A578,'Source 2026'!$A:$A,"Amount (NIS)")+SUMIFS('Source 2026'!$F:$F,'Source 2026'!$B:$B,$A578,'Source 2026'!$A:$A,"Amount (NIS)")+SUMIFS('Source 2026'!$G:$G,'Source 2026'!$B:$B,$A578,'Source 2026'!$A:$A,"Amount (NIS)")+SUMIFS('Source 2026'!$J:$J,'Source 2026'!$B:$B,$A578,'Source 2026'!$A:$A,"Amount (NIS)")+SUMIFS('Source 2026'!$M:$M,'Source 2026'!$B:$B,$A578,'Source 2026'!$A:$A,"Amount (NIS)")</f>
        <v>0</v>
      </c>
      <c r="J578" s="8" t="n">
        <f aca="false">I578*$J$5</f>
        <v>0</v>
      </c>
      <c r="K578" s="8" t="n">
        <f aca="false">J578-H578</f>
        <v>-19.8</v>
      </c>
      <c r="L578" s="9" t="n">
        <f aca="false">IF(AND(H578=0,J578=0),0,IF(H578=0,"New",(J578-H578)/H578))</f>
        <v>-1</v>
      </c>
    </row>
    <row r="579" customFormat="false" ht="15" hidden="false" customHeight="false" outlineLevel="0" collapsed="false">
      <c r="A579" s="7" t="n">
        <v>4401013</v>
      </c>
      <c r="B579" s="7" t="str">
        <f aca="false">IFERROR(INDEX('Source 2026'!$C:$C,MATCH($A579,'Source 2026'!$B:$B,0)),IFERROR(INDEX('Source 2025'!$C:$C,MATCH($A579,'Source 2025'!$B:$B,0)),""))</f>
        <v>805AT-BLאתלטיק טייפ כחול 20מ""מ</v>
      </c>
      <c r="C579" s="8" t="n">
        <f aca="false">SUMIFS('Source 2025'!$D:$D,'Source 2025'!$B:$B,$A579,'Source 2025'!$A:$A,"Quantity (units)")+SUMIFS('Source 2025'!$E:$E,'Source 2025'!$B:$B,$A579,'Source 2025'!$A:$A,"Quantity (units)")+SUMIFS('Source 2025'!$F:$F,'Source 2025'!$B:$B,$A579,'Source 2025'!$A:$A,"Quantity (units)")+SUMIFS('Source 2025'!$G:$G,'Source 2025'!$B:$B,$A579,'Source 2025'!$A:$A,"Quantity (units)")+SUMIFS('Source 2025'!$J:$J,'Source 2025'!$B:$B,$A579,'Source 2025'!$A:$A,"Quantity (units)")+SUMIFS('Source 2025'!$M:$M,'Source 2025'!$B:$B,$A579,'Source 2025'!$A:$A,"Quantity (units)")</f>
        <v>19</v>
      </c>
      <c r="D579" s="8" t="n">
        <f aca="false">SUMIFS('Source 2026'!$D:$D,'Source 2026'!$B:$B,$A579,'Source 2026'!$A:$A,"Quantity (units)")+SUMIFS('Source 2026'!$E:$E,'Source 2026'!$B:$B,$A579,'Source 2026'!$A:$A,"Quantity (units)")+SUMIFS('Source 2026'!$F:$F,'Source 2026'!$B:$B,$A579,'Source 2026'!$A:$A,"Quantity (units)")+SUMIFS('Source 2026'!$G:$G,'Source 2026'!$B:$B,$A579,'Source 2026'!$A:$A,"Quantity (units)")+SUMIFS('Source 2026'!$J:$J,'Source 2026'!$B:$B,$A579,'Source 2026'!$A:$A,"Quantity (units)")+SUMIFS('Source 2026'!$M:$M,'Source 2026'!$B:$B,$A579,'Source 2026'!$A:$A,"Quantity (units)")</f>
        <v>19</v>
      </c>
      <c r="E579" s="8" t="n">
        <f aca="false">D579*$J$5</f>
        <v>26.0571428571429</v>
      </c>
      <c r="F579" s="8" t="n">
        <f aca="false">E579-C579</f>
        <v>7.05714285714286</v>
      </c>
      <c r="G579" s="9" t="n">
        <f aca="false">IF(AND(C579=0,E579=0),0,IF(C579=0,"New",(E579-C579)/C579))</f>
        <v>0.371428571428571</v>
      </c>
      <c r="H579" s="8" t="n">
        <f aca="false">SUMIFS('Source 2025'!$D:$D,'Source 2025'!$B:$B,$A579,'Source 2025'!$A:$A,"Amount (NIS)")+SUMIFS('Source 2025'!$E:$E,'Source 2025'!$B:$B,$A579,'Source 2025'!$A:$A,"Amount (NIS)")+SUMIFS('Source 2025'!$F:$F,'Source 2025'!$B:$B,$A579,'Source 2025'!$A:$A,"Amount (NIS)")+SUMIFS('Source 2025'!$G:$G,'Source 2025'!$B:$B,$A579,'Source 2025'!$A:$A,"Amount (NIS)")+SUMIFS('Source 2025'!$J:$J,'Source 2025'!$B:$B,$A579,'Source 2025'!$A:$A,"Amount (NIS)")+SUMIFS('Source 2025'!$M:$M,'Source 2025'!$B:$B,$A579,'Source 2025'!$A:$A,"Amount (NIS)")</f>
        <v>301.4</v>
      </c>
      <c r="I579" s="8" t="n">
        <f aca="false">SUMIFS('Source 2026'!$D:$D,'Source 2026'!$B:$B,$A579,'Source 2026'!$A:$A,"Amount (NIS)")+SUMIFS('Source 2026'!$E:$E,'Source 2026'!$B:$B,$A579,'Source 2026'!$A:$A,"Amount (NIS)")+SUMIFS('Source 2026'!$F:$F,'Source 2026'!$B:$B,$A579,'Source 2026'!$A:$A,"Amount (NIS)")+SUMIFS('Source 2026'!$G:$G,'Source 2026'!$B:$B,$A579,'Source 2026'!$A:$A,"Amount (NIS)")+SUMIFS('Source 2026'!$J:$J,'Source 2026'!$B:$B,$A579,'Source 2026'!$A:$A,"Amount (NIS)")+SUMIFS('Source 2026'!$M:$M,'Source 2026'!$B:$B,$A579,'Source 2026'!$A:$A,"Amount (NIS)")</f>
        <v>319.4</v>
      </c>
      <c r="J579" s="8" t="n">
        <f aca="false">I579*$J$5</f>
        <v>438.034285714286</v>
      </c>
      <c r="K579" s="8" t="n">
        <f aca="false">J579-H579</f>
        <v>136.634285714286</v>
      </c>
      <c r="L579" s="9" t="n">
        <f aca="false">IF(AND(H579=0,J579=0),0,IF(H579=0,"New",(J579-H579)/H579))</f>
        <v>0.453332069390464</v>
      </c>
    </row>
    <row r="580" customFormat="false" ht="15" hidden="false" customHeight="false" outlineLevel="0" collapsed="false">
      <c r="A580" s="7" t="n">
        <v>4408026</v>
      </c>
      <c r="B580" s="7" t="str">
        <f aca="false">IFERROR(INDEX('Source 2026'!$C:$C,MATCH($A580,'Source 2026'!$B:$B,0)),IFERROR(INDEX('Source 2025'!$C:$C,MATCH($A580,'Source 2025'!$B:$B,0)),""))</f>
        <v>10 S ""חגורת גב ""לומבו</v>
      </c>
      <c r="C580" s="8" t="n">
        <f aca="false">SUMIFS('Source 2025'!$D:$D,'Source 2025'!$B:$B,$A580,'Source 2025'!$A:$A,"Quantity (units)")+SUMIFS('Source 2025'!$E:$E,'Source 2025'!$B:$B,$A580,'Source 2025'!$A:$A,"Quantity (units)")+SUMIFS('Source 2025'!$F:$F,'Source 2025'!$B:$B,$A580,'Source 2025'!$A:$A,"Quantity (units)")+SUMIFS('Source 2025'!$G:$G,'Source 2025'!$B:$B,$A580,'Source 2025'!$A:$A,"Quantity (units)")+SUMIFS('Source 2025'!$J:$J,'Source 2025'!$B:$B,$A580,'Source 2025'!$A:$A,"Quantity (units)")+SUMIFS('Source 2025'!$M:$M,'Source 2025'!$B:$B,$A580,'Source 2025'!$A:$A,"Quantity (units)")</f>
        <v>0</v>
      </c>
      <c r="D580" s="8" t="n">
        <f aca="false">SUMIFS('Source 2026'!$D:$D,'Source 2026'!$B:$B,$A580,'Source 2026'!$A:$A,"Quantity (units)")+SUMIFS('Source 2026'!$E:$E,'Source 2026'!$B:$B,$A580,'Source 2026'!$A:$A,"Quantity (units)")+SUMIFS('Source 2026'!$F:$F,'Source 2026'!$B:$B,$A580,'Source 2026'!$A:$A,"Quantity (units)")+SUMIFS('Source 2026'!$G:$G,'Source 2026'!$B:$B,$A580,'Source 2026'!$A:$A,"Quantity (units)")+SUMIFS('Source 2026'!$J:$J,'Source 2026'!$B:$B,$A580,'Source 2026'!$A:$A,"Quantity (units)")+SUMIFS('Source 2026'!$M:$M,'Source 2026'!$B:$B,$A580,'Source 2026'!$A:$A,"Quantity (units)")</f>
        <v>0</v>
      </c>
      <c r="E580" s="8" t="n">
        <f aca="false">D580*$J$5</f>
        <v>0</v>
      </c>
      <c r="F580" s="8" t="n">
        <f aca="false">E580-C580</f>
        <v>0</v>
      </c>
      <c r="G580" s="9" t="n">
        <f aca="false">IF(AND(C580=0,E580=0),0,IF(C580=0,"New",(E580-C580)/C580))</f>
        <v>0</v>
      </c>
      <c r="H580" s="8" t="n">
        <f aca="false">SUMIFS('Source 2025'!$D:$D,'Source 2025'!$B:$B,$A580,'Source 2025'!$A:$A,"Amount (NIS)")+SUMIFS('Source 2025'!$E:$E,'Source 2025'!$B:$B,$A580,'Source 2025'!$A:$A,"Amount (NIS)")+SUMIFS('Source 2025'!$F:$F,'Source 2025'!$B:$B,$A580,'Source 2025'!$A:$A,"Amount (NIS)")+SUMIFS('Source 2025'!$G:$G,'Source 2025'!$B:$B,$A580,'Source 2025'!$A:$A,"Amount (NIS)")+SUMIFS('Source 2025'!$J:$J,'Source 2025'!$B:$B,$A580,'Source 2025'!$A:$A,"Amount (NIS)")+SUMIFS('Source 2025'!$M:$M,'Source 2025'!$B:$B,$A580,'Source 2025'!$A:$A,"Amount (NIS)")</f>
        <v>0</v>
      </c>
      <c r="I580" s="8" t="n">
        <f aca="false">SUMIFS('Source 2026'!$D:$D,'Source 2026'!$B:$B,$A580,'Source 2026'!$A:$A,"Amount (NIS)")+SUMIFS('Source 2026'!$E:$E,'Source 2026'!$B:$B,$A580,'Source 2026'!$A:$A,"Amount (NIS)")+SUMIFS('Source 2026'!$F:$F,'Source 2026'!$B:$B,$A580,'Source 2026'!$A:$A,"Amount (NIS)")+SUMIFS('Source 2026'!$G:$G,'Source 2026'!$B:$B,$A580,'Source 2026'!$A:$A,"Amount (NIS)")+SUMIFS('Source 2026'!$J:$J,'Source 2026'!$B:$B,$A580,'Source 2026'!$A:$A,"Amount (NIS)")+SUMIFS('Source 2026'!$M:$M,'Source 2026'!$B:$B,$A580,'Source 2026'!$A:$A,"Amount (NIS)")</f>
        <v>13.7</v>
      </c>
      <c r="J580" s="8" t="n">
        <f aca="false">I580*$J$5</f>
        <v>18.7885714285714</v>
      </c>
      <c r="K580" s="8" t="n">
        <f aca="false">J580-H580</f>
        <v>18.7885714285714</v>
      </c>
      <c r="L580" s="9" t="str">
        <f aca="false">IF(AND(H580=0,J580=0),0,IF(H580=0,"New",(J580-H580)/H580))</f>
        <v>New</v>
      </c>
    </row>
    <row r="581" customFormat="false" ht="15" hidden="false" customHeight="false" outlineLevel="0" collapsed="false">
      <c r="A581" s="7" t="n">
        <v>4413282</v>
      </c>
      <c r="B581" s="7" t="str">
        <f aca="false">IFERROR(INDEX('Source 2026'!$C:$C,MATCH($A581,'Source 2026'!$B:$B,0)),IFERROR(INDEX('Source 2025'!$C:$C,MATCH($A581,'Source 2025'!$B:$B,0)),""))</f>
        <v>422E XL מגן ברך ארוך עם כרית</v>
      </c>
      <c r="C581" s="8" t="n">
        <f aca="false">SUMIFS('Source 2025'!$D:$D,'Source 2025'!$B:$B,$A581,'Source 2025'!$A:$A,"Quantity (units)")+SUMIFS('Source 2025'!$E:$E,'Source 2025'!$B:$B,$A581,'Source 2025'!$A:$A,"Quantity (units)")+SUMIFS('Source 2025'!$F:$F,'Source 2025'!$B:$B,$A581,'Source 2025'!$A:$A,"Quantity (units)")+SUMIFS('Source 2025'!$G:$G,'Source 2025'!$B:$B,$A581,'Source 2025'!$A:$A,"Quantity (units)")+SUMIFS('Source 2025'!$J:$J,'Source 2025'!$B:$B,$A581,'Source 2025'!$A:$A,"Quantity (units)")+SUMIFS('Source 2025'!$M:$M,'Source 2025'!$B:$B,$A581,'Source 2025'!$A:$A,"Quantity (units)")</f>
        <v>0</v>
      </c>
      <c r="D581" s="8" t="n">
        <f aca="false">SUMIFS('Source 2026'!$D:$D,'Source 2026'!$B:$B,$A581,'Source 2026'!$A:$A,"Quantity (units)")+SUMIFS('Source 2026'!$E:$E,'Source 2026'!$B:$B,$A581,'Source 2026'!$A:$A,"Quantity (units)")+SUMIFS('Source 2026'!$F:$F,'Source 2026'!$B:$B,$A581,'Source 2026'!$A:$A,"Quantity (units)")+SUMIFS('Source 2026'!$G:$G,'Source 2026'!$B:$B,$A581,'Source 2026'!$A:$A,"Quantity (units)")+SUMIFS('Source 2026'!$J:$J,'Source 2026'!$B:$B,$A581,'Source 2026'!$A:$A,"Quantity (units)")+SUMIFS('Source 2026'!$M:$M,'Source 2026'!$B:$B,$A581,'Source 2026'!$A:$A,"Quantity (units)")</f>
        <v>0</v>
      </c>
      <c r="E581" s="8" t="n">
        <f aca="false">D581*$J$5</f>
        <v>0</v>
      </c>
      <c r="F581" s="8" t="n">
        <f aca="false">E581-C581</f>
        <v>0</v>
      </c>
      <c r="G581" s="9" t="n">
        <f aca="false">IF(AND(C581=0,E581=0),0,IF(C581=0,"New",(E581-C581)/C581))</f>
        <v>0</v>
      </c>
      <c r="H581" s="8" t="n">
        <f aca="false">SUMIFS('Source 2025'!$D:$D,'Source 2025'!$B:$B,$A581,'Source 2025'!$A:$A,"Amount (NIS)")+SUMIFS('Source 2025'!$E:$E,'Source 2025'!$B:$B,$A581,'Source 2025'!$A:$A,"Amount (NIS)")+SUMIFS('Source 2025'!$F:$F,'Source 2025'!$B:$B,$A581,'Source 2025'!$A:$A,"Amount (NIS)")+SUMIFS('Source 2025'!$G:$G,'Source 2025'!$B:$B,$A581,'Source 2025'!$A:$A,"Amount (NIS)")+SUMIFS('Source 2025'!$J:$J,'Source 2025'!$B:$B,$A581,'Source 2025'!$A:$A,"Amount (NIS)")+SUMIFS('Source 2025'!$M:$M,'Source 2025'!$B:$B,$A581,'Source 2025'!$A:$A,"Amount (NIS)")</f>
        <v>-13.5</v>
      </c>
      <c r="I581" s="8" t="n">
        <f aca="false">SUMIFS('Source 2026'!$D:$D,'Source 2026'!$B:$B,$A581,'Source 2026'!$A:$A,"Amount (NIS)")+SUMIFS('Source 2026'!$E:$E,'Source 2026'!$B:$B,$A581,'Source 2026'!$A:$A,"Amount (NIS)")+SUMIFS('Source 2026'!$F:$F,'Source 2026'!$B:$B,$A581,'Source 2026'!$A:$A,"Amount (NIS)")+SUMIFS('Source 2026'!$G:$G,'Source 2026'!$B:$B,$A581,'Source 2026'!$A:$A,"Amount (NIS)")+SUMIFS('Source 2026'!$J:$J,'Source 2026'!$B:$B,$A581,'Source 2026'!$A:$A,"Amount (NIS)")+SUMIFS('Source 2026'!$M:$M,'Source 2026'!$B:$B,$A581,'Source 2026'!$A:$A,"Amount (NIS)")</f>
        <v>0</v>
      </c>
      <c r="J581" s="8" t="n">
        <f aca="false">I581*$J$5</f>
        <v>0</v>
      </c>
      <c r="K581" s="8" t="n">
        <f aca="false">J581-H581</f>
        <v>13.5</v>
      </c>
      <c r="L581" s="9" t="n">
        <f aca="false">IF(AND(H581=0,J581=0),0,IF(H581=0,"New",(J581-H581)/H581))</f>
        <v>-1</v>
      </c>
    </row>
    <row r="582" customFormat="false" ht="15" hidden="false" customHeight="false" outlineLevel="0" collapsed="false">
      <c r="A582" s="7" t="n">
        <v>4409012</v>
      </c>
      <c r="B582" s="7" t="str">
        <f aca="false">IFERROR(INDEX('Source 2026'!$C:$C,MATCH($A582,'Source 2026'!$B:$B,0)),IFERROR(INDEX('Source 2025'!$C:$C,MATCH($A582,'Source 2025'!$B:$B,0)),""))</f>
        <v>804AT-C      טייפ חבישה לספורט</v>
      </c>
      <c r="C582" s="8" t="n">
        <f aca="false">SUMIFS('Source 2025'!$D:$D,'Source 2025'!$B:$B,$A582,'Source 2025'!$A:$A,"Quantity (units)")+SUMIFS('Source 2025'!$E:$E,'Source 2025'!$B:$B,$A582,'Source 2025'!$A:$A,"Quantity (units)")+SUMIFS('Source 2025'!$F:$F,'Source 2025'!$B:$B,$A582,'Source 2025'!$A:$A,"Quantity (units)")+SUMIFS('Source 2025'!$G:$G,'Source 2025'!$B:$B,$A582,'Source 2025'!$A:$A,"Quantity (units)")+SUMIFS('Source 2025'!$J:$J,'Source 2025'!$B:$B,$A582,'Source 2025'!$A:$A,"Quantity (units)")+SUMIFS('Source 2025'!$M:$M,'Source 2025'!$B:$B,$A582,'Source 2025'!$A:$A,"Quantity (units)")</f>
        <v>41</v>
      </c>
      <c r="D582" s="8" t="n">
        <f aca="false">SUMIFS('Source 2026'!$D:$D,'Source 2026'!$B:$B,$A582,'Source 2026'!$A:$A,"Quantity (units)")+SUMIFS('Source 2026'!$E:$E,'Source 2026'!$B:$B,$A582,'Source 2026'!$A:$A,"Quantity (units)")+SUMIFS('Source 2026'!$F:$F,'Source 2026'!$B:$B,$A582,'Source 2026'!$A:$A,"Quantity (units)")+SUMIFS('Source 2026'!$G:$G,'Source 2026'!$B:$B,$A582,'Source 2026'!$A:$A,"Quantity (units)")+SUMIFS('Source 2026'!$J:$J,'Source 2026'!$B:$B,$A582,'Source 2026'!$A:$A,"Quantity (units)")+SUMIFS('Source 2026'!$M:$M,'Source 2026'!$B:$B,$A582,'Source 2026'!$A:$A,"Quantity (units)")</f>
        <v>35</v>
      </c>
      <c r="E582" s="8" t="n">
        <f aca="false">D582*$J$5</f>
        <v>48</v>
      </c>
      <c r="F582" s="8" t="n">
        <f aca="false">E582-C582</f>
        <v>7</v>
      </c>
      <c r="G582" s="9" t="n">
        <f aca="false">IF(AND(C582=0,E582=0),0,IF(C582=0,"New",(E582-C582)/C582))</f>
        <v>0.170731707317073</v>
      </c>
      <c r="H582" s="8" t="n">
        <f aca="false">SUMIFS('Source 2025'!$D:$D,'Source 2025'!$B:$B,$A582,'Source 2025'!$A:$A,"Amount (NIS)")+SUMIFS('Source 2025'!$E:$E,'Source 2025'!$B:$B,$A582,'Source 2025'!$A:$A,"Amount (NIS)")+SUMIFS('Source 2025'!$F:$F,'Source 2025'!$B:$B,$A582,'Source 2025'!$A:$A,"Amount (NIS)")+SUMIFS('Source 2025'!$G:$G,'Source 2025'!$B:$B,$A582,'Source 2025'!$A:$A,"Amount (NIS)")+SUMIFS('Source 2025'!$J:$J,'Source 2025'!$B:$B,$A582,'Source 2025'!$A:$A,"Amount (NIS)")+SUMIFS('Source 2025'!$M:$M,'Source 2025'!$B:$B,$A582,'Source 2025'!$A:$A,"Amount (NIS)")</f>
        <v>613.6</v>
      </c>
      <c r="I582" s="8" t="n">
        <f aca="false">SUMIFS('Source 2026'!$D:$D,'Source 2026'!$B:$B,$A582,'Source 2026'!$A:$A,"Amount (NIS)")+SUMIFS('Source 2026'!$E:$E,'Source 2026'!$B:$B,$A582,'Source 2026'!$A:$A,"Amount (NIS)")+SUMIFS('Source 2026'!$F:$F,'Source 2026'!$B:$B,$A582,'Source 2026'!$A:$A,"Amount (NIS)")+SUMIFS('Source 2026'!$G:$G,'Source 2026'!$B:$B,$A582,'Source 2026'!$A:$A,"Amount (NIS)")+SUMIFS('Source 2026'!$J:$J,'Source 2026'!$B:$B,$A582,'Source 2026'!$A:$A,"Amount (NIS)")+SUMIFS('Source 2026'!$M:$M,'Source 2026'!$B:$B,$A582,'Source 2026'!$A:$A,"Amount (NIS)")</f>
        <v>600.7</v>
      </c>
      <c r="J582" s="8" t="n">
        <f aca="false">I582*$J$5</f>
        <v>823.817142857143</v>
      </c>
      <c r="K582" s="8" t="n">
        <f aca="false">J582-H582</f>
        <v>210.217142857143</v>
      </c>
      <c r="L582" s="9" t="n">
        <f aca="false">IF(AND(H582=0,J582=0),0,IF(H582=0,"New",(J582-H582)/H582))</f>
        <v>0.342596386664183</v>
      </c>
    </row>
    <row r="583" customFormat="false" ht="15" hidden="false" customHeight="false" outlineLevel="0" collapsed="false">
      <c r="A583" s="7" t="n">
        <v>4417001</v>
      </c>
      <c r="B583" s="7" t="str">
        <f aca="false">IFERROR(INDEX('Source 2026'!$C:$C,MATCH($A583,'Source 2026'!$B:$B,0)),IFERROR(INDEX('Source 2025'!$C:$C,MATCH($A583,'Source 2025'!$B:$B,0)),""))</f>
        <v>PD343-פומפיה מאבן להסר.עור</v>
      </c>
      <c r="C583" s="8" t="n">
        <f aca="false">SUMIFS('Source 2025'!$D:$D,'Source 2025'!$B:$B,$A583,'Source 2025'!$A:$A,"Quantity (units)")+SUMIFS('Source 2025'!$E:$E,'Source 2025'!$B:$B,$A583,'Source 2025'!$A:$A,"Quantity (units)")+SUMIFS('Source 2025'!$F:$F,'Source 2025'!$B:$B,$A583,'Source 2025'!$A:$A,"Quantity (units)")+SUMIFS('Source 2025'!$G:$G,'Source 2025'!$B:$B,$A583,'Source 2025'!$A:$A,"Quantity (units)")+SUMIFS('Source 2025'!$J:$J,'Source 2025'!$B:$B,$A583,'Source 2025'!$A:$A,"Quantity (units)")+SUMIFS('Source 2025'!$M:$M,'Source 2025'!$B:$B,$A583,'Source 2025'!$A:$A,"Quantity (units)")</f>
        <v>-1</v>
      </c>
      <c r="D583" s="8" t="n">
        <f aca="false">SUMIFS('Source 2026'!$D:$D,'Source 2026'!$B:$B,$A583,'Source 2026'!$A:$A,"Quantity (units)")+SUMIFS('Source 2026'!$E:$E,'Source 2026'!$B:$B,$A583,'Source 2026'!$A:$A,"Quantity (units)")+SUMIFS('Source 2026'!$F:$F,'Source 2026'!$B:$B,$A583,'Source 2026'!$A:$A,"Quantity (units)")+SUMIFS('Source 2026'!$G:$G,'Source 2026'!$B:$B,$A583,'Source 2026'!$A:$A,"Quantity (units)")+SUMIFS('Source 2026'!$J:$J,'Source 2026'!$B:$B,$A583,'Source 2026'!$A:$A,"Quantity (units)")+SUMIFS('Source 2026'!$M:$M,'Source 2026'!$B:$B,$A583,'Source 2026'!$A:$A,"Quantity (units)")</f>
        <v>0</v>
      </c>
      <c r="E583" s="8" t="n">
        <f aca="false">D583*$J$5</f>
        <v>0</v>
      </c>
      <c r="F583" s="8" t="n">
        <f aca="false">E583-C583</f>
        <v>1</v>
      </c>
      <c r="G583" s="9" t="n">
        <f aca="false">IF(AND(C583=0,E583=0),0,IF(C583=0,"New",(E583-C583)/C583))</f>
        <v>-1</v>
      </c>
      <c r="H583" s="8" t="n">
        <f aca="false">SUMIFS('Source 2025'!$D:$D,'Source 2025'!$B:$B,$A583,'Source 2025'!$A:$A,"Amount (NIS)")+SUMIFS('Source 2025'!$E:$E,'Source 2025'!$B:$B,$A583,'Source 2025'!$A:$A,"Amount (NIS)")+SUMIFS('Source 2025'!$F:$F,'Source 2025'!$B:$B,$A583,'Source 2025'!$A:$A,"Amount (NIS)")+SUMIFS('Source 2025'!$G:$G,'Source 2025'!$B:$B,$A583,'Source 2025'!$A:$A,"Amount (NIS)")+SUMIFS('Source 2025'!$J:$J,'Source 2025'!$B:$B,$A583,'Source 2025'!$A:$A,"Amount (NIS)")+SUMIFS('Source 2025'!$M:$M,'Source 2025'!$B:$B,$A583,'Source 2025'!$A:$A,"Amount (NIS)")</f>
        <v>-9</v>
      </c>
      <c r="I583" s="8" t="n">
        <f aca="false">SUMIFS('Source 2026'!$D:$D,'Source 2026'!$B:$B,$A583,'Source 2026'!$A:$A,"Amount (NIS)")+SUMIFS('Source 2026'!$E:$E,'Source 2026'!$B:$B,$A583,'Source 2026'!$A:$A,"Amount (NIS)")+SUMIFS('Source 2026'!$F:$F,'Source 2026'!$B:$B,$A583,'Source 2026'!$A:$A,"Amount (NIS)")+SUMIFS('Source 2026'!$G:$G,'Source 2026'!$B:$B,$A583,'Source 2026'!$A:$A,"Amount (NIS)")+SUMIFS('Source 2026'!$J:$J,'Source 2026'!$B:$B,$A583,'Source 2026'!$A:$A,"Amount (NIS)")+SUMIFS('Source 2026'!$M:$M,'Source 2026'!$B:$B,$A583,'Source 2026'!$A:$A,"Amount (NIS)")</f>
        <v>0</v>
      </c>
      <c r="J583" s="8" t="n">
        <f aca="false">I583*$J$5</f>
        <v>0</v>
      </c>
      <c r="K583" s="8" t="n">
        <f aca="false">J583-H583</f>
        <v>9</v>
      </c>
      <c r="L583" s="9" t="n">
        <f aca="false">IF(AND(H583=0,J583=0),0,IF(H583=0,"New",(J583-H583)/H583))</f>
        <v>-1</v>
      </c>
    </row>
    <row r="584" customFormat="false" ht="15" hidden="false" customHeight="false" outlineLevel="0" collapsed="false">
      <c r="A584" s="7" t="n">
        <v>4413197</v>
      </c>
      <c r="B584" s="7" t="str">
        <f aca="false">IFERROR(INDEX('Source 2026'!$C:$C,MATCH($A584,'Source 2026'!$B:$B,0)),IFERROR(INDEX('Source 2025'!$C:$C,MATCH($A584,'Source 2025'!$B:$B,0)),""))</f>
        <v>87 L מקבע כתף ויד</v>
      </c>
      <c r="C584" s="8" t="n">
        <f aca="false">SUMIFS('Source 2025'!$D:$D,'Source 2025'!$B:$B,$A584,'Source 2025'!$A:$A,"Quantity (units)")+SUMIFS('Source 2025'!$E:$E,'Source 2025'!$B:$B,$A584,'Source 2025'!$A:$A,"Quantity (units)")+SUMIFS('Source 2025'!$F:$F,'Source 2025'!$B:$B,$A584,'Source 2025'!$A:$A,"Quantity (units)")+SUMIFS('Source 2025'!$G:$G,'Source 2025'!$B:$B,$A584,'Source 2025'!$A:$A,"Quantity (units)")+SUMIFS('Source 2025'!$J:$J,'Source 2025'!$B:$B,$A584,'Source 2025'!$A:$A,"Quantity (units)")+SUMIFS('Source 2025'!$M:$M,'Source 2025'!$B:$B,$A584,'Source 2025'!$A:$A,"Quantity (units)")</f>
        <v>27</v>
      </c>
      <c r="D584" s="8" t="n">
        <f aca="false">SUMIFS('Source 2026'!$D:$D,'Source 2026'!$B:$B,$A584,'Source 2026'!$A:$A,"Quantity (units)")+SUMIFS('Source 2026'!$E:$E,'Source 2026'!$B:$B,$A584,'Source 2026'!$A:$A,"Quantity (units)")+SUMIFS('Source 2026'!$F:$F,'Source 2026'!$B:$B,$A584,'Source 2026'!$A:$A,"Quantity (units)")+SUMIFS('Source 2026'!$G:$G,'Source 2026'!$B:$B,$A584,'Source 2026'!$A:$A,"Quantity (units)")+SUMIFS('Source 2026'!$J:$J,'Source 2026'!$B:$B,$A584,'Source 2026'!$A:$A,"Quantity (units)")+SUMIFS('Source 2026'!$M:$M,'Source 2026'!$B:$B,$A584,'Source 2026'!$A:$A,"Quantity (units)")</f>
        <v>27</v>
      </c>
      <c r="E584" s="8" t="n">
        <f aca="false">D584*$J$5</f>
        <v>37.0285714285714</v>
      </c>
      <c r="F584" s="8" t="n">
        <f aca="false">E584-C584</f>
        <v>10.0285714285714</v>
      </c>
      <c r="G584" s="9" t="n">
        <f aca="false">IF(AND(C584=0,E584=0),0,IF(C584=0,"New",(E584-C584)/C584))</f>
        <v>0.371428571428572</v>
      </c>
      <c r="H584" s="8" t="n">
        <f aca="false">SUMIFS('Source 2025'!$D:$D,'Source 2025'!$B:$B,$A584,'Source 2025'!$A:$A,"Amount (NIS)")+SUMIFS('Source 2025'!$E:$E,'Source 2025'!$B:$B,$A584,'Source 2025'!$A:$A,"Amount (NIS)")+SUMIFS('Source 2025'!$F:$F,'Source 2025'!$B:$B,$A584,'Source 2025'!$A:$A,"Amount (NIS)")+SUMIFS('Source 2025'!$G:$G,'Source 2025'!$B:$B,$A584,'Source 2025'!$A:$A,"Amount (NIS)")+SUMIFS('Source 2025'!$J:$J,'Source 2025'!$B:$B,$A584,'Source 2025'!$A:$A,"Amount (NIS)")+SUMIFS('Source 2025'!$M:$M,'Source 2025'!$B:$B,$A584,'Source 2025'!$A:$A,"Amount (NIS)")</f>
        <v>5337.7</v>
      </c>
      <c r="I584" s="8" t="n">
        <f aca="false">SUMIFS('Source 2026'!$D:$D,'Source 2026'!$B:$B,$A584,'Source 2026'!$A:$A,"Amount (NIS)")+SUMIFS('Source 2026'!$E:$E,'Source 2026'!$B:$B,$A584,'Source 2026'!$A:$A,"Amount (NIS)")+SUMIFS('Source 2026'!$F:$F,'Source 2026'!$B:$B,$A584,'Source 2026'!$A:$A,"Amount (NIS)")+SUMIFS('Source 2026'!$G:$G,'Source 2026'!$B:$B,$A584,'Source 2026'!$A:$A,"Amount (NIS)")+SUMIFS('Source 2026'!$J:$J,'Source 2026'!$B:$B,$A584,'Source 2026'!$A:$A,"Amount (NIS)")+SUMIFS('Source 2026'!$M:$M,'Source 2026'!$B:$B,$A584,'Source 2026'!$A:$A,"Amount (NIS)")</f>
        <v>5346.4</v>
      </c>
      <c r="J584" s="8" t="n">
        <f aca="false">I584*$J$5</f>
        <v>7332.20571428571</v>
      </c>
      <c r="K584" s="8" t="n">
        <f aca="false">J584-H584</f>
        <v>1994.50571428571</v>
      </c>
      <c r="L584" s="9" t="n">
        <f aca="false">IF(AND(H584=0,J584=0),0,IF(H584=0,"New",(J584-H584)/H584))</f>
        <v>0.373663884123445</v>
      </c>
    </row>
    <row r="585" customFormat="false" ht="15" hidden="false" customHeight="false" outlineLevel="0" collapsed="false">
      <c r="A585" s="7" t="n">
        <v>4408061</v>
      </c>
      <c r="B585" s="7" t="str">
        <f aca="false">IFERROR(INDEX('Source 2026'!$C:$C,MATCH($A585,'Source 2026'!$B:$B,0)),IFERROR(INDEX('Source 2025'!$C:$C,MATCH($A585,'Source 2025'!$B:$B,0)),""))</f>
        <v>25 S חבק יד אגודלי</v>
      </c>
      <c r="C585" s="8" t="n">
        <f aca="false">SUMIFS('Source 2025'!$D:$D,'Source 2025'!$B:$B,$A585,'Source 2025'!$A:$A,"Quantity (units)")+SUMIFS('Source 2025'!$E:$E,'Source 2025'!$B:$B,$A585,'Source 2025'!$A:$A,"Quantity (units)")+SUMIFS('Source 2025'!$F:$F,'Source 2025'!$B:$B,$A585,'Source 2025'!$A:$A,"Quantity (units)")+SUMIFS('Source 2025'!$G:$G,'Source 2025'!$B:$B,$A585,'Source 2025'!$A:$A,"Quantity (units)")+SUMIFS('Source 2025'!$J:$J,'Source 2025'!$B:$B,$A585,'Source 2025'!$A:$A,"Quantity (units)")+SUMIFS('Source 2025'!$M:$M,'Source 2025'!$B:$B,$A585,'Source 2025'!$A:$A,"Quantity (units)")</f>
        <v>0</v>
      </c>
      <c r="D585" s="8" t="n">
        <f aca="false">SUMIFS('Source 2026'!$D:$D,'Source 2026'!$B:$B,$A585,'Source 2026'!$A:$A,"Quantity (units)")+SUMIFS('Source 2026'!$E:$E,'Source 2026'!$B:$B,$A585,'Source 2026'!$A:$A,"Quantity (units)")+SUMIFS('Source 2026'!$F:$F,'Source 2026'!$B:$B,$A585,'Source 2026'!$A:$A,"Quantity (units)")+SUMIFS('Source 2026'!$G:$G,'Source 2026'!$B:$B,$A585,'Source 2026'!$A:$A,"Quantity (units)")+SUMIFS('Source 2026'!$J:$J,'Source 2026'!$B:$B,$A585,'Source 2026'!$A:$A,"Quantity (units)")+SUMIFS('Source 2026'!$M:$M,'Source 2026'!$B:$B,$A585,'Source 2026'!$A:$A,"Quantity (units)")</f>
        <v>0</v>
      </c>
      <c r="E585" s="8" t="n">
        <f aca="false">D585*$J$5</f>
        <v>0</v>
      </c>
      <c r="F585" s="8" t="n">
        <f aca="false">E585-C585</f>
        <v>0</v>
      </c>
      <c r="G585" s="9" t="n">
        <f aca="false">IF(AND(C585=0,E585=0),0,IF(C585=0,"New",(E585-C585)/C585))</f>
        <v>0</v>
      </c>
      <c r="H585" s="8" t="n">
        <f aca="false">SUMIFS('Source 2025'!$D:$D,'Source 2025'!$B:$B,$A585,'Source 2025'!$A:$A,"Amount (NIS)")+SUMIFS('Source 2025'!$E:$E,'Source 2025'!$B:$B,$A585,'Source 2025'!$A:$A,"Amount (NIS)")+SUMIFS('Source 2025'!$F:$F,'Source 2025'!$B:$B,$A585,'Source 2025'!$A:$A,"Amount (NIS)")+SUMIFS('Source 2025'!$G:$G,'Source 2025'!$B:$B,$A585,'Source 2025'!$A:$A,"Amount (NIS)")+SUMIFS('Source 2025'!$J:$J,'Source 2025'!$B:$B,$A585,'Source 2025'!$A:$A,"Amount (NIS)")+SUMIFS('Source 2025'!$M:$M,'Source 2025'!$B:$B,$A585,'Source 2025'!$A:$A,"Amount (NIS)")</f>
        <v>7.8</v>
      </c>
      <c r="I585" s="8" t="n">
        <f aca="false">SUMIFS('Source 2026'!$D:$D,'Source 2026'!$B:$B,$A585,'Source 2026'!$A:$A,"Amount (NIS)")+SUMIFS('Source 2026'!$E:$E,'Source 2026'!$B:$B,$A585,'Source 2026'!$A:$A,"Amount (NIS)")+SUMIFS('Source 2026'!$F:$F,'Source 2026'!$B:$B,$A585,'Source 2026'!$A:$A,"Amount (NIS)")+SUMIFS('Source 2026'!$G:$G,'Source 2026'!$B:$B,$A585,'Source 2026'!$A:$A,"Amount (NIS)")+SUMIFS('Source 2026'!$J:$J,'Source 2026'!$B:$B,$A585,'Source 2026'!$A:$A,"Amount (NIS)")+SUMIFS('Source 2026'!$M:$M,'Source 2026'!$B:$B,$A585,'Source 2026'!$A:$A,"Amount (NIS)")</f>
        <v>0</v>
      </c>
      <c r="J585" s="8" t="n">
        <f aca="false">I585*$J$5</f>
        <v>0</v>
      </c>
      <c r="K585" s="8" t="n">
        <f aca="false">J585-H585</f>
        <v>-7.8</v>
      </c>
      <c r="L585" s="9" t="n">
        <f aca="false">IF(AND(H585=0,J585=0),0,IF(H585=0,"New",(J585-H585)/H585))</f>
        <v>-1</v>
      </c>
    </row>
    <row r="586" customFormat="false" ht="15" hidden="false" customHeight="false" outlineLevel="0" collapsed="false">
      <c r="A586" s="7" t="n">
        <v>4420004</v>
      </c>
      <c r="B586" s="7" t="str">
        <f aca="false">IFERROR(INDEX('Source 2026'!$C:$C,MATCH($A586,'Source 2026'!$B:$B,0)),IFERROR(INDEX('Source 2025'!$C:$C,MATCH($A586,'Source 2025'!$B:$B,0)),""))</f>
        <v>377  רפ.אורטופדית ספורט זוג35</v>
      </c>
      <c r="C586" s="8" t="n">
        <f aca="false">SUMIFS('Source 2025'!$D:$D,'Source 2025'!$B:$B,$A586,'Source 2025'!$A:$A,"Quantity (units)")+SUMIFS('Source 2025'!$E:$E,'Source 2025'!$B:$B,$A586,'Source 2025'!$A:$A,"Quantity (units)")+SUMIFS('Source 2025'!$F:$F,'Source 2025'!$B:$B,$A586,'Source 2025'!$A:$A,"Quantity (units)")+SUMIFS('Source 2025'!$G:$G,'Source 2025'!$B:$B,$A586,'Source 2025'!$A:$A,"Quantity (units)")+SUMIFS('Source 2025'!$J:$J,'Source 2025'!$B:$B,$A586,'Source 2025'!$A:$A,"Quantity (units)")+SUMIFS('Source 2025'!$M:$M,'Source 2025'!$B:$B,$A586,'Source 2025'!$A:$A,"Quantity (units)")</f>
        <v>3</v>
      </c>
      <c r="D586" s="8" t="n">
        <f aca="false">SUMIFS('Source 2026'!$D:$D,'Source 2026'!$B:$B,$A586,'Source 2026'!$A:$A,"Quantity (units)")+SUMIFS('Source 2026'!$E:$E,'Source 2026'!$B:$B,$A586,'Source 2026'!$A:$A,"Quantity (units)")+SUMIFS('Source 2026'!$F:$F,'Source 2026'!$B:$B,$A586,'Source 2026'!$A:$A,"Quantity (units)")+SUMIFS('Source 2026'!$G:$G,'Source 2026'!$B:$B,$A586,'Source 2026'!$A:$A,"Quantity (units)")+SUMIFS('Source 2026'!$J:$J,'Source 2026'!$B:$B,$A586,'Source 2026'!$A:$A,"Quantity (units)")+SUMIFS('Source 2026'!$M:$M,'Source 2026'!$B:$B,$A586,'Source 2026'!$A:$A,"Quantity (units)")</f>
        <v>1</v>
      </c>
      <c r="E586" s="8" t="n">
        <f aca="false">D586*$J$5</f>
        <v>1.37142857142857</v>
      </c>
      <c r="F586" s="8" t="n">
        <f aca="false">E586-C586</f>
        <v>-1.62857142857143</v>
      </c>
      <c r="G586" s="9" t="n">
        <f aca="false">IF(AND(C586=0,E586=0),0,IF(C586=0,"New",(E586-C586)/C586))</f>
        <v>-0.542857142857143</v>
      </c>
      <c r="H586" s="8" t="n">
        <f aca="false">SUMIFS('Source 2025'!$D:$D,'Source 2025'!$B:$B,$A586,'Source 2025'!$A:$A,"Amount (NIS)")+SUMIFS('Source 2025'!$E:$E,'Source 2025'!$B:$B,$A586,'Source 2025'!$A:$A,"Amount (NIS)")+SUMIFS('Source 2025'!$F:$F,'Source 2025'!$B:$B,$A586,'Source 2025'!$A:$A,"Amount (NIS)")+SUMIFS('Source 2025'!$G:$G,'Source 2025'!$B:$B,$A586,'Source 2025'!$A:$A,"Amount (NIS)")+SUMIFS('Source 2025'!$J:$J,'Source 2025'!$B:$B,$A586,'Source 2025'!$A:$A,"Amount (NIS)")+SUMIFS('Source 2025'!$M:$M,'Source 2025'!$B:$B,$A586,'Source 2025'!$A:$A,"Amount (NIS)")</f>
        <v>42.7</v>
      </c>
      <c r="I586" s="8" t="n">
        <f aca="false">SUMIFS('Source 2026'!$D:$D,'Source 2026'!$B:$B,$A586,'Source 2026'!$A:$A,"Amount (NIS)")+SUMIFS('Source 2026'!$E:$E,'Source 2026'!$B:$B,$A586,'Source 2026'!$A:$A,"Amount (NIS)")+SUMIFS('Source 2026'!$F:$F,'Source 2026'!$B:$B,$A586,'Source 2026'!$A:$A,"Amount (NIS)")+SUMIFS('Source 2026'!$G:$G,'Source 2026'!$B:$B,$A586,'Source 2026'!$A:$A,"Amount (NIS)")+SUMIFS('Source 2026'!$J:$J,'Source 2026'!$B:$B,$A586,'Source 2026'!$A:$A,"Amount (NIS)")+SUMIFS('Source 2026'!$M:$M,'Source 2026'!$B:$B,$A586,'Source 2026'!$A:$A,"Amount (NIS)")</f>
        <v>36.9</v>
      </c>
      <c r="J586" s="8" t="n">
        <f aca="false">I586*$J$5</f>
        <v>50.6057142857143</v>
      </c>
      <c r="K586" s="8" t="n">
        <f aca="false">J586-H586</f>
        <v>7.90571428571428</v>
      </c>
      <c r="L586" s="9" t="n">
        <f aca="false">IF(AND(H586=0,J586=0),0,IF(H586=0,"New",(J586-H586)/H586))</f>
        <v>0.185145533623285</v>
      </c>
    </row>
    <row r="587" customFormat="false" ht="15" hidden="false" customHeight="false" outlineLevel="0" collapsed="false">
      <c r="A587" s="7" t="n">
        <v>4413438</v>
      </c>
      <c r="B587" s="7" t="str">
        <f aca="false">IFERROR(INDEX('Source 2026'!$C:$C,MATCH($A587,'Source 2026'!$B:$B,0)),IFERROR(INDEX('Source 2025'!$C:$C,MATCH($A587,'Source 2025'!$B:$B,0)),""))</f>
        <v>SC422  S מגן ברך</v>
      </c>
      <c r="C587" s="8" t="n">
        <f aca="false">SUMIFS('Source 2025'!$D:$D,'Source 2025'!$B:$B,$A587,'Source 2025'!$A:$A,"Quantity (units)")+SUMIFS('Source 2025'!$E:$E,'Source 2025'!$B:$B,$A587,'Source 2025'!$A:$A,"Quantity (units)")+SUMIFS('Source 2025'!$F:$F,'Source 2025'!$B:$B,$A587,'Source 2025'!$A:$A,"Quantity (units)")+SUMIFS('Source 2025'!$G:$G,'Source 2025'!$B:$B,$A587,'Source 2025'!$A:$A,"Quantity (units)")+SUMIFS('Source 2025'!$J:$J,'Source 2025'!$B:$B,$A587,'Source 2025'!$A:$A,"Quantity (units)")+SUMIFS('Source 2025'!$M:$M,'Source 2025'!$B:$B,$A587,'Source 2025'!$A:$A,"Quantity (units)")</f>
        <v>6</v>
      </c>
      <c r="D587" s="8" t="n">
        <f aca="false">SUMIFS('Source 2026'!$D:$D,'Source 2026'!$B:$B,$A587,'Source 2026'!$A:$A,"Quantity (units)")+SUMIFS('Source 2026'!$E:$E,'Source 2026'!$B:$B,$A587,'Source 2026'!$A:$A,"Quantity (units)")+SUMIFS('Source 2026'!$F:$F,'Source 2026'!$B:$B,$A587,'Source 2026'!$A:$A,"Quantity (units)")+SUMIFS('Source 2026'!$G:$G,'Source 2026'!$B:$B,$A587,'Source 2026'!$A:$A,"Quantity (units)")+SUMIFS('Source 2026'!$J:$J,'Source 2026'!$B:$B,$A587,'Source 2026'!$A:$A,"Quantity (units)")+SUMIFS('Source 2026'!$M:$M,'Source 2026'!$B:$B,$A587,'Source 2026'!$A:$A,"Quantity (units)")</f>
        <v>6</v>
      </c>
      <c r="E587" s="8" t="n">
        <f aca="false">D587*$J$5</f>
        <v>8.22857142857143</v>
      </c>
      <c r="F587" s="8" t="n">
        <f aca="false">E587-C587</f>
        <v>2.22857142857143</v>
      </c>
      <c r="G587" s="9" t="n">
        <f aca="false">IF(AND(C587=0,E587=0),0,IF(C587=0,"New",(E587-C587)/C587))</f>
        <v>0.371428571428571</v>
      </c>
      <c r="H587" s="8" t="n">
        <f aca="false">SUMIFS('Source 2025'!$D:$D,'Source 2025'!$B:$B,$A587,'Source 2025'!$A:$A,"Amount (NIS)")+SUMIFS('Source 2025'!$E:$E,'Source 2025'!$B:$B,$A587,'Source 2025'!$A:$A,"Amount (NIS)")+SUMIFS('Source 2025'!$F:$F,'Source 2025'!$B:$B,$A587,'Source 2025'!$A:$A,"Amount (NIS)")+SUMIFS('Source 2025'!$G:$G,'Source 2025'!$B:$B,$A587,'Source 2025'!$A:$A,"Amount (NIS)")+SUMIFS('Source 2025'!$J:$J,'Source 2025'!$B:$B,$A587,'Source 2025'!$A:$A,"Amount (NIS)")+SUMIFS('Source 2025'!$M:$M,'Source 2025'!$B:$B,$A587,'Source 2025'!$A:$A,"Amount (NIS)")</f>
        <v>830.5</v>
      </c>
      <c r="I587" s="8" t="n">
        <f aca="false">SUMIFS('Source 2026'!$D:$D,'Source 2026'!$B:$B,$A587,'Source 2026'!$A:$A,"Amount (NIS)")+SUMIFS('Source 2026'!$E:$E,'Source 2026'!$B:$B,$A587,'Source 2026'!$A:$A,"Amount (NIS)")+SUMIFS('Source 2026'!$F:$F,'Source 2026'!$B:$B,$A587,'Source 2026'!$A:$A,"Amount (NIS)")+SUMIFS('Source 2026'!$G:$G,'Source 2026'!$B:$B,$A587,'Source 2026'!$A:$A,"Amount (NIS)")+SUMIFS('Source 2026'!$J:$J,'Source 2026'!$B:$B,$A587,'Source 2026'!$A:$A,"Amount (NIS)")+SUMIFS('Source 2026'!$M:$M,'Source 2026'!$B:$B,$A587,'Source 2026'!$A:$A,"Amount (NIS)")</f>
        <v>834.1</v>
      </c>
      <c r="J587" s="8" t="n">
        <f aca="false">I587*$J$5</f>
        <v>1143.90857142857</v>
      </c>
      <c r="K587" s="8" t="n">
        <f aca="false">J587-H587</f>
        <v>313.408571428572</v>
      </c>
      <c r="L587" s="9" t="n">
        <f aca="false">IF(AND(H587=0,J587=0),0,IF(H587=0,"New",(J587-H587)/H587))</f>
        <v>0.3773733551217</v>
      </c>
    </row>
    <row r="588" customFormat="false" ht="15" hidden="false" customHeight="false" outlineLevel="0" collapsed="false">
      <c r="A588" s="7" t="n">
        <v>4408030</v>
      </c>
      <c r="B588" s="7" t="str">
        <f aca="false">IFERROR(INDEX('Source 2026'!$C:$C,MATCH($A588,'Source 2026'!$B:$B,0)),IFERROR(INDEX('Source 2025'!$C:$C,MATCH($A588,'Source 2025'!$B:$B,0)),""))</f>
        <v>10 XXL""חגורת גב ""לומבו</v>
      </c>
      <c r="C588" s="8" t="n">
        <f aca="false">SUMIFS('Source 2025'!$D:$D,'Source 2025'!$B:$B,$A588,'Source 2025'!$A:$A,"Quantity (units)")+SUMIFS('Source 2025'!$E:$E,'Source 2025'!$B:$B,$A588,'Source 2025'!$A:$A,"Quantity (units)")+SUMIFS('Source 2025'!$F:$F,'Source 2025'!$B:$B,$A588,'Source 2025'!$A:$A,"Quantity (units)")+SUMIFS('Source 2025'!$G:$G,'Source 2025'!$B:$B,$A588,'Source 2025'!$A:$A,"Quantity (units)")+SUMIFS('Source 2025'!$J:$J,'Source 2025'!$B:$B,$A588,'Source 2025'!$A:$A,"Quantity (units)")+SUMIFS('Source 2025'!$M:$M,'Source 2025'!$B:$B,$A588,'Source 2025'!$A:$A,"Quantity (units)")</f>
        <v>1</v>
      </c>
      <c r="D588" s="8" t="n">
        <f aca="false">SUMIFS('Source 2026'!$D:$D,'Source 2026'!$B:$B,$A588,'Source 2026'!$A:$A,"Quantity (units)")+SUMIFS('Source 2026'!$E:$E,'Source 2026'!$B:$B,$A588,'Source 2026'!$A:$A,"Quantity (units)")+SUMIFS('Source 2026'!$F:$F,'Source 2026'!$B:$B,$A588,'Source 2026'!$A:$A,"Quantity (units)")+SUMIFS('Source 2026'!$G:$G,'Source 2026'!$B:$B,$A588,'Source 2026'!$A:$A,"Quantity (units)")+SUMIFS('Source 2026'!$J:$J,'Source 2026'!$B:$B,$A588,'Source 2026'!$A:$A,"Quantity (units)")+SUMIFS('Source 2026'!$M:$M,'Source 2026'!$B:$B,$A588,'Source 2026'!$A:$A,"Quantity (units)")</f>
        <v>1</v>
      </c>
      <c r="E588" s="8" t="n">
        <f aca="false">D588*$J$5</f>
        <v>1.37142857142857</v>
      </c>
      <c r="F588" s="8" t="n">
        <f aca="false">E588-C588</f>
        <v>0.371428571428571</v>
      </c>
      <c r="G588" s="9" t="n">
        <f aca="false">IF(AND(C588=0,E588=0),0,IF(C588=0,"New",(E588-C588)/C588))</f>
        <v>0.371428571428571</v>
      </c>
      <c r="H588" s="8" t="n">
        <f aca="false">SUMIFS('Source 2025'!$D:$D,'Source 2025'!$B:$B,$A588,'Source 2025'!$A:$A,"Amount (NIS)")+SUMIFS('Source 2025'!$E:$E,'Source 2025'!$B:$B,$A588,'Source 2025'!$A:$A,"Amount (NIS)")+SUMIFS('Source 2025'!$F:$F,'Source 2025'!$B:$B,$A588,'Source 2025'!$A:$A,"Amount (NIS)")+SUMIFS('Source 2025'!$G:$G,'Source 2025'!$B:$B,$A588,'Source 2025'!$A:$A,"Amount (NIS)")+SUMIFS('Source 2025'!$J:$J,'Source 2025'!$B:$B,$A588,'Source 2025'!$A:$A,"Amount (NIS)")+SUMIFS('Source 2025'!$M:$M,'Source 2025'!$B:$B,$A588,'Source 2025'!$A:$A,"Amount (NIS)")</f>
        <v>145.2</v>
      </c>
      <c r="I588" s="8" t="n">
        <f aca="false">SUMIFS('Source 2026'!$D:$D,'Source 2026'!$B:$B,$A588,'Source 2026'!$A:$A,"Amount (NIS)")+SUMIFS('Source 2026'!$E:$E,'Source 2026'!$B:$B,$A588,'Source 2026'!$A:$A,"Amount (NIS)")+SUMIFS('Source 2026'!$F:$F,'Source 2026'!$B:$B,$A588,'Source 2026'!$A:$A,"Amount (NIS)")+SUMIFS('Source 2026'!$G:$G,'Source 2026'!$B:$B,$A588,'Source 2026'!$A:$A,"Amount (NIS)")+SUMIFS('Source 2026'!$J:$J,'Source 2026'!$B:$B,$A588,'Source 2026'!$A:$A,"Amount (NIS)")+SUMIFS('Source 2026'!$M:$M,'Source 2026'!$B:$B,$A588,'Source 2026'!$A:$A,"Amount (NIS)")</f>
        <v>148.4</v>
      </c>
      <c r="J588" s="8" t="n">
        <f aca="false">I588*$J$5</f>
        <v>203.52</v>
      </c>
      <c r="K588" s="8" t="n">
        <f aca="false">J588-H588</f>
        <v>58.32</v>
      </c>
      <c r="L588" s="9" t="n">
        <f aca="false">IF(AND(H588=0,J588=0),0,IF(H588=0,"New",(J588-H588)/H588))</f>
        <v>0.401652892561984</v>
      </c>
    </row>
    <row r="589" customFormat="false" ht="15" hidden="false" customHeight="false" outlineLevel="0" collapsed="false">
      <c r="A589" s="7" t="n">
        <v>4420022</v>
      </c>
      <c r="B589" s="7" t="str">
        <f aca="false">IFERROR(INDEX('Source 2026'!$C:$C,MATCH($A589,'Source 2026'!$B:$B,0)),IFERROR(INDEX('Source 2025'!$C:$C,MATCH($A589,'Source 2025'!$B:$B,0)),""))</f>
        <v>LF370 ריפוד סיליקון לעקב אחורי</v>
      </c>
      <c r="C589" s="8" t="n">
        <f aca="false">SUMIFS('Source 2025'!$D:$D,'Source 2025'!$B:$B,$A589,'Source 2025'!$A:$A,"Quantity (units)")+SUMIFS('Source 2025'!$E:$E,'Source 2025'!$B:$B,$A589,'Source 2025'!$A:$A,"Quantity (units)")+SUMIFS('Source 2025'!$F:$F,'Source 2025'!$B:$B,$A589,'Source 2025'!$A:$A,"Quantity (units)")+SUMIFS('Source 2025'!$G:$G,'Source 2025'!$B:$B,$A589,'Source 2025'!$A:$A,"Quantity (units)")+SUMIFS('Source 2025'!$J:$J,'Source 2025'!$B:$B,$A589,'Source 2025'!$A:$A,"Quantity (units)")+SUMIFS('Source 2025'!$M:$M,'Source 2025'!$B:$B,$A589,'Source 2025'!$A:$A,"Quantity (units)")</f>
        <v>81</v>
      </c>
      <c r="D589" s="8" t="n">
        <f aca="false">SUMIFS('Source 2026'!$D:$D,'Source 2026'!$B:$B,$A589,'Source 2026'!$A:$A,"Quantity (units)")+SUMIFS('Source 2026'!$E:$E,'Source 2026'!$B:$B,$A589,'Source 2026'!$A:$A,"Quantity (units)")+SUMIFS('Source 2026'!$F:$F,'Source 2026'!$B:$B,$A589,'Source 2026'!$A:$A,"Quantity (units)")+SUMIFS('Source 2026'!$G:$G,'Source 2026'!$B:$B,$A589,'Source 2026'!$A:$A,"Quantity (units)")+SUMIFS('Source 2026'!$J:$J,'Source 2026'!$B:$B,$A589,'Source 2026'!$A:$A,"Quantity (units)")+SUMIFS('Source 2026'!$M:$M,'Source 2026'!$B:$B,$A589,'Source 2026'!$A:$A,"Quantity (units)")</f>
        <v>78</v>
      </c>
      <c r="E589" s="8" t="n">
        <f aca="false">D589*$J$5</f>
        <v>106.971428571429</v>
      </c>
      <c r="F589" s="8" t="n">
        <f aca="false">E589-C589</f>
        <v>25.9714285714286</v>
      </c>
      <c r="G589" s="9" t="n">
        <f aca="false">IF(AND(C589=0,E589=0),0,IF(C589=0,"New",(E589-C589)/C589))</f>
        <v>0.320634920634921</v>
      </c>
      <c r="H589" s="8" t="n">
        <f aca="false">SUMIFS('Source 2025'!$D:$D,'Source 2025'!$B:$B,$A589,'Source 2025'!$A:$A,"Amount (NIS)")+SUMIFS('Source 2025'!$E:$E,'Source 2025'!$B:$B,$A589,'Source 2025'!$A:$A,"Amount (NIS)")+SUMIFS('Source 2025'!$F:$F,'Source 2025'!$B:$B,$A589,'Source 2025'!$A:$A,"Amount (NIS)")+SUMIFS('Source 2025'!$G:$G,'Source 2025'!$B:$B,$A589,'Source 2025'!$A:$A,"Amount (NIS)")+SUMIFS('Source 2025'!$J:$J,'Source 2025'!$B:$B,$A589,'Source 2025'!$A:$A,"Amount (NIS)")+SUMIFS('Source 2025'!$M:$M,'Source 2025'!$B:$B,$A589,'Source 2025'!$A:$A,"Amount (NIS)")</f>
        <v>1782.8</v>
      </c>
      <c r="I589" s="8" t="n">
        <f aca="false">SUMIFS('Source 2026'!$D:$D,'Source 2026'!$B:$B,$A589,'Source 2026'!$A:$A,"Amount (NIS)")+SUMIFS('Source 2026'!$E:$E,'Source 2026'!$B:$B,$A589,'Source 2026'!$A:$A,"Amount (NIS)")+SUMIFS('Source 2026'!$F:$F,'Source 2026'!$B:$B,$A589,'Source 2026'!$A:$A,"Amount (NIS)")+SUMIFS('Source 2026'!$G:$G,'Source 2026'!$B:$B,$A589,'Source 2026'!$A:$A,"Amount (NIS)")+SUMIFS('Source 2026'!$J:$J,'Source 2026'!$B:$B,$A589,'Source 2026'!$A:$A,"Amount (NIS)")+SUMIFS('Source 2026'!$M:$M,'Source 2026'!$B:$B,$A589,'Source 2026'!$A:$A,"Amount (NIS)")</f>
        <v>1779.9</v>
      </c>
      <c r="J589" s="8" t="n">
        <f aca="false">I589*$J$5</f>
        <v>2441.00571428571</v>
      </c>
      <c r="K589" s="8" t="n">
        <f aca="false">J589-H589</f>
        <v>658.205714285715</v>
      </c>
      <c r="L589" s="9" t="n">
        <f aca="false">IF(AND(H589=0,J589=0),0,IF(H589=0,"New",(J589-H589)/H589))</f>
        <v>0.369197730696497</v>
      </c>
    </row>
    <row r="590" customFormat="false" ht="15" hidden="false" customHeight="false" outlineLevel="0" collapsed="false">
      <c r="A590" s="7" t="n">
        <v>4420030</v>
      </c>
      <c r="B590" s="7" t="str">
        <f aca="false">IFERROR(INDEX('Source 2026'!$C:$C,MATCH($A590,'Source 2026'!$B:$B,0)),IFERROR(INDEX('Source 2025'!$C:$C,MATCH($A590,'Source 2025'!$B:$B,0)),""))</f>
        <v>41-43 רפידת ספורט 376 מידה</v>
      </c>
      <c r="C590" s="8" t="n">
        <f aca="false">SUMIFS('Source 2025'!$D:$D,'Source 2025'!$B:$B,$A590,'Source 2025'!$A:$A,"Quantity (units)")+SUMIFS('Source 2025'!$E:$E,'Source 2025'!$B:$B,$A590,'Source 2025'!$A:$A,"Quantity (units)")+SUMIFS('Source 2025'!$F:$F,'Source 2025'!$B:$B,$A590,'Source 2025'!$A:$A,"Quantity (units)")+SUMIFS('Source 2025'!$G:$G,'Source 2025'!$B:$B,$A590,'Source 2025'!$A:$A,"Quantity (units)")+SUMIFS('Source 2025'!$J:$J,'Source 2025'!$B:$B,$A590,'Source 2025'!$A:$A,"Quantity (units)")+SUMIFS('Source 2025'!$M:$M,'Source 2025'!$B:$B,$A590,'Source 2025'!$A:$A,"Quantity (units)")</f>
        <v>1</v>
      </c>
      <c r="D590" s="8" t="n">
        <f aca="false">SUMIFS('Source 2026'!$D:$D,'Source 2026'!$B:$B,$A590,'Source 2026'!$A:$A,"Quantity (units)")+SUMIFS('Source 2026'!$E:$E,'Source 2026'!$B:$B,$A590,'Source 2026'!$A:$A,"Quantity (units)")+SUMIFS('Source 2026'!$F:$F,'Source 2026'!$B:$B,$A590,'Source 2026'!$A:$A,"Quantity (units)")+SUMIFS('Source 2026'!$G:$G,'Source 2026'!$B:$B,$A590,'Source 2026'!$A:$A,"Quantity (units)")+SUMIFS('Source 2026'!$J:$J,'Source 2026'!$B:$B,$A590,'Source 2026'!$A:$A,"Quantity (units)")+SUMIFS('Source 2026'!$M:$M,'Source 2026'!$B:$B,$A590,'Source 2026'!$A:$A,"Quantity (units)")</f>
        <v>1</v>
      </c>
      <c r="E590" s="8" t="n">
        <f aca="false">D590*$J$5</f>
        <v>1.37142857142857</v>
      </c>
      <c r="F590" s="8" t="n">
        <f aca="false">E590-C590</f>
        <v>0.371428571428571</v>
      </c>
      <c r="G590" s="9" t="n">
        <f aca="false">IF(AND(C590=0,E590=0),0,IF(C590=0,"New",(E590-C590)/C590))</f>
        <v>0.371428571428571</v>
      </c>
      <c r="H590" s="8" t="n">
        <f aca="false">SUMIFS('Source 2025'!$D:$D,'Source 2025'!$B:$B,$A590,'Source 2025'!$A:$A,"Amount (NIS)")+SUMIFS('Source 2025'!$E:$E,'Source 2025'!$B:$B,$A590,'Source 2025'!$A:$A,"Amount (NIS)")+SUMIFS('Source 2025'!$F:$F,'Source 2025'!$B:$B,$A590,'Source 2025'!$A:$A,"Amount (NIS)")+SUMIFS('Source 2025'!$G:$G,'Source 2025'!$B:$B,$A590,'Source 2025'!$A:$A,"Amount (NIS)")+SUMIFS('Source 2025'!$J:$J,'Source 2025'!$B:$B,$A590,'Source 2025'!$A:$A,"Amount (NIS)")+SUMIFS('Source 2025'!$M:$M,'Source 2025'!$B:$B,$A590,'Source 2025'!$A:$A,"Amount (NIS)")</f>
        <v>33</v>
      </c>
      <c r="I590" s="8" t="n">
        <f aca="false">SUMIFS('Source 2026'!$D:$D,'Source 2026'!$B:$B,$A590,'Source 2026'!$A:$A,"Amount (NIS)")+SUMIFS('Source 2026'!$E:$E,'Source 2026'!$B:$B,$A590,'Source 2026'!$A:$A,"Amount (NIS)")+SUMIFS('Source 2026'!$F:$F,'Source 2026'!$B:$B,$A590,'Source 2026'!$A:$A,"Amount (NIS)")+SUMIFS('Source 2026'!$G:$G,'Source 2026'!$B:$B,$A590,'Source 2026'!$A:$A,"Amount (NIS)")+SUMIFS('Source 2026'!$J:$J,'Source 2026'!$B:$B,$A590,'Source 2026'!$A:$A,"Amount (NIS)")+SUMIFS('Source 2026'!$M:$M,'Source 2026'!$B:$B,$A590,'Source 2026'!$A:$A,"Amount (NIS)")</f>
        <v>35.1</v>
      </c>
      <c r="J590" s="8" t="n">
        <f aca="false">I590*$J$5</f>
        <v>48.1371428571429</v>
      </c>
      <c r="K590" s="8" t="n">
        <f aca="false">J590-H590</f>
        <v>15.1371428571429</v>
      </c>
      <c r="L590" s="9" t="n">
        <f aca="false">IF(AND(H590=0,J590=0),0,IF(H590=0,"New",(J590-H590)/H590))</f>
        <v>0.458701298701299</v>
      </c>
    </row>
    <row r="591" customFormat="false" ht="15" hidden="false" customHeight="false" outlineLevel="0" collapsed="false">
      <c r="A591" s="7" t="n">
        <v>4408014</v>
      </c>
      <c r="B591" s="7" t="str">
        <f aca="false">IFERROR(INDEX('Source 2026'!$C:$C,MATCH($A591,'Source 2026'!$B:$B,0)),IFERROR(INDEX('Source 2025'!$C:$C,MATCH($A591,'Source 2025'!$B:$B,0)),""))</f>
        <v>07AU S ח.גב ""איטלקית"" אורירית</v>
      </c>
      <c r="C591" s="8" t="n">
        <f aca="false">SUMIFS('Source 2025'!$D:$D,'Source 2025'!$B:$B,$A591,'Source 2025'!$A:$A,"Quantity (units)")+SUMIFS('Source 2025'!$E:$E,'Source 2025'!$B:$B,$A591,'Source 2025'!$A:$A,"Quantity (units)")+SUMIFS('Source 2025'!$F:$F,'Source 2025'!$B:$B,$A591,'Source 2025'!$A:$A,"Quantity (units)")+SUMIFS('Source 2025'!$G:$G,'Source 2025'!$B:$B,$A591,'Source 2025'!$A:$A,"Quantity (units)")+SUMIFS('Source 2025'!$J:$J,'Source 2025'!$B:$B,$A591,'Source 2025'!$A:$A,"Quantity (units)")+SUMIFS('Source 2025'!$M:$M,'Source 2025'!$B:$B,$A591,'Source 2025'!$A:$A,"Quantity (units)")</f>
        <v>1</v>
      </c>
      <c r="D591" s="8" t="n">
        <f aca="false">SUMIFS('Source 2026'!$D:$D,'Source 2026'!$B:$B,$A591,'Source 2026'!$A:$A,"Quantity (units)")+SUMIFS('Source 2026'!$E:$E,'Source 2026'!$B:$B,$A591,'Source 2026'!$A:$A,"Quantity (units)")+SUMIFS('Source 2026'!$F:$F,'Source 2026'!$B:$B,$A591,'Source 2026'!$A:$A,"Quantity (units)")+SUMIFS('Source 2026'!$G:$G,'Source 2026'!$B:$B,$A591,'Source 2026'!$A:$A,"Quantity (units)")+SUMIFS('Source 2026'!$J:$J,'Source 2026'!$B:$B,$A591,'Source 2026'!$A:$A,"Quantity (units)")+SUMIFS('Source 2026'!$M:$M,'Source 2026'!$B:$B,$A591,'Source 2026'!$A:$A,"Quantity (units)")</f>
        <v>1</v>
      </c>
      <c r="E591" s="8" t="n">
        <f aca="false">D591*$J$5</f>
        <v>1.37142857142857</v>
      </c>
      <c r="F591" s="8" t="n">
        <f aca="false">E591-C591</f>
        <v>0.371428571428571</v>
      </c>
      <c r="G591" s="9" t="n">
        <f aca="false">IF(AND(C591=0,E591=0),0,IF(C591=0,"New",(E591-C591)/C591))</f>
        <v>0.371428571428571</v>
      </c>
      <c r="H591" s="8" t="n">
        <f aca="false">SUMIFS('Source 2025'!$D:$D,'Source 2025'!$B:$B,$A591,'Source 2025'!$A:$A,"Amount (NIS)")+SUMIFS('Source 2025'!$E:$E,'Source 2025'!$B:$B,$A591,'Source 2025'!$A:$A,"Amount (NIS)")+SUMIFS('Source 2025'!$F:$F,'Source 2025'!$B:$B,$A591,'Source 2025'!$A:$A,"Amount (NIS)")+SUMIFS('Source 2025'!$G:$G,'Source 2025'!$B:$B,$A591,'Source 2025'!$A:$A,"Amount (NIS)")+SUMIFS('Source 2025'!$J:$J,'Source 2025'!$B:$B,$A591,'Source 2025'!$A:$A,"Amount (NIS)")+SUMIFS('Source 2025'!$M:$M,'Source 2025'!$B:$B,$A591,'Source 2025'!$A:$A,"Amount (NIS)")</f>
        <v>262.4</v>
      </c>
      <c r="I591" s="8" t="n">
        <f aca="false">SUMIFS('Source 2026'!$D:$D,'Source 2026'!$B:$B,$A591,'Source 2026'!$A:$A,"Amount (NIS)")+SUMIFS('Source 2026'!$E:$E,'Source 2026'!$B:$B,$A591,'Source 2026'!$A:$A,"Amount (NIS)")+SUMIFS('Source 2026'!$F:$F,'Source 2026'!$B:$B,$A591,'Source 2026'!$A:$A,"Amount (NIS)")+SUMIFS('Source 2026'!$G:$G,'Source 2026'!$B:$B,$A591,'Source 2026'!$A:$A,"Amount (NIS)")+SUMIFS('Source 2026'!$J:$J,'Source 2026'!$B:$B,$A591,'Source 2026'!$A:$A,"Amount (NIS)")+SUMIFS('Source 2026'!$M:$M,'Source 2026'!$B:$B,$A591,'Source 2026'!$A:$A,"Amount (NIS)")</f>
        <v>262.4</v>
      </c>
      <c r="J591" s="8" t="n">
        <f aca="false">I591*$J$5</f>
        <v>359.862857142857</v>
      </c>
      <c r="K591" s="8" t="n">
        <f aca="false">J591-H591</f>
        <v>97.4628571428572</v>
      </c>
      <c r="L591" s="9" t="n">
        <f aca="false">IF(AND(H591=0,J591=0),0,IF(H591=0,"New",(J591-H591)/H591))</f>
        <v>0.371428571428572</v>
      </c>
    </row>
    <row r="592" customFormat="false" ht="15" hidden="false" customHeight="false" outlineLevel="0" collapsed="false">
      <c r="A592" s="7" t="n">
        <v>4413122</v>
      </c>
      <c r="B592" s="7" t="str">
        <f aca="false">IFERROR(INDEX('Source 2026'!$C:$C,MATCH($A592,'Source 2026'!$B:$B,0)),IFERROR(INDEX('Source 2025'!$C:$C,MATCH($A592,'Source 2025'!$B:$B,0)),""))</f>
        <v>55 L מתלה אשכים לספורטאים</v>
      </c>
      <c r="C592" s="8" t="n">
        <f aca="false">SUMIFS('Source 2025'!$D:$D,'Source 2025'!$B:$B,$A592,'Source 2025'!$A:$A,"Quantity (units)")+SUMIFS('Source 2025'!$E:$E,'Source 2025'!$B:$B,$A592,'Source 2025'!$A:$A,"Quantity (units)")+SUMIFS('Source 2025'!$F:$F,'Source 2025'!$B:$B,$A592,'Source 2025'!$A:$A,"Quantity (units)")+SUMIFS('Source 2025'!$G:$G,'Source 2025'!$B:$B,$A592,'Source 2025'!$A:$A,"Quantity (units)")+SUMIFS('Source 2025'!$J:$J,'Source 2025'!$B:$B,$A592,'Source 2025'!$A:$A,"Quantity (units)")+SUMIFS('Source 2025'!$M:$M,'Source 2025'!$B:$B,$A592,'Source 2025'!$A:$A,"Quantity (units)")</f>
        <v>3</v>
      </c>
      <c r="D592" s="8" t="n">
        <f aca="false">SUMIFS('Source 2026'!$D:$D,'Source 2026'!$B:$B,$A592,'Source 2026'!$A:$A,"Quantity (units)")+SUMIFS('Source 2026'!$E:$E,'Source 2026'!$B:$B,$A592,'Source 2026'!$A:$A,"Quantity (units)")+SUMIFS('Source 2026'!$F:$F,'Source 2026'!$B:$B,$A592,'Source 2026'!$A:$A,"Quantity (units)")+SUMIFS('Source 2026'!$G:$G,'Source 2026'!$B:$B,$A592,'Source 2026'!$A:$A,"Quantity (units)")+SUMIFS('Source 2026'!$J:$J,'Source 2026'!$B:$B,$A592,'Source 2026'!$A:$A,"Quantity (units)")+SUMIFS('Source 2026'!$M:$M,'Source 2026'!$B:$B,$A592,'Source 2026'!$A:$A,"Quantity (units)")</f>
        <v>3</v>
      </c>
      <c r="E592" s="8" t="n">
        <f aca="false">D592*$J$5</f>
        <v>4.11428571428571</v>
      </c>
      <c r="F592" s="8" t="n">
        <f aca="false">E592-C592</f>
        <v>1.11428571428571</v>
      </c>
      <c r="G592" s="9" t="n">
        <f aca="false">IF(AND(C592=0,E592=0),0,IF(C592=0,"New",(E592-C592)/C592))</f>
        <v>0.371428571428571</v>
      </c>
      <c r="H592" s="8" t="n">
        <f aca="false">SUMIFS('Source 2025'!$D:$D,'Source 2025'!$B:$B,$A592,'Source 2025'!$A:$A,"Amount (NIS)")+SUMIFS('Source 2025'!$E:$E,'Source 2025'!$B:$B,$A592,'Source 2025'!$A:$A,"Amount (NIS)")+SUMIFS('Source 2025'!$F:$F,'Source 2025'!$B:$B,$A592,'Source 2025'!$A:$A,"Amount (NIS)")+SUMIFS('Source 2025'!$G:$G,'Source 2025'!$B:$B,$A592,'Source 2025'!$A:$A,"Amount (NIS)")+SUMIFS('Source 2025'!$J:$J,'Source 2025'!$B:$B,$A592,'Source 2025'!$A:$A,"Amount (NIS)")+SUMIFS('Source 2025'!$M:$M,'Source 2025'!$B:$B,$A592,'Source 2025'!$A:$A,"Amount (NIS)")</f>
        <v>241.7</v>
      </c>
      <c r="I592" s="8" t="n">
        <f aca="false">SUMIFS('Source 2026'!$D:$D,'Source 2026'!$B:$B,$A592,'Source 2026'!$A:$A,"Amount (NIS)")+SUMIFS('Source 2026'!$E:$E,'Source 2026'!$B:$B,$A592,'Source 2026'!$A:$A,"Amount (NIS)")+SUMIFS('Source 2026'!$F:$F,'Source 2026'!$B:$B,$A592,'Source 2026'!$A:$A,"Amount (NIS)")+SUMIFS('Source 2026'!$G:$G,'Source 2026'!$B:$B,$A592,'Source 2026'!$A:$A,"Amount (NIS)")+SUMIFS('Source 2026'!$J:$J,'Source 2026'!$B:$B,$A592,'Source 2026'!$A:$A,"Amount (NIS)")+SUMIFS('Source 2026'!$M:$M,'Source 2026'!$B:$B,$A592,'Source 2026'!$A:$A,"Amount (NIS)")</f>
        <v>241.7</v>
      </c>
      <c r="J592" s="8" t="n">
        <f aca="false">I592*$J$5</f>
        <v>331.474285714286</v>
      </c>
      <c r="K592" s="8" t="n">
        <f aca="false">J592-H592</f>
        <v>89.7742857142857</v>
      </c>
      <c r="L592" s="9" t="n">
        <f aca="false">IF(AND(H592=0,J592=0),0,IF(H592=0,"New",(J592-H592)/H592))</f>
        <v>0.371428571428572</v>
      </c>
    </row>
    <row r="593" customFormat="false" ht="15" hidden="false" customHeight="false" outlineLevel="0" collapsed="false">
      <c r="A593" s="7" t="n">
        <v>4418006</v>
      </c>
      <c r="B593" s="7" t="str">
        <f aca="false">IFERROR(INDEX('Source 2026'!$C:$C,MATCH($A593,'Source 2026'!$B:$B,0)),IFERROR(INDEX('Source 2025'!$C:$C,MATCH($A593,'Source 2025'!$B:$B,0)),""))</f>
        <v>63 M צוארון פלסטי מתכוון</v>
      </c>
      <c r="C593" s="8" t="n">
        <f aca="false">SUMIFS('Source 2025'!$D:$D,'Source 2025'!$B:$B,$A593,'Source 2025'!$A:$A,"Quantity (units)")+SUMIFS('Source 2025'!$E:$E,'Source 2025'!$B:$B,$A593,'Source 2025'!$A:$A,"Quantity (units)")+SUMIFS('Source 2025'!$F:$F,'Source 2025'!$B:$B,$A593,'Source 2025'!$A:$A,"Quantity (units)")+SUMIFS('Source 2025'!$G:$G,'Source 2025'!$B:$B,$A593,'Source 2025'!$A:$A,"Quantity (units)")+SUMIFS('Source 2025'!$J:$J,'Source 2025'!$B:$B,$A593,'Source 2025'!$A:$A,"Quantity (units)")+SUMIFS('Source 2025'!$M:$M,'Source 2025'!$B:$B,$A593,'Source 2025'!$A:$A,"Quantity (units)")</f>
        <v>1</v>
      </c>
      <c r="D593" s="8" t="n">
        <f aca="false">SUMIFS('Source 2026'!$D:$D,'Source 2026'!$B:$B,$A593,'Source 2026'!$A:$A,"Quantity (units)")+SUMIFS('Source 2026'!$E:$E,'Source 2026'!$B:$B,$A593,'Source 2026'!$A:$A,"Quantity (units)")+SUMIFS('Source 2026'!$F:$F,'Source 2026'!$B:$B,$A593,'Source 2026'!$A:$A,"Quantity (units)")+SUMIFS('Source 2026'!$G:$G,'Source 2026'!$B:$B,$A593,'Source 2026'!$A:$A,"Quantity (units)")+SUMIFS('Source 2026'!$J:$J,'Source 2026'!$B:$B,$A593,'Source 2026'!$A:$A,"Quantity (units)")+SUMIFS('Source 2026'!$M:$M,'Source 2026'!$B:$B,$A593,'Source 2026'!$A:$A,"Quantity (units)")</f>
        <v>1</v>
      </c>
      <c r="E593" s="8" t="n">
        <f aca="false">D593*$J$5</f>
        <v>1.37142857142857</v>
      </c>
      <c r="F593" s="8" t="n">
        <f aca="false">E593-C593</f>
        <v>0.371428571428571</v>
      </c>
      <c r="G593" s="9" t="n">
        <f aca="false">IF(AND(C593=0,E593=0),0,IF(C593=0,"New",(E593-C593)/C593))</f>
        <v>0.371428571428571</v>
      </c>
      <c r="H593" s="8" t="n">
        <f aca="false">SUMIFS('Source 2025'!$D:$D,'Source 2025'!$B:$B,$A593,'Source 2025'!$A:$A,"Amount (NIS)")+SUMIFS('Source 2025'!$E:$E,'Source 2025'!$B:$B,$A593,'Source 2025'!$A:$A,"Amount (NIS)")+SUMIFS('Source 2025'!$F:$F,'Source 2025'!$B:$B,$A593,'Source 2025'!$A:$A,"Amount (NIS)")+SUMIFS('Source 2025'!$G:$G,'Source 2025'!$B:$B,$A593,'Source 2025'!$A:$A,"Amount (NIS)")+SUMIFS('Source 2025'!$J:$J,'Source 2025'!$B:$B,$A593,'Source 2025'!$A:$A,"Amount (NIS)")+SUMIFS('Source 2025'!$M:$M,'Source 2025'!$B:$B,$A593,'Source 2025'!$A:$A,"Amount (NIS)")</f>
        <v>66.5</v>
      </c>
      <c r="I593" s="8" t="n">
        <f aca="false">SUMIFS('Source 2026'!$D:$D,'Source 2026'!$B:$B,$A593,'Source 2026'!$A:$A,"Amount (NIS)")+SUMIFS('Source 2026'!$E:$E,'Source 2026'!$B:$B,$A593,'Source 2026'!$A:$A,"Amount (NIS)")+SUMIFS('Source 2026'!$F:$F,'Source 2026'!$B:$B,$A593,'Source 2026'!$A:$A,"Amount (NIS)")+SUMIFS('Source 2026'!$G:$G,'Source 2026'!$B:$B,$A593,'Source 2026'!$A:$A,"Amount (NIS)")+SUMIFS('Source 2026'!$J:$J,'Source 2026'!$B:$B,$A593,'Source 2026'!$A:$A,"Amount (NIS)")+SUMIFS('Source 2026'!$M:$M,'Source 2026'!$B:$B,$A593,'Source 2026'!$A:$A,"Amount (NIS)")</f>
        <v>66.5</v>
      </c>
      <c r="J593" s="8" t="n">
        <f aca="false">I593*$J$5</f>
        <v>91.2</v>
      </c>
      <c r="K593" s="8" t="n">
        <f aca="false">J593-H593</f>
        <v>24.7</v>
      </c>
      <c r="L593" s="9" t="n">
        <f aca="false">IF(AND(H593=0,J593=0),0,IF(H593=0,"New",(J593-H593)/H593))</f>
        <v>0.371428571428572</v>
      </c>
    </row>
    <row r="595" customFormat="false" ht="15" hidden="false" customHeight="false" outlineLevel="0" collapsed="false">
      <c r="A595" s="21"/>
      <c r="B595" s="22" t="s">
        <v>72</v>
      </c>
      <c r="C595" s="23" t="n">
        <f aca="false">SUM(C9:C593)</f>
        <v>54177</v>
      </c>
      <c r="D595" s="23" t="n">
        <f aca="false">SUM(D9:D593)</f>
        <v>33485</v>
      </c>
      <c r="E595" s="23" t="n">
        <f aca="false">SUM(E9:E593)</f>
        <v>45922.2857142857</v>
      </c>
      <c r="F595" s="23" t="n">
        <f aca="false">SUM(F9:F593)</f>
        <v>-8254.71428571428</v>
      </c>
      <c r="G595" s="24" t="n">
        <f aca="false">IF(C595=0,"N/A",F595/C595)</f>
        <v>-0.152365658595239</v>
      </c>
      <c r="H595" s="23" t="n">
        <f aca="false">SUM(H9:H593)</f>
        <v>1967633.7</v>
      </c>
      <c r="I595" s="23" t="n">
        <f aca="false">SUM(I9:I593)</f>
        <v>1293687.8</v>
      </c>
      <c r="J595" s="23" t="n">
        <f aca="false">SUM(J9:J593)</f>
        <v>1774200.41142857</v>
      </c>
      <c r="K595" s="23" t="n">
        <f aca="false">SUM(K9:K593)</f>
        <v>-193433.288571429</v>
      </c>
      <c r="L595" s="24" t="n">
        <f aca="false">IF(H595=0,"N/A",K595/H595)</f>
        <v>-0.0983075704443508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99.75" hidden="false" customHeight="true" outlineLevel="0" collapsed="false">
      <c r="A3" s="4" t="s">
        <v>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54.75" hidden="false" customHeight="true" outlineLevel="0" collapsed="false">
      <c r="A4" s="4" t="s">
        <v>51</v>
      </c>
      <c r="B4" s="4"/>
      <c r="C4" s="4"/>
      <c r="D4" s="4"/>
      <c r="E4" s="4"/>
      <c r="F4" s="4"/>
      <c r="G4" s="4"/>
      <c r="H4" s="4"/>
      <c r="I4" s="14" t="s">
        <v>52</v>
      </c>
      <c r="J4" s="15" t="n">
        <v>12</v>
      </c>
      <c r="K4" s="16" t="s">
        <v>53</v>
      </c>
      <c r="L4" s="15" t="n">
        <v>8.75</v>
      </c>
    </row>
    <row r="5" customFormat="false" ht="30" hidden="false" customHeight="true" outlineLevel="0" collapsed="false">
      <c r="A5" s="17" t="s">
        <v>54</v>
      </c>
      <c r="B5" s="18" t="n">
        <f aca="false">SUMPRODUCT(--((($C$9:$C$354&lt;&gt;0)+($H$9:$H$354&lt;&gt;0)&gt;0)*(($D$9:$D$354=0)*($I$9:$I$354=0))))</f>
        <v>64</v>
      </c>
      <c r="C5" s="17" t="s">
        <v>55</v>
      </c>
      <c r="D5" s="18" t="n">
        <f aca="false">SUMPRODUCT(--((($D$9:$D$354&lt;&gt;0)+($I$9:$I$354&lt;&gt;0)&gt;0)*(($C$9:$C$354=0)*($H$9:$H$354=0))))</f>
        <v>18</v>
      </c>
      <c r="I5" s="17" t="s">
        <v>56</v>
      </c>
      <c r="J5" s="19" t="n">
        <f aca="false">J4/L4</f>
        <v>1.37142857142857</v>
      </c>
    </row>
    <row r="6" customFormat="false" ht="30" hidden="false" customHeight="true" outlineLevel="0" collapsed="false">
      <c r="A6" s="17" t="s">
        <v>57</v>
      </c>
      <c r="B6" s="18" t="n">
        <f aca="false">SUMPRODUCT(--((($C$9:$C$354&lt;&gt;0)+($H$9:$H$354&lt;&gt;0)&gt;0)*(($D$9:$D$354=0)*($I$9:$I$354=0)))*$C$9:$C$354)</f>
        <v>55</v>
      </c>
      <c r="C6" s="17" t="s">
        <v>58</v>
      </c>
      <c r="D6" s="18" t="n">
        <f aca="false">SUMPRODUCT(--((($C$9:$C$354&lt;&gt;0)+($H$9:$H$354&lt;&gt;0)&gt;0)*(($D$9:$D$354=0)*($I$9:$I$354=0)))*$H$9:$H$354)</f>
        <v>4567.1</v>
      </c>
      <c r="E6" s="17" t="s">
        <v>59</v>
      </c>
      <c r="F6" s="18" t="n">
        <f aca="false">SUMPRODUCT(--((($D$9:$D$354&lt;&gt;0)+($I$9:$I$354&lt;&gt;0)&gt;0)*(($C$9:$C$354=0)*($H$9:$H$354=0)))*$D$9:$D$354)</f>
        <v>11</v>
      </c>
      <c r="G6" s="17" t="s">
        <v>60</v>
      </c>
      <c r="H6" s="18" t="n">
        <f aca="false">SUMPRODUCT(--((($D$9:$D$354&lt;&gt;0)+($I$9:$I$354&lt;&gt;0)&gt;0)*(($C$9:$C$354=0)*($H$9:$H$354=0)))*$I$9:$I$354)</f>
        <v>1501.2</v>
      </c>
      <c r="I6" s="17" t="s">
        <v>61</v>
      </c>
      <c r="J6" s="18" t="n">
        <f aca="false">F6*$J$5</f>
        <v>15.0857142857143</v>
      </c>
      <c r="K6" s="17" t="s">
        <v>62</v>
      </c>
      <c r="L6" s="18" t="n">
        <f aca="false">H6*$J$5</f>
        <v>2058.78857142857</v>
      </c>
    </row>
    <row r="8" customFormat="false" ht="43.5" hidden="false" customHeight="true" outlineLevel="0" collapsed="false">
      <c r="A8" s="5" t="s">
        <v>63</v>
      </c>
      <c r="B8" s="5" t="s">
        <v>64</v>
      </c>
      <c r="C8" s="5" t="s">
        <v>17</v>
      </c>
      <c r="D8" s="20" t="s">
        <v>65</v>
      </c>
      <c r="E8" s="5" t="s">
        <v>66</v>
      </c>
      <c r="F8" s="5" t="s">
        <v>67</v>
      </c>
      <c r="G8" s="5" t="s">
        <v>68</v>
      </c>
      <c r="H8" s="5" t="s">
        <v>21</v>
      </c>
      <c r="I8" s="20" t="s">
        <v>69</v>
      </c>
      <c r="J8" s="5" t="s">
        <v>23</v>
      </c>
      <c r="K8" s="5" t="s">
        <v>70</v>
      </c>
      <c r="L8" s="5" t="s">
        <v>71</v>
      </c>
    </row>
    <row r="9" customFormat="false" ht="15" hidden="false" customHeight="false" outlineLevel="0" collapsed="false">
      <c r="A9" s="7" t="n">
        <v>4403029</v>
      </c>
      <c r="B9" s="7" t="str">
        <f aca="false">IFERROR(INDEX('Source 2026'!$C:$C,MATCH($A9,'Source 2026'!$B:$B,0)),IFERROR(INDEX('Source 2025'!$C:$C,MATCH($A9,'Source 2025'!$B:$B,0)),""))</f>
        <v>397 39-42 גרבי טיסה מידה</v>
      </c>
      <c r="C9" s="8" t="n">
        <f aca="false">SUMIFS('Source 2025'!$I:$I,'Source 2025'!$B:$B,$A9,'Source 2025'!$A:$A,"Quantity (units)")</f>
        <v>247</v>
      </c>
      <c r="D9" s="8" t="n">
        <f aca="false">SUMIFS('Source 2026'!$I:$I,'Source 2026'!$B:$B,$A9,'Source 2026'!$A:$A,"Quantity (units)")</f>
        <v>5</v>
      </c>
      <c r="E9" s="8" t="n">
        <f aca="false">D9*$J$5</f>
        <v>6.85714285714286</v>
      </c>
      <c r="F9" s="8" t="n">
        <f aca="false">E9-C9</f>
        <v>-240.142857142857</v>
      </c>
      <c r="G9" s="9" t="n">
        <f aca="false">IF(AND(C9=0,E9=0),0,IF(C9=0,"New",(E9-C9)/C9))</f>
        <v>-0.972238288027762</v>
      </c>
      <c r="H9" s="8" t="n">
        <f aca="false">SUMIFS('Source 2025'!$I:$I,'Source 2025'!$B:$B,$A9,'Source 2025'!$A:$A,"Amount (NIS)")</f>
        <v>14037</v>
      </c>
      <c r="I9" s="8" t="n">
        <f aca="false">SUMIFS('Source 2026'!$I:$I,'Source 2026'!$B:$B,$A9,'Source 2026'!$A:$A,"Amount (NIS)")</f>
        <v>284.2</v>
      </c>
      <c r="J9" s="8" t="n">
        <f aca="false">I9*$J$5</f>
        <v>389.76</v>
      </c>
      <c r="K9" s="8" t="n">
        <f aca="false">J9-H9</f>
        <v>-13647.24</v>
      </c>
      <c r="L9" s="9" t="n">
        <f aca="false">IF(AND(H9=0,J9=0),0,IF(H9=0,"New",(J9-H9)/H9))</f>
        <v>-0.972233383201539</v>
      </c>
    </row>
    <row r="10" customFormat="false" ht="15" hidden="false" customHeight="false" outlineLevel="0" collapsed="false">
      <c r="A10" s="7" t="n">
        <v>4409004</v>
      </c>
      <c r="B10" s="7" t="str">
        <f aca="false">IFERROR(INDEX('Source 2026'!$C:$C,MATCH($A10,'Source 2026'!$B:$B,0)),IFERROR(INDEX('Source 2025'!$C:$C,MATCH($A10,'Source 2025'!$B:$B,0)),""))</f>
        <v>FC335 טלק מעושר באלוורה</v>
      </c>
      <c r="C10" s="8" t="n">
        <f aca="false">SUMIFS('Source 2025'!$I:$I,'Source 2025'!$B:$B,$A10,'Source 2025'!$A:$A,"Quantity (units)")</f>
        <v>1341</v>
      </c>
      <c r="D10" s="8" t="n">
        <f aca="false">SUMIFS('Source 2026'!$I:$I,'Source 2026'!$B:$B,$A10,'Source 2026'!$A:$A,"Quantity (units)")</f>
        <v>735</v>
      </c>
      <c r="E10" s="8" t="n">
        <f aca="false">D10*$J$5</f>
        <v>1008</v>
      </c>
      <c r="F10" s="8" t="n">
        <f aca="false">E10-C10</f>
        <v>-333</v>
      </c>
      <c r="G10" s="9" t="n">
        <f aca="false">IF(AND(C10=0,E10=0),0,IF(C10=0,"New",(E10-C10)/C10))</f>
        <v>-0.248322147651007</v>
      </c>
      <c r="H10" s="8" t="n">
        <f aca="false">SUMIFS('Source 2025'!$I:$I,'Source 2025'!$B:$B,$A10,'Source 2025'!$A:$A,"Amount (NIS)")</f>
        <v>23461.9</v>
      </c>
      <c r="I10" s="8" t="n">
        <f aca="false">SUMIFS('Source 2026'!$I:$I,'Source 2026'!$B:$B,$A10,'Source 2026'!$A:$A,"Amount (NIS)")</f>
        <v>12652.2</v>
      </c>
      <c r="J10" s="8" t="n">
        <f aca="false">I10*$J$5</f>
        <v>17351.5885714286</v>
      </c>
      <c r="K10" s="8" t="n">
        <f aca="false">J10-H10</f>
        <v>-6110.31142857143</v>
      </c>
      <c r="L10" s="9" t="n">
        <f aca="false">IF(AND(H10=0,J10=0),0,IF(H10=0,"New",(J10-H10)/H10))</f>
        <v>-0.26043549024467</v>
      </c>
    </row>
    <row r="11" customFormat="false" ht="15" hidden="false" customHeight="false" outlineLevel="0" collapsed="false">
      <c r="A11" s="7" t="n">
        <v>4403030</v>
      </c>
      <c r="B11" s="7" t="str">
        <f aca="false">IFERROR(INDEX('Source 2026'!$C:$C,MATCH($A11,'Source 2026'!$B:$B,0)),IFERROR(INDEX('Source 2025'!$C:$C,MATCH($A11,'Source 2025'!$B:$B,0)),""))</f>
        <v>397 43-46 גרבי טיסה מידה</v>
      </c>
      <c r="C11" s="8" t="n">
        <f aca="false">SUMIFS('Source 2025'!$I:$I,'Source 2025'!$B:$B,$A11,'Source 2025'!$A:$A,"Quantity (units)")</f>
        <v>149</v>
      </c>
      <c r="D11" s="8" t="n">
        <f aca="false">SUMIFS('Source 2026'!$I:$I,'Source 2026'!$B:$B,$A11,'Source 2026'!$A:$A,"Quantity (units)")</f>
        <v>-2</v>
      </c>
      <c r="E11" s="8" t="n">
        <f aca="false">D11*$J$5</f>
        <v>-2.74285714285714</v>
      </c>
      <c r="F11" s="8" t="n">
        <f aca="false">E11-C11</f>
        <v>-151.742857142857</v>
      </c>
      <c r="G11" s="9" t="n">
        <f aca="false">IF(AND(C11=0,E11=0),0,IF(C11=0,"New",(E11-C11)/C11))</f>
        <v>-1.01840843720038</v>
      </c>
      <c r="H11" s="8" t="n">
        <f aca="false">SUMIFS('Source 2025'!$I:$I,'Source 2025'!$B:$B,$A11,'Source 2025'!$A:$A,"Amount (NIS)")</f>
        <v>8467.7</v>
      </c>
      <c r="I11" s="8" t="n">
        <f aca="false">SUMIFS('Source 2026'!$I:$I,'Source 2026'!$B:$B,$A11,'Source 2026'!$A:$A,"Amount (NIS)")</f>
        <v>-113.7</v>
      </c>
      <c r="J11" s="8" t="n">
        <f aca="false">I11*$J$5</f>
        <v>-155.931428571429</v>
      </c>
      <c r="K11" s="8" t="n">
        <f aca="false">J11-H11</f>
        <v>-8623.63142857143</v>
      </c>
      <c r="L11" s="9" t="n">
        <f aca="false">IF(AND(H11=0,J11=0),0,IF(H11=0,"New",(J11-H11)/H11))</f>
        <v>-1.01841485038103</v>
      </c>
    </row>
    <row r="12" customFormat="false" ht="15" hidden="false" customHeight="false" outlineLevel="0" collapsed="false">
      <c r="A12" s="7" t="n">
        <v>4403028</v>
      </c>
      <c r="B12" s="7" t="str">
        <f aca="false">IFERROR(INDEX('Source 2026'!$C:$C,MATCH($A12,'Source 2026'!$B:$B,0)),IFERROR(INDEX('Source 2025'!$C:$C,MATCH($A12,'Source 2025'!$B:$B,0)),""))</f>
        <v>397 35-38 גרבי טיסה מידה</v>
      </c>
      <c r="C12" s="8" t="n">
        <f aca="false">SUMIFS('Source 2025'!$I:$I,'Source 2025'!$B:$B,$A12,'Source 2025'!$A:$A,"Quantity (units)")</f>
        <v>141</v>
      </c>
      <c r="D12" s="8" t="n">
        <f aca="false">SUMIFS('Source 2026'!$I:$I,'Source 2026'!$B:$B,$A12,'Source 2026'!$A:$A,"Quantity (units)")</f>
        <v>-2</v>
      </c>
      <c r="E12" s="8" t="n">
        <f aca="false">D12*$J$5</f>
        <v>-2.74285714285714</v>
      </c>
      <c r="F12" s="8" t="n">
        <f aca="false">E12-C12</f>
        <v>-143.742857142857</v>
      </c>
      <c r="G12" s="9" t="n">
        <f aca="false">IF(AND(C12=0,E12=0),0,IF(C12=0,"New",(E12-C12)/C12))</f>
        <v>-1.01945288753799</v>
      </c>
      <c r="H12" s="8" t="n">
        <f aca="false">SUMIFS('Source 2025'!$I:$I,'Source 2025'!$B:$B,$A12,'Source 2025'!$A:$A,"Amount (NIS)")</f>
        <v>8026.6</v>
      </c>
      <c r="I12" s="8" t="n">
        <f aca="false">SUMIFS('Source 2026'!$I:$I,'Source 2026'!$B:$B,$A12,'Source 2026'!$A:$A,"Amount (NIS)")</f>
        <v>-113.7</v>
      </c>
      <c r="J12" s="8" t="n">
        <f aca="false">I12*$J$5</f>
        <v>-155.931428571429</v>
      </c>
      <c r="K12" s="8" t="n">
        <f aca="false">J12-H12</f>
        <v>-8182.53142857143</v>
      </c>
      <c r="L12" s="9" t="n">
        <f aca="false">IF(AND(H12=0,J12=0),0,IF(H12=0,"New",(J12-H12)/H12))</f>
        <v>-1.01942683434722</v>
      </c>
    </row>
    <row r="13" customFormat="false" ht="15" hidden="false" customHeight="false" outlineLevel="0" collapsed="false">
      <c r="A13" s="7" t="n">
        <v>4413135</v>
      </c>
      <c r="B13" s="7" t="str">
        <f aca="false">IFERROR(INDEX('Source 2026'!$C:$C,MATCH($A13,'Source 2026'!$B:$B,0)),IFERROR(INDEX('Source 2025'!$C:$C,MATCH($A13,'Source 2025'!$B:$B,0)),""))</f>
        <v>85 L (מתלה ליד )כיס</v>
      </c>
      <c r="C13" s="8" t="n">
        <f aca="false">SUMIFS('Source 2025'!$I:$I,'Source 2025'!$B:$B,$A13,'Source 2025'!$A:$A,"Quantity (units)")</f>
        <v>319</v>
      </c>
      <c r="D13" s="8" t="n">
        <f aca="false">SUMIFS('Source 2026'!$I:$I,'Source 2026'!$B:$B,$A13,'Source 2026'!$A:$A,"Quantity (units)")</f>
        <v>207</v>
      </c>
      <c r="E13" s="8" t="n">
        <f aca="false">D13*$J$5</f>
        <v>283.885714285714</v>
      </c>
      <c r="F13" s="8" t="n">
        <f aca="false">E13-C13</f>
        <v>-35.1142857142857</v>
      </c>
      <c r="G13" s="9" t="n">
        <f aca="false">IF(AND(C13=0,E13=0),0,IF(C13=0,"New",(E13-C13)/C13))</f>
        <v>-0.110076130765786</v>
      </c>
      <c r="H13" s="8" t="n">
        <f aca="false">SUMIFS('Source 2025'!$I:$I,'Source 2025'!$B:$B,$A13,'Source 2025'!$A:$A,"Amount (NIS)")</f>
        <v>16783.9</v>
      </c>
      <c r="I13" s="8" t="n">
        <f aca="false">SUMIFS('Source 2026'!$I:$I,'Source 2026'!$B:$B,$A13,'Source 2026'!$A:$A,"Amount (NIS)")</f>
        <v>10870.2</v>
      </c>
      <c r="J13" s="8" t="n">
        <f aca="false">I13*$J$5</f>
        <v>14907.7028571429</v>
      </c>
      <c r="K13" s="8" t="n">
        <f aca="false">J13-H13</f>
        <v>-1876.19714285714</v>
      </c>
      <c r="L13" s="9" t="n">
        <f aca="false">IF(AND(H13=0,J13=0),0,IF(H13=0,"New",(J13-H13)/H13))</f>
        <v>-0.111785529159322</v>
      </c>
    </row>
    <row r="14" customFormat="false" ht="15" hidden="false" customHeight="false" outlineLevel="0" collapsed="false">
      <c r="A14" s="7" t="n">
        <v>4422023</v>
      </c>
      <c r="B14" s="7" t="str">
        <f aca="false">IFERROR(INDEX('Source 2026'!$C:$C,MATCH($A14,'Source 2026'!$B:$B,0)),IFERROR(INDEX('Source 2025'!$C:$C,MATCH($A14,'Source 2025'!$B:$B,0)),""))</f>
        <v>806CB-BEIGE      תחבושת א.נצמ</v>
      </c>
      <c r="C14" s="8" t="n">
        <f aca="false">SUMIFS('Source 2025'!$I:$I,'Source 2025'!$B:$B,$A14,'Source 2025'!$A:$A,"Quantity (units)")</f>
        <v>797</v>
      </c>
      <c r="D14" s="8" t="n">
        <f aca="false">SUMIFS('Source 2026'!$I:$I,'Source 2026'!$B:$B,$A14,'Source 2026'!$A:$A,"Quantity (units)")</f>
        <v>283</v>
      </c>
      <c r="E14" s="8" t="n">
        <f aca="false">D14*$J$5</f>
        <v>388.114285714286</v>
      </c>
      <c r="F14" s="8" t="n">
        <f aca="false">E14-C14</f>
        <v>-408.885714285714</v>
      </c>
      <c r="G14" s="9" t="n">
        <f aca="false">IF(AND(C14=0,E14=0),0,IF(C14=0,"New",(E14-C14)/C14))</f>
        <v>-0.513031009141423</v>
      </c>
      <c r="H14" s="8" t="n">
        <f aca="false">SUMIFS('Source 2025'!$I:$I,'Source 2025'!$B:$B,$A14,'Source 2025'!$A:$A,"Amount (NIS)")</f>
        <v>8758.2</v>
      </c>
      <c r="I14" s="8" t="n">
        <f aca="false">SUMIFS('Source 2026'!$I:$I,'Source 2026'!$B:$B,$A14,'Source 2026'!$A:$A,"Amount (NIS)")</f>
        <v>3107.3</v>
      </c>
      <c r="J14" s="8" t="n">
        <f aca="false">I14*$J$5</f>
        <v>4261.44</v>
      </c>
      <c r="K14" s="8" t="n">
        <f aca="false">J14-H14</f>
        <v>-4496.76</v>
      </c>
      <c r="L14" s="9" t="n">
        <f aca="false">IF(AND(H14=0,J14=0),0,IF(H14=0,"New",(J14-H14)/H14))</f>
        <v>-0.513434267315202</v>
      </c>
    </row>
    <row r="15" customFormat="false" ht="15" hidden="false" customHeight="false" outlineLevel="0" collapsed="false">
      <c r="A15" s="7" t="n">
        <v>4419006</v>
      </c>
      <c r="B15" s="7" t="str">
        <f aca="false">IFERROR(INDEX('Source 2026'!$C:$C,MATCH($A15,'Source 2026'!$B:$B,0)),IFERROR(INDEX('Source 2025'!$C:$C,MATCH($A15,'Source 2025'!$B:$B,0)),""))</f>
        <v>PD340-קוצץ ציפורניים</v>
      </c>
      <c r="C15" s="8" t="n">
        <f aca="false">SUMIFS('Source 2025'!$I:$I,'Source 2025'!$B:$B,$A15,'Source 2025'!$A:$A,"Quantity (units)")</f>
        <v>928</v>
      </c>
      <c r="D15" s="8" t="n">
        <f aca="false">SUMIFS('Source 2026'!$I:$I,'Source 2026'!$B:$B,$A15,'Source 2026'!$A:$A,"Quantity (units)")</f>
        <v>514</v>
      </c>
      <c r="E15" s="8" t="n">
        <f aca="false">D15*$J$5</f>
        <v>704.914285714286</v>
      </c>
      <c r="F15" s="8" t="n">
        <f aca="false">E15-C15</f>
        <v>-223.085714285714</v>
      </c>
      <c r="G15" s="9" t="n">
        <f aca="false">IF(AND(C15=0,E15=0),0,IF(C15=0,"New",(E15-C15)/C15))</f>
        <v>-0.240394088669951</v>
      </c>
      <c r="H15" s="8" t="n">
        <f aca="false">SUMIFS('Source 2025'!$I:$I,'Source 2025'!$B:$B,$A15,'Source 2025'!$A:$A,"Amount (NIS)")</f>
        <v>12205.1</v>
      </c>
      <c r="I15" s="8" t="n">
        <f aca="false">SUMIFS('Source 2026'!$I:$I,'Source 2026'!$B:$B,$A15,'Source 2026'!$A:$A,"Amount (NIS)")</f>
        <v>6760.2</v>
      </c>
      <c r="J15" s="8" t="n">
        <f aca="false">I15*$J$5</f>
        <v>9271.13142857143</v>
      </c>
      <c r="K15" s="8" t="n">
        <f aca="false">J15-H15</f>
        <v>-2933.96857142857</v>
      </c>
      <c r="L15" s="9" t="n">
        <f aca="false">IF(AND(H15=0,J15=0),0,IF(H15=0,"New",(J15-H15)/H15))</f>
        <v>-0.240388736792699</v>
      </c>
    </row>
    <row r="16" customFormat="false" ht="15" hidden="false" customHeight="false" outlineLevel="0" collapsed="false">
      <c r="A16" s="7" t="n">
        <v>4408098</v>
      </c>
      <c r="B16" s="7" t="str">
        <f aca="false">IFERROR(INDEX('Source 2026'!$C:$C,MATCH($A16,'Source 2026'!$B:$B,0)),IFERROR(INDEX('Source 2025'!$C:$C,MATCH($A16,'Source 2025'!$B:$B,0)),""))</f>
        <v>T25-חבק יד אגודלי</v>
      </c>
      <c r="C16" s="8" t="n">
        <f aca="false">SUMIFS('Source 2025'!$I:$I,'Source 2025'!$B:$B,$A16,'Source 2025'!$A:$A,"Quantity (units)")</f>
        <v>386</v>
      </c>
      <c r="D16" s="8" t="n">
        <f aca="false">SUMIFS('Source 2026'!$I:$I,'Source 2026'!$B:$B,$A16,'Source 2026'!$A:$A,"Quantity (units)")</f>
        <v>257</v>
      </c>
      <c r="E16" s="8" t="n">
        <f aca="false">D16*$J$5</f>
        <v>352.457142857143</v>
      </c>
      <c r="F16" s="8" t="n">
        <f aca="false">E16-C16</f>
        <v>-33.5428571428571</v>
      </c>
      <c r="G16" s="9" t="n">
        <f aca="false">IF(AND(C16=0,E16=0),0,IF(C16=0,"New",(E16-C16)/C16))</f>
        <v>-0.0868985936343449</v>
      </c>
      <c r="H16" s="8" t="n">
        <f aca="false">SUMIFS('Source 2025'!$I:$I,'Source 2025'!$B:$B,$A16,'Source 2025'!$A:$A,"Amount (NIS)")</f>
        <v>15339.9</v>
      </c>
      <c r="I16" s="8" t="n">
        <f aca="false">SUMIFS('Source 2026'!$I:$I,'Source 2026'!$B:$B,$A16,'Source 2026'!$A:$A,"Amount (NIS)")</f>
        <v>10215.3</v>
      </c>
      <c r="J16" s="8" t="n">
        <f aca="false">I16*$J$5</f>
        <v>14009.5542857143</v>
      </c>
      <c r="K16" s="8" t="n">
        <f aca="false">J16-H16</f>
        <v>-1330.34571428572</v>
      </c>
      <c r="L16" s="9" t="n">
        <f aca="false">IF(AND(H16=0,J16=0),0,IF(H16=0,"New",(J16-H16)/H16))</f>
        <v>-0.086724536293308</v>
      </c>
    </row>
    <row r="17" customFormat="false" ht="15" hidden="false" customHeight="false" outlineLevel="0" collapsed="false">
      <c r="A17" s="7" t="n">
        <v>4421000</v>
      </c>
      <c r="B17" s="7" t="str">
        <f aca="false">IFERROR(INDEX('Source 2026'!$C:$C,MATCH($A17,'Source 2026'!$B:$B,0)),IFERROR(INDEX('Source 2025'!$C:$C,MATCH($A17,'Source 2025'!$B:$B,0)),""))</f>
        <v>3655 שרוול מסיליקון לאצבע</v>
      </c>
      <c r="C17" s="8" t="n">
        <f aca="false">SUMIFS('Source 2025'!$I:$I,'Source 2025'!$B:$B,$A17,'Source 2025'!$A:$A,"Quantity (units)")</f>
        <v>885</v>
      </c>
      <c r="D17" s="8" t="n">
        <f aca="false">SUMIFS('Source 2026'!$I:$I,'Source 2026'!$B:$B,$A17,'Source 2026'!$A:$A,"Quantity (units)")</f>
        <v>617</v>
      </c>
      <c r="E17" s="8" t="n">
        <f aca="false">D17*$J$5</f>
        <v>846.171428571429</v>
      </c>
      <c r="F17" s="8" t="n">
        <f aca="false">E17-C17</f>
        <v>-38.8285714285714</v>
      </c>
      <c r="G17" s="9" t="n">
        <f aca="false">IF(AND(C17=0,E17=0),0,IF(C17=0,"New",(E17-C17)/C17))</f>
        <v>-0.0438740920096852</v>
      </c>
      <c r="H17" s="8" t="n">
        <f aca="false">SUMIFS('Source 2025'!$I:$I,'Source 2025'!$B:$B,$A17,'Source 2025'!$A:$A,"Amount (NIS)")</f>
        <v>14919</v>
      </c>
      <c r="I17" s="8" t="n">
        <f aca="false">SUMIFS('Source 2026'!$I:$I,'Source 2026'!$B:$B,$A17,'Source 2026'!$A:$A,"Amount (NIS)")</f>
        <v>10390.5</v>
      </c>
      <c r="J17" s="8" t="n">
        <f aca="false">I17*$J$5</f>
        <v>14249.8285714286</v>
      </c>
      <c r="K17" s="8" t="n">
        <f aca="false">J17-H17</f>
        <v>-669.171428571428</v>
      </c>
      <c r="L17" s="9" t="n">
        <f aca="false">IF(AND(H17=0,J17=0),0,IF(H17=0,"New",(J17-H17)/H17))</f>
        <v>-0.0448536382178047</v>
      </c>
    </row>
    <row r="18" customFormat="false" ht="15" hidden="false" customHeight="false" outlineLevel="0" collapsed="false">
      <c r="A18" s="7" t="n">
        <v>4413041</v>
      </c>
      <c r="B18" s="7" t="str">
        <f aca="false">IFERROR(INDEX('Source 2026'!$C:$C,MATCH($A18,'Source 2026'!$B:$B,0)),IFERROR(INDEX('Source 2025'!$C:$C,MATCH($A18,'Source 2025'!$B:$B,0)),""))</f>
        <v>34  M מגן קרסול עקב סגור</v>
      </c>
      <c r="C18" s="8" t="n">
        <f aca="false">SUMIFS('Source 2025'!$I:$I,'Source 2025'!$B:$B,$A18,'Source 2025'!$A:$A,"Quantity (units)")</f>
        <v>201</v>
      </c>
      <c r="D18" s="8" t="n">
        <f aca="false">SUMIFS('Source 2026'!$I:$I,'Source 2026'!$B:$B,$A18,'Source 2026'!$A:$A,"Quantity (units)")</f>
        <v>106</v>
      </c>
      <c r="E18" s="8" t="n">
        <f aca="false">D18*$J$5</f>
        <v>145.371428571429</v>
      </c>
      <c r="F18" s="8" t="n">
        <f aca="false">E18-C18</f>
        <v>-55.6285714285714</v>
      </c>
      <c r="G18" s="9" t="n">
        <f aca="false">IF(AND(C18=0,E18=0),0,IF(C18=0,"New",(E18-C18)/C18))</f>
        <v>-0.276759061833689</v>
      </c>
      <c r="H18" s="8" t="n">
        <f aca="false">SUMIFS('Source 2025'!$I:$I,'Source 2025'!$B:$B,$A18,'Source 2025'!$A:$A,"Amount (NIS)")</f>
        <v>8140.5</v>
      </c>
      <c r="I18" s="8" t="n">
        <f aca="false">SUMIFS('Source 2026'!$I:$I,'Source 2026'!$B:$B,$A18,'Source 2026'!$A:$A,"Amount (NIS)")</f>
        <v>4293</v>
      </c>
      <c r="J18" s="8" t="n">
        <f aca="false">I18*$J$5</f>
        <v>5887.54285714286</v>
      </c>
      <c r="K18" s="8" t="n">
        <f aca="false">J18-H18</f>
        <v>-2252.95714285714</v>
      </c>
      <c r="L18" s="9" t="n">
        <f aca="false">IF(AND(H18=0,J18=0),0,IF(H18=0,"New",(J18-H18)/H18))</f>
        <v>-0.276759061833689</v>
      </c>
    </row>
    <row r="19" customFormat="false" ht="15" hidden="false" customHeight="false" outlineLevel="0" collapsed="false">
      <c r="A19" s="7" t="n">
        <v>4409014</v>
      </c>
      <c r="B19" s="7" t="str">
        <f aca="false">IFERROR(INDEX('Source 2026'!$C:$C,MATCH($A19,'Source 2026'!$B:$B,0)),IFERROR(INDEX('Source 2025'!$C:$C,MATCH($A19,'Source 2025'!$B:$B,0)),""))</f>
        <v>808KT-P        טייפ קינזיולוגי</v>
      </c>
      <c r="C19" s="8" t="n">
        <f aca="false">SUMIFS('Source 2025'!$I:$I,'Source 2025'!$B:$B,$A19,'Source 2025'!$A:$A,"Quantity (units)")</f>
        <v>256</v>
      </c>
      <c r="D19" s="8" t="n">
        <f aca="false">SUMIFS('Source 2026'!$I:$I,'Source 2026'!$B:$B,$A19,'Source 2026'!$A:$A,"Quantity (units)")</f>
        <v>173</v>
      </c>
      <c r="E19" s="8" t="n">
        <f aca="false">D19*$J$5</f>
        <v>237.257142857143</v>
      </c>
      <c r="F19" s="8" t="n">
        <f aca="false">E19-C19</f>
        <v>-18.7428571428571</v>
      </c>
      <c r="G19" s="9" t="n">
        <f aca="false">IF(AND(C19=0,E19=0),0,IF(C19=0,"New",(E19-C19)/C19))</f>
        <v>-0.0732142857142857</v>
      </c>
      <c r="H19" s="8" t="n">
        <f aca="false">SUMIFS('Source 2025'!$I:$I,'Source 2025'!$B:$B,$A19,'Source 2025'!$A:$A,"Amount (NIS)")</f>
        <v>11284.5</v>
      </c>
      <c r="I19" s="8" t="n">
        <f aca="false">SUMIFS('Source 2026'!$I:$I,'Source 2026'!$B:$B,$A19,'Source 2026'!$A:$A,"Amount (NIS)")</f>
        <v>7625.8</v>
      </c>
      <c r="J19" s="8" t="n">
        <f aca="false">I19*$J$5</f>
        <v>10458.24</v>
      </c>
      <c r="K19" s="8" t="n">
        <f aca="false">J19-H19</f>
        <v>-826.26</v>
      </c>
      <c r="L19" s="9" t="n">
        <f aca="false">IF(AND(H19=0,J19=0),0,IF(H19=0,"New",(J19-H19)/H19))</f>
        <v>-0.0732207895786256</v>
      </c>
    </row>
    <row r="20" customFormat="false" ht="15" hidden="false" customHeight="false" outlineLevel="0" collapsed="false">
      <c r="A20" s="7" t="n">
        <v>4413136</v>
      </c>
      <c r="B20" s="7" t="str">
        <f aca="false">IFERROR(INDEX('Source 2026'!$C:$C,MATCH($A20,'Source 2026'!$B:$B,0)),IFERROR(INDEX('Source 2025'!$C:$C,MATCH($A20,'Source 2025'!$B:$B,0)),""))</f>
        <v>85 M (מתלה ליד )כיס</v>
      </c>
      <c r="C20" s="8" t="n">
        <f aca="false">SUMIFS('Source 2025'!$I:$I,'Source 2025'!$B:$B,$A20,'Source 2025'!$A:$A,"Quantity (units)")</f>
        <v>193</v>
      </c>
      <c r="D20" s="8" t="n">
        <f aca="false">SUMIFS('Source 2026'!$I:$I,'Source 2026'!$B:$B,$A20,'Source 2026'!$A:$A,"Quantity (units)")</f>
        <v>124</v>
      </c>
      <c r="E20" s="8" t="n">
        <f aca="false">D20*$J$5</f>
        <v>170.057142857143</v>
      </c>
      <c r="F20" s="8" t="n">
        <f aca="false">E20-C20</f>
        <v>-22.9428571428572</v>
      </c>
      <c r="G20" s="9" t="n">
        <f aca="false">IF(AND(C20=0,E20=0),0,IF(C20=0,"New",(E20-C20)/C20))</f>
        <v>-0.118874907475944</v>
      </c>
      <c r="H20" s="8" t="n">
        <f aca="false">SUMIFS('Source 2025'!$I:$I,'Source 2025'!$B:$B,$A20,'Source 2025'!$A:$A,"Amount (NIS)")</f>
        <v>10096.7</v>
      </c>
      <c r="I20" s="8" t="n">
        <f aca="false">SUMIFS('Source 2026'!$I:$I,'Source 2026'!$B:$B,$A20,'Source 2026'!$A:$A,"Amount (NIS)")</f>
        <v>6530</v>
      </c>
      <c r="J20" s="8" t="n">
        <f aca="false">I20*$J$5</f>
        <v>8955.42857142857</v>
      </c>
      <c r="K20" s="8" t="n">
        <f aca="false">J20-H20</f>
        <v>-1141.27142857143</v>
      </c>
      <c r="L20" s="9" t="n">
        <f aca="false">IF(AND(H20=0,J20=0),0,IF(H20=0,"New",(J20-H20)/H20))</f>
        <v>-0.113034103080356</v>
      </c>
    </row>
    <row r="21" customFormat="false" ht="15" hidden="false" customHeight="false" outlineLevel="0" collapsed="false">
      <c r="A21" s="7" t="n">
        <v>4408052</v>
      </c>
      <c r="B21" s="7" t="str">
        <f aca="false">IFERROR(INDEX('Source 2026'!$C:$C,MATCH($A21,'Source 2026'!$B:$B,0)),IFERROR(INDEX('Source 2025'!$C:$C,MATCH($A21,'Source 2025'!$B:$B,0)),""))</f>
        <v>21 L  חבק יד ארוך</v>
      </c>
      <c r="C21" s="8" t="n">
        <f aca="false">SUMIFS('Source 2025'!$I:$I,'Source 2025'!$B:$B,$A21,'Source 2025'!$A:$A,"Quantity (units)")</f>
        <v>211</v>
      </c>
      <c r="D21" s="8" t="n">
        <f aca="false">SUMIFS('Source 2026'!$I:$I,'Source 2026'!$B:$B,$A21,'Source 2026'!$A:$A,"Quantity (units)")</f>
        <v>112</v>
      </c>
      <c r="E21" s="8" t="n">
        <f aca="false">D21*$J$5</f>
        <v>153.6</v>
      </c>
      <c r="F21" s="8" t="n">
        <f aca="false">E21-C21</f>
        <v>-57.4</v>
      </c>
      <c r="G21" s="9" t="n">
        <f aca="false">IF(AND(C21=0,E21=0),0,IF(C21=0,"New",(E21-C21)/C21))</f>
        <v>-0.272037914691943</v>
      </c>
      <c r="H21" s="8" t="n">
        <f aca="false">SUMIFS('Source 2025'!$I:$I,'Source 2025'!$B:$B,$A21,'Source 2025'!$A:$A,"Amount (NIS)")</f>
        <v>7450.4</v>
      </c>
      <c r="I21" s="8" t="n">
        <f aca="false">SUMIFS('Source 2026'!$I:$I,'Source 2026'!$B:$B,$A21,'Source 2026'!$A:$A,"Amount (NIS)")</f>
        <v>3950.5</v>
      </c>
      <c r="J21" s="8" t="n">
        <f aca="false">I21*$J$5</f>
        <v>5417.82857142857</v>
      </c>
      <c r="K21" s="8" t="n">
        <f aca="false">J21-H21</f>
        <v>-2032.57142857143</v>
      </c>
      <c r="L21" s="9" t="n">
        <f aca="false">IF(AND(H21=0,J21=0),0,IF(H21=0,"New",(J21-H21)/H21))</f>
        <v>-0.272813731956865</v>
      </c>
    </row>
    <row r="22" customFormat="false" ht="15" hidden="false" customHeight="false" outlineLevel="0" collapsed="false">
      <c r="A22" s="7" t="n">
        <v>4413098</v>
      </c>
      <c r="B22" s="7" t="str">
        <f aca="false">IFERROR(INDEX('Source 2026'!$C:$C,MATCH($A22,'Source 2026'!$B:$B,0)),IFERROR(INDEX('Source 2025'!$C:$C,MATCH($A22,'Source 2025'!$B:$B,0)),""))</f>
        <v>45C L מגן ברך חום</v>
      </c>
      <c r="C22" s="8" t="n">
        <f aca="false">SUMIFS('Source 2025'!$I:$I,'Source 2025'!$B:$B,$A22,'Source 2025'!$A:$A,"Quantity (units)")</f>
        <v>320</v>
      </c>
      <c r="D22" s="8" t="n">
        <f aca="false">SUMIFS('Source 2026'!$I:$I,'Source 2026'!$B:$B,$A22,'Source 2026'!$A:$A,"Quantity (units)")</f>
        <v>204</v>
      </c>
      <c r="E22" s="8" t="n">
        <f aca="false">D22*$J$5</f>
        <v>279.771428571429</v>
      </c>
      <c r="F22" s="8" t="n">
        <f aca="false">E22-C22</f>
        <v>-40.2285714285714</v>
      </c>
      <c r="G22" s="9" t="n">
        <f aca="false">IF(AND(C22=0,E22=0),0,IF(C22=0,"New",(E22-C22)/C22))</f>
        <v>-0.125714285714286</v>
      </c>
      <c r="H22" s="8" t="n">
        <f aca="false">SUMIFS('Source 2025'!$I:$I,'Source 2025'!$B:$B,$A22,'Source 2025'!$A:$A,"Amount (NIS)")</f>
        <v>8908.9</v>
      </c>
      <c r="I22" s="8" t="n">
        <f aca="false">SUMIFS('Source 2026'!$I:$I,'Source 2026'!$B:$B,$A22,'Source 2026'!$A:$A,"Amount (NIS)")</f>
        <v>5670.9</v>
      </c>
      <c r="J22" s="8" t="n">
        <f aca="false">I22*$J$5</f>
        <v>7777.23428571429</v>
      </c>
      <c r="K22" s="8" t="n">
        <f aca="false">J22-H22</f>
        <v>-1131.66571428571</v>
      </c>
      <c r="L22" s="9" t="n">
        <f aca="false">IF(AND(H22=0,J22=0),0,IF(H22=0,"New",(J22-H22)/H22))</f>
        <v>-0.12702642461872</v>
      </c>
    </row>
    <row r="23" customFormat="false" ht="15" hidden="false" customHeight="false" outlineLevel="0" collapsed="false">
      <c r="A23" s="7" t="n">
        <v>4408154</v>
      </c>
      <c r="B23" s="7" t="str">
        <f aca="false">IFERROR(INDEX('Source 2026'!$C:$C,MATCH($A23,'Source 2026'!$B:$B,0)),IFERROR(INDEX('Source 2025'!$C:$C,MATCH($A23,'Source 2025'!$B:$B,0)),""))</f>
        <v>11TO XXLחגורה למנותחי בית החזה</v>
      </c>
      <c r="C23" s="8" t="n">
        <f aca="false">SUMIFS('Source 2025'!$I:$I,'Source 2025'!$B:$B,$A23,'Source 2025'!$A:$A,"Quantity (units)")</f>
        <v>61</v>
      </c>
      <c r="D23" s="8" t="n">
        <f aca="false">SUMIFS('Source 2026'!$I:$I,'Source 2026'!$B:$B,$A23,'Source 2026'!$A:$A,"Quantity (units)")</f>
        <v>83</v>
      </c>
      <c r="E23" s="8" t="n">
        <f aca="false">D23*$J$5</f>
        <v>113.828571428571</v>
      </c>
      <c r="F23" s="8" t="n">
        <f aca="false">E23-C23</f>
        <v>52.8285714285714</v>
      </c>
      <c r="G23" s="9" t="n">
        <f aca="false">IF(AND(C23=0,E23=0),0,IF(C23=0,"New",(E23-C23)/C23))</f>
        <v>0.866042154566745</v>
      </c>
      <c r="H23" s="8" t="n">
        <f aca="false">SUMIFS('Source 2025'!$I:$I,'Source 2025'!$B:$B,$A23,'Source 2025'!$A:$A,"Amount (NIS)")</f>
        <v>8879.2</v>
      </c>
      <c r="I23" s="8" t="n">
        <f aca="false">SUMIFS('Source 2026'!$I:$I,'Source 2026'!$B:$B,$A23,'Source 2026'!$A:$A,"Amount (NIS)")</f>
        <v>12081.5</v>
      </c>
      <c r="J23" s="8" t="n">
        <f aca="false">I23*$J$5</f>
        <v>16568.9142857143</v>
      </c>
      <c r="K23" s="8" t="n">
        <f aca="false">J23-H23</f>
        <v>7689.71428571429</v>
      </c>
      <c r="L23" s="9" t="n">
        <f aca="false">IF(AND(H23=0,J23=0),0,IF(H23=0,"New",(J23-H23)/H23))</f>
        <v>0.866036837295509</v>
      </c>
    </row>
    <row r="24" customFormat="false" ht="15" hidden="false" customHeight="false" outlineLevel="0" collapsed="false">
      <c r="A24" s="7" t="n">
        <v>4413100</v>
      </c>
      <c r="B24" s="7" t="str">
        <f aca="false">IFERROR(INDEX('Source 2026'!$C:$C,MATCH($A24,'Source 2026'!$B:$B,0)),IFERROR(INDEX('Source 2025'!$C:$C,MATCH($A24,'Source 2025'!$B:$B,0)),""))</f>
        <v>45C XL מגן ברך חום</v>
      </c>
      <c r="C24" s="8" t="n">
        <f aca="false">SUMIFS('Source 2025'!$I:$I,'Source 2025'!$B:$B,$A24,'Source 2025'!$A:$A,"Quantity (units)")</f>
        <v>272</v>
      </c>
      <c r="D24" s="8" t="n">
        <f aca="false">SUMIFS('Source 2026'!$I:$I,'Source 2026'!$B:$B,$A24,'Source 2026'!$A:$A,"Quantity (units)")</f>
        <v>160</v>
      </c>
      <c r="E24" s="8" t="n">
        <f aca="false">D24*$J$5</f>
        <v>219.428571428571</v>
      </c>
      <c r="F24" s="8" t="n">
        <f aca="false">E24-C24</f>
        <v>-52.5714285714286</v>
      </c>
      <c r="G24" s="9" t="n">
        <f aca="false">IF(AND(C24=0,E24=0),0,IF(C24=0,"New",(E24-C24)/C24))</f>
        <v>-0.19327731092437</v>
      </c>
      <c r="H24" s="8" t="n">
        <f aca="false">SUMIFS('Source 2025'!$I:$I,'Source 2025'!$B:$B,$A24,'Source 2025'!$A:$A,"Amount (NIS)")</f>
        <v>7568.5</v>
      </c>
      <c r="I24" s="8" t="n">
        <f aca="false">SUMIFS('Source 2026'!$I:$I,'Source 2026'!$B:$B,$A24,'Source 2026'!$A:$A,"Amount (NIS)")</f>
        <v>4445.5</v>
      </c>
      <c r="J24" s="8" t="n">
        <f aca="false">I24*$J$5</f>
        <v>6096.68571428571</v>
      </c>
      <c r="K24" s="8" t="n">
        <f aca="false">J24-H24</f>
        <v>-1471.81428571429</v>
      </c>
      <c r="L24" s="9" t="n">
        <f aca="false">IF(AND(H24=0,J24=0),0,IF(H24=0,"New",(J24-H24)/H24))</f>
        <v>-0.194465783935296</v>
      </c>
    </row>
    <row r="25" customFormat="false" ht="15" hidden="false" customHeight="false" outlineLevel="0" collapsed="false">
      <c r="A25" s="7" t="n">
        <v>4413049</v>
      </c>
      <c r="B25" s="7" t="str">
        <f aca="false">IFERROR(INDEX('Source 2026'!$C:$C,MATCH($A25,'Source 2026'!$B:$B,0)),IFERROR(INDEX('Source 2025'!$C:$C,MATCH($A25,'Source 2025'!$B:$B,0)),""))</f>
        <v>35 M מגן קרסול לבן</v>
      </c>
      <c r="C25" s="8" t="n">
        <f aca="false">SUMIFS('Source 2025'!$I:$I,'Source 2025'!$B:$B,$A25,'Source 2025'!$A:$A,"Quantity (units)")</f>
        <v>251</v>
      </c>
      <c r="D25" s="8" t="n">
        <f aca="false">SUMIFS('Source 2026'!$I:$I,'Source 2026'!$B:$B,$A25,'Source 2026'!$A:$A,"Quantity (units)")</f>
        <v>145</v>
      </c>
      <c r="E25" s="8" t="n">
        <f aca="false">D25*$J$5</f>
        <v>198.857142857143</v>
      </c>
      <c r="F25" s="8" t="n">
        <f aca="false">E25-C25</f>
        <v>-52.1428571428571</v>
      </c>
      <c r="G25" s="9" t="n">
        <f aca="false">IF(AND(C25=0,E25=0),0,IF(C25=0,"New",(E25-C25)/C25))</f>
        <v>-0.20774046670461</v>
      </c>
      <c r="H25" s="8" t="n">
        <f aca="false">SUMIFS('Source 2025'!$I:$I,'Source 2025'!$B:$B,$A25,'Source 2025'!$A:$A,"Amount (NIS)")</f>
        <v>6969.7</v>
      </c>
      <c r="I25" s="8" t="n">
        <f aca="false">SUMIFS('Source 2026'!$I:$I,'Source 2026'!$B:$B,$A25,'Source 2026'!$A:$A,"Amount (NIS)")</f>
        <v>4031.1</v>
      </c>
      <c r="J25" s="8" t="n">
        <f aca="false">I25*$J$5</f>
        <v>5528.36571428572</v>
      </c>
      <c r="K25" s="8" t="n">
        <f aca="false">J25-H25</f>
        <v>-1441.33428571429</v>
      </c>
      <c r="L25" s="9" t="n">
        <f aca="false">IF(AND(H25=0,J25=0),0,IF(H25=0,"New",(J25-H25)/H25))</f>
        <v>-0.206800046732899</v>
      </c>
    </row>
    <row r="26" customFormat="false" ht="15" hidden="false" customHeight="false" outlineLevel="0" collapsed="false">
      <c r="A26" s="7" t="n">
        <v>4413138</v>
      </c>
      <c r="B26" s="7" t="str">
        <f aca="false">IFERROR(INDEX('Source 2026'!$C:$C,MATCH($A26,'Source 2026'!$B:$B,0)),IFERROR(INDEX('Source 2025'!$C:$C,MATCH($A26,'Source 2025'!$B:$B,0)),""))</f>
        <v>85 XL (מתלה ליד )כיס</v>
      </c>
      <c r="C26" s="8" t="n">
        <f aca="false">SUMIFS('Source 2025'!$I:$I,'Source 2025'!$B:$B,$A26,'Source 2025'!$A:$A,"Quantity (units)")</f>
        <v>158</v>
      </c>
      <c r="D26" s="8" t="n">
        <f aca="false">SUMIFS('Source 2026'!$I:$I,'Source 2026'!$B:$B,$A26,'Source 2026'!$A:$A,"Quantity (units)")</f>
        <v>102</v>
      </c>
      <c r="E26" s="8" t="n">
        <f aca="false">D26*$J$5</f>
        <v>139.885714285714</v>
      </c>
      <c r="F26" s="8" t="n">
        <f aca="false">E26-C26</f>
        <v>-18.1142857142857</v>
      </c>
      <c r="G26" s="9" t="n">
        <f aca="false">IF(AND(C26=0,E26=0),0,IF(C26=0,"New",(E26-C26)/C26))</f>
        <v>-0.114647377938517</v>
      </c>
      <c r="H26" s="8" t="n">
        <f aca="false">SUMIFS('Source 2025'!$I:$I,'Source 2025'!$B:$B,$A26,'Source 2025'!$A:$A,"Amount (NIS)")</f>
        <v>8287.1</v>
      </c>
      <c r="I26" s="8" t="n">
        <f aca="false">SUMIFS('Source 2026'!$I:$I,'Source 2026'!$B:$B,$A26,'Source 2026'!$A:$A,"Amount (NIS)")</f>
        <v>5363</v>
      </c>
      <c r="J26" s="8" t="n">
        <f aca="false">I26*$J$5</f>
        <v>7354.97142857143</v>
      </c>
      <c r="K26" s="8" t="n">
        <f aca="false">J26-H26</f>
        <v>-932.128571428571</v>
      </c>
      <c r="L26" s="9" t="n">
        <f aca="false">IF(AND(H26=0,J26=0),0,IF(H26=0,"New",(J26-H26)/H26))</f>
        <v>-0.112479464641258</v>
      </c>
    </row>
    <row r="27" customFormat="false" ht="15" hidden="false" customHeight="false" outlineLevel="0" collapsed="false">
      <c r="A27" s="7" t="n">
        <v>4413043</v>
      </c>
      <c r="B27" s="7" t="str">
        <f aca="false">IFERROR(INDEX('Source 2026'!$C:$C,MATCH($A27,'Source 2026'!$B:$B,0)),IFERROR(INDEX('Source 2025'!$C:$C,MATCH($A27,'Source 2025'!$B:$B,0)),""))</f>
        <v>34  L מגן קרסול עקב סגור</v>
      </c>
      <c r="C27" s="8" t="n">
        <f aca="false">SUMIFS('Source 2025'!$I:$I,'Source 2025'!$B:$B,$A27,'Source 2025'!$A:$A,"Quantity (units)")</f>
        <v>188</v>
      </c>
      <c r="D27" s="8" t="n">
        <f aca="false">SUMIFS('Source 2026'!$I:$I,'Source 2026'!$B:$B,$A27,'Source 2026'!$A:$A,"Quantity (units)")</f>
        <v>117</v>
      </c>
      <c r="E27" s="8" t="n">
        <f aca="false">D27*$J$5</f>
        <v>160.457142857143</v>
      </c>
      <c r="F27" s="8" t="n">
        <f aca="false">E27-C27</f>
        <v>-27.5428571428571</v>
      </c>
      <c r="G27" s="9" t="n">
        <f aca="false">IF(AND(C27=0,E27=0),0,IF(C27=0,"New",(E27-C27)/C27))</f>
        <v>-0.146504559270517</v>
      </c>
      <c r="H27" s="8" t="n">
        <f aca="false">SUMIFS('Source 2025'!$I:$I,'Source 2025'!$B:$B,$A27,'Source 2025'!$A:$A,"Amount (NIS)")</f>
        <v>7622.7</v>
      </c>
      <c r="I27" s="8" t="n">
        <f aca="false">SUMIFS('Source 2026'!$I:$I,'Source 2026'!$B:$B,$A27,'Source 2026'!$A:$A,"Amount (NIS)")</f>
        <v>4755.8</v>
      </c>
      <c r="J27" s="8" t="n">
        <f aca="false">I27*$J$5</f>
        <v>6522.24</v>
      </c>
      <c r="K27" s="8" t="n">
        <f aca="false">J27-H27</f>
        <v>-1100.46</v>
      </c>
      <c r="L27" s="9" t="n">
        <f aca="false">IF(AND(H27=0,J27=0),0,IF(H27=0,"New",(J27-H27)/H27))</f>
        <v>-0.144366169467511</v>
      </c>
    </row>
    <row r="28" customFormat="false" ht="15" hidden="false" customHeight="false" outlineLevel="0" collapsed="false">
      <c r="A28" s="7" t="n">
        <v>4408053</v>
      </c>
      <c r="B28" s="7" t="str">
        <f aca="false">IFERROR(INDEX('Source 2026'!$C:$C,MATCH($A28,'Source 2026'!$B:$B,0)),IFERROR(INDEX('Source 2025'!$C:$C,MATCH($A28,'Source 2025'!$B:$B,0)),""))</f>
        <v>21 M  חבק יד ארוך</v>
      </c>
      <c r="C28" s="8" t="n">
        <f aca="false">SUMIFS('Source 2025'!$I:$I,'Source 2025'!$B:$B,$A28,'Source 2025'!$A:$A,"Quantity (units)")</f>
        <v>300</v>
      </c>
      <c r="D28" s="8" t="n">
        <f aca="false">SUMIFS('Source 2026'!$I:$I,'Source 2026'!$B:$B,$A28,'Source 2026'!$A:$A,"Quantity (units)")</f>
        <v>221</v>
      </c>
      <c r="E28" s="8" t="n">
        <f aca="false">D28*$J$5</f>
        <v>303.085714285714</v>
      </c>
      <c r="F28" s="8" t="n">
        <f aca="false">E28-C28</f>
        <v>3.08571428571429</v>
      </c>
      <c r="G28" s="9" t="n">
        <f aca="false">IF(AND(C28=0,E28=0),0,IF(C28=0,"New",(E28-C28)/C28))</f>
        <v>0.0102857142857143</v>
      </c>
      <c r="H28" s="8" t="n">
        <f aca="false">SUMIFS('Source 2025'!$I:$I,'Source 2025'!$B:$B,$A28,'Source 2025'!$A:$A,"Amount (NIS)")</f>
        <v>10585.1</v>
      </c>
      <c r="I28" s="8" t="n">
        <f aca="false">SUMIFS('Source 2026'!$I:$I,'Source 2026'!$B:$B,$A28,'Source 2026'!$A:$A,"Amount (NIS)")</f>
        <v>7792.8</v>
      </c>
      <c r="J28" s="8" t="n">
        <f aca="false">I28*$J$5</f>
        <v>10687.2685714286</v>
      </c>
      <c r="K28" s="8" t="n">
        <f aca="false">J28-H28</f>
        <v>102.168571428572</v>
      </c>
      <c r="L28" s="9" t="n">
        <f aca="false">IF(AND(H28=0,J28=0),0,IF(H28=0,"New",(J28-H28)/H28))</f>
        <v>0.00965211206588244</v>
      </c>
    </row>
    <row r="29" customFormat="false" ht="15" hidden="false" customHeight="false" outlineLevel="0" collapsed="false">
      <c r="A29" s="7" t="n">
        <v>4408088</v>
      </c>
      <c r="B29" s="7" t="str">
        <f aca="false">IFERROR(INDEX('Source 2026'!$C:$C,MATCH($A29,'Source 2026'!$B:$B,0)),IFERROR(INDEX('Source 2025'!$C:$C,MATCH($A29,'Source 2025'!$B:$B,0)),""))</f>
        <v>91  חבק ""טניס אלבו רצועה</v>
      </c>
      <c r="C29" s="8" t="n">
        <f aca="false">SUMIFS('Source 2025'!$I:$I,'Source 2025'!$B:$B,$A29,'Source 2025'!$A:$A,"Quantity (units)")</f>
        <v>31</v>
      </c>
      <c r="D29" s="8" t="n">
        <f aca="false">SUMIFS('Source 2026'!$I:$I,'Source 2026'!$B:$B,$A29,'Source 2026'!$A:$A,"Quantity (units)")</f>
        <v>-6</v>
      </c>
      <c r="E29" s="8" t="n">
        <f aca="false">D29*$J$5</f>
        <v>-8.22857142857143</v>
      </c>
      <c r="F29" s="8" t="n">
        <f aca="false">E29-C29</f>
        <v>-39.2285714285714</v>
      </c>
      <c r="G29" s="9" t="n">
        <f aca="false">IF(AND(C29=0,E29=0),0,IF(C29=0,"New",(E29-C29)/C29))</f>
        <v>-1.26543778801843</v>
      </c>
      <c r="H29" s="8" t="n">
        <f aca="false">SUMIFS('Source 2025'!$I:$I,'Source 2025'!$B:$B,$A29,'Source 2025'!$A:$A,"Amount (NIS)")</f>
        <v>2307.7</v>
      </c>
      <c r="I29" s="8" t="n">
        <f aca="false">SUMIFS('Source 2026'!$I:$I,'Source 2026'!$B:$B,$A29,'Source 2026'!$A:$A,"Amount (NIS)")</f>
        <v>-449.8</v>
      </c>
      <c r="J29" s="8" t="n">
        <f aca="false">I29*$J$5</f>
        <v>-616.868571428572</v>
      </c>
      <c r="K29" s="8" t="n">
        <f aca="false">J29-H29</f>
        <v>-2924.56857142857</v>
      </c>
      <c r="L29" s="9" t="n">
        <f aca="false">IF(AND(H29=0,J29=0),0,IF(H29=0,"New",(J29-H29)/H29))</f>
        <v>-1.2673088232563</v>
      </c>
    </row>
    <row r="30" customFormat="false" ht="15" hidden="false" customHeight="false" outlineLevel="0" collapsed="false">
      <c r="A30" s="7" t="n">
        <v>4413348</v>
      </c>
      <c r="B30" s="7" t="str">
        <f aca="false">IFERROR(INDEX('Source 2026'!$C:$C,MATCH($A30,'Source 2026'!$B:$B,0)),IFERROR(INDEX('Source 2025'!$C:$C,MATCH($A30,'Source 2025'!$B:$B,0)),""))</f>
        <v>302 מדרס ג'ל לגבר</v>
      </c>
      <c r="C30" s="8" t="n">
        <f aca="false">SUMIFS('Source 2025'!$I:$I,'Source 2025'!$B:$B,$A30,'Source 2025'!$A:$A,"Quantity (units)")</f>
        <v>187</v>
      </c>
      <c r="D30" s="8" t="n">
        <f aca="false">SUMIFS('Source 2026'!$I:$I,'Source 2026'!$B:$B,$A30,'Source 2026'!$A:$A,"Quantity (units)")</f>
        <v>142</v>
      </c>
      <c r="E30" s="8" t="n">
        <f aca="false">D30*$J$5</f>
        <v>194.742857142857</v>
      </c>
      <c r="F30" s="8" t="n">
        <f aca="false">E30-C30</f>
        <v>7.74285714285713</v>
      </c>
      <c r="G30" s="9" t="n">
        <f aca="false">IF(AND(C30=0,E30=0),0,IF(C30=0,"New",(E30-C30)/C30))</f>
        <v>0.041405653170359</v>
      </c>
      <c r="H30" s="8" t="n">
        <f aca="false">SUMIFS('Source 2025'!$I:$I,'Source 2025'!$B:$B,$A30,'Source 2025'!$A:$A,"Amount (NIS)")</f>
        <v>12070.4</v>
      </c>
      <c r="I30" s="8" t="n">
        <f aca="false">SUMIFS('Source 2026'!$I:$I,'Source 2026'!$B:$B,$A30,'Source 2026'!$A:$A,"Amount (NIS)")</f>
        <v>9319.5</v>
      </c>
      <c r="J30" s="8" t="n">
        <f aca="false">I30*$J$5</f>
        <v>12781.0285714286</v>
      </c>
      <c r="K30" s="8" t="n">
        <f aca="false">J30-H30</f>
        <v>710.628571428571</v>
      </c>
      <c r="L30" s="9" t="n">
        <f aca="false">IF(AND(H30=0,J30=0),0,IF(H30=0,"New",(J30-H30)/H30))</f>
        <v>0.0588736555067414</v>
      </c>
    </row>
    <row r="31" customFormat="false" ht="15" hidden="false" customHeight="false" outlineLevel="0" collapsed="false">
      <c r="A31" s="7" t="n">
        <v>4413048</v>
      </c>
      <c r="B31" s="7" t="str">
        <f aca="false">IFERROR(INDEX('Source 2026'!$C:$C,MATCH($A31,'Source 2026'!$B:$B,0)),IFERROR(INDEX('Source 2025'!$C:$C,MATCH($A31,'Source 2025'!$B:$B,0)),""))</f>
        <v>35 L מגן קרסול לבן</v>
      </c>
      <c r="C31" s="8" t="n">
        <f aca="false">SUMIFS('Source 2025'!$I:$I,'Source 2025'!$B:$B,$A31,'Source 2025'!$A:$A,"Quantity (units)")</f>
        <v>261</v>
      </c>
      <c r="D31" s="8" t="n">
        <f aca="false">SUMIFS('Source 2026'!$I:$I,'Source 2026'!$B:$B,$A31,'Source 2026'!$A:$A,"Quantity (units)")</f>
        <v>163</v>
      </c>
      <c r="E31" s="8" t="n">
        <f aca="false">D31*$J$5</f>
        <v>223.542857142857</v>
      </c>
      <c r="F31" s="8" t="n">
        <f aca="false">E31-C31</f>
        <v>-37.4571428571429</v>
      </c>
      <c r="G31" s="9" t="n">
        <f aca="false">IF(AND(C31=0,E31=0),0,IF(C31=0,"New",(E31-C31)/C31))</f>
        <v>-0.143513957307061</v>
      </c>
      <c r="H31" s="8" t="n">
        <f aca="false">SUMIFS('Source 2025'!$I:$I,'Source 2025'!$B:$B,$A31,'Source 2025'!$A:$A,"Amount (NIS)")</f>
        <v>7257.2</v>
      </c>
      <c r="I31" s="8" t="n">
        <f aca="false">SUMIFS('Source 2026'!$I:$I,'Source 2026'!$B:$B,$A31,'Source 2026'!$A:$A,"Amount (NIS)")</f>
        <v>4526.9</v>
      </c>
      <c r="J31" s="8" t="n">
        <f aca="false">I31*$J$5</f>
        <v>6208.32</v>
      </c>
      <c r="K31" s="8" t="n">
        <f aca="false">J31-H31</f>
        <v>-1048.88</v>
      </c>
      <c r="L31" s="9" t="n">
        <f aca="false">IF(AND(H31=0,J31=0),0,IF(H31=0,"New",(J31-H31)/H31))</f>
        <v>-0.144529570633302</v>
      </c>
    </row>
    <row r="32" customFormat="false" ht="15" hidden="false" customHeight="false" outlineLevel="0" collapsed="false">
      <c r="A32" s="7" t="n">
        <v>4413370</v>
      </c>
      <c r="B32" s="7" t="str">
        <f aca="false">IFERROR(INDEX('Source 2026'!$C:$C,MATCH($A32,'Source 2026'!$B:$B,0)),IFERROR(INDEX('Source 2025'!$C:$C,MATCH($A32,'Source 2025'!$B:$B,0)),""))</f>
        <v>3674 0 מ.בוניון+מפריד אצבע</v>
      </c>
      <c r="C32" s="8" t="n">
        <f aca="false">SUMIFS('Source 2025'!$I:$I,'Source 2025'!$B:$B,$A32,'Source 2025'!$A:$A,"Quantity (units)")</f>
        <v>142</v>
      </c>
      <c r="D32" s="8" t="n">
        <f aca="false">SUMIFS('Source 2026'!$I:$I,'Source 2026'!$B:$B,$A32,'Source 2026'!$A:$A,"Quantity (units)")</f>
        <v>70</v>
      </c>
      <c r="E32" s="8" t="n">
        <f aca="false">D32*$J$5</f>
        <v>96</v>
      </c>
      <c r="F32" s="8" t="n">
        <f aca="false">E32-C32</f>
        <v>-46</v>
      </c>
      <c r="G32" s="9" t="n">
        <f aca="false">IF(AND(C32=0,E32=0),0,IF(C32=0,"New",(E32-C32)/C32))</f>
        <v>-0.323943661971831</v>
      </c>
      <c r="H32" s="8" t="n">
        <f aca="false">SUMIFS('Source 2025'!$I:$I,'Source 2025'!$B:$B,$A32,'Source 2025'!$A:$A,"Amount (NIS)")</f>
        <v>5326.8</v>
      </c>
      <c r="I32" s="8" t="n">
        <f aca="false">SUMIFS('Source 2026'!$I:$I,'Source 2026'!$B:$B,$A32,'Source 2026'!$A:$A,"Amount (NIS)")</f>
        <v>2618</v>
      </c>
      <c r="J32" s="8" t="n">
        <f aca="false">I32*$J$5</f>
        <v>3590.4</v>
      </c>
      <c r="K32" s="8" t="n">
        <f aca="false">J32-H32</f>
        <v>-1736.4</v>
      </c>
      <c r="L32" s="9" t="n">
        <f aca="false">IF(AND(H32=0,J32=0),0,IF(H32=0,"New",(J32-H32)/H32))</f>
        <v>-0.325974318540212</v>
      </c>
    </row>
    <row r="33" customFormat="false" ht="15" hidden="false" customHeight="false" outlineLevel="0" collapsed="false">
      <c r="A33" s="7" t="n">
        <v>4415158</v>
      </c>
      <c r="B33" s="7" t="str">
        <f aca="false">IFERROR(INDEX('Source 2026'!$C:$C,MATCH($A33,'Source 2026'!$B:$B,0)),IFERROR(INDEX('Source 2025'!$C:$C,MATCH($A33,'Source 2025'!$B:$B,0)),""))</f>
        <v>266 סד ליד דו צדדי</v>
      </c>
      <c r="C33" s="8" t="n">
        <f aca="false">SUMIFS('Source 2025'!$I:$I,'Source 2025'!$B:$B,$A33,'Source 2025'!$A:$A,"Quantity (units)")</f>
        <v>367</v>
      </c>
      <c r="D33" s="8" t="n">
        <f aca="false">SUMIFS('Source 2026'!$I:$I,'Source 2026'!$B:$B,$A33,'Source 2026'!$A:$A,"Quantity (units)")</f>
        <v>331</v>
      </c>
      <c r="E33" s="8" t="n">
        <f aca="false">D33*$J$5</f>
        <v>453.942857142857</v>
      </c>
      <c r="F33" s="8" t="n">
        <f aca="false">E33-C33</f>
        <v>86.9428571428571</v>
      </c>
      <c r="G33" s="9" t="n">
        <f aca="false">IF(AND(C33=0,E33=0),0,IF(C33=0,"New",(E33-C33)/C33))</f>
        <v>0.236901518100428</v>
      </c>
      <c r="H33" s="8" t="n">
        <f aca="false">SUMIFS('Source 2025'!$I:$I,'Source 2025'!$B:$B,$A33,'Source 2025'!$A:$A,"Amount (NIS)")</f>
        <v>26702.9</v>
      </c>
      <c r="I33" s="8" t="n">
        <f aca="false">SUMIFS('Source 2026'!$I:$I,'Source 2026'!$B:$B,$A33,'Source 2026'!$A:$A,"Amount (NIS)")</f>
        <v>24083.6</v>
      </c>
      <c r="J33" s="8" t="n">
        <f aca="false">I33*$J$5</f>
        <v>33028.9371428571</v>
      </c>
      <c r="K33" s="8" t="n">
        <f aca="false">J33-H33</f>
        <v>6326.03714285714</v>
      </c>
      <c r="L33" s="9" t="n">
        <f aca="false">IF(AND(H33=0,J33=0),0,IF(H33=0,"New",(J33-H33)/H33))</f>
        <v>0.236904498869304</v>
      </c>
    </row>
    <row r="34" customFormat="false" ht="15" hidden="false" customHeight="false" outlineLevel="0" collapsed="false">
      <c r="A34" s="7" t="n">
        <v>4413033</v>
      </c>
      <c r="B34" s="7" t="str">
        <f aca="false">IFERROR(INDEX('Source 2026'!$C:$C,MATCH($A34,'Source 2026'!$B:$B,0)),IFERROR(INDEX('Source 2025'!$C:$C,MATCH($A34,'Source 2025'!$B:$B,0)),""))</f>
        <v>311'מדב.ג'ל למניעת שפשוף 5 יח</v>
      </c>
      <c r="C34" s="8" t="n">
        <f aca="false">SUMIFS('Source 2025'!$I:$I,'Source 2025'!$B:$B,$A34,'Source 2025'!$A:$A,"Quantity (units)")</f>
        <v>562</v>
      </c>
      <c r="D34" s="8" t="n">
        <f aca="false">SUMIFS('Source 2026'!$I:$I,'Source 2026'!$B:$B,$A34,'Source 2026'!$A:$A,"Quantity (units)")</f>
        <v>368</v>
      </c>
      <c r="E34" s="8" t="n">
        <f aca="false">D34*$J$5</f>
        <v>504.685714285714</v>
      </c>
      <c r="F34" s="8" t="n">
        <f aca="false">E34-C34</f>
        <v>-57.3142857142857</v>
      </c>
      <c r="G34" s="9" t="n">
        <f aca="false">IF(AND(C34=0,E34=0),0,IF(C34=0,"New",(E34-C34)/C34))</f>
        <v>-0.101982714794103</v>
      </c>
      <c r="H34" s="8" t="n">
        <f aca="false">SUMIFS('Source 2025'!$I:$I,'Source 2025'!$B:$B,$A34,'Source 2025'!$A:$A,"Amount (NIS)")</f>
        <v>7497.3</v>
      </c>
      <c r="I34" s="8" t="n">
        <f aca="false">SUMIFS('Source 2026'!$I:$I,'Source 2026'!$B:$B,$A34,'Source 2026'!$A:$A,"Amount (NIS)")</f>
        <v>4909.2</v>
      </c>
      <c r="J34" s="8" t="n">
        <f aca="false">I34*$J$5</f>
        <v>6732.61714285714</v>
      </c>
      <c r="K34" s="8" t="n">
        <f aca="false">J34-H34</f>
        <v>-764.682857142858</v>
      </c>
      <c r="L34" s="9" t="n">
        <f aca="false">IF(AND(H34=0,J34=0),0,IF(H34=0,"New",(J34-H34)/H34))</f>
        <v>-0.101994432281336</v>
      </c>
    </row>
    <row r="35" customFormat="false" ht="15" hidden="false" customHeight="false" outlineLevel="0" collapsed="false">
      <c r="A35" s="7" t="n">
        <v>4413061</v>
      </c>
      <c r="B35" s="7" t="str">
        <f aca="false">IFERROR(INDEX('Source 2026'!$C:$C,MATCH($A35,'Source 2026'!$B:$B,0)),IFERROR(INDEX('Source 2025'!$C:$C,MATCH($A35,'Source 2025'!$B:$B,0)),""))</f>
        <v>3641-מיישר בוהן סיליקון קשיח</v>
      </c>
      <c r="C35" s="8" t="n">
        <f aca="false">SUMIFS('Source 2025'!$I:$I,'Source 2025'!$B:$B,$A35,'Source 2025'!$A:$A,"Quantity (units)")</f>
        <v>150</v>
      </c>
      <c r="D35" s="8" t="n">
        <f aca="false">SUMIFS('Source 2026'!$I:$I,'Source 2026'!$B:$B,$A35,'Source 2026'!$A:$A,"Quantity (units)")</f>
        <v>25</v>
      </c>
      <c r="E35" s="8" t="n">
        <f aca="false">D35*$J$5</f>
        <v>34.2857142857143</v>
      </c>
      <c r="F35" s="8" t="n">
        <f aca="false">E35-C35</f>
        <v>-115.714285714286</v>
      </c>
      <c r="G35" s="9" t="n">
        <f aca="false">IF(AND(C35=0,E35=0),0,IF(C35=0,"New",(E35-C35)/C35))</f>
        <v>-0.771428571428572</v>
      </c>
      <c r="H35" s="8" t="n">
        <f aca="false">SUMIFS('Source 2025'!$I:$I,'Source 2025'!$B:$B,$A35,'Source 2025'!$A:$A,"Amount (NIS)")</f>
        <v>2970.1</v>
      </c>
      <c r="I35" s="8" t="n">
        <f aca="false">SUMIFS('Source 2026'!$I:$I,'Source 2026'!$B:$B,$A35,'Source 2026'!$A:$A,"Amount (NIS)")</f>
        <v>493.6</v>
      </c>
      <c r="J35" s="8" t="n">
        <f aca="false">I35*$J$5</f>
        <v>676.937142857143</v>
      </c>
      <c r="K35" s="8" t="n">
        <f aca="false">J35-H35</f>
        <v>-2293.16285714286</v>
      </c>
      <c r="L35" s="9" t="n">
        <f aca="false">IF(AND(H35=0,J35=0),0,IF(H35=0,"New",(J35-H35)/H35))</f>
        <v>-0.772082710057862</v>
      </c>
    </row>
    <row r="36" customFormat="false" ht="15" hidden="false" customHeight="false" outlineLevel="0" collapsed="false">
      <c r="A36" s="7" t="n">
        <v>4413092</v>
      </c>
      <c r="B36" s="7" t="str">
        <f aca="false">IFERROR(INDEX('Source 2026'!$C:$C,MATCH($A36,'Source 2026'!$B:$B,0)),IFERROR(INDEX('Source 2025'!$C:$C,MATCH($A36,'Source 2025'!$B:$B,0)),""))</f>
        <v>45 L מגן ברך לבן</v>
      </c>
      <c r="C36" s="8" t="n">
        <f aca="false">SUMIFS('Source 2025'!$I:$I,'Source 2025'!$B:$B,$A36,'Source 2025'!$A:$A,"Quantity (units)")</f>
        <v>229</v>
      </c>
      <c r="D36" s="8" t="n">
        <f aca="false">SUMIFS('Source 2026'!$I:$I,'Source 2026'!$B:$B,$A36,'Source 2026'!$A:$A,"Quantity (units)")</f>
        <v>142</v>
      </c>
      <c r="E36" s="8" t="n">
        <f aca="false">D36*$J$5</f>
        <v>194.742857142857</v>
      </c>
      <c r="F36" s="8" t="n">
        <f aca="false">E36-C36</f>
        <v>-34.2571428571429</v>
      </c>
      <c r="G36" s="9" t="n">
        <f aca="false">IF(AND(C36=0,E36=0),0,IF(C36=0,"New",(E36-C36)/C36))</f>
        <v>-0.1495945102932</v>
      </c>
      <c r="H36" s="8" t="n">
        <f aca="false">SUMIFS('Source 2025'!$I:$I,'Source 2025'!$B:$B,$A36,'Source 2025'!$A:$A,"Amount (NIS)")</f>
        <v>6364.9</v>
      </c>
      <c r="I36" s="8" t="n">
        <f aca="false">SUMIFS('Source 2026'!$I:$I,'Source 2026'!$B:$B,$A36,'Source 2026'!$A:$A,"Amount (NIS)")</f>
        <v>3953.8</v>
      </c>
      <c r="J36" s="8" t="n">
        <f aca="false">I36*$J$5</f>
        <v>5422.35428571429</v>
      </c>
      <c r="K36" s="8" t="n">
        <f aca="false">J36-H36</f>
        <v>-942.545714285714</v>
      </c>
      <c r="L36" s="9" t="n">
        <f aca="false">IF(AND(H36=0,J36=0),0,IF(H36=0,"New",(J36-H36)/H36))</f>
        <v>-0.14808492109628</v>
      </c>
    </row>
    <row r="37" customFormat="false" ht="15" hidden="false" customHeight="false" outlineLevel="0" collapsed="false">
      <c r="A37" s="7" t="n">
        <v>4413044</v>
      </c>
      <c r="B37" s="7" t="str">
        <f aca="false">IFERROR(INDEX('Source 2026'!$C:$C,MATCH($A37,'Source 2026'!$B:$B,0)),IFERROR(INDEX('Source 2025'!$C:$C,MATCH($A37,'Source 2025'!$B:$B,0)),""))</f>
        <v>34 XL מגן קרסול עקב סגור</v>
      </c>
      <c r="C37" s="8" t="n">
        <f aca="false">SUMIFS('Source 2025'!$I:$I,'Source 2025'!$B:$B,$A37,'Source 2025'!$A:$A,"Quantity (units)")</f>
        <v>122</v>
      </c>
      <c r="D37" s="8" t="n">
        <f aca="false">SUMIFS('Source 2026'!$I:$I,'Source 2026'!$B:$B,$A37,'Source 2026'!$A:$A,"Quantity (units)")</f>
        <v>63</v>
      </c>
      <c r="E37" s="8" t="n">
        <f aca="false">D37*$J$5</f>
        <v>86.4</v>
      </c>
      <c r="F37" s="8" t="n">
        <f aca="false">E37-C37</f>
        <v>-35.6</v>
      </c>
      <c r="G37" s="9" t="n">
        <f aca="false">IF(AND(C37=0,E37=0),0,IF(C37=0,"New",(E37-C37)/C37))</f>
        <v>-0.291803278688525</v>
      </c>
      <c r="H37" s="8" t="n">
        <f aca="false">SUMIFS('Source 2025'!$I:$I,'Source 2025'!$B:$B,$A37,'Source 2025'!$A:$A,"Amount (NIS)")</f>
        <v>4943.9</v>
      </c>
      <c r="I37" s="8" t="n">
        <f aca="false">SUMIFS('Source 2026'!$I:$I,'Source 2026'!$B:$B,$A37,'Source 2026'!$A:$A,"Amount (NIS)")</f>
        <v>2563</v>
      </c>
      <c r="J37" s="8" t="n">
        <f aca="false">I37*$J$5</f>
        <v>3514.97142857143</v>
      </c>
      <c r="K37" s="8" t="n">
        <f aca="false">J37-H37</f>
        <v>-1428.92857142857</v>
      </c>
      <c r="L37" s="9" t="n">
        <f aca="false">IF(AND(H37=0,J37=0),0,IF(H37=0,"New",(J37-H37)/H37))</f>
        <v>-0.289028615349941</v>
      </c>
    </row>
    <row r="38" customFormat="false" ht="15" hidden="false" customHeight="false" outlineLevel="0" collapsed="false">
      <c r="A38" s="7" t="n">
        <v>4408051</v>
      </c>
      <c r="B38" s="7" t="str">
        <f aca="false">IFERROR(INDEX('Source 2026'!$C:$C,MATCH($A38,'Source 2026'!$B:$B,0)),IFERROR(INDEX('Source 2025'!$C:$C,MATCH($A38,'Source 2025'!$B:$B,0)),""))</f>
        <v>21 S  חבק יד ארוך</v>
      </c>
      <c r="C38" s="8" t="n">
        <f aca="false">SUMIFS('Source 2025'!$I:$I,'Source 2025'!$B:$B,$A38,'Source 2025'!$A:$A,"Quantity (units)")</f>
        <v>184</v>
      </c>
      <c r="D38" s="8" t="n">
        <f aca="false">SUMIFS('Source 2026'!$I:$I,'Source 2026'!$B:$B,$A38,'Source 2026'!$A:$A,"Quantity (units)")</f>
        <v>118</v>
      </c>
      <c r="E38" s="8" t="n">
        <f aca="false">D38*$J$5</f>
        <v>161.828571428571</v>
      </c>
      <c r="F38" s="8" t="n">
        <f aca="false">E38-C38</f>
        <v>-22.1714285714286</v>
      </c>
      <c r="G38" s="9" t="n">
        <f aca="false">IF(AND(C38=0,E38=0),0,IF(C38=0,"New",(E38-C38)/C38))</f>
        <v>-0.120496894409938</v>
      </c>
      <c r="H38" s="8" t="n">
        <f aca="false">SUMIFS('Source 2025'!$I:$I,'Source 2025'!$B:$B,$A38,'Source 2025'!$A:$A,"Amount (NIS)")</f>
        <v>6493.6</v>
      </c>
      <c r="I38" s="8" t="n">
        <f aca="false">SUMIFS('Source 2026'!$I:$I,'Source 2026'!$B:$B,$A38,'Source 2026'!$A:$A,"Amount (NIS)")</f>
        <v>4164.5</v>
      </c>
      <c r="J38" s="8" t="n">
        <f aca="false">I38*$J$5</f>
        <v>5711.31428571429</v>
      </c>
      <c r="K38" s="8" t="n">
        <f aca="false">J38-H38</f>
        <v>-782.285714285715</v>
      </c>
      <c r="L38" s="9" t="n">
        <f aca="false">IF(AND(H38=0,J38=0),0,IF(H38=0,"New",(J38-H38)/H38))</f>
        <v>-0.120470265228181</v>
      </c>
    </row>
    <row r="39" customFormat="false" ht="15" hidden="false" customHeight="false" outlineLevel="0" collapsed="false">
      <c r="A39" s="7" t="n">
        <v>4421003</v>
      </c>
      <c r="B39" s="7" t="str">
        <f aca="false">IFERROR(INDEX('Source 2026'!$C:$C,MATCH($A39,'Source 2026'!$B:$B,0)),IFERROR(INDEX('Source 2025'!$C:$C,MATCH($A39,'Source 2025'!$B:$B,0)),""))</f>
        <v>3672 שרוול מגן לבוניון</v>
      </c>
      <c r="C39" s="8" t="n">
        <f aca="false">SUMIFS('Source 2025'!$I:$I,'Source 2025'!$B:$B,$A39,'Source 2025'!$A:$A,"Quantity (units)")</f>
        <v>98</v>
      </c>
      <c r="D39" s="8" t="n">
        <f aca="false">SUMIFS('Source 2026'!$I:$I,'Source 2026'!$B:$B,$A39,'Source 2026'!$A:$A,"Quantity (units)")</f>
        <v>30</v>
      </c>
      <c r="E39" s="8" t="n">
        <f aca="false">D39*$J$5</f>
        <v>41.1428571428571</v>
      </c>
      <c r="F39" s="8" t="n">
        <f aca="false">E39-C39</f>
        <v>-56.8571428571429</v>
      </c>
      <c r="G39" s="9" t="n">
        <f aca="false">IF(AND(C39=0,E39=0),0,IF(C39=0,"New",(E39-C39)/C39))</f>
        <v>-0.580174927113703</v>
      </c>
      <c r="H39" s="8" t="n">
        <f aca="false">SUMIFS('Source 2025'!$I:$I,'Source 2025'!$B:$B,$A39,'Source 2025'!$A:$A,"Amount (NIS)")</f>
        <v>3049.8</v>
      </c>
      <c r="I39" s="8" t="n">
        <f aca="false">SUMIFS('Source 2026'!$I:$I,'Source 2026'!$B:$B,$A39,'Source 2026'!$A:$A,"Amount (NIS)")</f>
        <v>877.1</v>
      </c>
      <c r="J39" s="8" t="n">
        <f aca="false">I39*$J$5</f>
        <v>1202.88</v>
      </c>
      <c r="K39" s="8" t="n">
        <f aca="false">J39-H39</f>
        <v>-1846.92</v>
      </c>
      <c r="L39" s="9" t="n">
        <f aca="false">IF(AND(H39=0,J39=0),0,IF(H39=0,"New",(J39-H39)/H39))</f>
        <v>-0.605587251623057</v>
      </c>
    </row>
    <row r="40" customFormat="false" ht="15" hidden="false" customHeight="false" outlineLevel="0" collapsed="false">
      <c r="A40" s="7" t="n">
        <v>4413054</v>
      </c>
      <c r="B40" s="7" t="str">
        <f aca="false">IFERROR(INDEX('Source 2026'!$C:$C,MATCH($A40,'Source 2026'!$B:$B,0)),IFERROR(INDEX('Source 2025'!$C:$C,MATCH($A40,'Source 2025'!$B:$B,0)),""))</f>
        <v>35C M מגן קרסול חום</v>
      </c>
      <c r="C40" s="8" t="n">
        <f aca="false">SUMIFS('Source 2025'!$I:$I,'Source 2025'!$B:$B,$A40,'Source 2025'!$A:$A,"Quantity (units)")</f>
        <v>327</v>
      </c>
      <c r="D40" s="8" t="n">
        <f aca="false">SUMIFS('Source 2026'!$I:$I,'Source 2026'!$B:$B,$A40,'Source 2026'!$A:$A,"Quantity (units)")</f>
        <v>251</v>
      </c>
      <c r="E40" s="8" t="n">
        <f aca="false">D40*$J$5</f>
        <v>344.228571428571</v>
      </c>
      <c r="F40" s="8" t="n">
        <f aca="false">E40-C40</f>
        <v>17.2285714285715</v>
      </c>
      <c r="G40" s="9" t="n">
        <f aca="false">IF(AND(C40=0,E40=0),0,IF(C40=0,"New",(E40-C40)/C40))</f>
        <v>0.052686762778506</v>
      </c>
      <c r="H40" s="8" t="n">
        <f aca="false">SUMIFS('Source 2025'!$I:$I,'Source 2025'!$B:$B,$A40,'Source 2025'!$A:$A,"Amount (NIS)")</f>
        <v>9089.4</v>
      </c>
      <c r="I40" s="8" t="n">
        <f aca="false">SUMIFS('Source 2026'!$I:$I,'Source 2026'!$B:$B,$A40,'Source 2026'!$A:$A,"Amount (NIS)")</f>
        <v>6977.6</v>
      </c>
      <c r="J40" s="8" t="n">
        <f aca="false">I40*$J$5</f>
        <v>9569.28</v>
      </c>
      <c r="K40" s="8" t="n">
        <f aca="false">J40-H40</f>
        <v>479.880000000001</v>
      </c>
      <c r="L40" s="9" t="n">
        <f aca="false">IF(AND(H40=0,J40=0),0,IF(H40=0,"New",(J40-H40)/H40))</f>
        <v>0.0527955640636347</v>
      </c>
    </row>
    <row r="41" customFormat="false" ht="15" hidden="false" customHeight="false" outlineLevel="0" collapsed="false">
      <c r="A41" s="7" t="n">
        <v>4413137</v>
      </c>
      <c r="B41" s="7" t="str">
        <f aca="false">IFERROR(INDEX('Source 2026'!$C:$C,MATCH($A41,'Source 2026'!$B:$B,0)),IFERROR(INDEX('Source 2025'!$C:$C,MATCH($A41,'Source 2025'!$B:$B,0)),""))</f>
        <v>85 S (מתלה ליד )כיס</v>
      </c>
      <c r="C41" s="8" t="n">
        <f aca="false">SUMIFS('Source 2025'!$I:$I,'Source 2025'!$B:$B,$A41,'Source 2025'!$A:$A,"Quantity (units)")</f>
        <v>119</v>
      </c>
      <c r="D41" s="8" t="n">
        <f aca="false">SUMIFS('Source 2026'!$I:$I,'Source 2026'!$B:$B,$A41,'Source 2026'!$A:$A,"Quantity (units)")</f>
        <v>79</v>
      </c>
      <c r="E41" s="8" t="n">
        <f aca="false">D41*$J$5</f>
        <v>108.342857142857</v>
      </c>
      <c r="F41" s="8" t="n">
        <f aca="false">E41-C41</f>
        <v>-10.6571428571429</v>
      </c>
      <c r="G41" s="9" t="n">
        <f aca="false">IF(AND(C41=0,E41=0),0,IF(C41=0,"New",(E41-C41)/C41))</f>
        <v>-0.0895558223289316</v>
      </c>
      <c r="H41" s="8" t="n">
        <f aca="false">SUMIFS('Source 2025'!$I:$I,'Source 2025'!$B:$B,$A41,'Source 2025'!$A:$A,"Amount (NIS)")</f>
        <v>6241.6</v>
      </c>
      <c r="I41" s="8" t="n">
        <f aca="false">SUMIFS('Source 2026'!$I:$I,'Source 2026'!$B:$B,$A41,'Source 2026'!$A:$A,"Amount (NIS)")</f>
        <v>4146.2</v>
      </c>
      <c r="J41" s="8" t="n">
        <f aca="false">I41*$J$5</f>
        <v>5686.21714285714</v>
      </c>
      <c r="K41" s="8" t="n">
        <f aca="false">J41-H41</f>
        <v>-555.382857142858</v>
      </c>
      <c r="L41" s="9" t="n">
        <f aca="false">IF(AND(H41=0,J41=0),0,IF(H41=0,"New",(J41-H41)/H41))</f>
        <v>-0.0889808474017652</v>
      </c>
    </row>
    <row r="42" customFormat="false" ht="15" hidden="false" customHeight="false" outlineLevel="0" collapsed="false">
      <c r="A42" s="7" t="n">
        <v>4402007</v>
      </c>
      <c r="B42" s="7" t="str">
        <f aca="false">IFERROR(INDEX('Source 2026'!$C:$C,MATCH($A42,'Source 2026'!$B:$B,0)),IFERROR(INDEX('Source 2025'!$C:$C,MATCH($A42,'Source 2025'!$B:$B,0)),""))</f>
        <v>320 בליסטר פלסטר</v>
      </c>
      <c r="C42" s="8" t="n">
        <f aca="false">SUMIFS('Source 2025'!$I:$I,'Source 2025'!$B:$B,$A42,'Source 2025'!$A:$A,"Quantity (units)")</f>
        <v>148</v>
      </c>
      <c r="D42" s="8" t="n">
        <f aca="false">SUMIFS('Source 2026'!$I:$I,'Source 2026'!$B:$B,$A42,'Source 2026'!$A:$A,"Quantity (units)")</f>
        <v>40</v>
      </c>
      <c r="E42" s="8" t="n">
        <f aca="false">D42*$J$5</f>
        <v>54.8571428571429</v>
      </c>
      <c r="F42" s="8" t="n">
        <f aca="false">E42-C42</f>
        <v>-93.1428571428571</v>
      </c>
      <c r="G42" s="9" t="n">
        <f aca="false">IF(AND(C42=0,E42=0),0,IF(C42=0,"New",(E42-C42)/C42))</f>
        <v>-0.629343629343629</v>
      </c>
      <c r="H42" s="8" t="n">
        <f aca="false">SUMIFS('Source 2025'!$I:$I,'Source 2025'!$B:$B,$A42,'Source 2025'!$A:$A,"Amount (NIS)")</f>
        <v>2837.3</v>
      </c>
      <c r="I42" s="8" t="n">
        <f aca="false">SUMIFS('Source 2026'!$I:$I,'Source 2026'!$B:$B,$A42,'Source 2026'!$A:$A,"Amount (NIS)")</f>
        <v>766.8</v>
      </c>
      <c r="J42" s="8" t="n">
        <f aca="false">I42*$J$5</f>
        <v>1051.61142857143</v>
      </c>
      <c r="K42" s="8" t="n">
        <f aca="false">J42-H42</f>
        <v>-1785.68857142857</v>
      </c>
      <c r="L42" s="9" t="n">
        <f aca="false">IF(AND(H42=0,J42=0),0,IF(H42=0,"New",(J42-H42)/H42))</f>
        <v>-0.62936191852415</v>
      </c>
    </row>
    <row r="43" customFormat="false" ht="15" hidden="false" customHeight="false" outlineLevel="0" collapsed="false">
      <c r="A43" s="7" t="n">
        <v>4417000</v>
      </c>
      <c r="B43" s="7" t="str">
        <f aca="false">IFERROR(INDEX('Source 2026'!$C:$C,MATCH($A43,'Source 2026'!$B:$B,0)),IFERROR(INDEX('Source 2025'!$C:$C,MATCH($A43,'Source 2025'!$B:$B,0)),""))</f>
        <v>PD342-פומפיה להסרת עור קשה</v>
      </c>
      <c r="C43" s="8" t="n">
        <f aca="false">SUMIFS('Source 2025'!$I:$I,'Source 2025'!$B:$B,$A43,'Source 2025'!$A:$A,"Quantity (units)")</f>
        <v>196</v>
      </c>
      <c r="D43" s="8" t="n">
        <f aca="false">SUMIFS('Source 2026'!$I:$I,'Source 2026'!$B:$B,$A43,'Source 2026'!$A:$A,"Quantity (units)")</f>
        <v>103</v>
      </c>
      <c r="E43" s="8" t="n">
        <f aca="false">D43*$J$5</f>
        <v>141.257142857143</v>
      </c>
      <c r="F43" s="8" t="n">
        <f aca="false">E43-C43</f>
        <v>-54.7428571428571</v>
      </c>
      <c r="G43" s="9" t="n">
        <f aca="false">IF(AND(C43=0,E43=0),0,IF(C43=0,"New",(E43-C43)/C43))</f>
        <v>-0.279300291545189</v>
      </c>
      <c r="H43" s="8" t="n">
        <f aca="false">SUMIFS('Source 2025'!$I:$I,'Source 2025'!$B:$B,$A43,'Source 2025'!$A:$A,"Amount (NIS)")</f>
        <v>4287.3</v>
      </c>
      <c r="I43" s="8" t="n">
        <f aca="false">SUMIFS('Source 2026'!$I:$I,'Source 2026'!$B:$B,$A43,'Source 2026'!$A:$A,"Amount (NIS)")</f>
        <v>2253</v>
      </c>
      <c r="J43" s="8" t="n">
        <f aca="false">I43*$J$5</f>
        <v>3089.82857142857</v>
      </c>
      <c r="K43" s="8" t="n">
        <f aca="false">J43-H43</f>
        <v>-1197.47142857143</v>
      </c>
      <c r="L43" s="9" t="n">
        <f aca="false">IF(AND(H43=0,J43=0),0,IF(H43=0,"New",(J43-H43)/H43))</f>
        <v>-0.279306656537081</v>
      </c>
    </row>
    <row r="44" customFormat="false" ht="15" hidden="false" customHeight="false" outlineLevel="0" collapsed="false">
      <c r="A44" s="7" t="n">
        <v>4413047</v>
      </c>
      <c r="B44" s="7" t="str">
        <f aca="false">IFERROR(INDEX('Source 2026'!$C:$C,MATCH($A44,'Source 2026'!$B:$B,0)),IFERROR(INDEX('Source 2025'!$C:$C,MATCH($A44,'Source 2025'!$B:$B,0)),""))</f>
        <v>35 S מגן קרסול לבן</v>
      </c>
      <c r="C44" s="8" t="n">
        <f aca="false">SUMIFS('Source 2025'!$I:$I,'Source 2025'!$B:$B,$A44,'Source 2025'!$A:$A,"Quantity (units)")</f>
        <v>164</v>
      </c>
      <c r="D44" s="8" t="n">
        <f aca="false">SUMIFS('Source 2026'!$I:$I,'Source 2026'!$B:$B,$A44,'Source 2026'!$A:$A,"Quantity (units)")</f>
        <v>91</v>
      </c>
      <c r="E44" s="8" t="n">
        <f aca="false">D44*$J$5</f>
        <v>124.8</v>
      </c>
      <c r="F44" s="8" t="n">
        <f aca="false">E44-C44</f>
        <v>-39.2</v>
      </c>
      <c r="G44" s="9" t="n">
        <f aca="false">IF(AND(C44=0,E44=0),0,IF(C44=0,"New",(E44-C44)/C44))</f>
        <v>-0.239024390243902</v>
      </c>
      <c r="H44" s="8" t="n">
        <f aca="false">SUMIFS('Source 2025'!$I:$I,'Source 2025'!$B:$B,$A44,'Source 2025'!$A:$A,"Amount (NIS)")</f>
        <v>4554.6</v>
      </c>
      <c r="I44" s="8" t="n">
        <f aca="false">SUMIFS('Source 2026'!$I:$I,'Source 2026'!$B:$B,$A44,'Source 2026'!$A:$A,"Amount (NIS)")</f>
        <v>2530.1</v>
      </c>
      <c r="J44" s="8" t="n">
        <f aca="false">I44*$J$5</f>
        <v>3469.85142857143</v>
      </c>
      <c r="K44" s="8" t="n">
        <f aca="false">J44-H44</f>
        <v>-1084.74857142857</v>
      </c>
      <c r="L44" s="9" t="n">
        <f aca="false">IF(AND(H44=0,J44=0),0,IF(H44=0,"New",(J44-H44)/H44))</f>
        <v>-0.238165496734855</v>
      </c>
    </row>
    <row r="45" customFormat="false" ht="15" hidden="false" customHeight="false" outlineLevel="0" collapsed="false">
      <c r="A45" s="7" t="n">
        <v>4413093</v>
      </c>
      <c r="B45" s="7" t="str">
        <f aca="false">IFERROR(INDEX('Source 2026'!$C:$C,MATCH($A45,'Source 2026'!$B:$B,0)),IFERROR(INDEX('Source 2025'!$C:$C,MATCH($A45,'Source 2025'!$B:$B,0)),""))</f>
        <v>45 M מגן ברך לבן</v>
      </c>
      <c r="C45" s="8" t="n">
        <f aca="false">SUMIFS('Source 2025'!$I:$I,'Source 2025'!$B:$B,$A45,'Source 2025'!$A:$A,"Quantity (units)")</f>
        <v>223</v>
      </c>
      <c r="D45" s="8" t="n">
        <f aca="false">SUMIFS('Source 2026'!$I:$I,'Source 2026'!$B:$B,$A45,'Source 2026'!$A:$A,"Quantity (units)")</f>
        <v>151</v>
      </c>
      <c r="E45" s="8" t="n">
        <f aca="false">D45*$J$5</f>
        <v>207.085714285714</v>
      </c>
      <c r="F45" s="8" t="n">
        <f aca="false">E45-C45</f>
        <v>-15.9142857142857</v>
      </c>
      <c r="G45" s="9" t="n">
        <f aca="false">IF(AND(C45=0,E45=0),0,IF(C45=0,"New",(E45-C45)/C45))</f>
        <v>-0.0713645099295323</v>
      </c>
      <c r="H45" s="8" t="n">
        <f aca="false">SUMIFS('Source 2025'!$I:$I,'Source 2025'!$B:$B,$A45,'Source 2025'!$A:$A,"Amount (NIS)")</f>
        <v>6200.4</v>
      </c>
      <c r="I45" s="8" t="n">
        <f aca="false">SUMIFS('Source 2026'!$I:$I,'Source 2026'!$B:$B,$A45,'Source 2026'!$A:$A,"Amount (NIS)")</f>
        <v>4193.7</v>
      </c>
      <c r="J45" s="8" t="n">
        <f aca="false">I45*$J$5</f>
        <v>5751.36</v>
      </c>
      <c r="K45" s="8" t="n">
        <f aca="false">J45-H45</f>
        <v>-449.04</v>
      </c>
      <c r="L45" s="9" t="n">
        <f aca="false">IF(AND(H45=0,J45=0),0,IF(H45=0,"New",(J45-H45)/H45))</f>
        <v>-0.0724211341203793</v>
      </c>
    </row>
    <row r="46" customFormat="false" ht="15" hidden="false" customHeight="false" outlineLevel="0" collapsed="false">
      <c r="A46" s="7" t="n">
        <v>4413099</v>
      </c>
      <c r="B46" s="7" t="str">
        <f aca="false">IFERROR(INDEX('Source 2026'!$C:$C,MATCH($A46,'Source 2026'!$B:$B,0)),IFERROR(INDEX('Source 2025'!$C:$C,MATCH($A46,'Source 2025'!$B:$B,0)),""))</f>
        <v>45C M מגן ברך חום</v>
      </c>
      <c r="C46" s="8" t="n">
        <f aca="false">SUMIFS('Source 2025'!$I:$I,'Source 2025'!$B:$B,$A46,'Source 2025'!$A:$A,"Quantity (units)")</f>
        <v>287</v>
      </c>
      <c r="D46" s="8" t="n">
        <f aca="false">SUMIFS('Source 2026'!$I:$I,'Source 2026'!$B:$B,$A46,'Source 2026'!$A:$A,"Quantity (units)")</f>
        <v>216</v>
      </c>
      <c r="E46" s="8" t="n">
        <f aca="false">D46*$J$5</f>
        <v>296.228571428571</v>
      </c>
      <c r="F46" s="8" t="n">
        <f aca="false">E46-C46</f>
        <v>9.22857142857146</v>
      </c>
      <c r="G46" s="9" t="n">
        <f aca="false">IF(AND(C46=0,E46=0),0,IF(C46=0,"New",(E46-C46)/C46))</f>
        <v>0.0321553011448483</v>
      </c>
      <c r="H46" s="8" t="n">
        <f aca="false">SUMIFS('Source 2025'!$I:$I,'Source 2025'!$B:$B,$A46,'Source 2025'!$A:$A,"Amount (NIS)")</f>
        <v>7982.9</v>
      </c>
      <c r="I46" s="8" t="n">
        <f aca="false">SUMIFS('Source 2026'!$I:$I,'Source 2026'!$B:$B,$A46,'Source 2026'!$A:$A,"Amount (NIS)")</f>
        <v>6004.1</v>
      </c>
      <c r="J46" s="8" t="n">
        <f aca="false">I46*$J$5</f>
        <v>8234.19428571429</v>
      </c>
      <c r="K46" s="8" t="n">
        <f aca="false">J46-H46</f>
        <v>251.294285714286</v>
      </c>
      <c r="L46" s="9" t="n">
        <f aca="false">IF(AND(H46=0,J46=0),0,IF(H46=0,"New",(J46-H46)/H46))</f>
        <v>0.0314790722311799</v>
      </c>
    </row>
    <row r="47" customFormat="false" ht="15" hidden="false" customHeight="false" outlineLevel="0" collapsed="false">
      <c r="A47" s="7" t="n">
        <v>4413140</v>
      </c>
      <c r="B47" s="7" t="str">
        <f aca="false">IFERROR(INDEX('Source 2026'!$C:$C,MATCH($A47,'Source 2026'!$B:$B,0)),IFERROR(INDEX('Source 2025'!$C:$C,MATCH($A47,'Source 2025'!$B:$B,0)),""))</f>
        <v>95 M מגן מרפק רגיל לבן</v>
      </c>
      <c r="C47" s="8" t="n">
        <f aca="false">SUMIFS('Source 2025'!$I:$I,'Source 2025'!$B:$B,$A47,'Source 2025'!$A:$A,"Quantity (units)")</f>
        <v>145</v>
      </c>
      <c r="D47" s="8" t="n">
        <f aca="false">SUMIFS('Source 2026'!$I:$I,'Source 2026'!$B:$B,$A47,'Source 2026'!$A:$A,"Quantity (units)")</f>
        <v>74</v>
      </c>
      <c r="E47" s="8" t="n">
        <f aca="false">D47*$J$5</f>
        <v>101.485714285714</v>
      </c>
      <c r="F47" s="8" t="n">
        <f aca="false">E47-C47</f>
        <v>-43.5142857142857</v>
      </c>
      <c r="G47" s="9" t="n">
        <f aca="false">IF(AND(C47=0,E47=0),0,IF(C47=0,"New",(E47-C47)/C47))</f>
        <v>-0.300098522167488</v>
      </c>
      <c r="H47" s="8" t="n">
        <f aca="false">SUMIFS('Source 2025'!$I:$I,'Source 2025'!$B:$B,$A47,'Source 2025'!$A:$A,"Amount (NIS)")</f>
        <v>4031.1</v>
      </c>
      <c r="I47" s="8" t="n">
        <f aca="false">SUMIFS('Source 2026'!$I:$I,'Source 2026'!$B:$B,$A47,'Source 2026'!$A:$A,"Amount (NIS)")</f>
        <v>2054.2</v>
      </c>
      <c r="J47" s="8" t="n">
        <f aca="false">I47*$J$5</f>
        <v>2817.18857142857</v>
      </c>
      <c r="K47" s="8" t="n">
        <f aca="false">J47-H47</f>
        <v>-1213.91142857143</v>
      </c>
      <c r="L47" s="9" t="n">
        <f aca="false">IF(AND(H47=0,J47=0),0,IF(H47=0,"New",(J47-H47)/H47))</f>
        <v>-0.301136520694458</v>
      </c>
    </row>
    <row r="48" customFormat="false" ht="15" hidden="false" customHeight="false" outlineLevel="0" collapsed="false">
      <c r="A48" s="7" t="n">
        <v>4411016</v>
      </c>
      <c r="B48" s="7" t="str">
        <f aca="false">IFERROR(INDEX('Source 2026'!$C:$C,MATCH($A48,'Source 2026'!$B:$B,0)),IFERROR(INDEX('Source 2025'!$C:$C,MATCH($A48,'Source 2025'!$B:$B,0)),""))</f>
        <v>307 XL כרית סיליקון לעקב</v>
      </c>
      <c r="C48" s="8" t="n">
        <f aca="false">SUMIFS('Source 2025'!$I:$I,'Source 2025'!$B:$B,$A48,'Source 2025'!$A:$A,"Quantity (units)")</f>
        <v>84</v>
      </c>
      <c r="D48" s="8" t="n">
        <f aca="false">SUMIFS('Source 2026'!$I:$I,'Source 2026'!$B:$B,$A48,'Source 2026'!$A:$A,"Quantity (units)")</f>
        <v>61</v>
      </c>
      <c r="E48" s="8" t="n">
        <f aca="false">D48*$J$5</f>
        <v>83.6571428571429</v>
      </c>
      <c r="F48" s="8" t="n">
        <f aca="false">E48-C48</f>
        <v>-0.342857142857142</v>
      </c>
      <c r="G48" s="9" t="n">
        <f aca="false">IF(AND(C48=0,E48=0),0,IF(C48=0,"New",(E48-C48)/C48))</f>
        <v>-0.00408163265306121</v>
      </c>
      <c r="H48" s="8" t="n">
        <f aca="false">SUMIFS('Source 2025'!$I:$I,'Source 2025'!$B:$B,$A48,'Source 2025'!$A:$A,"Amount (NIS)")</f>
        <v>7310.4</v>
      </c>
      <c r="I48" s="8" t="n">
        <f aca="false">SUMIFS('Source 2026'!$I:$I,'Source 2026'!$B:$B,$A48,'Source 2026'!$A:$A,"Amount (NIS)")</f>
        <v>5334.5</v>
      </c>
      <c r="J48" s="8" t="n">
        <f aca="false">I48*$J$5</f>
        <v>7315.88571428571</v>
      </c>
      <c r="K48" s="8" t="n">
        <f aca="false">J48-H48</f>
        <v>5.48571428571449</v>
      </c>
      <c r="L48" s="9" t="n">
        <f aca="false">IF(AND(H48=0,J48=0),0,IF(H48=0,"New",(J48-H48)/H48))</f>
        <v>0.00075039864928246</v>
      </c>
    </row>
    <row r="49" customFormat="false" ht="15" hidden="false" customHeight="false" outlineLevel="0" collapsed="false">
      <c r="A49" s="7" t="n">
        <v>4416000</v>
      </c>
      <c r="B49" s="7" t="str">
        <f aca="false">IFERROR(INDEX('Source 2026'!$C:$C,MATCH($A49,'Source 2026'!$B:$B,0)),IFERROR(INDEX('Source 2025'!$C:$C,MATCH($A49,'Source 2025'!$B:$B,0)),""))</f>
        <v>307 L עקבים לדורבן-זוג כריות</v>
      </c>
      <c r="C49" s="8" t="n">
        <f aca="false">SUMIFS('Source 2025'!$I:$I,'Source 2025'!$B:$B,$A49,'Source 2025'!$A:$A,"Quantity (units)")</f>
        <v>85</v>
      </c>
      <c r="D49" s="8" t="n">
        <f aca="false">SUMIFS('Source 2026'!$I:$I,'Source 2026'!$B:$B,$A49,'Source 2026'!$A:$A,"Quantity (units)")</f>
        <v>107</v>
      </c>
      <c r="E49" s="8" t="n">
        <f aca="false">D49*$J$5</f>
        <v>146.742857142857</v>
      </c>
      <c r="F49" s="8" t="n">
        <f aca="false">E49-C49</f>
        <v>61.7428571428571</v>
      </c>
      <c r="G49" s="9" t="n">
        <f aca="false">IF(AND(C49=0,E49=0),0,IF(C49=0,"New",(E49-C49)/C49))</f>
        <v>0.726386554621849</v>
      </c>
      <c r="H49" s="8" t="n">
        <f aca="false">SUMIFS('Source 2025'!$I:$I,'Source 2025'!$B:$B,$A49,'Source 2025'!$A:$A,"Amount (NIS)")</f>
        <v>7447.2</v>
      </c>
      <c r="I49" s="8" t="n">
        <f aca="false">SUMIFS('Source 2026'!$I:$I,'Source 2026'!$B:$B,$A49,'Source 2026'!$A:$A,"Amount (NIS)")</f>
        <v>9399</v>
      </c>
      <c r="J49" s="8" t="n">
        <f aca="false">I49*$J$5</f>
        <v>12890.0571428571</v>
      </c>
      <c r="K49" s="8" t="n">
        <f aca="false">J49-H49</f>
        <v>5442.85714285714</v>
      </c>
      <c r="L49" s="9" t="n">
        <f aca="false">IF(AND(H49=0,J49=0),0,IF(H49=0,"New",(J49-H49)/H49))</f>
        <v>0.730859536853736</v>
      </c>
    </row>
    <row r="50" customFormat="false" ht="15" hidden="false" customHeight="false" outlineLevel="0" collapsed="false">
      <c r="A50" s="7" t="n">
        <v>4413042</v>
      </c>
      <c r="B50" s="7" t="str">
        <f aca="false">IFERROR(INDEX('Source 2026'!$C:$C,MATCH($A50,'Source 2026'!$B:$B,0)),IFERROR(INDEX('Source 2025'!$C:$C,MATCH($A50,'Source 2025'!$B:$B,0)),""))</f>
        <v>34  S מגן קרסול עקב סגור</v>
      </c>
      <c r="C50" s="8" t="n">
        <f aca="false">SUMIFS('Source 2025'!$I:$I,'Source 2025'!$B:$B,$A50,'Source 2025'!$A:$A,"Quantity (units)")</f>
        <v>119</v>
      </c>
      <c r="D50" s="8" t="n">
        <f aca="false">SUMIFS('Source 2026'!$I:$I,'Source 2026'!$B:$B,$A50,'Source 2026'!$A:$A,"Quantity (units)")</f>
        <v>71</v>
      </c>
      <c r="E50" s="8" t="n">
        <f aca="false">D50*$J$5</f>
        <v>97.3714285714286</v>
      </c>
      <c r="F50" s="8" t="n">
        <f aca="false">E50-C50</f>
        <v>-21.6285714285714</v>
      </c>
      <c r="G50" s="9" t="n">
        <f aca="false">IF(AND(C50=0,E50=0),0,IF(C50=0,"New",(E50-C50)/C50))</f>
        <v>-0.181752701080432</v>
      </c>
      <c r="H50" s="8" t="n">
        <f aca="false">SUMIFS('Source 2025'!$I:$I,'Source 2025'!$B:$B,$A50,'Source 2025'!$A:$A,"Amount (NIS)")</f>
        <v>4819.5</v>
      </c>
      <c r="I50" s="8" t="n">
        <f aca="false">SUMIFS('Source 2026'!$I:$I,'Source 2026'!$B:$B,$A50,'Source 2026'!$A:$A,"Amount (NIS)")</f>
        <v>2878.4</v>
      </c>
      <c r="J50" s="8" t="n">
        <f aca="false">I50*$J$5</f>
        <v>3947.52</v>
      </c>
      <c r="K50" s="8" t="n">
        <f aca="false">J50-H50</f>
        <v>-871.98</v>
      </c>
      <c r="L50" s="9" t="n">
        <f aca="false">IF(AND(H50=0,J50=0),0,IF(H50=0,"New",(J50-H50)/H50))</f>
        <v>-0.180927482103953</v>
      </c>
    </row>
    <row r="51" customFormat="false" ht="15" hidden="false" customHeight="false" outlineLevel="0" collapsed="false">
      <c r="A51" s="7" t="n">
        <v>4415162</v>
      </c>
      <c r="B51" s="7" t="str">
        <f aca="false">IFERROR(INDEX('Source 2026'!$C:$C,MATCH($A51,'Source 2026'!$B:$B,0)),IFERROR(INDEX('Source 2025'!$C:$C,MATCH($A51,'Source 2025'!$B:$B,0)),""))</f>
        <v>238L סד ליישור אצבע</v>
      </c>
      <c r="C51" s="8" t="n">
        <f aca="false">SUMIFS('Source 2025'!$I:$I,'Source 2025'!$B:$B,$A51,'Source 2025'!$A:$A,"Quantity (units)")</f>
        <v>596</v>
      </c>
      <c r="D51" s="8" t="n">
        <f aca="false">SUMIFS('Source 2026'!$I:$I,'Source 2026'!$B:$B,$A51,'Source 2026'!$A:$A,"Quantity (units)")</f>
        <v>470</v>
      </c>
      <c r="E51" s="8" t="n">
        <f aca="false">D51*$J$5</f>
        <v>644.571428571429</v>
      </c>
      <c r="F51" s="8" t="n">
        <f aca="false">E51-C51</f>
        <v>48.5714285714286</v>
      </c>
      <c r="G51" s="9" t="n">
        <f aca="false">IF(AND(C51=0,E51=0),0,IF(C51=0,"New",(E51-C51)/C51))</f>
        <v>0.0814956855225311</v>
      </c>
      <c r="H51" s="8" t="n">
        <f aca="false">SUMIFS('Source 2025'!$I:$I,'Source 2025'!$B:$B,$A51,'Source 2025'!$A:$A,"Amount (NIS)")</f>
        <v>9178.4</v>
      </c>
      <c r="I51" s="8" t="n">
        <f aca="false">SUMIFS('Source 2026'!$I:$I,'Source 2026'!$B:$B,$A51,'Source 2026'!$A:$A,"Amount (NIS)")</f>
        <v>7238</v>
      </c>
      <c r="J51" s="8" t="n">
        <f aca="false">I51*$J$5</f>
        <v>9926.4</v>
      </c>
      <c r="K51" s="8" t="n">
        <f aca="false">J51-H51</f>
        <v>748</v>
      </c>
      <c r="L51" s="9" t="n">
        <f aca="false">IF(AND(H51=0,J51=0),0,IF(H51=0,"New",(J51-H51)/H51))</f>
        <v>0.0814956855225312</v>
      </c>
    </row>
    <row r="52" customFormat="false" ht="15" hidden="false" customHeight="false" outlineLevel="0" collapsed="false">
      <c r="A52" s="7" t="n">
        <v>4413105</v>
      </c>
      <c r="B52" s="7" t="str">
        <f aca="false">IFERROR(INDEX('Source 2026'!$C:$C,MATCH($A52,'Source 2026'!$B:$B,0)),IFERROR(INDEX('Source 2025'!$C:$C,MATCH($A52,'Source 2025'!$B:$B,0)),""))</f>
        <v>45E XXLמגן ברך ארוך לבן</v>
      </c>
      <c r="C52" s="8" t="n">
        <f aca="false">SUMIFS('Source 2025'!$I:$I,'Source 2025'!$B:$B,$A52,'Source 2025'!$A:$A,"Quantity (units)")</f>
        <v>131</v>
      </c>
      <c r="D52" s="8" t="n">
        <f aca="false">SUMIFS('Source 2026'!$I:$I,'Source 2026'!$B:$B,$A52,'Source 2026'!$A:$A,"Quantity (units)")</f>
        <v>74</v>
      </c>
      <c r="E52" s="8" t="n">
        <f aca="false">D52*$J$5</f>
        <v>101.485714285714</v>
      </c>
      <c r="F52" s="8" t="n">
        <f aca="false">E52-C52</f>
        <v>-29.5142857142857</v>
      </c>
      <c r="G52" s="9" t="n">
        <f aca="false">IF(AND(C52=0,E52=0),0,IF(C52=0,"New",(E52-C52)/C52))</f>
        <v>-0.225299890948746</v>
      </c>
      <c r="H52" s="8" t="n">
        <f aca="false">SUMIFS('Source 2025'!$I:$I,'Source 2025'!$B:$B,$A52,'Source 2025'!$A:$A,"Amount (NIS)")</f>
        <v>4412.8</v>
      </c>
      <c r="I52" s="8" t="n">
        <f aca="false">SUMIFS('Source 2026'!$I:$I,'Source 2026'!$B:$B,$A52,'Source 2026'!$A:$A,"Amount (NIS)")</f>
        <v>2478.3</v>
      </c>
      <c r="J52" s="8" t="n">
        <f aca="false">I52*$J$5</f>
        <v>3398.81142857143</v>
      </c>
      <c r="K52" s="8" t="n">
        <f aca="false">J52-H52</f>
        <v>-1013.98857142857</v>
      </c>
      <c r="L52" s="9" t="n">
        <f aca="false">IF(AND(H52=0,J52=0),0,IF(H52=0,"New",(J52-H52)/H52))</f>
        <v>-0.22978348699886</v>
      </c>
    </row>
    <row r="53" customFormat="false" ht="15" hidden="false" customHeight="false" outlineLevel="0" collapsed="false">
      <c r="A53" s="7" t="n">
        <v>4409000</v>
      </c>
      <c r="B53" s="7" t="str">
        <f aca="false">IFERROR(INDEX('Source 2026'!$C:$C,MATCH($A53,'Source 2026'!$B:$B,0)),IFERROR(INDEX('Source 2025'!$C:$C,MATCH($A53,'Source 2025'!$B:$B,0)),""))</f>
        <v>365 S-Lטבעת אלסטית מסיליקון</v>
      </c>
      <c r="C53" s="8" t="n">
        <f aca="false">SUMIFS('Source 2025'!$I:$I,'Source 2025'!$B:$B,$A53,'Source 2025'!$A:$A,"Quantity (units)")</f>
        <v>247</v>
      </c>
      <c r="D53" s="8" t="n">
        <f aca="false">SUMIFS('Source 2026'!$I:$I,'Source 2026'!$B:$B,$A53,'Source 2026'!$A:$A,"Quantity (units)")</f>
        <v>101</v>
      </c>
      <c r="E53" s="8" t="n">
        <f aca="false">D53*$J$5</f>
        <v>138.514285714286</v>
      </c>
      <c r="F53" s="8" t="n">
        <f aca="false">E53-C53</f>
        <v>-108.485714285714</v>
      </c>
      <c r="G53" s="9" t="n">
        <f aca="false">IF(AND(C53=0,E53=0),0,IF(C53=0,"New",(E53-C53)/C53))</f>
        <v>-0.439213418160787</v>
      </c>
      <c r="H53" s="8" t="n">
        <f aca="false">SUMIFS('Source 2025'!$I:$I,'Source 2025'!$B:$B,$A53,'Source 2025'!$A:$A,"Amount (NIS)")</f>
        <v>3249.9</v>
      </c>
      <c r="I53" s="8" t="n">
        <f aca="false">SUMIFS('Source 2026'!$I:$I,'Source 2026'!$B:$B,$A53,'Source 2026'!$A:$A,"Amount (NIS)")</f>
        <v>1328.3</v>
      </c>
      <c r="J53" s="8" t="n">
        <f aca="false">I53*$J$5</f>
        <v>1821.66857142857</v>
      </c>
      <c r="K53" s="8" t="n">
        <f aca="false">J53-H53</f>
        <v>-1428.23142857143</v>
      </c>
      <c r="L53" s="9" t="n">
        <f aca="false">IF(AND(H53=0,J53=0),0,IF(H53=0,"New",(J53-H53)/H53))</f>
        <v>-0.439469346309557</v>
      </c>
    </row>
    <row r="54" customFormat="false" ht="15" hidden="false" customHeight="false" outlineLevel="0" collapsed="false">
      <c r="A54" s="7" t="n">
        <v>4413439</v>
      </c>
      <c r="B54" s="7" t="str">
        <f aca="false">IFERROR(INDEX('Source 2026'!$C:$C,MATCH($A54,'Source 2026'!$B:$B,0)),IFERROR(INDEX('Source 2025'!$C:$C,MATCH($A54,'Source 2025'!$B:$B,0)),""))</f>
        <v>SC422  M מגן ברך</v>
      </c>
      <c r="C54" s="8" t="n">
        <f aca="false">SUMIFS('Source 2025'!$I:$I,'Source 2025'!$B:$B,$A54,'Source 2025'!$A:$A,"Quantity (units)")</f>
        <v>5</v>
      </c>
      <c r="D54" s="8" t="n">
        <f aca="false">SUMIFS('Source 2026'!$I:$I,'Source 2026'!$B:$B,$A54,'Source 2026'!$A:$A,"Quantity (units)")</f>
        <v>18</v>
      </c>
      <c r="E54" s="8" t="n">
        <f aca="false">D54*$J$5</f>
        <v>24.6857142857143</v>
      </c>
      <c r="F54" s="8" t="n">
        <f aca="false">E54-C54</f>
        <v>19.6857142857143</v>
      </c>
      <c r="G54" s="9" t="n">
        <f aca="false">IF(AND(C54=0,E54=0),0,IF(C54=0,"New",(E54-C54)/C54))</f>
        <v>3.93714285714286</v>
      </c>
      <c r="H54" s="8" t="n">
        <f aca="false">SUMIFS('Source 2025'!$I:$I,'Source 2025'!$B:$B,$A54,'Source 2025'!$A:$A,"Amount (NIS)")</f>
        <v>537.9</v>
      </c>
      <c r="I54" s="8" t="n">
        <f aca="false">SUMIFS('Source 2026'!$I:$I,'Source 2026'!$B:$B,$A54,'Source 2026'!$A:$A,"Amount (NIS)")</f>
        <v>2443.7</v>
      </c>
      <c r="J54" s="8" t="n">
        <f aca="false">I54*$J$5</f>
        <v>3351.36</v>
      </c>
      <c r="K54" s="8" t="n">
        <f aca="false">J54-H54</f>
        <v>2813.46</v>
      </c>
      <c r="L54" s="9" t="n">
        <f aca="false">IF(AND(H54=0,J54=0),0,IF(H54=0,"New",(J54-H54)/H54))</f>
        <v>5.23045175683212</v>
      </c>
    </row>
    <row r="55" customFormat="false" ht="15" hidden="false" customHeight="false" outlineLevel="0" collapsed="false">
      <c r="A55" s="7" t="n">
        <v>4408220</v>
      </c>
      <c r="B55" s="7" t="str">
        <f aca="false">IFERROR(INDEX('Source 2026'!$C:$C,MATCH($A55,'Source 2026'!$B:$B,0)),IFERROR(INDEX('Source 2025'!$C:$C,MATCH($A55,'Source 2025'!$B:$B,0)),""))</f>
        <v>078G-M חגורת גב אפורה</v>
      </c>
      <c r="C55" s="8" t="n">
        <f aca="false">SUMIFS('Source 2025'!$I:$I,'Source 2025'!$B:$B,$A55,'Source 2025'!$A:$A,"Quantity (units)")</f>
        <v>78</v>
      </c>
      <c r="D55" s="8" t="n">
        <f aca="false">SUMIFS('Source 2026'!$I:$I,'Source 2026'!$B:$B,$A55,'Source 2026'!$A:$A,"Quantity (units)")</f>
        <v>59</v>
      </c>
      <c r="E55" s="8" t="n">
        <f aca="false">D55*$J$5</f>
        <v>80.9142857142857</v>
      </c>
      <c r="F55" s="8" t="n">
        <f aca="false">E55-C55</f>
        <v>2.91428571428571</v>
      </c>
      <c r="G55" s="9" t="n">
        <f aca="false">IF(AND(C55=0,E55=0),0,IF(C55=0,"New",(E55-C55)/C55))</f>
        <v>0.0373626373626373</v>
      </c>
      <c r="H55" s="8" t="n">
        <f aca="false">SUMIFS('Source 2025'!$I:$I,'Source 2025'!$B:$B,$A55,'Source 2025'!$A:$A,"Amount (NIS)")</f>
        <v>7739.9</v>
      </c>
      <c r="I55" s="8" t="n">
        <f aca="false">SUMIFS('Source 2026'!$I:$I,'Source 2026'!$B:$B,$A55,'Source 2026'!$A:$A,"Amount (NIS)")</f>
        <v>5854.6</v>
      </c>
      <c r="J55" s="8" t="n">
        <f aca="false">I55*$J$5</f>
        <v>8029.16571428572</v>
      </c>
      <c r="K55" s="8" t="n">
        <f aca="false">J55-H55</f>
        <v>289.265714285715</v>
      </c>
      <c r="L55" s="9" t="n">
        <f aca="false">IF(AND(H55=0,J55=0),0,IF(H55=0,"New",(J55-H55)/H55))</f>
        <v>0.0373733141624201</v>
      </c>
    </row>
    <row r="56" customFormat="false" ht="15" hidden="false" customHeight="false" outlineLevel="0" collapsed="false">
      <c r="A56" s="7" t="n">
        <v>4413059</v>
      </c>
      <c r="B56" s="7" t="str">
        <f aca="false">IFERROR(INDEX('Source 2026'!$C:$C,MATCH($A56,'Source 2026'!$B:$B,0)),IFERROR(INDEX('Source 2025'!$C:$C,MATCH($A56,'Source 2025'!$B:$B,0)),""))</f>
        <v>364S Lמפר.אצבע סיליק. ליבל.זוג</v>
      </c>
      <c r="C56" s="8" t="n">
        <f aca="false">SUMIFS('Source 2025'!$I:$I,'Source 2025'!$B:$B,$A56,'Source 2025'!$A:$A,"Quantity (units)")</f>
        <v>662</v>
      </c>
      <c r="D56" s="8" t="n">
        <f aca="false">SUMIFS('Source 2026'!$I:$I,'Source 2026'!$B:$B,$A56,'Source 2026'!$A:$A,"Quantity (units)")</f>
        <v>523</v>
      </c>
      <c r="E56" s="8" t="n">
        <f aca="false">D56*$J$5</f>
        <v>717.257142857143</v>
      </c>
      <c r="F56" s="8" t="n">
        <f aca="false">E56-C56</f>
        <v>55.2571428571429</v>
      </c>
      <c r="G56" s="9" t="n">
        <f aca="false">IF(AND(C56=0,E56=0),0,IF(C56=0,"New",(E56-C56)/C56))</f>
        <v>0.0834700043159258</v>
      </c>
      <c r="H56" s="8" t="n">
        <f aca="false">SUMIFS('Source 2025'!$I:$I,'Source 2025'!$B:$B,$A56,'Source 2025'!$A:$A,"Amount (NIS)")</f>
        <v>8957.3</v>
      </c>
      <c r="I56" s="8" t="n">
        <f aca="false">SUMIFS('Source 2026'!$I:$I,'Source 2026'!$B:$B,$A56,'Source 2026'!$A:$A,"Amount (NIS)")</f>
        <v>7090.8</v>
      </c>
      <c r="J56" s="8" t="n">
        <f aca="false">I56*$J$5</f>
        <v>9724.52571428572</v>
      </c>
      <c r="K56" s="8" t="n">
        <f aca="false">J56-H56</f>
        <v>767.225714285716</v>
      </c>
      <c r="L56" s="9" t="n">
        <f aca="false">IF(AND(H56=0,J56=0),0,IF(H56=0,"New",(J56-H56)/H56))</f>
        <v>0.0856536807169254</v>
      </c>
    </row>
    <row r="57" customFormat="false" ht="15" hidden="false" customHeight="false" outlineLevel="0" collapsed="false">
      <c r="A57" s="7" t="n">
        <v>4418001</v>
      </c>
      <c r="B57" s="7" t="str">
        <f aca="false">IFERROR(INDEX('Source 2026'!$C:$C,MATCH($A57,'Source 2026'!$B:$B,0)),IFERROR(INDEX('Source 2025'!$C:$C,MATCH($A57,'Source 2025'!$B:$B,0)),""))</f>
        <v>60 M צוארון ספוגי</v>
      </c>
      <c r="C57" s="8" t="n">
        <f aca="false">SUMIFS('Source 2025'!$I:$I,'Source 2025'!$B:$B,$A57,'Source 2025'!$A:$A,"Quantity (units)")</f>
        <v>127</v>
      </c>
      <c r="D57" s="8" t="n">
        <f aca="false">SUMIFS('Source 2026'!$I:$I,'Source 2026'!$B:$B,$A57,'Source 2026'!$A:$A,"Quantity (units)")</f>
        <v>72</v>
      </c>
      <c r="E57" s="8" t="n">
        <f aca="false">D57*$J$5</f>
        <v>98.7428571428572</v>
      </c>
      <c r="F57" s="8" t="n">
        <f aca="false">E57-C57</f>
        <v>-28.2571428571429</v>
      </c>
      <c r="G57" s="9" t="n">
        <f aca="false">IF(AND(C57=0,E57=0),0,IF(C57=0,"New",(E57-C57)/C57))</f>
        <v>-0.222497187851519</v>
      </c>
      <c r="H57" s="8" t="n">
        <f aca="false">SUMIFS('Source 2025'!$I:$I,'Source 2025'!$B:$B,$A57,'Source 2025'!$A:$A,"Amount (NIS)")</f>
        <v>4110.3</v>
      </c>
      <c r="I57" s="8" t="n">
        <f aca="false">SUMIFS('Source 2026'!$I:$I,'Source 2026'!$B:$B,$A57,'Source 2026'!$A:$A,"Amount (NIS)")</f>
        <v>2326.3</v>
      </c>
      <c r="J57" s="8" t="n">
        <f aca="false">I57*$J$5</f>
        <v>3190.35428571429</v>
      </c>
      <c r="K57" s="8" t="n">
        <f aca="false">J57-H57</f>
        <v>-919.945714285714</v>
      </c>
      <c r="L57" s="9" t="n">
        <f aca="false">IF(AND(H57=0,J57=0),0,IF(H57=0,"New",(J57-H57)/H57))</f>
        <v>-0.223814737193323</v>
      </c>
    </row>
    <row r="58" customFormat="false" ht="15" hidden="false" customHeight="false" outlineLevel="0" collapsed="false">
      <c r="A58" s="7" t="n">
        <v>4413441</v>
      </c>
      <c r="B58" s="7" t="str">
        <f aca="false">IFERROR(INDEX('Source 2026'!$C:$C,MATCH($A58,'Source 2026'!$B:$B,0)),IFERROR(INDEX('Source 2025'!$C:$C,MATCH($A58,'Source 2025'!$B:$B,0)),""))</f>
        <v>SC422 XL מגן ברך</v>
      </c>
      <c r="C58" s="8" t="n">
        <f aca="false">SUMIFS('Source 2025'!$I:$I,'Source 2025'!$B:$B,$A58,'Source 2025'!$A:$A,"Quantity (units)")</f>
        <v>1</v>
      </c>
      <c r="D58" s="8" t="n">
        <f aca="false">SUMIFS('Source 2026'!$I:$I,'Source 2026'!$B:$B,$A58,'Source 2026'!$A:$A,"Quantity (units)")</f>
        <v>14</v>
      </c>
      <c r="E58" s="8" t="n">
        <f aca="false">D58*$J$5</f>
        <v>19.2</v>
      </c>
      <c r="F58" s="8" t="n">
        <f aca="false">E58-C58</f>
        <v>18.2</v>
      </c>
      <c r="G58" s="9" t="n">
        <f aca="false">IF(AND(C58=0,E58=0),0,IF(C58=0,"New",(E58-C58)/C58))</f>
        <v>18.2</v>
      </c>
      <c r="H58" s="8" t="n">
        <f aca="false">SUMIFS('Source 2025'!$I:$I,'Source 2025'!$B:$B,$A58,'Source 2025'!$A:$A,"Amount (NIS)")</f>
        <v>135.8</v>
      </c>
      <c r="I58" s="8" t="n">
        <f aca="false">SUMIFS('Source 2026'!$I:$I,'Source 2026'!$B:$B,$A58,'Source 2026'!$A:$A,"Amount (NIS)")</f>
        <v>1900.6</v>
      </c>
      <c r="J58" s="8" t="n">
        <f aca="false">I58*$J$5</f>
        <v>2606.53714285714</v>
      </c>
      <c r="K58" s="8" t="n">
        <f aca="false">J58-H58</f>
        <v>2470.73714285714</v>
      </c>
      <c r="L58" s="9" t="n">
        <f aca="false">IF(AND(H58=0,J58=0),0,IF(H58=0,"New",(J58-H58)/H58))</f>
        <v>18.1939406690511</v>
      </c>
    </row>
    <row r="59" customFormat="false" ht="15" hidden="false" customHeight="false" outlineLevel="0" collapsed="false">
      <c r="A59" s="7" t="n">
        <v>4409013</v>
      </c>
      <c r="B59" s="7" t="str">
        <f aca="false">IFERROR(INDEX('Source 2026'!$C:$C,MATCH($A59,'Source 2026'!$B:$B,0)),IFERROR(INDEX('Source 2025'!$C:$C,MATCH($A59,'Source 2025'!$B:$B,0)),""))</f>
        <v>804AT-BL     טייפ חבישה לספורט</v>
      </c>
      <c r="C59" s="8" t="n">
        <f aca="false">SUMIFS('Source 2025'!$I:$I,'Source 2025'!$B:$B,$A59,'Source 2025'!$A:$A,"Quantity (units)")</f>
        <v>282</v>
      </c>
      <c r="D59" s="8" t="n">
        <f aca="false">SUMIFS('Source 2026'!$I:$I,'Source 2026'!$B:$B,$A59,'Source 2026'!$A:$A,"Quantity (units)")</f>
        <v>168</v>
      </c>
      <c r="E59" s="8" t="n">
        <f aca="false">D59*$J$5</f>
        <v>230.4</v>
      </c>
      <c r="F59" s="8" t="n">
        <f aca="false">E59-C59</f>
        <v>-51.6</v>
      </c>
      <c r="G59" s="9" t="n">
        <f aca="false">IF(AND(C59=0,E59=0),0,IF(C59=0,"New",(E59-C59)/C59))</f>
        <v>-0.182978723404255</v>
      </c>
      <c r="H59" s="8" t="n">
        <f aca="false">SUMIFS('Source 2025'!$I:$I,'Source 2025'!$B:$B,$A59,'Source 2025'!$A:$A,"Amount (NIS)")</f>
        <v>4342.8</v>
      </c>
      <c r="I59" s="8" t="n">
        <f aca="false">SUMIFS('Source 2026'!$I:$I,'Source 2026'!$B:$B,$A59,'Source 2026'!$A:$A,"Amount (NIS)")</f>
        <v>2587.2</v>
      </c>
      <c r="J59" s="8" t="n">
        <f aca="false">I59*$J$5</f>
        <v>3548.16</v>
      </c>
      <c r="K59" s="8" t="n">
        <f aca="false">J59-H59</f>
        <v>-794.64</v>
      </c>
      <c r="L59" s="9" t="n">
        <f aca="false">IF(AND(H59=0,J59=0),0,IF(H59=0,"New",(J59-H59)/H59))</f>
        <v>-0.182978723404255</v>
      </c>
    </row>
    <row r="60" customFormat="false" ht="15" hidden="false" customHeight="false" outlineLevel="0" collapsed="false">
      <c r="A60" s="7" t="n">
        <v>4413052</v>
      </c>
      <c r="B60" s="7" t="str">
        <f aca="false">IFERROR(INDEX('Source 2026'!$C:$C,MATCH($A60,'Source 2026'!$B:$B,0)),IFERROR(INDEX('Source 2025'!$C:$C,MATCH($A60,'Source 2025'!$B:$B,0)),""))</f>
        <v>35C S מגן קרסול חום</v>
      </c>
      <c r="C60" s="8" t="n">
        <f aca="false">SUMIFS('Source 2025'!$I:$I,'Source 2025'!$B:$B,$A60,'Source 2025'!$A:$A,"Quantity (units)")</f>
        <v>180</v>
      </c>
      <c r="D60" s="8" t="n">
        <f aca="false">SUMIFS('Source 2026'!$I:$I,'Source 2026'!$B:$B,$A60,'Source 2026'!$A:$A,"Quantity (units)")</f>
        <v>117</v>
      </c>
      <c r="E60" s="8" t="n">
        <f aca="false">D60*$J$5</f>
        <v>160.457142857143</v>
      </c>
      <c r="F60" s="8" t="n">
        <f aca="false">E60-C60</f>
        <v>-19.5428571428571</v>
      </c>
      <c r="G60" s="9" t="n">
        <f aca="false">IF(AND(C60=0,E60=0),0,IF(C60=0,"New",(E60-C60)/C60))</f>
        <v>-0.108571428571429</v>
      </c>
      <c r="H60" s="8" t="n">
        <f aca="false">SUMIFS('Source 2025'!$I:$I,'Source 2025'!$B:$B,$A60,'Source 2025'!$A:$A,"Amount (NIS)")</f>
        <v>5004.7</v>
      </c>
      <c r="I60" s="8" t="n">
        <f aca="false">SUMIFS('Source 2026'!$I:$I,'Source 2026'!$B:$B,$A60,'Source 2026'!$A:$A,"Amount (NIS)")</f>
        <v>3251.9</v>
      </c>
      <c r="J60" s="8" t="n">
        <f aca="false">I60*$J$5</f>
        <v>4459.74857142857</v>
      </c>
      <c r="K60" s="8" t="n">
        <f aca="false">J60-H60</f>
        <v>-544.951428571429</v>
      </c>
      <c r="L60" s="9" t="n">
        <f aca="false">IF(AND(H60=0,J60=0),0,IF(H60=0,"New",(J60-H60)/H60))</f>
        <v>-0.10888793105909</v>
      </c>
    </row>
    <row r="61" customFormat="false" ht="15" hidden="false" customHeight="false" outlineLevel="0" collapsed="false">
      <c r="A61" s="7" t="n">
        <v>4408032</v>
      </c>
      <c r="B61" s="7" t="str">
        <f aca="false">IFERROR(INDEX('Source 2026'!$C:$C,MATCH($A61,'Source 2026'!$B:$B,0)),IFERROR(INDEX('Source 2025'!$C:$C,MATCH($A61,'Source 2025'!$B:$B,0)),""))</f>
        <v>11 L""חגורת בטן""אורירית</v>
      </c>
      <c r="C61" s="8" t="n">
        <f aca="false">SUMIFS('Source 2025'!$I:$I,'Source 2025'!$B:$B,$A61,'Source 2025'!$A:$A,"Quantity (units)")</f>
        <v>67</v>
      </c>
      <c r="D61" s="8" t="n">
        <f aca="false">SUMIFS('Source 2026'!$I:$I,'Source 2026'!$B:$B,$A61,'Source 2026'!$A:$A,"Quantity (units)")</f>
        <v>49</v>
      </c>
      <c r="E61" s="8" t="n">
        <f aca="false">D61*$J$5</f>
        <v>67.2</v>
      </c>
      <c r="F61" s="8" t="n">
        <f aca="false">E61-C61</f>
        <v>0.200000000000003</v>
      </c>
      <c r="G61" s="9" t="n">
        <f aca="false">IF(AND(C61=0,E61=0),0,IF(C61=0,"New",(E61-C61)/C61))</f>
        <v>0.00298507462686571</v>
      </c>
      <c r="H61" s="8" t="n">
        <f aca="false">SUMIFS('Source 2025'!$I:$I,'Source 2025'!$B:$B,$A61,'Source 2025'!$A:$A,"Amount (NIS)")</f>
        <v>6501</v>
      </c>
      <c r="I61" s="8" t="n">
        <f aca="false">SUMIFS('Source 2026'!$I:$I,'Source 2026'!$B:$B,$A61,'Source 2026'!$A:$A,"Amount (NIS)")</f>
        <v>4754.5</v>
      </c>
      <c r="J61" s="8" t="n">
        <f aca="false">I61*$J$5</f>
        <v>6520.45714285714</v>
      </c>
      <c r="K61" s="8" t="n">
        <f aca="false">J61-H61</f>
        <v>19.4571428571426</v>
      </c>
      <c r="L61" s="9" t="n">
        <f aca="false">IF(AND(H61=0,J61=0),0,IF(H61=0,"New",(J61-H61)/H61))</f>
        <v>0.00299294614015422</v>
      </c>
    </row>
    <row r="62" customFormat="false" ht="15" hidden="false" customHeight="false" outlineLevel="0" collapsed="false">
      <c r="A62" s="7" t="n">
        <v>4413150</v>
      </c>
      <c r="B62" s="7" t="str">
        <f aca="false">IFERROR(INDEX('Source 2026'!$C:$C,MATCH($A62,'Source 2026'!$B:$B,0)),IFERROR(INDEX('Source 2025'!$C:$C,MATCH($A62,'Source 2025'!$B:$B,0)),""))</f>
        <v>PD341-מקצוע להסרת עור קשה</v>
      </c>
      <c r="C62" s="8" t="n">
        <f aca="false">SUMIFS('Source 2025'!$I:$I,'Source 2025'!$B:$B,$A62,'Source 2025'!$A:$A,"Quantity (units)")</f>
        <v>111</v>
      </c>
      <c r="D62" s="8" t="n">
        <f aca="false">SUMIFS('Source 2026'!$I:$I,'Source 2026'!$B:$B,$A62,'Source 2026'!$A:$A,"Quantity (units)")</f>
        <v>46</v>
      </c>
      <c r="E62" s="8" t="n">
        <f aca="false">D62*$J$5</f>
        <v>63.0857142857143</v>
      </c>
      <c r="F62" s="8" t="n">
        <f aca="false">E62-C62</f>
        <v>-47.9142857142857</v>
      </c>
      <c r="G62" s="9" t="n">
        <f aca="false">IF(AND(C62=0,E62=0),0,IF(C62=0,"New",(E62-C62)/C62))</f>
        <v>-0.431660231660232</v>
      </c>
      <c r="H62" s="8" t="n">
        <f aca="false">SUMIFS('Source 2025'!$I:$I,'Source 2025'!$B:$B,$A62,'Source 2025'!$A:$A,"Amount (NIS)")</f>
        <v>2961.7</v>
      </c>
      <c r="I62" s="8" t="n">
        <f aca="false">SUMIFS('Source 2026'!$I:$I,'Source 2026'!$B:$B,$A62,'Source 2026'!$A:$A,"Amount (NIS)")</f>
        <v>1227.4</v>
      </c>
      <c r="J62" s="8" t="n">
        <f aca="false">I62*$J$5</f>
        <v>1683.29142857143</v>
      </c>
      <c r="K62" s="8" t="n">
        <f aca="false">J62-H62</f>
        <v>-1278.40857142857</v>
      </c>
      <c r="L62" s="9" t="n">
        <f aca="false">IF(AND(H62=0,J62=0),0,IF(H62=0,"New",(J62-H62)/H62))</f>
        <v>-0.431646882340741</v>
      </c>
    </row>
    <row r="63" customFormat="false" ht="15" hidden="false" customHeight="false" outlineLevel="0" collapsed="false">
      <c r="A63" s="7" t="n">
        <v>4413328</v>
      </c>
      <c r="B63" s="7" t="str">
        <f aca="false">IFERROR(INDEX('Source 2026'!$C:$C,MATCH($A63,'Source 2026'!$B:$B,0)),IFERROR(INDEX('Source 2025'!$C:$C,MATCH($A63,'Source 2025'!$B:$B,0)),""))</f>
        <v>AC43D מגן ברך + צירים</v>
      </c>
      <c r="C63" s="8" t="n">
        <f aca="false">SUMIFS('Source 2025'!$I:$I,'Source 2025'!$B:$B,$A63,'Source 2025'!$A:$A,"Quantity (units)")</f>
        <v>3</v>
      </c>
      <c r="D63" s="8" t="n">
        <f aca="false">SUMIFS('Source 2026'!$I:$I,'Source 2026'!$B:$B,$A63,'Source 2026'!$A:$A,"Quantity (units)")</f>
        <v>22</v>
      </c>
      <c r="E63" s="8" t="n">
        <f aca="false">D63*$J$5</f>
        <v>30.1714285714286</v>
      </c>
      <c r="F63" s="8" t="n">
        <f aca="false">E63-C63</f>
        <v>27.1714285714286</v>
      </c>
      <c r="G63" s="9" t="n">
        <f aca="false">IF(AND(C63=0,E63=0),0,IF(C63=0,"New",(E63-C63)/C63))</f>
        <v>9.05714285714286</v>
      </c>
      <c r="H63" s="8" t="n">
        <f aca="false">SUMIFS('Source 2025'!$I:$I,'Source 2025'!$B:$B,$A63,'Source 2025'!$A:$A,"Amount (NIS)")</f>
        <v>270.4</v>
      </c>
      <c r="I63" s="8" t="n">
        <f aca="false">SUMIFS('Source 2026'!$I:$I,'Source 2026'!$B:$B,$A63,'Source 2026'!$A:$A,"Amount (NIS)")</f>
        <v>1982.6</v>
      </c>
      <c r="J63" s="8" t="n">
        <f aca="false">I63*$J$5</f>
        <v>2718.99428571429</v>
      </c>
      <c r="K63" s="8" t="n">
        <f aca="false">J63-H63</f>
        <v>2448.59428571429</v>
      </c>
      <c r="L63" s="9" t="n">
        <f aca="false">IF(AND(H63=0,J63=0),0,IF(H63=0,"New",(J63-H63)/H63))</f>
        <v>9.05545224006763</v>
      </c>
    </row>
    <row r="64" customFormat="false" ht="15" hidden="false" customHeight="false" outlineLevel="0" collapsed="false">
      <c r="A64" s="7" t="n">
        <v>4401001</v>
      </c>
      <c r="B64" s="7" t="str">
        <f aca="false">IFERROR(INDEX('Source 2026'!$C:$C,MATCH($A64,'Source 2026'!$B:$B,0)),IFERROR(INDEX('Source 2025'!$C:$C,MATCH($A64,'Source 2025'!$B:$B,0)),""))</f>
        <v>369   XL אצבעון מסיליקון יחידה</v>
      </c>
      <c r="C64" s="8" t="n">
        <f aca="false">SUMIFS('Source 2025'!$I:$I,'Source 2025'!$B:$B,$A64,'Source 2025'!$A:$A,"Quantity (units)")</f>
        <v>168</v>
      </c>
      <c r="D64" s="8" t="n">
        <f aca="false">SUMIFS('Source 2026'!$I:$I,'Source 2026'!$B:$B,$A64,'Source 2026'!$A:$A,"Quantity (units)")</f>
        <v>90</v>
      </c>
      <c r="E64" s="8" t="n">
        <f aca="false">D64*$J$5</f>
        <v>123.428571428571</v>
      </c>
      <c r="F64" s="8" t="n">
        <f aca="false">E64-C64</f>
        <v>-44.5714285714286</v>
      </c>
      <c r="G64" s="9" t="n">
        <f aca="false">IF(AND(C64=0,E64=0),0,IF(C64=0,"New",(E64-C64)/C64))</f>
        <v>-0.26530612244898</v>
      </c>
      <c r="H64" s="8" t="n">
        <f aca="false">SUMIFS('Source 2025'!$I:$I,'Source 2025'!$B:$B,$A64,'Source 2025'!$A:$A,"Amount (NIS)")</f>
        <v>3675.6</v>
      </c>
      <c r="I64" s="8" t="n">
        <f aca="false">SUMIFS('Source 2026'!$I:$I,'Source 2026'!$B:$B,$A64,'Source 2026'!$A:$A,"Amount (NIS)")</f>
        <v>1964.7</v>
      </c>
      <c r="J64" s="8" t="n">
        <f aca="false">I64*$J$5</f>
        <v>2694.44571428571</v>
      </c>
      <c r="K64" s="8" t="n">
        <f aca="false">J64-H64</f>
        <v>-981.154285714285</v>
      </c>
      <c r="L64" s="9" t="n">
        <f aca="false">IF(AND(H64=0,J64=0),0,IF(H64=0,"New",(J64-H64)/H64))</f>
        <v>-0.266937176437666</v>
      </c>
    </row>
    <row r="65" customFormat="false" ht="15" hidden="false" customHeight="false" outlineLevel="0" collapsed="false">
      <c r="A65" s="7" t="n">
        <v>4413095</v>
      </c>
      <c r="B65" s="7" t="str">
        <f aca="false">IFERROR(INDEX('Source 2026'!$C:$C,MATCH($A65,'Source 2026'!$B:$B,0)),IFERROR(INDEX('Source 2025'!$C:$C,MATCH($A65,'Source 2025'!$B:$B,0)),""))</f>
        <v>45 XL מגן ברך לבן</v>
      </c>
      <c r="C65" s="8" t="n">
        <f aca="false">SUMIFS('Source 2025'!$I:$I,'Source 2025'!$B:$B,$A65,'Source 2025'!$A:$A,"Quantity (units)")</f>
        <v>147</v>
      </c>
      <c r="D65" s="8" t="n">
        <f aca="false">SUMIFS('Source 2026'!$I:$I,'Source 2026'!$B:$B,$A65,'Source 2026'!$A:$A,"Quantity (units)")</f>
        <v>86</v>
      </c>
      <c r="E65" s="8" t="n">
        <f aca="false">D65*$J$5</f>
        <v>117.942857142857</v>
      </c>
      <c r="F65" s="8" t="n">
        <f aca="false">E65-C65</f>
        <v>-29.0571428571429</v>
      </c>
      <c r="G65" s="9" t="n">
        <f aca="false">IF(AND(C65=0,E65=0),0,IF(C65=0,"New",(E65-C65)/C65))</f>
        <v>-0.197667638483965</v>
      </c>
      <c r="H65" s="8" t="n">
        <f aca="false">SUMIFS('Source 2025'!$I:$I,'Source 2025'!$B:$B,$A65,'Source 2025'!$A:$A,"Amount (NIS)")</f>
        <v>4100.5</v>
      </c>
      <c r="I65" s="8" t="n">
        <f aca="false">SUMIFS('Source 2026'!$I:$I,'Source 2026'!$B:$B,$A65,'Source 2026'!$A:$A,"Amount (NIS)")</f>
        <v>2393.3</v>
      </c>
      <c r="J65" s="8" t="n">
        <f aca="false">I65*$J$5</f>
        <v>3282.24</v>
      </c>
      <c r="K65" s="8" t="n">
        <f aca="false">J65-H65</f>
        <v>-818.26</v>
      </c>
      <c r="L65" s="9" t="n">
        <f aca="false">IF(AND(H65=0,J65=0),0,IF(H65=0,"New",(J65-H65)/H65))</f>
        <v>-0.199551274234849</v>
      </c>
    </row>
    <row r="66" customFormat="false" ht="15" hidden="false" customHeight="false" outlineLevel="0" collapsed="false">
      <c r="A66" s="7" t="n">
        <v>4408151</v>
      </c>
      <c r="B66" s="7" t="str">
        <f aca="false">IFERROR(INDEX('Source 2026'!$C:$C,MATCH($A66,'Source 2026'!$B:$B,0)),IFERROR(INDEX('Source 2025'!$C:$C,MATCH($A66,'Source 2025'!$B:$B,0)),""))</f>
        <v>11TO M חגורה למנותחי בית החזה</v>
      </c>
      <c r="C66" s="8" t="n">
        <f aca="false">SUMIFS('Source 2025'!$I:$I,'Source 2025'!$B:$B,$A66,'Source 2025'!$A:$A,"Quantity (units)")</f>
        <v>17</v>
      </c>
      <c r="D66" s="8" t="n">
        <f aca="false">SUMIFS('Source 2026'!$I:$I,'Source 2026'!$B:$B,$A66,'Source 2026'!$A:$A,"Quantity (units)")</f>
        <v>27</v>
      </c>
      <c r="E66" s="8" t="n">
        <f aca="false">D66*$J$5</f>
        <v>37.0285714285714</v>
      </c>
      <c r="F66" s="8" t="n">
        <f aca="false">E66-C66</f>
        <v>20.0285714285714</v>
      </c>
      <c r="G66" s="9" t="n">
        <f aca="false">IF(AND(C66=0,E66=0),0,IF(C66=0,"New",(E66-C66)/C66))</f>
        <v>1.1781512605042</v>
      </c>
      <c r="H66" s="8" t="n">
        <f aca="false">SUMIFS('Source 2025'!$I:$I,'Source 2025'!$B:$B,$A66,'Source 2025'!$A:$A,"Amount (NIS)")</f>
        <v>2225</v>
      </c>
      <c r="I66" s="8" t="n">
        <f aca="false">SUMIFS('Source 2026'!$I:$I,'Source 2026'!$B:$B,$A66,'Source 2026'!$A:$A,"Amount (NIS)")</f>
        <v>3930.1</v>
      </c>
      <c r="J66" s="8" t="n">
        <f aca="false">I66*$J$5</f>
        <v>5389.85142857143</v>
      </c>
      <c r="K66" s="8" t="n">
        <f aca="false">J66-H66</f>
        <v>3164.85142857143</v>
      </c>
      <c r="L66" s="9" t="n">
        <f aca="false">IF(AND(H66=0,J66=0),0,IF(H66=0,"New",(J66-H66)/H66))</f>
        <v>1.4224051364366</v>
      </c>
    </row>
    <row r="67" customFormat="false" ht="15" hidden="false" customHeight="false" outlineLevel="0" collapsed="false">
      <c r="A67" s="7" t="n">
        <v>4413103</v>
      </c>
      <c r="B67" s="7" t="str">
        <f aca="false">IFERROR(INDEX('Source 2026'!$C:$C,MATCH($A67,'Source 2026'!$B:$B,0)),IFERROR(INDEX('Source 2025'!$C:$C,MATCH($A67,'Source 2025'!$B:$B,0)),""))</f>
        <v>45E Mמגן ברך ארוך לבן</v>
      </c>
      <c r="C67" s="8" t="n">
        <f aca="false">SUMIFS('Source 2025'!$I:$I,'Source 2025'!$B:$B,$A67,'Source 2025'!$A:$A,"Quantity (units)")</f>
        <v>205</v>
      </c>
      <c r="D67" s="8" t="n">
        <f aca="false">SUMIFS('Source 2026'!$I:$I,'Source 2026'!$B:$B,$A67,'Source 2026'!$A:$A,"Quantity (units)")</f>
        <v>155</v>
      </c>
      <c r="E67" s="8" t="n">
        <f aca="false">D67*$J$5</f>
        <v>212.571428571429</v>
      </c>
      <c r="F67" s="8" t="n">
        <f aca="false">E67-C67</f>
        <v>7.57142857142858</v>
      </c>
      <c r="G67" s="9" t="n">
        <f aca="false">IF(AND(C67=0,E67=0),0,IF(C67=0,"New",(E67-C67)/C67))</f>
        <v>0.0369337979094077</v>
      </c>
      <c r="H67" s="8" t="n">
        <f aca="false">SUMIFS('Source 2025'!$I:$I,'Source 2025'!$B:$B,$A67,'Source 2025'!$A:$A,"Amount (NIS)")</f>
        <v>6872.6</v>
      </c>
      <c r="I67" s="8" t="n">
        <f aca="false">SUMIFS('Source 2026'!$I:$I,'Source 2026'!$B:$B,$A67,'Source 2026'!$A:$A,"Amount (NIS)")</f>
        <v>5193.3</v>
      </c>
      <c r="J67" s="8" t="n">
        <f aca="false">I67*$J$5</f>
        <v>7122.24</v>
      </c>
      <c r="K67" s="8" t="n">
        <f aca="false">J67-H67</f>
        <v>249.64</v>
      </c>
      <c r="L67" s="9" t="n">
        <f aca="false">IF(AND(H67=0,J67=0),0,IF(H67=0,"New",(J67-H67)/H67))</f>
        <v>0.0363239530890784</v>
      </c>
    </row>
    <row r="68" customFormat="false" ht="15" hidden="false" customHeight="false" outlineLevel="0" collapsed="false">
      <c r="A68" s="7" t="n">
        <v>4415007</v>
      </c>
      <c r="B68" s="7" t="str">
        <f aca="false">IFERROR(INDEX('Source 2026'!$C:$C,MATCH($A68,'Source 2026'!$B:$B,0)),IFERROR(INDEX('Source 2025'!$C:$C,MATCH($A68,'Source 2025'!$B:$B,0)),""))</f>
        <v>28 S סד לאגודל לאחר שבר</v>
      </c>
      <c r="C68" s="8" t="n">
        <f aca="false">SUMIFS('Source 2025'!$I:$I,'Source 2025'!$B:$B,$A68,'Source 2025'!$A:$A,"Quantity (units)")</f>
        <v>80</v>
      </c>
      <c r="D68" s="8" t="n">
        <f aca="false">SUMIFS('Source 2026'!$I:$I,'Source 2026'!$B:$B,$A68,'Source 2026'!$A:$A,"Quantity (units)")</f>
        <v>61</v>
      </c>
      <c r="E68" s="8" t="n">
        <f aca="false">D68*$J$5</f>
        <v>83.6571428571429</v>
      </c>
      <c r="F68" s="8" t="n">
        <f aca="false">E68-C68</f>
        <v>3.65714285714286</v>
      </c>
      <c r="G68" s="9" t="n">
        <f aca="false">IF(AND(C68=0,E68=0),0,IF(C68=0,"New",(E68-C68)/C68))</f>
        <v>0.0457142857142857</v>
      </c>
      <c r="H68" s="8" t="n">
        <f aca="false">SUMIFS('Source 2025'!$I:$I,'Source 2025'!$B:$B,$A68,'Source 2025'!$A:$A,"Amount (NIS)")</f>
        <v>7018.2</v>
      </c>
      <c r="I68" s="8" t="n">
        <f aca="false">SUMIFS('Source 2026'!$I:$I,'Source 2026'!$B:$B,$A68,'Source 2026'!$A:$A,"Amount (NIS)")</f>
        <v>5380.2</v>
      </c>
      <c r="J68" s="8" t="n">
        <f aca="false">I68*$J$5</f>
        <v>7378.56</v>
      </c>
      <c r="K68" s="8" t="n">
        <f aca="false">J68-H68</f>
        <v>360.36</v>
      </c>
      <c r="L68" s="9" t="n">
        <f aca="false">IF(AND(H68=0,J68=0),0,IF(H68=0,"New",(J68-H68)/H68))</f>
        <v>0.0513464991023339</v>
      </c>
    </row>
    <row r="69" customFormat="false" ht="15" hidden="false" customHeight="false" outlineLevel="0" collapsed="false">
      <c r="A69" s="7" t="n">
        <v>4413097</v>
      </c>
      <c r="B69" s="7" t="str">
        <f aca="false">IFERROR(INDEX('Source 2026'!$C:$C,MATCH($A69,'Source 2026'!$B:$B,0)),IFERROR(INDEX('Source 2025'!$C:$C,MATCH($A69,'Source 2025'!$B:$B,0)),""))</f>
        <v>45C S מגן ברך חום</v>
      </c>
      <c r="C69" s="8" t="n">
        <f aca="false">SUMIFS('Source 2025'!$I:$I,'Source 2025'!$B:$B,$A69,'Source 2025'!$A:$A,"Quantity (units)")</f>
        <v>154</v>
      </c>
      <c r="D69" s="8" t="n">
        <f aca="false">SUMIFS('Source 2026'!$I:$I,'Source 2026'!$B:$B,$A69,'Source 2026'!$A:$A,"Quantity (units)")</f>
        <v>95</v>
      </c>
      <c r="E69" s="8" t="n">
        <f aca="false">D69*$J$5</f>
        <v>130.285714285714</v>
      </c>
      <c r="F69" s="8" t="n">
        <f aca="false">E69-C69</f>
        <v>-23.7142857142857</v>
      </c>
      <c r="G69" s="9" t="n">
        <f aca="false">IF(AND(C69=0,E69=0),0,IF(C69=0,"New",(E69-C69)/C69))</f>
        <v>-0.153988868274583</v>
      </c>
      <c r="H69" s="8" t="n">
        <f aca="false">SUMIFS('Source 2025'!$I:$I,'Source 2025'!$B:$B,$A69,'Source 2025'!$A:$A,"Amount (NIS)")</f>
        <v>4279</v>
      </c>
      <c r="I69" s="8" t="n">
        <f aca="false">SUMIFS('Source 2026'!$I:$I,'Source 2026'!$B:$B,$A69,'Source 2026'!$A:$A,"Amount (NIS)")</f>
        <v>2641.1</v>
      </c>
      <c r="J69" s="8" t="n">
        <f aca="false">I69*$J$5</f>
        <v>3622.08</v>
      </c>
      <c r="K69" s="8" t="n">
        <f aca="false">J69-H69</f>
        <v>-656.92</v>
      </c>
      <c r="L69" s="9" t="n">
        <f aca="false">IF(AND(H69=0,J69=0),0,IF(H69=0,"New",(J69-H69)/H69))</f>
        <v>-0.153521850899743</v>
      </c>
    </row>
    <row r="70" customFormat="false" ht="15" hidden="false" customHeight="false" outlineLevel="0" collapsed="false">
      <c r="A70" s="7" t="n">
        <v>4413060</v>
      </c>
      <c r="B70" s="7" t="str">
        <f aca="false">IFERROR(INDEX('Source 2026'!$C:$C,MATCH($A70,'Source 2026'!$B:$B,0)),IFERROR(INDEX('Source 2025'!$C:$C,MATCH($A70,'Source 2025'!$B:$B,0)),""))</f>
        <v>364 XLמפריד אצבע סיליקון ליבלת</v>
      </c>
      <c r="C70" s="8" t="n">
        <f aca="false">SUMIFS('Source 2025'!$I:$I,'Source 2025'!$B:$B,$A70,'Source 2025'!$A:$A,"Quantity (units)")</f>
        <v>336</v>
      </c>
      <c r="D70" s="8" t="n">
        <f aca="false">SUMIFS('Source 2026'!$I:$I,'Source 2026'!$B:$B,$A70,'Source 2026'!$A:$A,"Quantity (units)")</f>
        <v>217</v>
      </c>
      <c r="E70" s="8" t="n">
        <f aca="false">D70*$J$5</f>
        <v>297.6</v>
      </c>
      <c r="F70" s="8" t="n">
        <f aca="false">E70-C70</f>
        <v>-38.4</v>
      </c>
      <c r="G70" s="9" t="n">
        <f aca="false">IF(AND(C70=0,E70=0),0,IF(C70=0,"New",(E70-C70)/C70))</f>
        <v>-0.114285714285714</v>
      </c>
      <c r="H70" s="8" t="n">
        <f aca="false">SUMIFS('Source 2025'!$I:$I,'Source 2025'!$B:$B,$A70,'Source 2025'!$A:$A,"Amount (NIS)")</f>
        <v>4548.4</v>
      </c>
      <c r="I70" s="8" t="n">
        <f aca="false">SUMIFS('Source 2026'!$I:$I,'Source 2026'!$B:$B,$A70,'Source 2026'!$A:$A,"Amount (NIS)")</f>
        <v>2943.7</v>
      </c>
      <c r="J70" s="8" t="n">
        <f aca="false">I70*$J$5</f>
        <v>4037.07428571429</v>
      </c>
      <c r="K70" s="8" t="n">
        <f aca="false">J70-H70</f>
        <v>-511.325714285714</v>
      </c>
      <c r="L70" s="9" t="n">
        <f aca="false">IF(AND(H70=0,J70=0),0,IF(H70=0,"New",(J70-H70)/H70))</f>
        <v>-0.112418809754136</v>
      </c>
    </row>
    <row r="71" customFormat="false" ht="15" hidden="false" customHeight="false" outlineLevel="0" collapsed="false">
      <c r="A71" s="7" t="n">
        <v>4408099</v>
      </c>
      <c r="B71" s="7" t="str">
        <f aca="false">IFERROR(INDEX('Source 2026'!$C:$C,MATCH($A71,'Source 2026'!$B:$B,0)),IFERROR(INDEX('Source 2025'!$C:$C,MATCH($A71,'Source 2025'!$B:$B,0)),""))</f>
        <v>T25C-חבק יד אגודלי</v>
      </c>
      <c r="C71" s="8" t="n">
        <f aca="false">SUMIFS('Source 2025'!$I:$I,'Source 2025'!$B:$B,$A71,'Source 2025'!$A:$A,"Quantity (units)")</f>
        <v>322</v>
      </c>
      <c r="D71" s="8" t="n">
        <f aca="false">SUMIFS('Source 2026'!$I:$I,'Source 2026'!$B:$B,$A71,'Source 2026'!$A:$A,"Quantity (units)")</f>
        <v>283</v>
      </c>
      <c r="E71" s="8" t="n">
        <f aca="false">D71*$J$5</f>
        <v>388.114285714286</v>
      </c>
      <c r="F71" s="8" t="n">
        <f aca="false">E71-C71</f>
        <v>66.1142857142857</v>
      </c>
      <c r="G71" s="9" t="n">
        <f aca="false">IF(AND(C71=0,E71=0),0,IF(C71=0,"New",(E71-C71)/C71))</f>
        <v>0.205323868677906</v>
      </c>
      <c r="H71" s="8" t="n">
        <f aca="false">SUMIFS('Source 2025'!$I:$I,'Source 2025'!$B:$B,$A71,'Source 2025'!$A:$A,"Amount (NIS)")</f>
        <v>12779</v>
      </c>
      <c r="I71" s="8" t="n">
        <f aca="false">SUMIFS('Source 2026'!$I:$I,'Source 2026'!$B:$B,$A71,'Source 2026'!$A:$A,"Amount (NIS)")</f>
        <v>11246.4</v>
      </c>
      <c r="J71" s="8" t="n">
        <f aca="false">I71*$J$5</f>
        <v>15423.6342857143</v>
      </c>
      <c r="K71" s="8" t="n">
        <f aca="false">J71-H71</f>
        <v>2644.63428571428</v>
      </c>
      <c r="L71" s="9" t="n">
        <f aca="false">IF(AND(H71=0,J71=0),0,IF(H71=0,"New",(J71-H71)/H71))</f>
        <v>0.20695158351313</v>
      </c>
    </row>
    <row r="72" customFormat="false" ht="15" hidden="false" customHeight="false" outlineLevel="0" collapsed="false">
      <c r="A72" s="7" t="n">
        <v>4422025</v>
      </c>
      <c r="B72" s="7" t="str">
        <f aca="false">IFERROR(INDEX('Source 2026'!$C:$C,MATCH($A72,'Source 2026'!$B:$B,0)),IFERROR(INDEX('Source 2025'!$C:$C,MATCH($A72,'Source 2025'!$B:$B,0)),""))</f>
        <v>806CB-GREEN      תחבושת א.נצמ</v>
      </c>
      <c r="C72" s="8" t="n">
        <f aca="false">SUMIFS('Source 2025'!$I:$I,'Source 2025'!$B:$B,$A72,'Source 2025'!$A:$A,"Quantity (units)")</f>
        <v>273</v>
      </c>
      <c r="D72" s="8" t="n">
        <f aca="false">SUMIFS('Source 2026'!$I:$I,'Source 2026'!$B:$B,$A72,'Source 2026'!$A:$A,"Quantity (units)")</f>
        <v>134</v>
      </c>
      <c r="E72" s="8" t="n">
        <f aca="false">D72*$J$5</f>
        <v>183.771428571429</v>
      </c>
      <c r="F72" s="8" t="n">
        <f aca="false">E72-C72</f>
        <v>-89.2285714285714</v>
      </c>
      <c r="G72" s="9" t="n">
        <f aca="false">IF(AND(C72=0,E72=0),0,IF(C72=0,"New",(E72-C72)/C72))</f>
        <v>-0.326844583987441</v>
      </c>
      <c r="H72" s="8" t="n">
        <f aca="false">SUMIFS('Source 2025'!$I:$I,'Source 2025'!$B:$B,$A72,'Source 2025'!$A:$A,"Amount (NIS)")</f>
        <v>2997.5</v>
      </c>
      <c r="I72" s="8" t="n">
        <f aca="false">SUMIFS('Source 2026'!$I:$I,'Source 2026'!$B:$B,$A72,'Source 2026'!$A:$A,"Amount (NIS)")</f>
        <v>1471.3</v>
      </c>
      <c r="J72" s="8" t="n">
        <f aca="false">I72*$J$5</f>
        <v>2017.78285714286</v>
      </c>
      <c r="K72" s="8" t="n">
        <f aca="false">J72-H72</f>
        <v>-979.717142857143</v>
      </c>
      <c r="L72" s="9" t="n">
        <f aca="false">IF(AND(H72=0,J72=0),0,IF(H72=0,"New",(J72-H72)/H72))</f>
        <v>-0.326844751578697</v>
      </c>
    </row>
    <row r="73" customFormat="false" ht="15" hidden="false" customHeight="false" outlineLevel="0" collapsed="false">
      <c r="A73" s="7" t="n">
        <v>4413104</v>
      </c>
      <c r="B73" s="7" t="str">
        <f aca="false">IFERROR(INDEX('Source 2026'!$C:$C,MATCH($A73,'Source 2026'!$B:$B,0)),IFERROR(INDEX('Source 2025'!$C:$C,MATCH($A73,'Source 2025'!$B:$B,0)),""))</f>
        <v>45E XLמגן ברך ארוך לבן</v>
      </c>
      <c r="C73" s="8" t="n">
        <f aca="false">SUMIFS('Source 2025'!$I:$I,'Source 2025'!$B:$B,$A73,'Source 2025'!$A:$A,"Quantity (units)")</f>
        <v>188</v>
      </c>
      <c r="D73" s="8" t="n">
        <f aca="false">SUMIFS('Source 2026'!$I:$I,'Source 2026'!$B:$B,$A73,'Source 2026'!$A:$A,"Quantity (units)")</f>
        <v>143</v>
      </c>
      <c r="E73" s="8" t="n">
        <f aca="false">D73*$J$5</f>
        <v>196.114285714286</v>
      </c>
      <c r="F73" s="8" t="n">
        <f aca="false">E73-C73</f>
        <v>8.11428571428573</v>
      </c>
      <c r="G73" s="9" t="n">
        <f aca="false">IF(AND(C73=0,E73=0),0,IF(C73=0,"New",(E73-C73)/C73))</f>
        <v>0.0431610942249241</v>
      </c>
      <c r="H73" s="8" t="n">
        <f aca="false">SUMIFS('Source 2025'!$I:$I,'Source 2025'!$B:$B,$A73,'Source 2025'!$A:$A,"Amount (NIS)")</f>
        <v>6315.2</v>
      </c>
      <c r="I73" s="8" t="n">
        <f aca="false">SUMIFS('Source 2026'!$I:$I,'Source 2026'!$B:$B,$A73,'Source 2026'!$A:$A,"Amount (NIS)")</f>
        <v>4801</v>
      </c>
      <c r="J73" s="8" t="n">
        <f aca="false">I73*$J$5</f>
        <v>6584.22857142857</v>
      </c>
      <c r="K73" s="8" t="n">
        <f aca="false">J73-H73</f>
        <v>269.028571428572</v>
      </c>
      <c r="L73" s="9" t="n">
        <f aca="false">IF(AND(H73=0,J73=0),0,IF(H73=0,"New",(J73-H73)/H73))</f>
        <v>0.0426001664917298</v>
      </c>
    </row>
    <row r="74" customFormat="false" ht="15" hidden="false" customHeight="false" outlineLevel="0" collapsed="false">
      <c r="A74" s="7" t="n">
        <v>4413130</v>
      </c>
      <c r="B74" s="7" t="str">
        <f aca="false">IFERROR(INDEX('Source 2026'!$C:$C,MATCH($A74,'Source 2026'!$B:$B,0)),IFERROR(INDEX('Source 2025'!$C:$C,MATCH($A74,'Source 2025'!$B:$B,0)),""))</f>
        <v>75  XXL מיישר כתף יציב ישור צר</v>
      </c>
      <c r="C74" s="8" t="n">
        <f aca="false">SUMIFS('Source 2025'!$I:$I,'Source 2025'!$B:$B,$A74,'Source 2025'!$A:$A,"Quantity (units)")</f>
        <v>8</v>
      </c>
      <c r="D74" s="8" t="n">
        <f aca="false">SUMIFS('Source 2026'!$I:$I,'Source 2026'!$B:$B,$A74,'Source 2026'!$A:$A,"Quantity (units)")</f>
        <v>17</v>
      </c>
      <c r="E74" s="8" t="n">
        <f aca="false">D74*$J$5</f>
        <v>23.3142857142857</v>
      </c>
      <c r="F74" s="8" t="n">
        <f aca="false">E74-C74</f>
        <v>15.3142857142857</v>
      </c>
      <c r="G74" s="9" t="n">
        <f aca="false">IF(AND(C74=0,E74=0),0,IF(C74=0,"New",(E74-C74)/C74))</f>
        <v>1.91428571428571</v>
      </c>
      <c r="H74" s="8" t="n">
        <f aca="false">SUMIFS('Source 2025'!$I:$I,'Source 2025'!$B:$B,$A74,'Source 2025'!$A:$A,"Amount (NIS)")</f>
        <v>887.2</v>
      </c>
      <c r="I74" s="8" t="n">
        <f aca="false">SUMIFS('Source 2026'!$I:$I,'Source 2026'!$B:$B,$A74,'Source 2026'!$A:$A,"Amount (NIS)")</f>
        <v>2399.6</v>
      </c>
      <c r="J74" s="8" t="n">
        <f aca="false">I74*$J$5</f>
        <v>3290.88</v>
      </c>
      <c r="K74" s="8" t="n">
        <f aca="false">J74-H74</f>
        <v>2403.68</v>
      </c>
      <c r="L74" s="9" t="n">
        <f aca="false">IF(AND(H74=0,J74=0),0,IF(H74=0,"New",(J74-H74)/H74))</f>
        <v>2.7092876465284</v>
      </c>
    </row>
    <row r="75" customFormat="false" ht="15" hidden="false" customHeight="false" outlineLevel="0" collapsed="false">
      <c r="A75" s="7" t="n">
        <v>4416005</v>
      </c>
      <c r="B75" s="7" t="str">
        <f aca="false">IFERROR(INDEX('Source 2026'!$C:$C,MATCH($A75,'Source 2026'!$B:$B,0)),IFERROR(INDEX('Source 2025'!$C:$C,MATCH($A75,'Source 2025'!$B:$B,0)),""))</f>
        <v>308 Mעקבים סיליק.כחול לדורבן</v>
      </c>
      <c r="C75" s="8" t="n">
        <f aca="false">SUMIFS('Source 2025'!$I:$I,'Source 2025'!$B:$B,$A75,'Source 2025'!$A:$A,"Quantity (units)")</f>
        <v>118</v>
      </c>
      <c r="D75" s="8" t="n">
        <f aca="false">SUMIFS('Source 2026'!$I:$I,'Source 2026'!$B:$B,$A75,'Source 2026'!$A:$A,"Quantity (units)")</f>
        <v>91</v>
      </c>
      <c r="E75" s="8" t="n">
        <f aca="false">D75*$J$5</f>
        <v>124.8</v>
      </c>
      <c r="F75" s="8" t="n">
        <f aca="false">E75-C75</f>
        <v>6.8</v>
      </c>
      <c r="G75" s="9" t="n">
        <f aca="false">IF(AND(C75=0,E75=0),0,IF(C75=0,"New",(E75-C75)/C75))</f>
        <v>0.0576271186440678</v>
      </c>
      <c r="H75" s="8" t="n">
        <f aca="false">SUMIFS('Source 2025'!$I:$I,'Source 2025'!$B:$B,$A75,'Source 2025'!$A:$A,"Amount (NIS)")</f>
        <v>6456.7</v>
      </c>
      <c r="I75" s="8" t="n">
        <f aca="false">SUMIFS('Source 2026'!$I:$I,'Source 2026'!$B:$B,$A75,'Source 2026'!$A:$A,"Amount (NIS)")</f>
        <v>4961.3</v>
      </c>
      <c r="J75" s="8" t="n">
        <f aca="false">I75*$J$5</f>
        <v>6804.06857142857</v>
      </c>
      <c r="K75" s="8" t="n">
        <f aca="false">J75-H75</f>
        <v>347.368571428572</v>
      </c>
      <c r="L75" s="9" t="n">
        <f aca="false">IF(AND(H75=0,J75=0),0,IF(H75=0,"New",(J75-H75)/H75))</f>
        <v>0.0537997075020633</v>
      </c>
    </row>
    <row r="76" customFormat="false" ht="15" hidden="false" customHeight="false" outlineLevel="0" collapsed="false">
      <c r="A76" s="7" t="n">
        <v>4415160</v>
      </c>
      <c r="B76" s="7" t="str">
        <f aca="false">IFERROR(INDEX('Source 2026'!$C:$C,MATCH($A76,'Source 2026'!$B:$B,0)),IFERROR(INDEX('Source 2025'!$C:$C,MATCH($A76,'Source 2025'!$B:$B,0)),""))</f>
        <v>238S סד ליישור אצבע</v>
      </c>
      <c r="C76" s="8" t="n">
        <f aca="false">SUMIFS('Source 2025'!$I:$I,'Source 2025'!$B:$B,$A76,'Source 2025'!$A:$A,"Quantity (units)")</f>
        <v>470</v>
      </c>
      <c r="D76" s="8" t="n">
        <f aca="false">SUMIFS('Source 2026'!$I:$I,'Source 2026'!$B:$B,$A76,'Source 2026'!$A:$A,"Quantity (units)")</f>
        <v>373</v>
      </c>
      <c r="E76" s="8" t="n">
        <f aca="false">D76*$J$5</f>
        <v>511.542857142857</v>
      </c>
      <c r="F76" s="8" t="n">
        <f aca="false">E76-C76</f>
        <v>41.5428571428571</v>
      </c>
      <c r="G76" s="9" t="n">
        <f aca="false">IF(AND(C76=0,E76=0),0,IF(C76=0,"New",(E76-C76)/C76))</f>
        <v>0.0883890577507599</v>
      </c>
      <c r="H76" s="8" t="n">
        <f aca="false">SUMIFS('Source 2025'!$I:$I,'Source 2025'!$B:$B,$A76,'Source 2025'!$A:$A,"Amount (NIS)")</f>
        <v>7238</v>
      </c>
      <c r="I76" s="8" t="n">
        <f aca="false">SUMIFS('Source 2026'!$I:$I,'Source 2026'!$B:$B,$A76,'Source 2026'!$A:$A,"Amount (NIS)")</f>
        <v>5744.2</v>
      </c>
      <c r="J76" s="8" t="n">
        <f aca="false">I76*$J$5</f>
        <v>7877.76</v>
      </c>
      <c r="K76" s="8" t="n">
        <f aca="false">J76-H76</f>
        <v>639.76</v>
      </c>
      <c r="L76" s="9" t="n">
        <f aca="false">IF(AND(H76=0,J76=0),0,IF(H76=0,"New",(J76-H76)/H76))</f>
        <v>0.0883890577507599</v>
      </c>
    </row>
    <row r="77" customFormat="false" ht="15" hidden="false" customHeight="false" outlineLevel="0" collapsed="false">
      <c r="A77" s="7" t="n">
        <v>4413094</v>
      </c>
      <c r="B77" s="7" t="str">
        <f aca="false">IFERROR(INDEX('Source 2026'!$C:$C,MATCH($A77,'Source 2026'!$B:$B,0)),IFERROR(INDEX('Source 2025'!$C:$C,MATCH($A77,'Source 2025'!$B:$B,0)),""))</f>
        <v>45 S מגן ברך לבן</v>
      </c>
      <c r="C77" s="8" t="n">
        <f aca="false">SUMIFS('Source 2025'!$I:$I,'Source 2025'!$B:$B,$A77,'Source 2025'!$A:$A,"Quantity (units)")</f>
        <v>114</v>
      </c>
      <c r="D77" s="8" t="n">
        <f aca="false">SUMIFS('Source 2026'!$I:$I,'Source 2026'!$B:$B,$A77,'Source 2026'!$A:$A,"Quantity (units)")</f>
        <v>60</v>
      </c>
      <c r="E77" s="8" t="n">
        <f aca="false">D77*$J$5</f>
        <v>82.2857142857143</v>
      </c>
      <c r="F77" s="8" t="n">
        <f aca="false">E77-C77</f>
        <v>-31.7142857142857</v>
      </c>
      <c r="G77" s="9" t="n">
        <f aca="false">IF(AND(C77=0,E77=0),0,IF(C77=0,"New",(E77-C77)/C77))</f>
        <v>-0.278195488721804</v>
      </c>
      <c r="H77" s="8" t="n">
        <f aca="false">SUMIFS('Source 2025'!$I:$I,'Source 2025'!$B:$B,$A77,'Source 2025'!$A:$A,"Amount (NIS)")</f>
        <v>3164.6</v>
      </c>
      <c r="I77" s="8" t="n">
        <f aca="false">SUMIFS('Source 2026'!$I:$I,'Source 2026'!$B:$B,$A77,'Source 2026'!$A:$A,"Amount (NIS)")</f>
        <v>1671.7</v>
      </c>
      <c r="J77" s="8" t="n">
        <f aca="false">I77*$J$5</f>
        <v>2292.61714285714</v>
      </c>
      <c r="K77" s="8" t="n">
        <f aca="false">J77-H77</f>
        <v>-871.982857142857</v>
      </c>
      <c r="L77" s="9" t="n">
        <f aca="false">IF(AND(H77=0,J77=0),0,IF(H77=0,"New",(J77-H77)/H77))</f>
        <v>-0.27554283547458</v>
      </c>
    </row>
    <row r="78" customFormat="false" ht="15" hidden="false" customHeight="false" outlineLevel="0" collapsed="false">
      <c r="A78" s="7" t="n">
        <v>4413053</v>
      </c>
      <c r="B78" s="7" t="str">
        <f aca="false">IFERROR(INDEX('Source 2026'!$C:$C,MATCH($A78,'Source 2026'!$B:$B,0)),IFERROR(INDEX('Source 2025'!$C:$C,MATCH($A78,'Source 2025'!$B:$B,0)),""))</f>
        <v>35C L מגן קרסול חום</v>
      </c>
      <c r="C78" s="8" t="n">
        <f aca="false">SUMIFS('Source 2025'!$I:$I,'Source 2025'!$B:$B,$A78,'Source 2025'!$A:$A,"Quantity (units)")</f>
        <v>260</v>
      </c>
      <c r="D78" s="8" t="n">
        <f aca="false">SUMIFS('Source 2026'!$I:$I,'Source 2026'!$B:$B,$A78,'Source 2026'!$A:$A,"Quantity (units)")</f>
        <v>206</v>
      </c>
      <c r="E78" s="8" t="n">
        <f aca="false">D78*$J$5</f>
        <v>282.514285714286</v>
      </c>
      <c r="F78" s="8" t="n">
        <f aca="false">E78-C78</f>
        <v>22.5142857142857</v>
      </c>
      <c r="G78" s="9" t="n">
        <f aca="false">IF(AND(C78=0,E78=0),0,IF(C78=0,"New",(E78-C78)/C78))</f>
        <v>0.0865934065934067</v>
      </c>
      <c r="H78" s="8" t="n">
        <f aca="false">SUMIFS('Source 2025'!$I:$I,'Source 2025'!$B:$B,$A78,'Source 2025'!$A:$A,"Amount (NIS)")</f>
        <v>7223.5</v>
      </c>
      <c r="I78" s="8" t="n">
        <f aca="false">SUMIFS('Source 2026'!$I:$I,'Source 2026'!$B:$B,$A78,'Source 2026'!$A:$A,"Amount (NIS)")</f>
        <v>5732.4</v>
      </c>
      <c r="J78" s="8" t="n">
        <f aca="false">I78*$J$5</f>
        <v>7861.57714285714</v>
      </c>
      <c r="K78" s="8" t="n">
        <f aca="false">J78-H78</f>
        <v>638.077142857143</v>
      </c>
      <c r="L78" s="9" t="n">
        <f aca="false">IF(AND(H78=0,J78=0),0,IF(H78=0,"New",(J78-H78)/H78))</f>
        <v>0.0883335146199408</v>
      </c>
    </row>
    <row r="79" customFormat="false" ht="15" hidden="false" customHeight="false" outlineLevel="0" collapsed="false">
      <c r="A79" s="7" t="n">
        <v>4415159</v>
      </c>
      <c r="B79" s="7" t="str">
        <f aca="false">IFERROR(INDEX('Source 2026'!$C:$C,MATCH($A79,'Source 2026'!$B:$B,0)),IFERROR(INDEX('Source 2025'!$C:$C,MATCH($A79,'Source 2025'!$B:$B,0)),""))</f>
        <v>268 סד לאגודל</v>
      </c>
      <c r="C79" s="8" t="n">
        <f aca="false">SUMIFS('Source 2025'!$I:$I,'Source 2025'!$B:$B,$A79,'Source 2025'!$A:$A,"Quantity (units)")</f>
        <v>43</v>
      </c>
      <c r="D79" s="8" t="n">
        <f aca="false">SUMIFS('Source 2026'!$I:$I,'Source 2026'!$B:$B,$A79,'Source 2026'!$A:$A,"Quantity (units)")</f>
        <v>30</v>
      </c>
      <c r="E79" s="8" t="n">
        <f aca="false">D79*$J$5</f>
        <v>41.1428571428571</v>
      </c>
      <c r="F79" s="8" t="n">
        <f aca="false">E79-C79</f>
        <v>-1.85714285714285</v>
      </c>
      <c r="G79" s="9" t="n">
        <f aca="false">IF(AND(C79=0,E79=0),0,IF(C79=0,"New",(E79-C79)/C79))</f>
        <v>-0.0431893687707641</v>
      </c>
      <c r="H79" s="8" t="n">
        <f aca="false">SUMIFS('Source 2025'!$I:$I,'Source 2025'!$B:$B,$A79,'Source 2025'!$A:$A,"Amount (NIS)")</f>
        <v>4740.9</v>
      </c>
      <c r="I79" s="8" t="n">
        <f aca="false">SUMIFS('Source 2026'!$I:$I,'Source 2026'!$B:$B,$A79,'Source 2026'!$A:$A,"Amount (NIS)")</f>
        <v>3307.6</v>
      </c>
      <c r="J79" s="8" t="n">
        <f aca="false">I79*$J$5</f>
        <v>4536.13714285714</v>
      </c>
      <c r="K79" s="8" t="n">
        <f aca="false">J79-H79</f>
        <v>-204.762857142857</v>
      </c>
      <c r="L79" s="9" t="n">
        <f aca="false">IF(AND(H79=0,J79=0),0,IF(H79=0,"New",(J79-H79)/H79))</f>
        <v>-0.0431907142405148</v>
      </c>
    </row>
    <row r="80" customFormat="false" ht="15" hidden="false" customHeight="false" outlineLevel="0" collapsed="false">
      <c r="A80" s="7" t="n">
        <v>4408152</v>
      </c>
      <c r="B80" s="7" t="str">
        <f aca="false">IFERROR(INDEX('Source 2026'!$C:$C,MATCH($A80,'Source 2026'!$B:$B,0)),IFERROR(INDEX('Source 2025'!$C:$C,MATCH($A80,'Source 2025'!$B:$B,0)),""))</f>
        <v>11TO L חגורה למנותחי בית החזה</v>
      </c>
      <c r="C80" s="8" t="n">
        <f aca="false">SUMIFS('Source 2025'!$I:$I,'Source 2025'!$B:$B,$A80,'Source 2025'!$A:$A,"Quantity (units)")</f>
        <v>41</v>
      </c>
      <c r="D80" s="8" t="n">
        <f aca="false">SUMIFS('Source 2026'!$I:$I,'Source 2026'!$B:$B,$A80,'Source 2026'!$A:$A,"Quantity (units)")</f>
        <v>49</v>
      </c>
      <c r="E80" s="8" t="n">
        <f aca="false">D80*$J$5</f>
        <v>67.2</v>
      </c>
      <c r="F80" s="8" t="n">
        <f aca="false">E80-C80</f>
        <v>26.2</v>
      </c>
      <c r="G80" s="9" t="n">
        <f aca="false">IF(AND(C80=0,E80=0),0,IF(C80=0,"New",(E80-C80)/C80))</f>
        <v>0.639024390243903</v>
      </c>
      <c r="H80" s="8" t="n">
        <f aca="false">SUMIFS('Source 2025'!$I:$I,'Source 2025'!$B:$B,$A80,'Source 2025'!$A:$A,"Amount (NIS)")</f>
        <v>5718.4</v>
      </c>
      <c r="I80" s="8" t="n">
        <f aca="false">SUMIFS('Source 2026'!$I:$I,'Source 2026'!$B:$B,$A80,'Source 2026'!$A:$A,"Amount (NIS)")</f>
        <v>7132.4</v>
      </c>
      <c r="J80" s="8" t="n">
        <f aca="false">I80*$J$5</f>
        <v>9781.57714285714</v>
      </c>
      <c r="K80" s="8" t="n">
        <f aca="false">J80-H80</f>
        <v>4063.17714285714</v>
      </c>
      <c r="L80" s="9" t="n">
        <f aca="false">IF(AND(H80=0,J80=0),0,IF(H80=0,"New",(J80-H80)/H80))</f>
        <v>0.710544408026221</v>
      </c>
    </row>
    <row r="81" customFormat="false" ht="15" hidden="false" customHeight="false" outlineLevel="0" collapsed="false">
      <c r="A81" s="7" t="n">
        <v>4413156</v>
      </c>
      <c r="B81" s="7" t="str">
        <f aca="false">IFERROR(INDEX('Source 2026'!$C:$C,MATCH($A81,'Source 2026'!$B:$B,0)),IFERROR(INDEX('Source 2025'!$C:$C,MATCH($A81,'Source 2025'!$B:$B,0)),""))</f>
        <v>305GA מדרס אורטופ.מתכוון41-42</v>
      </c>
      <c r="C81" s="8" t="n">
        <f aca="false">SUMIFS('Source 2025'!$I:$I,'Source 2025'!$B:$B,$A81,'Source 2025'!$A:$A,"Quantity (units)")</f>
        <v>26</v>
      </c>
      <c r="D81" s="8" t="n">
        <f aca="false">SUMIFS('Source 2026'!$I:$I,'Source 2026'!$B:$B,$A81,'Source 2026'!$A:$A,"Quantity (units)")</f>
        <v>6</v>
      </c>
      <c r="E81" s="8" t="n">
        <f aca="false">D81*$J$5</f>
        <v>8.22857142857143</v>
      </c>
      <c r="F81" s="8" t="n">
        <f aca="false">E81-C81</f>
        <v>-17.7714285714286</v>
      </c>
      <c r="G81" s="9" t="n">
        <f aca="false">IF(AND(C81=0,E81=0),0,IF(C81=0,"New",(E81-C81)/C81))</f>
        <v>-0.683516483516484</v>
      </c>
      <c r="H81" s="8" t="n">
        <f aca="false">SUMIFS('Source 2025'!$I:$I,'Source 2025'!$B:$B,$A81,'Source 2025'!$A:$A,"Amount (NIS)")</f>
        <v>1818.7</v>
      </c>
      <c r="I81" s="8" t="n">
        <f aca="false">SUMIFS('Source 2026'!$I:$I,'Source 2026'!$B:$B,$A81,'Source 2026'!$A:$A,"Amount (NIS)")</f>
        <v>419.7</v>
      </c>
      <c r="J81" s="8" t="n">
        <f aca="false">I81*$J$5</f>
        <v>575.588571428571</v>
      </c>
      <c r="K81" s="8" t="n">
        <f aca="false">J81-H81</f>
        <v>-1243.11142857143</v>
      </c>
      <c r="L81" s="9" t="n">
        <f aca="false">IF(AND(H81=0,J81=0),0,IF(H81=0,"New",(J81-H81)/H81))</f>
        <v>-0.683516483516484</v>
      </c>
    </row>
    <row r="82" customFormat="false" ht="15" hidden="false" customHeight="false" outlineLevel="0" collapsed="false">
      <c r="A82" s="7" t="n">
        <v>4408223</v>
      </c>
      <c r="B82" s="7" t="str">
        <f aca="false">IFERROR(INDEX('Source 2026'!$C:$C,MATCH($A82,'Source 2026'!$B:$B,0)),IFERROR(INDEX('Source 2025'!$C:$C,MATCH($A82,'Source 2025'!$B:$B,0)),""))</f>
        <v>078G-XXLחגורת גב אפורה</v>
      </c>
      <c r="C82" s="8" t="n">
        <f aca="false">SUMIFS('Source 2025'!$I:$I,'Source 2025'!$B:$B,$A82,'Source 2025'!$A:$A,"Quantity (units)")</f>
        <v>60</v>
      </c>
      <c r="D82" s="8" t="n">
        <f aca="false">SUMIFS('Source 2026'!$I:$I,'Source 2026'!$B:$B,$A82,'Source 2026'!$A:$A,"Quantity (units)")</f>
        <v>46</v>
      </c>
      <c r="E82" s="8" t="n">
        <f aca="false">D82*$J$5</f>
        <v>63.0857142857143</v>
      </c>
      <c r="F82" s="8" t="n">
        <f aca="false">E82-C82</f>
        <v>3.08571428571429</v>
      </c>
      <c r="G82" s="9" t="n">
        <f aca="false">IF(AND(C82=0,E82=0),0,IF(C82=0,"New",(E82-C82)/C82))</f>
        <v>0.0514285714285715</v>
      </c>
      <c r="H82" s="8" t="n">
        <f aca="false">SUMIFS('Source 2025'!$I:$I,'Source 2025'!$B:$B,$A82,'Source 2025'!$A:$A,"Amount (NIS)")</f>
        <v>5953.8</v>
      </c>
      <c r="I82" s="8" t="n">
        <f aca="false">SUMIFS('Source 2026'!$I:$I,'Source 2026'!$B:$B,$A82,'Source 2026'!$A:$A,"Amount (NIS)")</f>
        <v>4564.6</v>
      </c>
      <c r="J82" s="8" t="n">
        <f aca="false">I82*$J$5</f>
        <v>6260.02285714286</v>
      </c>
      <c r="K82" s="8" t="n">
        <f aca="false">J82-H82</f>
        <v>306.222857142858</v>
      </c>
      <c r="L82" s="9" t="n">
        <f aca="false">IF(AND(H82=0,J82=0),0,IF(H82=0,"New",(J82-H82)/H82))</f>
        <v>0.0514331783302862</v>
      </c>
    </row>
    <row r="83" customFormat="false" ht="15" hidden="false" customHeight="false" outlineLevel="0" collapsed="false">
      <c r="A83" s="7" t="n">
        <v>4420000</v>
      </c>
      <c r="B83" s="7" t="str">
        <f aca="false">IFERROR(INDEX('Source 2026'!$C:$C,MATCH($A83,'Source 2026'!$B:$B,0)),IFERROR(INDEX('Source 2025'!$C:$C,MATCH($A83,'Source 2025'!$B:$B,0)),""))</f>
        <v>370  רפידת נוחות-זוג</v>
      </c>
      <c r="C83" s="8" t="n">
        <f aca="false">SUMIFS('Source 2025'!$I:$I,'Source 2025'!$B:$B,$A83,'Source 2025'!$A:$A,"Quantity (units)")</f>
        <v>330</v>
      </c>
      <c r="D83" s="8" t="n">
        <f aca="false">SUMIFS('Source 2026'!$I:$I,'Source 2026'!$B:$B,$A83,'Source 2026'!$A:$A,"Quantity (units)")</f>
        <v>200</v>
      </c>
      <c r="E83" s="8" t="n">
        <f aca="false">D83*$J$5</f>
        <v>274.285714285714</v>
      </c>
      <c r="F83" s="8" t="n">
        <f aca="false">E83-C83</f>
        <v>-55.7142857142857</v>
      </c>
      <c r="G83" s="9" t="n">
        <f aca="false">IF(AND(C83=0,E83=0),0,IF(C83=0,"New",(E83-C83)/C83))</f>
        <v>-0.168831168831169</v>
      </c>
      <c r="H83" s="8" t="n">
        <f aca="false">SUMIFS('Source 2025'!$I:$I,'Source 2025'!$B:$B,$A83,'Source 2025'!$A:$A,"Amount (NIS)")</f>
        <v>3524.3</v>
      </c>
      <c r="I83" s="8" t="n">
        <f aca="false">SUMIFS('Source 2026'!$I:$I,'Source 2026'!$B:$B,$A83,'Source 2026'!$A:$A,"Amount (NIS)")</f>
        <v>2136</v>
      </c>
      <c r="J83" s="8" t="n">
        <f aca="false">I83*$J$5</f>
        <v>2929.37142857143</v>
      </c>
      <c r="K83" s="8" t="n">
        <f aca="false">J83-H83</f>
        <v>-594.928571428572</v>
      </c>
      <c r="L83" s="9" t="n">
        <f aca="false">IF(AND(H83=0,J83=0),0,IF(H83=0,"New",(J83-H83)/H83))</f>
        <v>-0.168807584890211</v>
      </c>
    </row>
    <row r="84" customFormat="false" ht="15" hidden="false" customHeight="false" outlineLevel="0" collapsed="false">
      <c r="A84" s="7" t="n">
        <v>4413283</v>
      </c>
      <c r="B84" s="7" t="str">
        <f aca="false">IFERROR(INDEX('Source 2026'!$C:$C,MATCH($A84,'Source 2026'!$B:$B,0)),IFERROR(INDEX('Source 2025'!$C:$C,MATCH($A84,'Source 2025'!$B:$B,0)),""))</f>
        <v>422E XXL מגן ברך ארוך עם כרית</v>
      </c>
      <c r="C84" s="8" t="n">
        <f aca="false">SUMIFS('Source 2025'!$I:$I,'Source 2025'!$B:$B,$A84,'Source 2025'!$A:$A,"Quantity (units)")</f>
        <v>4</v>
      </c>
      <c r="D84" s="8" t="n">
        <f aca="false">SUMIFS('Source 2026'!$I:$I,'Source 2026'!$B:$B,$A84,'Source 2026'!$A:$A,"Quantity (units)")</f>
        <v>-3</v>
      </c>
      <c r="E84" s="8" t="n">
        <f aca="false">D84*$J$5</f>
        <v>-4.11428571428571</v>
      </c>
      <c r="F84" s="8" t="n">
        <f aca="false">E84-C84</f>
        <v>-8.11428571428571</v>
      </c>
      <c r="G84" s="9" t="n">
        <f aca="false">IF(AND(C84=0,E84=0),0,IF(C84=0,"New",(E84-C84)/C84))</f>
        <v>-2.02857142857143</v>
      </c>
      <c r="H84" s="8" t="n">
        <f aca="false">SUMIFS('Source 2025'!$I:$I,'Source 2025'!$B:$B,$A84,'Source 2025'!$A:$A,"Amount (NIS)")</f>
        <v>787</v>
      </c>
      <c r="I84" s="8" t="n">
        <f aca="false">SUMIFS('Source 2026'!$I:$I,'Source 2026'!$B:$B,$A84,'Source 2026'!$A:$A,"Amount (NIS)")</f>
        <v>-590.2</v>
      </c>
      <c r="J84" s="8" t="n">
        <f aca="false">I84*$J$5</f>
        <v>-809.417142857143</v>
      </c>
      <c r="K84" s="8" t="n">
        <f aca="false">J84-H84</f>
        <v>-1596.41714285714</v>
      </c>
      <c r="L84" s="9" t="n">
        <f aca="false">IF(AND(H84=0,J84=0),0,IF(H84=0,"New",(J84-H84)/H84))</f>
        <v>-2.02848429842077</v>
      </c>
    </row>
    <row r="85" customFormat="false" ht="15" hidden="false" customHeight="false" outlineLevel="0" collapsed="false">
      <c r="A85" s="7" t="n">
        <v>4413126</v>
      </c>
      <c r="B85" s="7" t="str">
        <f aca="false">IFERROR(INDEX('Source 2026'!$C:$C,MATCH($A85,'Source 2026'!$B:$B,0)),IFERROR(INDEX('Source 2025'!$C:$C,MATCH($A85,'Source 2025'!$B:$B,0)),""))</f>
        <v>75 Sמיישר כתף יציב יישור גב צר</v>
      </c>
      <c r="C85" s="8" t="n">
        <f aca="false">SUMIFS('Source 2025'!$I:$I,'Source 2025'!$B:$B,$A85,'Source 2025'!$A:$A,"Quantity (units)")</f>
        <v>17</v>
      </c>
      <c r="D85" s="8" t="n">
        <f aca="false">SUMIFS('Source 2026'!$I:$I,'Source 2026'!$B:$B,$A85,'Source 2026'!$A:$A,"Quantity (units)")</f>
        <v>8</v>
      </c>
      <c r="E85" s="8" t="n">
        <f aca="false">D85*$J$5</f>
        <v>10.9714285714286</v>
      </c>
      <c r="F85" s="8" t="n">
        <f aca="false">E85-C85</f>
        <v>-6.02857142857143</v>
      </c>
      <c r="G85" s="9" t="n">
        <f aca="false">IF(AND(C85=0,E85=0),0,IF(C85=0,"New",(E85-C85)/C85))</f>
        <v>-0.354621848739496</v>
      </c>
      <c r="H85" s="8" t="n">
        <f aca="false">SUMIFS('Source 2025'!$I:$I,'Source 2025'!$B:$B,$A85,'Source 2025'!$A:$A,"Amount (NIS)")</f>
        <v>2399.6</v>
      </c>
      <c r="I85" s="8" t="n">
        <f aca="false">SUMIFS('Source 2026'!$I:$I,'Source 2026'!$B:$B,$A85,'Source 2026'!$A:$A,"Amount (NIS)")</f>
        <v>1051.7</v>
      </c>
      <c r="J85" s="8" t="n">
        <f aca="false">I85*$J$5</f>
        <v>1442.33142857143</v>
      </c>
      <c r="K85" s="8" t="n">
        <f aca="false">J85-H85</f>
        <v>-957.268571428571</v>
      </c>
      <c r="L85" s="9" t="n">
        <f aca="false">IF(AND(H85=0,J85=0),0,IF(H85=0,"New",(J85-H85)/H85))</f>
        <v>-0.398928392827376</v>
      </c>
    </row>
    <row r="86" customFormat="false" ht="15" hidden="false" customHeight="false" outlineLevel="0" collapsed="false">
      <c r="A86" s="7" t="n">
        <v>4413442</v>
      </c>
      <c r="B86" s="7" t="str">
        <f aca="false">IFERROR(INDEX('Source 2026'!$C:$C,MATCH($A86,'Source 2026'!$B:$B,0)),IFERROR(INDEX('Source 2025'!$C:$C,MATCH($A86,'Source 2025'!$B:$B,0)),""))</f>
        <v>SC422 XXLמגן ברך</v>
      </c>
      <c r="C86" s="8" t="n">
        <f aca="false">SUMIFS('Source 2025'!$I:$I,'Source 2025'!$B:$B,$A86,'Source 2025'!$A:$A,"Quantity (units)")</f>
        <v>0</v>
      </c>
      <c r="D86" s="8" t="n">
        <f aca="false">SUMIFS('Source 2026'!$I:$I,'Source 2026'!$B:$B,$A86,'Source 2026'!$A:$A,"Quantity (units)")</f>
        <v>9</v>
      </c>
      <c r="E86" s="8" t="n">
        <f aca="false">D86*$J$5</f>
        <v>12.3428571428571</v>
      </c>
      <c r="F86" s="8" t="n">
        <f aca="false">E86-C86</f>
        <v>12.3428571428571</v>
      </c>
      <c r="G86" s="9" t="str">
        <f aca="false">IF(AND(C86=0,E86=0),0,IF(C86=0,"New",(E86-C86)/C86))</f>
        <v>New</v>
      </c>
      <c r="H86" s="8" t="n">
        <f aca="false">SUMIFS('Source 2025'!$I:$I,'Source 2025'!$B:$B,$A86,'Source 2025'!$A:$A,"Amount (NIS)")</f>
        <v>-93.9</v>
      </c>
      <c r="I86" s="8" t="n">
        <f aca="false">SUMIFS('Source 2026'!$I:$I,'Source 2026'!$B:$B,$A86,'Source 2026'!$A:$A,"Amount (NIS)")</f>
        <v>1221.8</v>
      </c>
      <c r="J86" s="8" t="n">
        <f aca="false">I86*$J$5</f>
        <v>1675.61142857143</v>
      </c>
      <c r="K86" s="8" t="n">
        <f aca="false">J86-H86</f>
        <v>1769.51142857143</v>
      </c>
      <c r="L86" s="9" t="n">
        <f aca="false">IF(AND(H86=0,J86=0),0,IF(H86=0,"New",(J86-H86)/H86))</f>
        <v>-18.8446371519854</v>
      </c>
    </row>
    <row r="87" customFormat="false" ht="15" hidden="false" customHeight="false" outlineLevel="0" collapsed="false">
      <c r="A87" s="7" t="n">
        <v>4408148</v>
      </c>
      <c r="B87" s="7" t="str">
        <f aca="false">IFERROR(INDEX('Source 2026'!$C:$C,MATCH($A87,'Source 2026'!$B:$B,0)),IFERROR(INDEX('Source 2025'!$C:$C,MATCH($A87,'Source 2025'!$B:$B,0)),""))</f>
        <v>11PS XLחגורה למנותחי בטן</v>
      </c>
      <c r="C87" s="8" t="n">
        <f aca="false">SUMIFS('Source 2025'!$I:$I,'Source 2025'!$B:$B,$A87,'Source 2025'!$A:$A,"Quantity (units)")</f>
        <v>11</v>
      </c>
      <c r="D87" s="8" t="n">
        <f aca="false">SUMIFS('Source 2026'!$I:$I,'Source 2026'!$B:$B,$A87,'Source 2026'!$A:$A,"Quantity (units)")</f>
        <v>0</v>
      </c>
      <c r="E87" s="8" t="n">
        <f aca="false">D87*$J$5</f>
        <v>0</v>
      </c>
      <c r="F87" s="8" t="n">
        <f aca="false">E87-C87</f>
        <v>-11</v>
      </c>
      <c r="G87" s="9" t="n">
        <f aca="false">IF(AND(C87=0,E87=0),0,IF(C87=0,"New",(E87-C87)/C87))</f>
        <v>-1</v>
      </c>
      <c r="H87" s="8" t="n">
        <f aca="false">SUMIFS('Source 2025'!$I:$I,'Source 2025'!$B:$B,$A87,'Source 2025'!$A:$A,"Amount (NIS)")</f>
        <v>1305</v>
      </c>
      <c r="I87" s="8" t="n">
        <f aca="false">SUMIFS('Source 2026'!$I:$I,'Source 2026'!$B:$B,$A87,'Source 2026'!$A:$A,"Amount (NIS)")</f>
        <v>0</v>
      </c>
      <c r="J87" s="8" t="n">
        <f aca="false">I87*$J$5</f>
        <v>0</v>
      </c>
      <c r="K87" s="8" t="n">
        <f aca="false">J87-H87</f>
        <v>-1305</v>
      </c>
      <c r="L87" s="9" t="n">
        <f aca="false">IF(AND(H87=0,J87=0),0,IF(H87=0,"New",(J87-H87)/H87))</f>
        <v>-1</v>
      </c>
    </row>
    <row r="88" customFormat="false" ht="15" hidden="false" customHeight="false" outlineLevel="0" collapsed="false">
      <c r="A88" s="7" t="n">
        <v>4418000</v>
      </c>
      <c r="B88" s="7" t="str">
        <f aca="false">IFERROR(INDEX('Source 2026'!$C:$C,MATCH($A88,'Source 2026'!$B:$B,0)),IFERROR(INDEX('Source 2025'!$C:$C,MATCH($A88,'Source 2025'!$B:$B,0)),""))</f>
        <v>60 L צוארון ספוגי</v>
      </c>
      <c r="C88" s="8" t="n">
        <f aca="false">SUMIFS('Source 2025'!$I:$I,'Source 2025'!$B:$B,$A88,'Source 2025'!$A:$A,"Quantity (units)")</f>
        <v>120</v>
      </c>
      <c r="D88" s="8" t="n">
        <f aca="false">SUMIFS('Source 2026'!$I:$I,'Source 2026'!$B:$B,$A88,'Source 2026'!$A:$A,"Quantity (units)")</f>
        <v>77</v>
      </c>
      <c r="E88" s="8" t="n">
        <f aca="false">D88*$J$5</f>
        <v>105.6</v>
      </c>
      <c r="F88" s="8" t="n">
        <f aca="false">E88-C88</f>
        <v>-14.4</v>
      </c>
      <c r="G88" s="9" t="n">
        <f aca="false">IF(AND(C88=0,E88=0),0,IF(C88=0,"New",(E88-C88)/C88))</f>
        <v>-0.12</v>
      </c>
      <c r="H88" s="8" t="n">
        <f aca="false">SUMIFS('Source 2025'!$I:$I,'Source 2025'!$B:$B,$A88,'Source 2025'!$A:$A,"Amount (NIS)")</f>
        <v>3782.7</v>
      </c>
      <c r="I88" s="8" t="n">
        <f aca="false">SUMIFS('Source 2026'!$I:$I,'Source 2026'!$B:$B,$A88,'Source 2026'!$A:$A,"Amount (NIS)")</f>
        <v>2492.5</v>
      </c>
      <c r="J88" s="8" t="n">
        <f aca="false">I88*$J$5</f>
        <v>3418.28571428571</v>
      </c>
      <c r="K88" s="8" t="n">
        <f aca="false">J88-H88</f>
        <v>-364.414285714286</v>
      </c>
      <c r="L88" s="9" t="n">
        <f aca="false">IF(AND(H88=0,J88=0),0,IF(H88=0,"New",(J88-H88)/H88))</f>
        <v>-0.0963370834891177</v>
      </c>
    </row>
    <row r="89" customFormat="false" ht="15" hidden="false" customHeight="false" outlineLevel="0" collapsed="false">
      <c r="A89" s="7" t="n">
        <v>4408222</v>
      </c>
      <c r="B89" s="7" t="str">
        <f aca="false">IFERROR(INDEX('Source 2026'!$C:$C,MATCH($A89,'Source 2026'!$B:$B,0)),IFERROR(INDEX('Source 2025'!$C:$C,MATCH($A89,'Source 2025'!$B:$B,0)),""))</f>
        <v>078G-XLחגורת גב אפורה</v>
      </c>
      <c r="C89" s="8" t="n">
        <f aca="false">SUMIFS('Source 2025'!$I:$I,'Source 2025'!$B:$B,$A89,'Source 2025'!$A:$A,"Quantity (units)")</f>
        <v>97</v>
      </c>
      <c r="D89" s="8" t="n">
        <f aca="false">SUMIFS('Source 2026'!$I:$I,'Source 2026'!$B:$B,$A89,'Source 2026'!$A:$A,"Quantity (units)")</f>
        <v>110</v>
      </c>
      <c r="E89" s="8" t="n">
        <f aca="false">D89*$J$5</f>
        <v>150.857142857143</v>
      </c>
      <c r="F89" s="8" t="n">
        <f aca="false">E89-C89</f>
        <v>53.8571428571429</v>
      </c>
      <c r="G89" s="9" t="n">
        <f aca="false">IF(AND(C89=0,E89=0),0,IF(C89=0,"New",(E89-C89)/C89))</f>
        <v>0.555228276877761</v>
      </c>
      <c r="H89" s="8" t="n">
        <f aca="false">SUMIFS('Source 2025'!$I:$I,'Source 2025'!$B:$B,$A89,'Source 2025'!$A:$A,"Amount (NIS)")</f>
        <v>9625.3</v>
      </c>
      <c r="I89" s="8" t="n">
        <f aca="false">SUMIFS('Source 2026'!$I:$I,'Source 2026'!$B:$B,$A89,'Source 2026'!$A:$A,"Amount (NIS)")</f>
        <v>10915.3</v>
      </c>
      <c r="J89" s="8" t="n">
        <f aca="false">I89*$J$5</f>
        <v>14969.5542857143</v>
      </c>
      <c r="K89" s="8" t="n">
        <f aca="false">J89-H89</f>
        <v>5344.25428571429</v>
      </c>
      <c r="L89" s="9" t="n">
        <f aca="false">IF(AND(H89=0,J89=0),0,IF(H89=0,"New",(J89-H89)/H89))</f>
        <v>0.555229892648986</v>
      </c>
    </row>
    <row r="90" customFormat="false" ht="15" hidden="false" customHeight="false" outlineLevel="0" collapsed="false">
      <c r="A90" s="7" t="n">
        <v>4413127</v>
      </c>
      <c r="B90" s="7" t="str">
        <f aca="false">IFERROR(INDEX('Source 2026'!$C:$C,MATCH($A90,'Source 2026'!$B:$B,0)),IFERROR(INDEX('Source 2025'!$C:$C,MATCH($A90,'Source 2025'!$B:$B,0)),""))</f>
        <v>75 Lמיישר כתף יציב יישור גב צר</v>
      </c>
      <c r="C90" s="8" t="n">
        <f aca="false">SUMIFS('Source 2025'!$I:$I,'Source 2025'!$B:$B,$A90,'Source 2025'!$A:$A,"Quantity (units)")</f>
        <v>33</v>
      </c>
      <c r="D90" s="8" t="n">
        <f aca="false">SUMIFS('Source 2026'!$I:$I,'Source 2026'!$B:$B,$A90,'Source 2026'!$A:$A,"Quantity (units)")</f>
        <v>42</v>
      </c>
      <c r="E90" s="8" t="n">
        <f aca="false">D90*$J$5</f>
        <v>57.6</v>
      </c>
      <c r="F90" s="8" t="n">
        <f aca="false">E90-C90</f>
        <v>24.6</v>
      </c>
      <c r="G90" s="9" t="n">
        <f aca="false">IF(AND(C90=0,E90=0),0,IF(C90=0,"New",(E90-C90)/C90))</f>
        <v>0.745454545454546</v>
      </c>
      <c r="H90" s="8" t="n">
        <f aca="false">SUMIFS('Source 2025'!$I:$I,'Source 2025'!$B:$B,$A90,'Source 2025'!$A:$A,"Amount (NIS)")</f>
        <v>4658</v>
      </c>
      <c r="I90" s="8" t="n">
        <f aca="false">SUMIFS('Source 2026'!$I:$I,'Source 2026'!$B:$B,$A90,'Source 2026'!$A:$A,"Amount (NIS)")</f>
        <v>5928.3</v>
      </c>
      <c r="J90" s="8" t="n">
        <f aca="false">I90*$J$5</f>
        <v>8130.24</v>
      </c>
      <c r="K90" s="8" t="n">
        <f aca="false">J90-H90</f>
        <v>3472.24</v>
      </c>
      <c r="L90" s="9" t="n">
        <f aca="false">IF(AND(H90=0,J90=0),0,IF(H90=0,"New",(J90-H90)/H90))</f>
        <v>0.745435809360241</v>
      </c>
    </row>
    <row r="91" customFormat="false" ht="15" hidden="false" customHeight="false" outlineLevel="0" collapsed="false">
      <c r="A91" s="7" t="n">
        <v>4408115</v>
      </c>
      <c r="B91" s="7" t="str">
        <f aca="false">IFERROR(INDEX('Source 2026'!$C:$C,MATCH($A91,'Source 2026'!$B:$B,0)),IFERROR(INDEX('Source 2025'!$C:$C,MATCH($A91,'Source 2025'!$B:$B,0)),""))</f>
        <v>11EU L ח.בטן לאחר ניתוח</v>
      </c>
      <c r="C91" s="8" t="n">
        <f aca="false">SUMIFS('Source 2025'!$I:$I,'Source 2025'!$B:$B,$A91,'Source 2025'!$A:$A,"Quantity (units)")</f>
        <v>11</v>
      </c>
      <c r="D91" s="8" t="n">
        <f aca="false">SUMIFS('Source 2026'!$I:$I,'Source 2026'!$B:$B,$A91,'Source 2026'!$A:$A,"Quantity (units)")</f>
        <v>24</v>
      </c>
      <c r="E91" s="8" t="n">
        <f aca="false">D91*$J$5</f>
        <v>32.9142857142857</v>
      </c>
      <c r="F91" s="8" t="n">
        <f aca="false">E91-C91</f>
        <v>21.9142857142857</v>
      </c>
      <c r="G91" s="9" t="n">
        <f aca="false">IF(AND(C91=0,E91=0),0,IF(C91=0,"New",(E91-C91)/C91))</f>
        <v>1.99220779220779</v>
      </c>
      <c r="H91" s="8" t="n">
        <f aca="false">SUMIFS('Source 2025'!$I:$I,'Source 2025'!$B:$B,$A91,'Source 2025'!$A:$A,"Amount (NIS)")</f>
        <v>1067.3</v>
      </c>
      <c r="I91" s="8" t="n">
        <f aca="false">SUMIFS('Source 2026'!$I:$I,'Source 2026'!$B:$B,$A91,'Source 2026'!$A:$A,"Amount (NIS)")</f>
        <v>2328.7</v>
      </c>
      <c r="J91" s="8" t="n">
        <f aca="false">I91*$J$5</f>
        <v>3193.64571428571</v>
      </c>
      <c r="K91" s="8" t="n">
        <f aca="false">J91-H91</f>
        <v>2126.34571428571</v>
      </c>
      <c r="L91" s="9" t="n">
        <f aca="false">IF(AND(H91=0,J91=0),0,IF(H91=0,"New",(J91-H91)/H91))</f>
        <v>1.99226619908715</v>
      </c>
    </row>
    <row r="92" customFormat="false" ht="15" hidden="false" customHeight="false" outlineLevel="0" collapsed="false">
      <c r="A92" s="7" t="n">
        <v>4411000</v>
      </c>
      <c r="B92" s="7" t="str">
        <f aca="false">IFERROR(INDEX('Source 2026'!$C:$C,MATCH($A92,'Source 2026'!$B:$B,0)),IFERROR(INDEX('Source 2025'!$C:$C,MATCH($A92,'Source 2025'!$B:$B,0)),""))</f>
        <v>כרית מטטרזלי סיליקון362</v>
      </c>
      <c r="C92" s="8" t="n">
        <f aca="false">SUMIFS('Source 2025'!$I:$I,'Source 2025'!$B:$B,$A92,'Source 2025'!$A:$A,"Quantity (units)")</f>
        <v>155</v>
      </c>
      <c r="D92" s="8" t="n">
        <f aca="false">SUMIFS('Source 2026'!$I:$I,'Source 2026'!$B:$B,$A92,'Source 2026'!$A:$A,"Quantity (units)")</f>
        <v>105</v>
      </c>
      <c r="E92" s="8" t="n">
        <f aca="false">D92*$J$5</f>
        <v>144</v>
      </c>
      <c r="F92" s="8" t="n">
        <f aca="false">E92-C92</f>
        <v>-11</v>
      </c>
      <c r="G92" s="9" t="n">
        <f aca="false">IF(AND(C92=0,E92=0),0,IF(C92=0,"New",(E92-C92)/C92))</f>
        <v>-0.0709677419354839</v>
      </c>
      <c r="H92" s="8" t="n">
        <f aca="false">SUMIFS('Source 2025'!$I:$I,'Source 2025'!$B:$B,$A92,'Source 2025'!$A:$A,"Amount (NIS)")</f>
        <v>3879.9</v>
      </c>
      <c r="I92" s="8" t="n">
        <f aca="false">SUMIFS('Source 2026'!$I:$I,'Source 2026'!$B:$B,$A92,'Source 2026'!$A:$A,"Amount (NIS)")</f>
        <v>2628.3</v>
      </c>
      <c r="J92" s="8" t="n">
        <f aca="false">I92*$J$5</f>
        <v>3604.52571428571</v>
      </c>
      <c r="K92" s="8" t="n">
        <f aca="false">J92-H92</f>
        <v>-275.374285714286</v>
      </c>
      <c r="L92" s="9" t="n">
        <f aca="false">IF(AND(H92=0,J92=0),0,IF(H92=0,"New",(J92-H92)/H92))</f>
        <v>-0.070974583291911</v>
      </c>
    </row>
    <row r="93" customFormat="false" ht="15" hidden="false" customHeight="false" outlineLevel="0" collapsed="false">
      <c r="A93" s="7" t="n">
        <v>4422024</v>
      </c>
      <c r="B93" s="7" t="str">
        <f aca="false">IFERROR(INDEX('Source 2026'!$C:$C,MATCH($A93,'Source 2026'!$B:$B,0)),IFERROR(INDEX('Source 2025'!$C:$C,MATCH($A93,'Source 2025'!$B:$B,0)),""))</f>
        <v>806CB-BLACK      תחבושת א.נצמ</v>
      </c>
      <c r="C93" s="8" t="n">
        <f aca="false">SUMIFS('Source 2025'!$I:$I,'Source 2025'!$B:$B,$A93,'Source 2025'!$A:$A,"Quantity (units)")</f>
        <v>602</v>
      </c>
      <c r="D93" s="8" t="n">
        <f aca="false">SUMIFS('Source 2026'!$I:$I,'Source 2026'!$B:$B,$A93,'Source 2026'!$A:$A,"Quantity (units)")</f>
        <v>490</v>
      </c>
      <c r="E93" s="8" t="n">
        <f aca="false">D93*$J$5</f>
        <v>672</v>
      </c>
      <c r="F93" s="8" t="n">
        <f aca="false">E93-C93</f>
        <v>70</v>
      </c>
      <c r="G93" s="9" t="n">
        <f aca="false">IF(AND(C93=0,E93=0),0,IF(C93=0,"New",(E93-C93)/C93))</f>
        <v>0.116279069767442</v>
      </c>
      <c r="H93" s="8" t="n">
        <f aca="false">SUMIFS('Source 2025'!$I:$I,'Source 2025'!$B:$B,$A93,'Source 2025'!$A:$A,"Amount (NIS)")</f>
        <v>6613.9</v>
      </c>
      <c r="I93" s="8" t="n">
        <f aca="false">SUMIFS('Source 2026'!$I:$I,'Source 2026'!$B:$B,$A93,'Source 2026'!$A:$A,"Amount (NIS)")</f>
        <v>5384.1</v>
      </c>
      <c r="J93" s="8" t="n">
        <f aca="false">I93*$J$5</f>
        <v>7383.90857142857</v>
      </c>
      <c r="K93" s="8" t="n">
        <f aca="false">J93-H93</f>
        <v>770.008571428572</v>
      </c>
      <c r="L93" s="9" t="n">
        <f aca="false">IF(AND(H93=0,J93=0),0,IF(H93=0,"New",(J93-H93)/H93))</f>
        <v>0.116422771954304</v>
      </c>
    </row>
    <row r="94" customFormat="false" ht="15" hidden="false" customHeight="false" outlineLevel="0" collapsed="false">
      <c r="A94" s="7" t="n">
        <v>4408033</v>
      </c>
      <c r="B94" s="7" t="str">
        <f aca="false">IFERROR(INDEX('Source 2026'!$C:$C,MATCH($A94,'Source 2026'!$B:$B,0)),IFERROR(INDEX('Source 2025'!$C:$C,MATCH($A94,'Source 2025'!$B:$B,0)),""))</f>
        <v>11 M""חגורת בטן""אורירית</v>
      </c>
      <c r="C94" s="8" t="n">
        <f aca="false">SUMIFS('Source 2025'!$I:$I,'Source 2025'!$B:$B,$A94,'Source 2025'!$A:$A,"Quantity (units)")</f>
        <v>47</v>
      </c>
      <c r="D94" s="8" t="n">
        <f aca="false">SUMIFS('Source 2026'!$I:$I,'Source 2026'!$B:$B,$A94,'Source 2026'!$A:$A,"Quantity (units)")</f>
        <v>33</v>
      </c>
      <c r="E94" s="8" t="n">
        <f aca="false">D94*$J$5</f>
        <v>45.2571428571429</v>
      </c>
      <c r="F94" s="8" t="n">
        <f aca="false">E94-C94</f>
        <v>-1.74285714285714</v>
      </c>
      <c r="G94" s="9" t="n">
        <f aca="false">IF(AND(C94=0,E94=0),0,IF(C94=0,"New",(E94-C94)/C94))</f>
        <v>-0.0370820668693009</v>
      </c>
      <c r="H94" s="8" t="n">
        <f aca="false">SUMIFS('Source 2025'!$I:$I,'Source 2025'!$B:$B,$A94,'Source 2025'!$A:$A,"Amount (NIS)")</f>
        <v>4394.1</v>
      </c>
      <c r="I94" s="8" t="n">
        <f aca="false">SUMIFS('Source 2026'!$I:$I,'Source 2026'!$B:$B,$A94,'Source 2026'!$A:$A,"Amount (NIS)")</f>
        <v>3202</v>
      </c>
      <c r="J94" s="8" t="n">
        <f aca="false">I94*$J$5</f>
        <v>4391.31428571429</v>
      </c>
      <c r="K94" s="8" t="n">
        <f aca="false">J94-H94</f>
        <v>-2.78571428571468</v>
      </c>
      <c r="L94" s="9" t="n">
        <f aca="false">IF(AND(H94=0,J94=0),0,IF(H94=0,"New",(J94-H94)/H94))</f>
        <v>-0.00063396697519735</v>
      </c>
    </row>
    <row r="95" customFormat="false" ht="15" hidden="false" customHeight="false" outlineLevel="0" collapsed="false">
      <c r="A95" s="7" t="n">
        <v>4413161</v>
      </c>
      <c r="B95" s="7" t="str">
        <f aca="false">IFERROR(INDEX('Source 2026'!$C:$C,MATCH($A95,'Source 2026'!$B:$B,0)),IFERROR(INDEX('Source 2025'!$C:$C,MATCH($A95,'Source 2025'!$B:$B,0)),""))</f>
        <v>34+ L מגן קרסול עקב סגור+רצוע</v>
      </c>
      <c r="C95" s="8" t="n">
        <f aca="false">SUMIFS('Source 2025'!$I:$I,'Source 2025'!$B:$B,$A95,'Source 2025'!$A:$A,"Quantity (units)")</f>
        <v>152</v>
      </c>
      <c r="D95" s="8" t="n">
        <f aca="false">SUMIFS('Source 2026'!$I:$I,'Source 2026'!$B:$B,$A95,'Source 2026'!$A:$A,"Quantity (units)")</f>
        <v>132</v>
      </c>
      <c r="E95" s="8" t="n">
        <f aca="false">D95*$J$5</f>
        <v>181.028571428571</v>
      </c>
      <c r="F95" s="8" t="n">
        <f aca="false">E95-C95</f>
        <v>29.0285714285714</v>
      </c>
      <c r="G95" s="9" t="n">
        <f aca="false">IF(AND(C95=0,E95=0),0,IF(C95=0,"New",(E95-C95)/C95))</f>
        <v>0.190977443609023</v>
      </c>
      <c r="H95" s="8" t="n">
        <f aca="false">SUMIFS('Source 2025'!$I:$I,'Source 2025'!$B:$B,$A95,'Source 2025'!$A:$A,"Amount (NIS)")</f>
        <v>8711.1</v>
      </c>
      <c r="I95" s="8" t="n">
        <f aca="false">SUMIFS('Source 2026'!$I:$I,'Source 2026'!$B:$B,$A95,'Source 2026'!$A:$A,"Amount (NIS)")</f>
        <v>7564.9</v>
      </c>
      <c r="J95" s="8" t="n">
        <f aca="false">I95*$J$5</f>
        <v>10374.72</v>
      </c>
      <c r="K95" s="8" t="n">
        <f aca="false">J95-H95</f>
        <v>1663.62</v>
      </c>
      <c r="L95" s="9" t="n">
        <f aca="false">IF(AND(H95=0,J95=0),0,IF(H95=0,"New",(J95-H95)/H95))</f>
        <v>0.190977029307435</v>
      </c>
    </row>
    <row r="96" customFormat="false" ht="15" hidden="false" customHeight="false" outlineLevel="0" collapsed="false">
      <c r="A96" s="7" t="n">
        <v>4420002</v>
      </c>
      <c r="B96" s="7" t="str">
        <f aca="false">IFERROR(INDEX('Source 2026'!$C:$C,MATCH($A96,'Source 2026'!$B:$B,0)),IFERROR(INDEX('Source 2025'!$C:$C,MATCH($A96,'Source 2025'!$B:$B,0)),""))</f>
        <v>372 רפידת אנטי ריח -זוג</v>
      </c>
      <c r="C96" s="8" t="n">
        <f aca="false">SUMIFS('Source 2025'!$I:$I,'Source 2025'!$B:$B,$A96,'Source 2025'!$A:$A,"Quantity (units)")</f>
        <v>234</v>
      </c>
      <c r="D96" s="8" t="n">
        <f aca="false">SUMIFS('Source 2026'!$I:$I,'Source 2026'!$B:$B,$A96,'Source 2026'!$A:$A,"Quantity (units)")</f>
        <v>151</v>
      </c>
      <c r="E96" s="8" t="n">
        <f aca="false">D96*$J$5</f>
        <v>207.085714285714</v>
      </c>
      <c r="F96" s="8" t="n">
        <f aca="false">E96-C96</f>
        <v>-26.9142857142857</v>
      </c>
      <c r="G96" s="9" t="n">
        <f aca="false">IF(AND(C96=0,E96=0),0,IF(C96=0,"New",(E96-C96)/C96))</f>
        <v>-0.115018315018315</v>
      </c>
      <c r="H96" s="8" t="n">
        <f aca="false">SUMIFS('Source 2025'!$I:$I,'Source 2025'!$B:$B,$A96,'Source 2025'!$A:$A,"Amount (NIS)")</f>
        <v>3171.7</v>
      </c>
      <c r="I96" s="8" t="n">
        <f aca="false">SUMIFS('Source 2026'!$I:$I,'Source 2026'!$B:$B,$A96,'Source 2026'!$A:$A,"Amount (NIS)")</f>
        <v>2047.6</v>
      </c>
      <c r="J96" s="8" t="n">
        <f aca="false">I96*$J$5</f>
        <v>2808.13714285714</v>
      </c>
      <c r="K96" s="8" t="n">
        <f aca="false">J96-H96</f>
        <v>-363.562857142857</v>
      </c>
      <c r="L96" s="9" t="n">
        <f aca="false">IF(AND(H96=0,J96=0),0,IF(H96=0,"New",(J96-H96)/H96))</f>
        <v>-0.114627126507191</v>
      </c>
    </row>
    <row r="97" customFormat="false" ht="15" hidden="false" customHeight="false" outlineLevel="0" collapsed="false">
      <c r="A97" s="7" t="n">
        <v>4420016</v>
      </c>
      <c r="B97" s="7" t="str">
        <f aca="false">IFERROR(INDEX('Source 2026'!$C:$C,MATCH($A97,'Source 2026'!$B:$B,0)),IFERROR(INDEX('Source 2025'!$C:$C,MATCH($A97,'Source 2025'!$B:$B,0)),""))</f>
        <v>40-רצועת פיקה לברך</v>
      </c>
      <c r="C97" s="8" t="n">
        <f aca="false">SUMIFS('Source 2025'!$I:$I,'Source 2025'!$B:$B,$A97,'Source 2025'!$A:$A,"Quantity (units)")</f>
        <v>56</v>
      </c>
      <c r="D97" s="8" t="n">
        <f aca="false">SUMIFS('Source 2026'!$I:$I,'Source 2026'!$B:$B,$A97,'Source 2026'!$A:$A,"Quantity (units)")</f>
        <v>33</v>
      </c>
      <c r="E97" s="8" t="n">
        <f aca="false">D97*$J$5</f>
        <v>45.2571428571429</v>
      </c>
      <c r="F97" s="8" t="n">
        <f aca="false">E97-C97</f>
        <v>-10.7428571428571</v>
      </c>
      <c r="G97" s="9" t="n">
        <f aca="false">IF(AND(C97=0,E97=0),0,IF(C97=0,"New",(E97-C97)/C97))</f>
        <v>-0.191836734693878</v>
      </c>
      <c r="H97" s="8" t="n">
        <f aca="false">SUMIFS('Source 2025'!$I:$I,'Source 2025'!$B:$B,$A97,'Source 2025'!$A:$A,"Amount (NIS)")</f>
        <v>2715.4</v>
      </c>
      <c r="I97" s="8" t="n">
        <f aca="false">SUMIFS('Source 2026'!$I:$I,'Source 2026'!$B:$B,$A97,'Source 2026'!$A:$A,"Amount (NIS)")</f>
        <v>1600.2</v>
      </c>
      <c r="J97" s="8" t="n">
        <f aca="false">I97*$J$5</f>
        <v>2194.56</v>
      </c>
      <c r="K97" s="8" t="n">
        <f aca="false">J97-H97</f>
        <v>-520.84</v>
      </c>
      <c r="L97" s="9" t="n">
        <f aca="false">IF(AND(H97=0,J97=0),0,IF(H97=0,"New",(J97-H97)/H97))</f>
        <v>-0.191809678132135</v>
      </c>
    </row>
    <row r="98" customFormat="false" ht="15" hidden="false" customHeight="false" outlineLevel="0" collapsed="false">
      <c r="A98" s="7" t="n">
        <v>4408219</v>
      </c>
      <c r="B98" s="7" t="str">
        <f aca="false">IFERROR(INDEX('Source 2026'!$C:$C,MATCH($A98,'Source 2026'!$B:$B,0)),IFERROR(INDEX('Source 2025'!$C:$C,MATCH($A98,'Source 2025'!$B:$B,0)),""))</f>
        <v>078G-S חגורת גב אפורה</v>
      </c>
      <c r="C98" s="8" t="n">
        <f aca="false">SUMIFS('Source 2025'!$I:$I,'Source 2025'!$B:$B,$A98,'Source 2025'!$A:$A,"Quantity (units)")</f>
        <v>18</v>
      </c>
      <c r="D98" s="8" t="n">
        <f aca="false">SUMIFS('Source 2026'!$I:$I,'Source 2026'!$B:$B,$A98,'Source 2026'!$A:$A,"Quantity (units)")</f>
        <v>27</v>
      </c>
      <c r="E98" s="8" t="n">
        <f aca="false">D98*$J$5</f>
        <v>37.0285714285714</v>
      </c>
      <c r="F98" s="8" t="n">
        <f aca="false">E98-C98</f>
        <v>19.0285714285714</v>
      </c>
      <c r="G98" s="9" t="n">
        <f aca="false">IF(AND(C98=0,E98=0),0,IF(C98=0,"New",(E98-C98)/C98))</f>
        <v>1.05714285714286</v>
      </c>
      <c r="H98" s="8" t="n">
        <f aca="false">SUMIFS('Source 2025'!$I:$I,'Source 2025'!$B:$B,$A98,'Source 2025'!$A:$A,"Amount (NIS)")</f>
        <v>1603.4</v>
      </c>
      <c r="I98" s="8" t="n">
        <f aca="false">SUMIFS('Source 2026'!$I:$I,'Source 2026'!$B:$B,$A98,'Source 2026'!$A:$A,"Amount (NIS)")</f>
        <v>2679.2</v>
      </c>
      <c r="J98" s="8" t="n">
        <f aca="false">I98*$J$5</f>
        <v>3674.33142857143</v>
      </c>
      <c r="K98" s="8" t="n">
        <f aca="false">J98-H98</f>
        <v>2070.93142857143</v>
      </c>
      <c r="L98" s="9" t="n">
        <f aca="false">IF(AND(H98=0,J98=0),0,IF(H98=0,"New",(J98-H98)/H98))</f>
        <v>1.29158751937846</v>
      </c>
    </row>
    <row r="99" customFormat="false" ht="15" hidden="false" customHeight="false" outlineLevel="0" collapsed="false">
      <c r="A99" s="7" t="n">
        <v>4413058</v>
      </c>
      <c r="B99" s="7" t="str">
        <f aca="false">IFERROR(INDEX('Source 2026'!$C:$C,MATCH($A99,'Source 2026'!$B:$B,0)),IFERROR(INDEX('Source 2025'!$C:$C,MATCH($A99,'Source 2025'!$B:$B,0)),""))</f>
        <v>3622S מדבקה לשחרור לחץ 2 יח</v>
      </c>
      <c r="C99" s="8" t="n">
        <f aca="false">SUMIFS('Source 2025'!$I:$I,'Source 2025'!$B:$B,$A99,'Source 2025'!$A:$A,"Quantity (units)")</f>
        <v>84</v>
      </c>
      <c r="D99" s="8" t="n">
        <f aca="false">SUMIFS('Source 2026'!$I:$I,'Source 2026'!$B:$B,$A99,'Source 2026'!$A:$A,"Quantity (units)")</f>
        <v>47</v>
      </c>
      <c r="E99" s="8" t="n">
        <f aca="false">D99*$J$5</f>
        <v>64.4571428571429</v>
      </c>
      <c r="F99" s="8" t="n">
        <f aca="false">E99-C99</f>
        <v>-19.5428571428571</v>
      </c>
      <c r="G99" s="9" t="n">
        <f aca="false">IF(AND(C99=0,E99=0),0,IF(C99=0,"New",(E99-C99)/C99))</f>
        <v>-0.23265306122449</v>
      </c>
      <c r="H99" s="8" t="n">
        <f aca="false">SUMIFS('Source 2025'!$I:$I,'Source 2025'!$B:$B,$A99,'Source 2025'!$A:$A,"Amount (NIS)")</f>
        <v>2425.4</v>
      </c>
      <c r="I99" s="8" t="n">
        <f aca="false">SUMIFS('Source 2026'!$I:$I,'Source 2026'!$B:$B,$A99,'Source 2026'!$A:$A,"Amount (NIS)")</f>
        <v>1357.1</v>
      </c>
      <c r="J99" s="8" t="n">
        <f aca="false">I99*$J$5</f>
        <v>1861.16571428571</v>
      </c>
      <c r="K99" s="8" t="n">
        <f aca="false">J99-H99</f>
        <v>-564.234285714286</v>
      </c>
      <c r="L99" s="9" t="n">
        <f aca="false">IF(AND(H99=0,J99=0),0,IF(H99=0,"New",(J99-H99)/H99))</f>
        <v>-0.23263555937754</v>
      </c>
    </row>
    <row r="100" customFormat="false" ht="15" hidden="false" customHeight="false" outlineLevel="0" collapsed="false">
      <c r="A100" s="7" t="n">
        <v>4408149</v>
      </c>
      <c r="B100" s="7" t="str">
        <f aca="false">IFERROR(INDEX('Source 2026'!$C:$C,MATCH($A100,'Source 2026'!$B:$B,0)),IFERROR(INDEX('Source 2025'!$C:$C,MATCH($A100,'Source 2025'!$B:$B,0)),""))</f>
        <v>11PS XXLחגורה למנותחי בטן</v>
      </c>
      <c r="C100" s="8" t="n">
        <f aca="false">SUMIFS('Source 2025'!$I:$I,'Source 2025'!$B:$B,$A100,'Source 2025'!$A:$A,"Quantity (units)")</f>
        <v>12</v>
      </c>
      <c r="D100" s="8" t="n">
        <f aca="false">SUMIFS('Source 2026'!$I:$I,'Source 2026'!$B:$B,$A100,'Source 2026'!$A:$A,"Quantity (units)")</f>
        <v>3</v>
      </c>
      <c r="E100" s="8" t="n">
        <f aca="false">D100*$J$5</f>
        <v>4.11428571428571</v>
      </c>
      <c r="F100" s="8" t="n">
        <f aca="false">E100-C100</f>
        <v>-7.88571428571429</v>
      </c>
      <c r="G100" s="9" t="n">
        <f aca="false">IF(AND(C100=0,E100=0),0,IF(C100=0,"New",(E100-C100)/C100))</f>
        <v>-0.657142857142857</v>
      </c>
      <c r="H100" s="8" t="n">
        <f aca="false">SUMIFS('Source 2025'!$I:$I,'Source 2025'!$B:$B,$A100,'Source 2025'!$A:$A,"Amount (NIS)")</f>
        <v>1423.7</v>
      </c>
      <c r="I100" s="8" t="n">
        <f aca="false">SUMIFS('Source 2026'!$I:$I,'Source 2026'!$B:$B,$A100,'Source 2026'!$A:$A,"Amount (NIS)")</f>
        <v>355.9</v>
      </c>
      <c r="J100" s="8" t="n">
        <f aca="false">I100*$J$5</f>
        <v>488.091428571429</v>
      </c>
      <c r="K100" s="8" t="n">
        <f aca="false">J100-H100</f>
        <v>-935.608571428572</v>
      </c>
      <c r="L100" s="9" t="n">
        <f aca="false">IF(AND(H100=0,J100=0),0,IF(H100=0,"New",(J100-H100)/H100))</f>
        <v>-0.657166939262887</v>
      </c>
    </row>
    <row r="101" customFormat="false" ht="15" hidden="false" customHeight="false" outlineLevel="0" collapsed="false">
      <c r="A101" s="7" t="n">
        <v>4413372</v>
      </c>
      <c r="B101" s="7" t="str">
        <f aca="false">IFERROR(INDEX('Source 2026'!$C:$C,MATCH($A101,'Source 2026'!$B:$B,0)),IFERROR(INDEX('Source 2025'!$C:$C,MATCH($A101,'Source 2025'!$B:$B,0)),""))</f>
        <v>302 W מדרס לאישה</v>
      </c>
      <c r="C101" s="8" t="n">
        <f aca="false">SUMIFS('Source 2025'!$I:$I,'Source 2025'!$B:$B,$A101,'Source 2025'!$A:$A,"Quantity (units)")</f>
        <v>99</v>
      </c>
      <c r="D101" s="8" t="n">
        <f aca="false">SUMIFS('Source 2026'!$I:$I,'Source 2026'!$B:$B,$A101,'Source 2026'!$A:$A,"Quantity (units)")</f>
        <v>82</v>
      </c>
      <c r="E101" s="8" t="n">
        <f aca="false">D101*$J$5</f>
        <v>112.457142857143</v>
      </c>
      <c r="F101" s="8" t="n">
        <f aca="false">E101-C101</f>
        <v>13.4571428571429</v>
      </c>
      <c r="G101" s="9" t="n">
        <f aca="false">IF(AND(C101=0,E101=0),0,IF(C101=0,"New",(E101-C101)/C101))</f>
        <v>0.135930735930736</v>
      </c>
      <c r="H101" s="8" t="n">
        <f aca="false">SUMIFS('Source 2025'!$I:$I,'Source 2025'!$B:$B,$A101,'Source 2025'!$A:$A,"Amount (NIS)")</f>
        <v>6382</v>
      </c>
      <c r="I101" s="8" t="n">
        <f aca="false">SUMIFS('Source 2026'!$I:$I,'Source 2026'!$B:$B,$A101,'Source 2026'!$A:$A,"Amount (NIS)")</f>
        <v>5323.1</v>
      </c>
      <c r="J101" s="8" t="n">
        <f aca="false">I101*$J$5</f>
        <v>7300.25142857143</v>
      </c>
      <c r="K101" s="8" t="n">
        <f aca="false">J101-H101</f>
        <v>918.251428571429</v>
      </c>
      <c r="L101" s="9" t="n">
        <f aca="false">IF(AND(H101=0,J101=0),0,IF(H101=0,"New",(J101-H101)/H101))</f>
        <v>0.143881452298876</v>
      </c>
    </row>
    <row r="102" customFormat="false" ht="15" hidden="false" customHeight="false" outlineLevel="0" collapsed="false">
      <c r="A102" s="7" t="n">
        <v>4413453</v>
      </c>
      <c r="B102" s="7" t="str">
        <f aca="false">IFERROR(INDEX('Source 2026'!$C:$C,MATCH($A102,'Source 2026'!$B:$B,0)),IFERROR(INDEX('Source 2025'!$C:$C,MATCH($A102,'Source 2025'!$B:$B,0)),""))</f>
        <v>AC75 מישר כתפיים אקטיב</v>
      </c>
      <c r="C102" s="8" t="n">
        <f aca="false">SUMIFS('Source 2025'!$I:$I,'Source 2025'!$B:$B,$A102,'Source 2025'!$A:$A,"Quantity (units)")</f>
        <v>66</v>
      </c>
      <c r="D102" s="8" t="n">
        <f aca="false">SUMIFS('Source 2026'!$I:$I,'Source 2026'!$B:$B,$A102,'Source 2026'!$A:$A,"Quantity (units)")</f>
        <v>79</v>
      </c>
      <c r="E102" s="8" t="n">
        <f aca="false">D102*$J$5</f>
        <v>108.342857142857</v>
      </c>
      <c r="F102" s="8" t="n">
        <f aca="false">E102-C102</f>
        <v>42.3428571428571</v>
      </c>
      <c r="G102" s="9" t="n">
        <f aca="false">IF(AND(C102=0,E102=0),0,IF(C102=0,"New",(E102-C102)/C102))</f>
        <v>0.641558441558442</v>
      </c>
      <c r="H102" s="8" t="n">
        <f aca="false">SUMIFS('Source 2025'!$I:$I,'Source 2025'!$B:$B,$A102,'Source 2025'!$A:$A,"Amount (NIS)")</f>
        <v>5247</v>
      </c>
      <c r="I102" s="8" t="n">
        <f aca="false">SUMIFS('Source 2026'!$I:$I,'Source 2026'!$B:$B,$A102,'Source 2026'!$A:$A,"Amount (NIS)")</f>
        <v>6280.5</v>
      </c>
      <c r="J102" s="8" t="n">
        <f aca="false">I102*$J$5</f>
        <v>8613.25714285714</v>
      </c>
      <c r="K102" s="8" t="n">
        <f aca="false">J102-H102</f>
        <v>3366.25714285714</v>
      </c>
      <c r="L102" s="9" t="n">
        <f aca="false">IF(AND(H102=0,J102=0),0,IF(H102=0,"New",(J102-H102)/H102))</f>
        <v>0.641558441558442</v>
      </c>
    </row>
    <row r="103" customFormat="false" ht="15" hidden="false" customHeight="false" outlineLevel="0" collapsed="false">
      <c r="A103" s="7" t="n">
        <v>4408035</v>
      </c>
      <c r="B103" s="7" t="str">
        <f aca="false">IFERROR(INDEX('Source 2026'!$C:$C,MATCH($A103,'Source 2026'!$B:$B,0)),IFERROR(INDEX('Source 2025'!$C:$C,MATCH($A103,'Source 2025'!$B:$B,0)),""))</f>
        <v>11 XXL""חגורת בטן""אורירית</v>
      </c>
      <c r="C103" s="8" t="n">
        <f aca="false">SUMIFS('Source 2025'!$I:$I,'Source 2025'!$B:$B,$A103,'Source 2025'!$A:$A,"Quantity (units)")</f>
        <v>28</v>
      </c>
      <c r="D103" s="8" t="n">
        <f aca="false">SUMIFS('Source 2026'!$I:$I,'Source 2026'!$B:$B,$A103,'Source 2026'!$A:$A,"Quantity (units)")</f>
        <v>37</v>
      </c>
      <c r="E103" s="8" t="n">
        <f aca="false">D103*$J$5</f>
        <v>50.7428571428571</v>
      </c>
      <c r="F103" s="8" t="n">
        <f aca="false">E103-C103</f>
        <v>22.7428571428571</v>
      </c>
      <c r="G103" s="9" t="n">
        <f aca="false">IF(AND(C103=0,E103=0),0,IF(C103=0,"New",(E103-C103)/C103))</f>
        <v>0.812244897959184</v>
      </c>
      <c r="H103" s="8" t="n">
        <f aca="false">SUMIFS('Source 2025'!$I:$I,'Source 2025'!$B:$B,$A103,'Source 2025'!$A:$A,"Amount (NIS)")</f>
        <v>2557.4</v>
      </c>
      <c r="I103" s="8" t="n">
        <f aca="false">SUMIFS('Source 2026'!$I:$I,'Source 2026'!$B:$B,$A103,'Source 2026'!$A:$A,"Amount (NIS)")</f>
        <v>3590.1</v>
      </c>
      <c r="J103" s="8" t="n">
        <f aca="false">I103*$J$5</f>
        <v>4923.56571428571</v>
      </c>
      <c r="K103" s="8" t="n">
        <f aca="false">J103-H103</f>
        <v>2366.16571428571</v>
      </c>
      <c r="L103" s="9" t="n">
        <f aca="false">IF(AND(H103=0,J103=0),0,IF(H103=0,"New",(J103-H103)/H103))</f>
        <v>0.925223161916679</v>
      </c>
    </row>
    <row r="104" customFormat="false" ht="15" hidden="false" customHeight="false" outlineLevel="0" collapsed="false">
      <c r="A104" s="7" t="n">
        <v>4413129</v>
      </c>
      <c r="B104" s="7" t="str">
        <f aca="false">IFERROR(INDEX('Source 2026'!$C:$C,MATCH($A104,'Source 2026'!$B:$B,0)),IFERROR(INDEX('Source 2025'!$C:$C,MATCH($A104,'Source 2025'!$B:$B,0)),""))</f>
        <v>75 XLמיישר כתף יציב יישור ג.צר</v>
      </c>
      <c r="C104" s="8" t="n">
        <f aca="false">SUMIFS('Source 2025'!$I:$I,'Source 2025'!$B:$B,$A104,'Source 2025'!$A:$A,"Quantity (units)")</f>
        <v>22</v>
      </c>
      <c r="D104" s="8" t="n">
        <f aca="false">SUMIFS('Source 2026'!$I:$I,'Source 2026'!$B:$B,$A104,'Source 2026'!$A:$A,"Quantity (units)")</f>
        <v>15</v>
      </c>
      <c r="E104" s="8" t="n">
        <f aca="false">D104*$J$5</f>
        <v>20.5714285714286</v>
      </c>
      <c r="F104" s="8" t="n">
        <f aca="false">E104-C104</f>
        <v>-1.42857142857143</v>
      </c>
      <c r="G104" s="9" t="n">
        <f aca="false">IF(AND(C104=0,E104=0),0,IF(C104=0,"New",(E104-C104)/C104))</f>
        <v>-0.0649350649350649</v>
      </c>
      <c r="H104" s="8" t="n">
        <f aca="false">SUMIFS('Source 2025'!$I:$I,'Source 2025'!$B:$B,$A104,'Source 2025'!$A:$A,"Amount (NIS)")</f>
        <v>3105.3</v>
      </c>
      <c r="I104" s="8" t="n">
        <f aca="false">SUMIFS('Source 2026'!$I:$I,'Source 2026'!$B:$B,$A104,'Source 2026'!$A:$A,"Amount (NIS)")</f>
        <v>2117.3</v>
      </c>
      <c r="J104" s="8" t="n">
        <f aca="false">I104*$J$5</f>
        <v>2903.72571428571</v>
      </c>
      <c r="K104" s="8" t="n">
        <f aca="false">J104-H104</f>
        <v>-201.574285714285</v>
      </c>
      <c r="L104" s="9" t="n">
        <f aca="false">IF(AND(H104=0,J104=0),0,IF(H104=0,"New",(J104-H104)/H104))</f>
        <v>-0.0649129828726002</v>
      </c>
    </row>
    <row r="105" customFormat="false" ht="15" hidden="false" customHeight="false" outlineLevel="0" collapsed="false">
      <c r="A105" s="7" t="n">
        <v>4408048</v>
      </c>
      <c r="B105" s="7" t="str">
        <f aca="false">IFERROR(INDEX('Source 2026'!$C:$C,MATCH($A105,'Source 2026'!$B:$B,0)),IFERROR(INDEX('Source 2025'!$C:$C,MATCH($A105,'Source 2025'!$B:$B,0)),""))</f>
        <v>20 S חבק יד מתכוון עם צמדן</v>
      </c>
      <c r="C105" s="8" t="n">
        <f aca="false">SUMIFS('Source 2025'!$I:$I,'Source 2025'!$B:$B,$A105,'Source 2025'!$A:$A,"Quantity (units)")</f>
        <v>98</v>
      </c>
      <c r="D105" s="8" t="n">
        <f aca="false">SUMIFS('Source 2026'!$I:$I,'Source 2026'!$B:$B,$A105,'Source 2026'!$A:$A,"Quantity (units)")</f>
        <v>62</v>
      </c>
      <c r="E105" s="8" t="n">
        <f aca="false">D105*$J$5</f>
        <v>85.0285714285714</v>
      </c>
      <c r="F105" s="8" t="n">
        <f aca="false">E105-C105</f>
        <v>-12.9714285714286</v>
      </c>
      <c r="G105" s="9" t="n">
        <f aca="false">IF(AND(C105=0,E105=0),0,IF(C105=0,"New",(E105-C105)/C105))</f>
        <v>-0.132361516034985</v>
      </c>
      <c r="H105" s="8" t="n">
        <f aca="false">SUMIFS('Source 2025'!$I:$I,'Source 2025'!$B:$B,$A105,'Source 2025'!$A:$A,"Amount (NIS)")</f>
        <v>2659.5</v>
      </c>
      <c r="I105" s="8" t="n">
        <f aca="false">SUMIFS('Source 2026'!$I:$I,'Source 2026'!$B:$B,$A105,'Source 2026'!$A:$A,"Amount (NIS)")</f>
        <v>1684</v>
      </c>
      <c r="J105" s="8" t="n">
        <f aca="false">I105*$J$5</f>
        <v>2309.48571428571</v>
      </c>
      <c r="K105" s="8" t="n">
        <f aca="false">J105-H105</f>
        <v>-350.014285714286</v>
      </c>
      <c r="L105" s="9" t="n">
        <f aca="false">IF(AND(H105=0,J105=0),0,IF(H105=0,"New",(J105-H105)/H105))</f>
        <v>-0.131609056482153</v>
      </c>
    </row>
    <row r="106" customFormat="false" ht="15" hidden="false" customHeight="false" outlineLevel="0" collapsed="false">
      <c r="A106" s="7" t="n">
        <v>4413185</v>
      </c>
      <c r="B106" s="7" t="str">
        <f aca="false">IFERROR(INDEX('Source 2026'!$C:$C,MATCH($A106,'Source 2026'!$B:$B,0)),IFERROR(INDEX('Source 2025'!$C:$C,MATCH($A106,'Source 2025'!$B:$B,0)),""))</f>
        <v>T 45XL מגן ברך רגיל</v>
      </c>
      <c r="C106" s="8" t="n">
        <f aca="false">SUMIFS('Source 2025'!$I:$I,'Source 2025'!$B:$B,$A106,'Source 2025'!$A:$A,"Quantity (units)")</f>
        <v>19</v>
      </c>
      <c r="D106" s="8" t="n">
        <f aca="false">SUMIFS('Source 2026'!$I:$I,'Source 2026'!$B:$B,$A106,'Source 2026'!$A:$A,"Quantity (units)")</f>
        <v>9</v>
      </c>
      <c r="E106" s="8" t="n">
        <f aca="false">D106*$J$5</f>
        <v>12.3428571428571</v>
      </c>
      <c r="F106" s="8" t="n">
        <f aca="false">E106-C106</f>
        <v>-6.65714285714286</v>
      </c>
      <c r="G106" s="9" t="n">
        <f aca="false">IF(AND(C106=0,E106=0),0,IF(C106=0,"New",(E106-C106)/C106))</f>
        <v>-0.350375939849624</v>
      </c>
      <c r="H106" s="8" t="n">
        <f aca="false">SUMIFS('Source 2025'!$I:$I,'Source 2025'!$B:$B,$A106,'Source 2025'!$A:$A,"Amount (NIS)")</f>
        <v>1843.6</v>
      </c>
      <c r="I106" s="8" t="n">
        <f aca="false">SUMIFS('Source 2026'!$I:$I,'Source 2026'!$B:$B,$A106,'Source 2026'!$A:$A,"Amount (NIS)")</f>
        <v>873.3</v>
      </c>
      <c r="J106" s="8" t="n">
        <f aca="false">I106*$J$5</f>
        <v>1197.66857142857</v>
      </c>
      <c r="K106" s="8" t="n">
        <f aca="false">J106-H106</f>
        <v>-645.931428571429</v>
      </c>
      <c r="L106" s="9" t="n">
        <f aca="false">IF(AND(H106=0,J106=0),0,IF(H106=0,"New",(J106-H106)/H106))</f>
        <v>-0.350364194278275</v>
      </c>
    </row>
    <row r="107" customFormat="false" ht="15" hidden="false" customHeight="false" outlineLevel="0" collapsed="false">
      <c r="A107" s="7" t="n">
        <v>4413003</v>
      </c>
      <c r="B107" s="7" t="str">
        <f aca="false">IFERROR(INDEX('Source 2026'!$C:$C,MATCH($A107,'Source 2026'!$B:$B,0)),IFERROR(INDEX('Source 2025'!$C:$C,MATCH($A107,'Source 2025'!$B:$B,0)),""))</f>
        <v>30 M מגן קרסול מתכוון עם סקוטש</v>
      </c>
      <c r="C107" s="8" t="n">
        <f aca="false">SUMIFS('Source 2025'!$I:$I,'Source 2025'!$B:$B,$A107,'Source 2025'!$A:$A,"Quantity (units)")</f>
        <v>15</v>
      </c>
      <c r="D107" s="8" t="n">
        <f aca="false">SUMIFS('Source 2026'!$I:$I,'Source 2026'!$B:$B,$A107,'Source 2026'!$A:$A,"Quantity (units)")</f>
        <v>-2</v>
      </c>
      <c r="E107" s="8" t="n">
        <f aca="false">D107*$J$5</f>
        <v>-2.74285714285714</v>
      </c>
      <c r="F107" s="8" t="n">
        <f aca="false">E107-C107</f>
        <v>-17.7428571428571</v>
      </c>
      <c r="G107" s="9" t="n">
        <f aca="false">IF(AND(C107=0,E107=0),0,IF(C107=0,"New",(E107-C107)/C107))</f>
        <v>-1.18285714285714</v>
      </c>
      <c r="H107" s="8" t="n">
        <f aca="false">SUMIFS('Source 2025'!$I:$I,'Source 2025'!$B:$B,$A107,'Source 2025'!$A:$A,"Amount (NIS)")</f>
        <v>820.2</v>
      </c>
      <c r="I107" s="8" t="n">
        <f aca="false">SUMIFS('Source 2026'!$I:$I,'Source 2026'!$B:$B,$A107,'Source 2026'!$A:$A,"Amount (NIS)")</f>
        <v>-123.5</v>
      </c>
      <c r="J107" s="8" t="n">
        <f aca="false">I107*$J$5</f>
        <v>-169.371428571429</v>
      </c>
      <c r="K107" s="8" t="n">
        <f aca="false">J107-H107</f>
        <v>-989.571428571429</v>
      </c>
      <c r="L107" s="9" t="n">
        <f aca="false">IF(AND(H107=0,J107=0),0,IF(H107=0,"New",(J107-H107)/H107))</f>
        <v>-1.20650015675619</v>
      </c>
    </row>
    <row r="108" customFormat="false" ht="15" hidden="false" customHeight="false" outlineLevel="0" collapsed="false">
      <c r="A108" s="7" t="n">
        <v>4413157</v>
      </c>
      <c r="B108" s="7" t="str">
        <f aca="false">IFERROR(INDEX('Source 2026'!$C:$C,MATCH($A108,'Source 2026'!$B:$B,0)),IFERROR(INDEX('Source 2025'!$C:$C,MATCH($A108,'Source 2025'!$B:$B,0)),""))</f>
        <v>305GA מדרס אורטופ.מתכוון43-44</v>
      </c>
      <c r="C108" s="8" t="n">
        <f aca="false">SUMIFS('Source 2025'!$I:$I,'Source 2025'!$B:$B,$A108,'Source 2025'!$A:$A,"Quantity (units)")</f>
        <v>21</v>
      </c>
      <c r="D108" s="8" t="n">
        <f aca="false">SUMIFS('Source 2026'!$I:$I,'Source 2026'!$B:$B,$A108,'Source 2026'!$A:$A,"Quantity (units)")</f>
        <v>8</v>
      </c>
      <c r="E108" s="8" t="n">
        <f aca="false">D108*$J$5</f>
        <v>10.9714285714286</v>
      </c>
      <c r="F108" s="8" t="n">
        <f aca="false">E108-C108</f>
        <v>-10.0285714285714</v>
      </c>
      <c r="G108" s="9" t="n">
        <f aca="false">IF(AND(C108=0,E108=0),0,IF(C108=0,"New",(E108-C108)/C108))</f>
        <v>-0.477551020408163</v>
      </c>
      <c r="H108" s="8" t="n">
        <f aca="false">SUMIFS('Source 2025'!$I:$I,'Source 2025'!$B:$B,$A108,'Source 2025'!$A:$A,"Amount (NIS)")</f>
        <v>1469</v>
      </c>
      <c r="I108" s="8" t="n">
        <f aca="false">SUMIFS('Source 2026'!$I:$I,'Source 2026'!$B:$B,$A108,'Source 2026'!$A:$A,"Amount (NIS)")</f>
        <v>559.6</v>
      </c>
      <c r="J108" s="8" t="n">
        <f aca="false">I108*$J$5</f>
        <v>767.451428571429</v>
      </c>
      <c r="K108" s="8" t="n">
        <f aca="false">J108-H108</f>
        <v>-701.548571428571</v>
      </c>
      <c r="L108" s="9" t="n">
        <f aca="false">IF(AND(H108=0,J108=0),0,IF(H108=0,"New",(J108-H108)/H108))</f>
        <v>-0.477568802878537</v>
      </c>
    </row>
    <row r="109" customFormat="false" ht="15" hidden="false" customHeight="false" outlineLevel="0" collapsed="false">
      <c r="A109" s="7" t="n">
        <v>4413440</v>
      </c>
      <c r="B109" s="7" t="str">
        <f aca="false">IFERROR(INDEX('Source 2026'!$C:$C,MATCH($A109,'Source 2026'!$B:$B,0)),IFERROR(INDEX('Source 2025'!$C:$C,MATCH($A109,'Source 2025'!$B:$B,0)),""))</f>
        <v>SC422  L מגן ברך</v>
      </c>
      <c r="C109" s="8" t="n">
        <f aca="false">SUMIFS('Source 2025'!$I:$I,'Source 2025'!$B:$B,$A109,'Source 2025'!$A:$A,"Quantity (units)")</f>
        <v>8</v>
      </c>
      <c r="D109" s="8" t="n">
        <f aca="false">SUMIFS('Source 2026'!$I:$I,'Source 2026'!$B:$B,$A109,'Source 2026'!$A:$A,"Quantity (units)")</f>
        <v>14</v>
      </c>
      <c r="E109" s="8" t="n">
        <f aca="false">D109*$J$5</f>
        <v>19.2</v>
      </c>
      <c r="F109" s="8" t="n">
        <f aca="false">E109-C109</f>
        <v>11.2</v>
      </c>
      <c r="G109" s="9" t="n">
        <f aca="false">IF(AND(C109=0,E109=0),0,IF(C109=0,"New",(E109-C109)/C109))</f>
        <v>1.4</v>
      </c>
      <c r="H109" s="8" t="n">
        <f aca="false">SUMIFS('Source 2025'!$I:$I,'Source 2025'!$B:$B,$A109,'Source 2025'!$A:$A,"Amount (NIS)")</f>
        <v>992.1</v>
      </c>
      <c r="I109" s="8" t="n">
        <f aca="false">SUMIFS('Source 2026'!$I:$I,'Source 2026'!$B:$B,$A109,'Source 2026'!$A:$A,"Amount (NIS)")</f>
        <v>1900.6</v>
      </c>
      <c r="J109" s="8" t="n">
        <f aca="false">I109*$J$5</f>
        <v>2606.53714285714</v>
      </c>
      <c r="K109" s="8" t="n">
        <f aca="false">J109-H109</f>
        <v>1614.43714285714</v>
      </c>
      <c r="L109" s="9" t="n">
        <f aca="false">IF(AND(H109=0,J109=0),0,IF(H109=0,"New",(J109-H109)/H109))</f>
        <v>1.62729275562659</v>
      </c>
    </row>
    <row r="110" customFormat="false" ht="15" hidden="false" customHeight="false" outlineLevel="0" collapsed="false">
      <c r="A110" s="7" t="n">
        <v>4413101</v>
      </c>
      <c r="B110" s="7" t="str">
        <f aca="false">IFERROR(INDEX('Source 2026'!$C:$C,MATCH($A110,'Source 2026'!$B:$B,0)),IFERROR(INDEX('Source 2025'!$C:$C,MATCH($A110,'Source 2025'!$B:$B,0)),""))</f>
        <v>45E Sמגן ברך ארוך לבן</v>
      </c>
      <c r="C110" s="8" t="n">
        <f aca="false">SUMIFS('Source 2025'!$I:$I,'Source 2025'!$B:$B,$A110,'Source 2025'!$A:$A,"Quantity (units)")</f>
        <v>86</v>
      </c>
      <c r="D110" s="8" t="n">
        <f aca="false">SUMIFS('Source 2026'!$I:$I,'Source 2026'!$B:$B,$A110,'Source 2026'!$A:$A,"Quantity (units)")</f>
        <v>59</v>
      </c>
      <c r="E110" s="8" t="n">
        <f aca="false">D110*$J$5</f>
        <v>80.9142857142857</v>
      </c>
      <c r="F110" s="8" t="n">
        <f aca="false">E110-C110</f>
        <v>-5.08571428571429</v>
      </c>
      <c r="G110" s="9" t="n">
        <f aca="false">IF(AND(C110=0,E110=0),0,IF(C110=0,"New",(E110-C110)/C110))</f>
        <v>-0.0591362126245848</v>
      </c>
      <c r="H110" s="8" t="n">
        <f aca="false">SUMIFS('Source 2025'!$I:$I,'Source 2025'!$B:$B,$A110,'Source 2025'!$A:$A,"Amount (NIS)")</f>
        <v>2882.5</v>
      </c>
      <c r="I110" s="8" t="n">
        <f aca="false">SUMIFS('Source 2026'!$I:$I,'Source 2026'!$B:$B,$A110,'Source 2026'!$A:$A,"Amount (NIS)")</f>
        <v>1978.3</v>
      </c>
      <c r="J110" s="8" t="n">
        <f aca="false">I110*$J$5</f>
        <v>2713.09714285714</v>
      </c>
      <c r="K110" s="8" t="n">
        <f aca="false">J110-H110</f>
        <v>-169.402857142857</v>
      </c>
      <c r="L110" s="9" t="n">
        <f aca="false">IF(AND(H110=0,J110=0),0,IF(H110=0,"New",(J110-H110)/H110))</f>
        <v>-0.0587694213852063</v>
      </c>
    </row>
    <row r="111" customFormat="false" ht="15" hidden="false" customHeight="false" outlineLevel="0" collapsed="false">
      <c r="A111" s="7" t="n">
        <v>4420003</v>
      </c>
      <c r="B111" s="7" t="str">
        <f aca="false">IFERROR(INDEX('Source 2026'!$C:$C,MATCH($A111,'Source 2026'!$B:$B,0)),IFERROR(INDEX('Source 2025'!$C:$C,MATCH($A111,'Source 2025'!$B:$B,0)),""))</f>
        <v>374 רפידת בולמת זעזועים -זוג</v>
      </c>
      <c r="C111" s="8" t="n">
        <f aca="false">SUMIFS('Source 2025'!$I:$I,'Source 2025'!$B:$B,$A111,'Source 2025'!$A:$A,"Quantity (units)")</f>
        <v>168</v>
      </c>
      <c r="D111" s="8" t="n">
        <f aca="false">SUMIFS('Source 2026'!$I:$I,'Source 2026'!$B:$B,$A111,'Source 2026'!$A:$A,"Quantity (units)")</f>
        <v>101</v>
      </c>
      <c r="E111" s="8" t="n">
        <f aca="false">D111*$J$5</f>
        <v>138.514285714286</v>
      </c>
      <c r="F111" s="8" t="n">
        <f aca="false">E111-C111</f>
        <v>-29.4857142857143</v>
      </c>
      <c r="G111" s="9" t="n">
        <f aca="false">IF(AND(C111=0,E111=0),0,IF(C111=0,"New",(E111-C111)/C111))</f>
        <v>-0.175510204081633</v>
      </c>
      <c r="H111" s="8" t="n">
        <f aca="false">SUMIFS('Source 2025'!$I:$I,'Source 2025'!$B:$B,$A111,'Source 2025'!$A:$A,"Amount (NIS)")</f>
        <v>2246.9</v>
      </c>
      <c r="I111" s="8" t="n">
        <f aca="false">SUMIFS('Source 2026'!$I:$I,'Source 2026'!$B:$B,$A111,'Source 2026'!$A:$A,"Amount (NIS)")</f>
        <v>1347.4</v>
      </c>
      <c r="J111" s="8" t="n">
        <f aca="false">I111*$J$5</f>
        <v>1847.86285714286</v>
      </c>
      <c r="K111" s="8" t="n">
        <f aca="false">J111-H111</f>
        <v>-399.037142857143</v>
      </c>
      <c r="L111" s="9" t="n">
        <f aca="false">IF(AND(H111=0,J111=0),0,IF(H111=0,"New",(J111-H111)/H111))</f>
        <v>-0.177594527062683</v>
      </c>
    </row>
    <row r="112" customFormat="false" ht="15" hidden="false" customHeight="false" outlineLevel="0" collapsed="false">
      <c r="A112" s="7" t="n">
        <v>4421001</v>
      </c>
      <c r="B112" s="7" t="str">
        <f aca="false">IFERROR(INDEX('Source 2026'!$C:$C,MATCH($A112,'Source 2026'!$B:$B,0)),IFERROR(INDEX('Source 2025'!$C:$C,MATCH($A112,'Source 2025'!$B:$B,0)),""))</f>
        <v>3611 שרוול מטטרזלי מסיליקון</v>
      </c>
      <c r="C112" s="8" t="n">
        <f aca="false">SUMIFS('Source 2025'!$I:$I,'Source 2025'!$B:$B,$A112,'Source 2025'!$A:$A,"Quantity (units)")</f>
        <v>59</v>
      </c>
      <c r="D112" s="8" t="n">
        <f aca="false">SUMIFS('Source 2026'!$I:$I,'Source 2026'!$B:$B,$A112,'Source 2026'!$A:$A,"Quantity (units)")</f>
        <v>43</v>
      </c>
      <c r="E112" s="8" t="n">
        <f aca="false">D112*$J$5</f>
        <v>58.9714285714286</v>
      </c>
      <c r="F112" s="8" t="n">
        <f aca="false">E112-C112</f>
        <v>-0.0285714285714249</v>
      </c>
      <c r="G112" s="9" t="n">
        <f aca="false">IF(AND(C112=0,E112=0),0,IF(C112=0,"New",(E112-C112)/C112))</f>
        <v>-0.000484261501210592</v>
      </c>
      <c r="H112" s="8" t="n">
        <f aca="false">SUMIFS('Source 2025'!$I:$I,'Source 2025'!$B:$B,$A112,'Source 2025'!$A:$A,"Amount (NIS)")</f>
        <v>3304</v>
      </c>
      <c r="I112" s="8" t="n">
        <f aca="false">SUMIFS('Source 2026'!$I:$I,'Source 2026'!$B:$B,$A112,'Source 2026'!$A:$A,"Amount (NIS)")</f>
        <v>2408</v>
      </c>
      <c r="J112" s="8" t="n">
        <f aca="false">I112*$J$5</f>
        <v>3302.4</v>
      </c>
      <c r="K112" s="8" t="n">
        <f aca="false">J112-H112</f>
        <v>-1.59999999999991</v>
      </c>
      <c r="L112" s="9" t="n">
        <f aca="false">IF(AND(H112=0,J112=0),0,IF(H112=0,"New",(J112-H112)/H112))</f>
        <v>-0.000484261501210626</v>
      </c>
    </row>
    <row r="113" customFormat="false" ht="15" hidden="false" customHeight="false" outlineLevel="0" collapsed="false">
      <c r="A113" s="7" t="n">
        <v>4413108</v>
      </c>
      <c r="B113" s="7" t="str">
        <f aca="false">IFERROR(INDEX('Source 2026'!$C:$C,MATCH($A113,'Source 2026'!$B:$B,0)),IFERROR(INDEX('Source 2025'!$C:$C,MATCH($A113,'Source 2025'!$B:$B,0)),""))</f>
        <v>48 M מגן ברך מחמם</v>
      </c>
      <c r="C113" s="8" t="n">
        <f aca="false">SUMIFS('Source 2025'!$I:$I,'Source 2025'!$B:$B,$A113,'Source 2025'!$A:$A,"Quantity (units)")</f>
        <v>17</v>
      </c>
      <c r="D113" s="8" t="n">
        <f aca="false">SUMIFS('Source 2026'!$I:$I,'Source 2026'!$B:$B,$A113,'Source 2026'!$A:$A,"Quantity (units)")</f>
        <v>0</v>
      </c>
      <c r="E113" s="8" t="n">
        <f aca="false">D113*$J$5</f>
        <v>0</v>
      </c>
      <c r="F113" s="8" t="n">
        <f aca="false">E113-C113</f>
        <v>-17</v>
      </c>
      <c r="G113" s="9" t="n">
        <f aca="false">IF(AND(C113=0,E113=0),0,IF(C113=0,"New",(E113-C113)/C113))</f>
        <v>-1</v>
      </c>
      <c r="H113" s="8" t="n">
        <f aca="false">SUMIFS('Source 2025'!$I:$I,'Source 2025'!$B:$B,$A113,'Source 2025'!$A:$A,"Amount (NIS)")</f>
        <v>890.1</v>
      </c>
      <c r="I113" s="8" t="n">
        <f aca="false">SUMIFS('Source 2026'!$I:$I,'Source 2026'!$B:$B,$A113,'Source 2026'!$A:$A,"Amount (NIS)")</f>
        <v>0</v>
      </c>
      <c r="J113" s="8" t="n">
        <f aca="false">I113*$J$5</f>
        <v>0</v>
      </c>
      <c r="K113" s="8" t="n">
        <f aca="false">J113-H113</f>
        <v>-890.1</v>
      </c>
      <c r="L113" s="9" t="n">
        <f aca="false">IF(AND(H113=0,J113=0),0,IF(H113=0,"New",(J113-H113)/H113))</f>
        <v>-1</v>
      </c>
    </row>
    <row r="114" customFormat="false" ht="15" hidden="false" customHeight="false" outlineLevel="0" collapsed="false">
      <c r="A114" s="7" t="n">
        <v>4408034</v>
      </c>
      <c r="B114" s="7" t="str">
        <f aca="false">IFERROR(INDEX('Source 2026'!$C:$C,MATCH($A114,'Source 2026'!$B:$B,0)),IFERROR(INDEX('Source 2025'!$C:$C,MATCH($A114,'Source 2025'!$B:$B,0)),""))</f>
        <v>11 XL""חגורת בטן""אורירית</v>
      </c>
      <c r="C114" s="8" t="n">
        <f aca="false">SUMIFS('Source 2025'!$I:$I,'Source 2025'!$B:$B,$A114,'Source 2025'!$A:$A,"Quantity (units)")</f>
        <v>66</v>
      </c>
      <c r="D114" s="8" t="n">
        <f aca="false">SUMIFS('Source 2026'!$I:$I,'Source 2026'!$B:$B,$A114,'Source 2026'!$A:$A,"Quantity (units)")</f>
        <v>57</v>
      </c>
      <c r="E114" s="8" t="n">
        <f aca="false">D114*$J$5</f>
        <v>78.1714285714286</v>
      </c>
      <c r="F114" s="8" t="n">
        <f aca="false">E114-C114</f>
        <v>12.1714285714286</v>
      </c>
      <c r="G114" s="9" t="n">
        <f aca="false">IF(AND(C114=0,E114=0),0,IF(C114=0,"New",(E114-C114)/C114))</f>
        <v>0.184415584415585</v>
      </c>
      <c r="H114" s="8" t="n">
        <f aca="false">SUMIFS('Source 2025'!$I:$I,'Source 2025'!$B:$B,$A114,'Source 2025'!$A:$A,"Amount (NIS)")</f>
        <v>6410.9</v>
      </c>
      <c r="I114" s="8" t="n">
        <f aca="false">SUMIFS('Source 2026'!$I:$I,'Source 2026'!$B:$B,$A114,'Source 2026'!$A:$A,"Amount (NIS)")</f>
        <v>5530.7</v>
      </c>
      <c r="J114" s="8" t="n">
        <f aca="false">I114*$J$5</f>
        <v>7584.96</v>
      </c>
      <c r="K114" s="8" t="n">
        <f aca="false">J114-H114</f>
        <v>1174.06</v>
      </c>
      <c r="L114" s="9" t="n">
        <f aca="false">IF(AND(H114=0,J114=0),0,IF(H114=0,"New",(J114-H114)/H114))</f>
        <v>0.183134973248686</v>
      </c>
    </row>
    <row r="115" customFormat="false" ht="15" hidden="false" customHeight="false" outlineLevel="0" collapsed="false">
      <c r="A115" s="7" t="n">
        <v>4413340</v>
      </c>
      <c r="B115" s="7" t="str">
        <f aca="false">IFERROR(INDEX('Source 2026'!$C:$C,MATCH($A115,'Source 2026'!$B:$B,0)),IFERROR(INDEX('Source 2025'!$C:$C,MATCH($A115,'Source 2025'!$B:$B,0)),""))</f>
        <v>3666 מפריד הלוקס</v>
      </c>
      <c r="C115" s="8" t="n">
        <f aca="false">SUMIFS('Source 2025'!$I:$I,'Source 2025'!$B:$B,$A115,'Source 2025'!$A:$A,"Quantity (units)")</f>
        <v>28</v>
      </c>
      <c r="D115" s="8" t="n">
        <f aca="false">SUMIFS('Source 2026'!$I:$I,'Source 2026'!$B:$B,$A115,'Source 2026'!$A:$A,"Quantity (units)")</f>
        <v>8</v>
      </c>
      <c r="E115" s="8" t="n">
        <f aca="false">D115*$J$5</f>
        <v>10.9714285714286</v>
      </c>
      <c r="F115" s="8" t="n">
        <f aca="false">E115-C115</f>
        <v>-17.0285714285714</v>
      </c>
      <c r="G115" s="9" t="n">
        <f aca="false">IF(AND(C115=0,E115=0),0,IF(C115=0,"New",(E115-C115)/C115))</f>
        <v>-0.608163265306122</v>
      </c>
      <c r="H115" s="8" t="n">
        <f aca="false">SUMIFS('Source 2025'!$I:$I,'Source 2025'!$B:$B,$A115,'Source 2025'!$A:$A,"Amount (NIS)")</f>
        <v>1223.6</v>
      </c>
      <c r="I115" s="8" t="n">
        <f aca="false">SUMIFS('Source 2026'!$I:$I,'Source 2026'!$B:$B,$A115,'Source 2026'!$A:$A,"Amount (NIS)")</f>
        <v>349.6</v>
      </c>
      <c r="J115" s="8" t="n">
        <f aca="false">I115*$J$5</f>
        <v>479.451428571429</v>
      </c>
      <c r="K115" s="8" t="n">
        <f aca="false">J115-H115</f>
        <v>-744.148571428571</v>
      </c>
      <c r="L115" s="9" t="n">
        <f aca="false">IF(AND(H115=0,J115=0),0,IF(H115=0,"New",(J115-H115)/H115))</f>
        <v>-0.608163265306122</v>
      </c>
    </row>
    <row r="116" customFormat="false" ht="15" hidden="false" customHeight="false" outlineLevel="0" collapsed="false">
      <c r="A116" s="7" t="n">
        <v>4413419</v>
      </c>
      <c r="B116" s="7" t="str">
        <f aca="false">IFERROR(INDEX('Source 2026'!$C:$C,MATCH($A116,'Source 2026'!$B:$B,0)),IFERROR(INDEX('Source 2025'!$C:$C,MATCH($A116,'Source 2025'!$B:$B,0)),""))</f>
        <v>SC39 XXLמגן שוק</v>
      </c>
      <c r="C116" s="8" t="n">
        <f aca="false">SUMIFS('Source 2025'!$I:$I,'Source 2025'!$B:$B,$A116,'Source 2025'!$A:$A,"Quantity (units)")</f>
        <v>-4</v>
      </c>
      <c r="D116" s="8" t="n">
        <f aca="false">SUMIFS('Source 2026'!$I:$I,'Source 2026'!$B:$B,$A116,'Source 2026'!$A:$A,"Quantity (units)")</f>
        <v>2</v>
      </c>
      <c r="E116" s="8" t="n">
        <f aca="false">D116*$J$5</f>
        <v>2.74285714285714</v>
      </c>
      <c r="F116" s="8" t="n">
        <f aca="false">E116-C116</f>
        <v>6.74285714285714</v>
      </c>
      <c r="G116" s="9" t="n">
        <f aca="false">IF(AND(C116=0,E116=0),0,IF(C116=0,"New",(E116-C116)/C116))</f>
        <v>-1.68571428571429</v>
      </c>
      <c r="H116" s="8" t="n">
        <f aca="false">SUMIFS('Source 2025'!$I:$I,'Source 2025'!$B:$B,$A116,'Source 2025'!$A:$A,"Amount (NIS)")</f>
        <v>-596.3</v>
      </c>
      <c r="I116" s="8" t="n">
        <f aca="false">SUMIFS('Source 2026'!$I:$I,'Source 2026'!$B:$B,$A116,'Source 2026'!$A:$A,"Amount (NIS)")</f>
        <v>271.5</v>
      </c>
      <c r="J116" s="8" t="n">
        <f aca="false">I116*$J$5</f>
        <v>372.342857142857</v>
      </c>
      <c r="K116" s="8" t="n">
        <f aca="false">J116-H116</f>
        <v>968.642857142857</v>
      </c>
      <c r="L116" s="9" t="n">
        <f aca="false">IF(AND(H116=0,J116=0),0,IF(H116=0,"New",(J116-H116)/H116))</f>
        <v>-1.62442203109652</v>
      </c>
    </row>
    <row r="117" customFormat="false" ht="15" hidden="false" customHeight="false" outlineLevel="0" collapsed="false">
      <c r="A117" s="7" t="n">
        <v>4401000</v>
      </c>
      <c r="B117" s="7" t="str">
        <f aca="false">IFERROR(INDEX('Source 2026'!$C:$C,MATCH($A117,'Source 2026'!$B:$B,0)),IFERROR(INDEX('Source 2025'!$C:$C,MATCH($A117,'Source 2025'!$B:$B,0)),""))</f>
        <v>369  S-L אצבעון מסיליקון יחידה</v>
      </c>
      <c r="C117" s="8" t="n">
        <f aca="false">SUMIFS('Source 2025'!$I:$I,'Source 2025'!$B:$B,$A117,'Source 2025'!$A:$A,"Quantity (units)")</f>
        <v>134</v>
      </c>
      <c r="D117" s="8" t="n">
        <f aca="false">SUMIFS('Source 2026'!$I:$I,'Source 2026'!$B:$B,$A117,'Source 2026'!$A:$A,"Quantity (units)")</f>
        <v>91</v>
      </c>
      <c r="E117" s="8" t="n">
        <f aca="false">D117*$J$5</f>
        <v>124.8</v>
      </c>
      <c r="F117" s="8" t="n">
        <f aca="false">E117-C117</f>
        <v>-9.2</v>
      </c>
      <c r="G117" s="9" t="n">
        <f aca="false">IF(AND(C117=0,E117=0),0,IF(C117=0,"New",(E117-C117)/C117))</f>
        <v>-0.0686567164179105</v>
      </c>
      <c r="H117" s="8" t="n">
        <f aca="false">SUMIFS('Source 2025'!$I:$I,'Source 2025'!$B:$B,$A117,'Source 2025'!$A:$A,"Amount (NIS)")</f>
        <v>2713.4</v>
      </c>
      <c r="I117" s="8" t="n">
        <f aca="false">SUMIFS('Source 2026'!$I:$I,'Source 2026'!$B:$B,$A117,'Source 2026'!$A:$A,"Amount (NIS)")</f>
        <v>1849.1</v>
      </c>
      <c r="J117" s="8" t="n">
        <f aca="false">I117*$J$5</f>
        <v>2535.90857142857</v>
      </c>
      <c r="K117" s="8" t="n">
        <f aca="false">J117-H117</f>
        <v>-177.491428571429</v>
      </c>
      <c r="L117" s="9" t="n">
        <f aca="false">IF(AND(H117=0,J117=0),0,IF(H117=0,"New",(J117-H117)/H117))</f>
        <v>-0.0654129242173763</v>
      </c>
    </row>
    <row r="118" customFormat="false" ht="15" hidden="false" customHeight="false" outlineLevel="0" collapsed="false">
      <c r="A118" s="7" t="n">
        <v>4408044</v>
      </c>
      <c r="B118" s="7" t="str">
        <f aca="false">IFERROR(INDEX('Source 2026'!$C:$C,MATCH($A118,'Source 2026'!$B:$B,0)),IFERROR(INDEX('Source 2025'!$C:$C,MATCH($A118,'Source 2025'!$B:$B,0)),""))</f>
        <v>18  XL.ח.הריון מכנס למניעת כאב</v>
      </c>
      <c r="C118" s="8" t="n">
        <f aca="false">SUMIFS('Source 2025'!$I:$I,'Source 2025'!$B:$B,$A118,'Source 2025'!$A:$A,"Quantity (units)")</f>
        <v>2</v>
      </c>
      <c r="D118" s="8" t="n">
        <f aca="false">SUMIFS('Source 2026'!$I:$I,'Source 2026'!$B:$B,$A118,'Source 2026'!$A:$A,"Quantity (units)")</f>
        <v>-1</v>
      </c>
      <c r="E118" s="8" t="n">
        <f aca="false">D118*$J$5</f>
        <v>-1.37142857142857</v>
      </c>
      <c r="F118" s="8" t="n">
        <f aca="false">E118-C118</f>
        <v>-3.37142857142857</v>
      </c>
      <c r="G118" s="9" t="n">
        <f aca="false">IF(AND(C118=0,E118=0),0,IF(C118=0,"New",(E118-C118)/C118))</f>
        <v>-1.68571428571429</v>
      </c>
      <c r="H118" s="8" t="n">
        <f aca="false">SUMIFS('Source 2025'!$I:$I,'Source 2025'!$B:$B,$A118,'Source 2025'!$A:$A,"Amount (NIS)")</f>
        <v>573.5</v>
      </c>
      <c r="I118" s="8" t="n">
        <f aca="false">SUMIFS('Source 2026'!$I:$I,'Source 2026'!$B:$B,$A118,'Source 2026'!$A:$A,"Amount (NIS)")</f>
        <v>-286.8</v>
      </c>
      <c r="J118" s="8" t="n">
        <f aca="false">I118*$J$5</f>
        <v>-393.325714285714</v>
      </c>
      <c r="K118" s="8" t="n">
        <f aca="false">J118-H118</f>
        <v>-966.825714285714</v>
      </c>
      <c r="L118" s="9" t="n">
        <f aca="false">IF(AND(H118=0,J118=0),0,IF(H118=0,"New",(J118-H118)/H118))</f>
        <v>-1.68583385228547</v>
      </c>
    </row>
    <row r="119" customFormat="false" ht="15" hidden="false" customHeight="false" outlineLevel="0" collapsed="false">
      <c r="A119" s="7" t="n">
        <v>4413365</v>
      </c>
      <c r="B119" s="7" t="str">
        <f aca="false">IFERROR(INDEX('Source 2026'!$C:$C,MATCH($A119,'Source 2026'!$B:$B,0)),IFERROR(INDEX('Source 2025'!$C:$C,MATCH($A119,'Source 2025'!$B:$B,0)),""))</f>
        <v>95C L 'מגן מרפק בז</v>
      </c>
      <c r="C119" s="8" t="n">
        <f aca="false">SUMIFS('Source 2025'!$I:$I,'Source 2025'!$B:$B,$A119,'Source 2025'!$A:$A,"Quantity (units)")</f>
        <v>107</v>
      </c>
      <c r="D119" s="8" t="n">
        <f aca="false">SUMIFS('Source 2026'!$I:$I,'Source 2026'!$B:$B,$A119,'Source 2026'!$A:$A,"Quantity (units)")</f>
        <v>76</v>
      </c>
      <c r="E119" s="8" t="n">
        <f aca="false">D119*$J$5</f>
        <v>104.228571428571</v>
      </c>
      <c r="F119" s="8" t="n">
        <f aca="false">E119-C119</f>
        <v>-2.77142857142857</v>
      </c>
      <c r="G119" s="9" t="n">
        <f aca="false">IF(AND(C119=0,E119=0),0,IF(C119=0,"New",(E119-C119)/C119))</f>
        <v>-0.0259012016021362</v>
      </c>
      <c r="H119" s="8" t="n">
        <f aca="false">SUMIFS('Source 2025'!$I:$I,'Source 2025'!$B:$B,$A119,'Source 2025'!$A:$A,"Amount (NIS)")</f>
        <v>2970.3</v>
      </c>
      <c r="I119" s="8" t="n">
        <f aca="false">SUMIFS('Source 2026'!$I:$I,'Source 2026'!$B:$B,$A119,'Source 2026'!$A:$A,"Amount (NIS)")</f>
        <v>2111.7</v>
      </c>
      <c r="J119" s="8" t="n">
        <f aca="false">I119*$J$5</f>
        <v>2896.04571428571</v>
      </c>
      <c r="K119" s="8" t="n">
        <f aca="false">J119-H119</f>
        <v>-74.2542857142862</v>
      </c>
      <c r="L119" s="9" t="n">
        <f aca="false">IF(AND(H119=0,J119=0),0,IF(H119=0,"New",(J119-H119)/H119))</f>
        <v>-0.0249989178582252</v>
      </c>
    </row>
    <row r="120" customFormat="false" ht="15" hidden="false" customHeight="false" outlineLevel="0" collapsed="false">
      <c r="A120" s="7" t="n">
        <v>4422026</v>
      </c>
      <c r="B120" s="7" t="str">
        <f aca="false">IFERROR(INDEX('Source 2026'!$C:$C,MATCH($A120,'Source 2026'!$B:$B,0)),IFERROR(INDEX('Source 2025'!$C:$C,MATCH($A120,'Source 2025'!$B:$B,0)),""))</f>
        <v>806CB-PINK       תחבושת א.נצמ</v>
      </c>
      <c r="C120" s="8" t="n">
        <f aca="false">SUMIFS('Source 2025'!$I:$I,'Source 2025'!$B:$B,$A120,'Source 2025'!$A:$A,"Quantity (units)")</f>
        <v>355</v>
      </c>
      <c r="D120" s="8" t="n">
        <f aca="false">SUMIFS('Source 2026'!$I:$I,'Source 2026'!$B:$B,$A120,'Source 2026'!$A:$A,"Quantity (units)")</f>
        <v>277</v>
      </c>
      <c r="E120" s="8" t="n">
        <f aca="false">D120*$J$5</f>
        <v>379.885714285714</v>
      </c>
      <c r="F120" s="8" t="n">
        <f aca="false">E120-C120</f>
        <v>24.8857142857143</v>
      </c>
      <c r="G120" s="9" t="n">
        <f aca="false">IF(AND(C120=0,E120=0),0,IF(C120=0,"New",(E120-C120)/C120))</f>
        <v>0.0701006036217304</v>
      </c>
      <c r="H120" s="8" t="n">
        <f aca="false">SUMIFS('Source 2025'!$I:$I,'Source 2025'!$B:$B,$A120,'Source 2025'!$A:$A,"Amount (NIS)")</f>
        <v>3897.9</v>
      </c>
      <c r="I120" s="8" t="n">
        <f aca="false">SUMIFS('Source 2026'!$I:$I,'Source 2026'!$B:$B,$A120,'Source 2026'!$A:$A,"Amount (NIS)")</f>
        <v>3041.5</v>
      </c>
      <c r="J120" s="8" t="n">
        <f aca="false">I120*$J$5</f>
        <v>4171.2</v>
      </c>
      <c r="K120" s="8" t="n">
        <f aca="false">J120-H120</f>
        <v>273.3</v>
      </c>
      <c r="L120" s="9" t="n">
        <f aca="false">IF(AND(H120=0,J120=0),0,IF(H120=0,"New",(J120-H120)/H120))</f>
        <v>0.0701146771338412</v>
      </c>
    </row>
    <row r="121" customFormat="false" ht="15" hidden="false" customHeight="false" outlineLevel="0" collapsed="false">
      <c r="A121" s="7" t="n">
        <v>4413102</v>
      </c>
      <c r="B121" s="7" t="str">
        <f aca="false">IFERROR(INDEX('Source 2026'!$C:$C,MATCH($A121,'Source 2026'!$B:$B,0)),IFERROR(INDEX('Source 2025'!$C:$C,MATCH($A121,'Source 2025'!$B:$B,0)),""))</f>
        <v>45E  L        מגן ברך ארוך לבן</v>
      </c>
      <c r="C121" s="8" t="n">
        <f aca="false">SUMIFS('Source 2025'!$I:$I,'Source 2025'!$B:$B,$A121,'Source 2025'!$A:$A,"Quantity (units)")</f>
        <v>243</v>
      </c>
      <c r="D121" s="8" t="n">
        <f aca="false">SUMIFS('Source 2026'!$I:$I,'Source 2026'!$B:$B,$A121,'Source 2026'!$A:$A,"Quantity (units)")</f>
        <v>218</v>
      </c>
      <c r="E121" s="8" t="n">
        <f aca="false">D121*$J$5</f>
        <v>298.971428571429</v>
      </c>
      <c r="F121" s="8" t="n">
        <f aca="false">E121-C121</f>
        <v>55.9714285714286</v>
      </c>
      <c r="G121" s="9" t="n">
        <f aca="false">IF(AND(C121=0,E121=0),0,IF(C121=0,"New",(E121-C121)/C121))</f>
        <v>0.230335097001764</v>
      </c>
      <c r="H121" s="8" t="n">
        <f aca="false">SUMIFS('Source 2025'!$I:$I,'Source 2025'!$B:$B,$A121,'Source 2025'!$A:$A,"Amount (NIS)")</f>
        <v>8152.4</v>
      </c>
      <c r="I121" s="8" t="n">
        <f aca="false">SUMIFS('Source 2026'!$I:$I,'Source 2026'!$B:$B,$A121,'Source 2026'!$A:$A,"Amount (NIS)")</f>
        <v>7308</v>
      </c>
      <c r="J121" s="8" t="n">
        <f aca="false">I121*$J$5</f>
        <v>10022.4</v>
      </c>
      <c r="K121" s="8" t="n">
        <f aca="false">J121-H121</f>
        <v>1870</v>
      </c>
      <c r="L121" s="9" t="n">
        <f aca="false">IF(AND(H121=0,J121=0),0,IF(H121=0,"New",(J121-H121)/H121))</f>
        <v>0.229380305186203</v>
      </c>
    </row>
    <row r="122" customFormat="false" ht="15" hidden="false" customHeight="false" outlineLevel="0" collapsed="false">
      <c r="A122" s="7" t="n">
        <v>4422000</v>
      </c>
      <c r="B122" s="7" t="str">
        <f aca="false">IFERROR(INDEX('Source 2026'!$C:$C,MATCH($A122,'Source 2026'!$B:$B,0)),IFERROR(INDEX('Source 2025'!$C:$C,MATCH($A122,'Source 2025'!$B:$B,0)),""))</f>
        <v>801  תחבושת אלסטית מקררת</v>
      </c>
      <c r="C122" s="8" t="n">
        <f aca="false">SUMIFS('Source 2025'!$I:$I,'Source 2025'!$B:$B,$A122,'Source 2025'!$A:$A,"Quantity (units)")</f>
        <v>134</v>
      </c>
      <c r="D122" s="8" t="n">
        <f aca="false">SUMIFS('Source 2026'!$I:$I,'Source 2026'!$B:$B,$A122,'Source 2026'!$A:$A,"Quantity (units)")</f>
        <v>87</v>
      </c>
      <c r="E122" s="8" t="n">
        <f aca="false">D122*$J$5</f>
        <v>119.314285714286</v>
      </c>
      <c r="F122" s="8" t="n">
        <f aca="false">E122-C122</f>
        <v>-14.6857142857143</v>
      </c>
      <c r="G122" s="9" t="n">
        <f aca="false">IF(AND(C122=0,E122=0),0,IF(C122=0,"New",(E122-C122)/C122))</f>
        <v>-0.109594882729211</v>
      </c>
      <c r="H122" s="8" t="n">
        <f aca="false">SUMIFS('Source 2025'!$I:$I,'Source 2025'!$B:$B,$A122,'Source 2025'!$A:$A,"Amount (NIS)")</f>
        <v>2363.6</v>
      </c>
      <c r="I122" s="8" t="n">
        <f aca="false">SUMIFS('Source 2026'!$I:$I,'Source 2026'!$B:$B,$A122,'Source 2026'!$A:$A,"Amount (NIS)")</f>
        <v>1525</v>
      </c>
      <c r="J122" s="8" t="n">
        <f aca="false">I122*$J$5</f>
        <v>2091.42857142857</v>
      </c>
      <c r="K122" s="8" t="n">
        <f aca="false">J122-H122</f>
        <v>-272.171428571428</v>
      </c>
      <c r="L122" s="9" t="n">
        <f aca="false">IF(AND(H122=0,J122=0),0,IF(H122=0,"New",(J122-H122)/H122))</f>
        <v>-0.115151222106714</v>
      </c>
    </row>
    <row r="123" customFormat="false" ht="15" hidden="false" customHeight="false" outlineLevel="0" collapsed="false">
      <c r="A123" s="7" t="n">
        <v>4413076</v>
      </c>
      <c r="B123" s="7" t="str">
        <f aca="false">IFERROR(INDEX('Source 2026'!$C:$C,MATCH($A123,'Source 2026'!$B:$B,0)),IFERROR(INDEX('Source 2025'!$C:$C,MATCH($A123,'Source 2025'!$B:$B,0)),""))</f>
        <v>41X L מגן ברך מוצלב+מוט</v>
      </c>
      <c r="C123" s="8" t="n">
        <f aca="false">SUMIFS('Source 2025'!$I:$I,'Source 2025'!$B:$B,$A123,'Source 2025'!$A:$A,"Quantity (units)")</f>
        <v>5</v>
      </c>
      <c r="D123" s="8" t="n">
        <f aca="false">SUMIFS('Source 2026'!$I:$I,'Source 2026'!$B:$B,$A123,'Source 2026'!$A:$A,"Quantity (units)")</f>
        <v>-1</v>
      </c>
      <c r="E123" s="8" t="n">
        <f aca="false">D123*$J$5</f>
        <v>-1.37142857142857</v>
      </c>
      <c r="F123" s="8" t="n">
        <f aca="false">E123-C123</f>
        <v>-6.37142857142857</v>
      </c>
      <c r="G123" s="9" t="n">
        <f aca="false">IF(AND(C123=0,E123=0),0,IF(C123=0,"New",(E123-C123)/C123))</f>
        <v>-1.27428571428571</v>
      </c>
      <c r="H123" s="8" t="n">
        <f aca="false">SUMIFS('Source 2025'!$I:$I,'Source 2025'!$B:$B,$A123,'Source 2025'!$A:$A,"Amount (NIS)")</f>
        <v>628.6</v>
      </c>
      <c r="I123" s="8" t="n">
        <f aca="false">SUMIFS('Source 2026'!$I:$I,'Source 2026'!$B:$B,$A123,'Source 2026'!$A:$A,"Amount (NIS)")</f>
        <v>-181.2</v>
      </c>
      <c r="J123" s="8" t="n">
        <f aca="false">I123*$J$5</f>
        <v>-248.502857142857</v>
      </c>
      <c r="K123" s="8" t="n">
        <f aca="false">J123-H123</f>
        <v>-877.102857142857</v>
      </c>
      <c r="L123" s="9" t="n">
        <f aca="false">IF(AND(H123=0,J123=0),0,IF(H123=0,"New",(J123-H123)/H123))</f>
        <v>-1.39532748511431</v>
      </c>
    </row>
    <row r="124" customFormat="false" ht="15" hidden="false" customHeight="false" outlineLevel="0" collapsed="false">
      <c r="A124" s="7" t="n">
        <v>4413050</v>
      </c>
      <c r="B124" s="7" t="str">
        <f aca="false">IFERROR(INDEX('Source 2026'!$C:$C,MATCH($A124,'Source 2026'!$B:$B,0)),IFERROR(INDEX('Source 2025'!$C:$C,MATCH($A124,'Source 2025'!$B:$B,0)),""))</f>
        <v>35 XL מגן קרסול לבן</v>
      </c>
      <c r="C124" s="8" t="n">
        <f aca="false">SUMIFS('Source 2025'!$I:$I,'Source 2025'!$B:$B,$A124,'Source 2025'!$A:$A,"Quantity (units)")</f>
        <v>147</v>
      </c>
      <c r="D124" s="8" t="n">
        <f aca="false">SUMIFS('Source 2026'!$I:$I,'Source 2026'!$B:$B,$A124,'Source 2026'!$A:$A,"Quantity (units)")</f>
        <v>118</v>
      </c>
      <c r="E124" s="8" t="n">
        <f aca="false">D124*$J$5</f>
        <v>161.828571428571</v>
      </c>
      <c r="F124" s="8" t="n">
        <f aca="false">E124-C124</f>
        <v>14.8285714285714</v>
      </c>
      <c r="G124" s="9" t="n">
        <f aca="false">IF(AND(C124=0,E124=0),0,IF(C124=0,"New",(E124-C124)/C124))</f>
        <v>0.100874635568513</v>
      </c>
      <c r="H124" s="8" t="n">
        <f aca="false">SUMIFS('Source 2025'!$I:$I,'Source 2025'!$B:$B,$A124,'Source 2025'!$A:$A,"Amount (NIS)")</f>
        <v>4086.7</v>
      </c>
      <c r="I124" s="8" t="n">
        <f aca="false">SUMIFS('Source 2026'!$I:$I,'Source 2026'!$B:$B,$A124,'Source 2026'!$A:$A,"Amount (NIS)")</f>
        <v>3277.7</v>
      </c>
      <c r="J124" s="8" t="n">
        <f aca="false">I124*$J$5</f>
        <v>4495.13142857143</v>
      </c>
      <c r="K124" s="8" t="n">
        <f aca="false">J124-H124</f>
        <v>408.431428571428</v>
      </c>
      <c r="L124" s="9" t="n">
        <f aca="false">IF(AND(H124=0,J124=0),0,IF(H124=0,"New",(J124-H124)/H124))</f>
        <v>0.0999416224756963</v>
      </c>
    </row>
    <row r="125" customFormat="false" ht="15" hidden="false" customHeight="false" outlineLevel="0" collapsed="false">
      <c r="A125" s="7" t="n">
        <v>4413073</v>
      </c>
      <c r="B125" s="7" t="str">
        <f aca="false">IFERROR(INDEX('Source 2026'!$C:$C,MATCH($A125,'Source 2026'!$B:$B,0)),IFERROR(INDEX('Source 2025'!$C:$C,MATCH($A125,'Source 2025'!$B:$B,0)),""))</f>
        <v>41 Mמ.ברך מוצלב+ספירלות בצדדים</v>
      </c>
      <c r="C125" s="8" t="n">
        <f aca="false">SUMIFS('Source 2025'!$I:$I,'Source 2025'!$B:$B,$A125,'Source 2025'!$A:$A,"Quantity (units)")</f>
        <v>6</v>
      </c>
      <c r="D125" s="8" t="n">
        <f aca="false">SUMIFS('Source 2026'!$I:$I,'Source 2026'!$B:$B,$A125,'Source 2026'!$A:$A,"Quantity (units)")</f>
        <v>0</v>
      </c>
      <c r="E125" s="8" t="n">
        <f aca="false">D125*$J$5</f>
        <v>0</v>
      </c>
      <c r="F125" s="8" t="n">
        <f aca="false">E125-C125</f>
        <v>-6</v>
      </c>
      <c r="G125" s="9" t="n">
        <f aca="false">IF(AND(C125=0,E125=0),0,IF(C125=0,"New",(E125-C125)/C125))</f>
        <v>-1</v>
      </c>
      <c r="H125" s="8" t="n">
        <f aca="false">SUMIFS('Source 2025'!$I:$I,'Source 2025'!$B:$B,$A125,'Source 2025'!$A:$A,"Amount (NIS)")</f>
        <v>688</v>
      </c>
      <c r="I125" s="8" t="n">
        <f aca="false">SUMIFS('Source 2026'!$I:$I,'Source 2026'!$B:$B,$A125,'Source 2026'!$A:$A,"Amount (NIS)")</f>
        <v>-108</v>
      </c>
      <c r="J125" s="8" t="n">
        <f aca="false">I125*$J$5</f>
        <v>-148.114285714286</v>
      </c>
      <c r="K125" s="8" t="n">
        <f aca="false">J125-H125</f>
        <v>-836.114285714286</v>
      </c>
      <c r="L125" s="9" t="n">
        <f aca="false">IF(AND(H125=0,J125=0),0,IF(H125=0,"New",(J125-H125)/H125))</f>
        <v>-1.21528239202658</v>
      </c>
    </row>
    <row r="126" customFormat="false" ht="15" hidden="false" customHeight="false" outlineLevel="0" collapsed="false">
      <c r="A126" s="7" t="n">
        <v>4408009</v>
      </c>
      <c r="B126" s="7" t="str">
        <f aca="false">IFERROR(INDEX('Source 2026'!$C:$C,MATCH($A126,'Source 2026'!$B:$B,0)),IFERROR(INDEX('Source 2025'!$C:$C,MATCH($A126,'Source 2025'!$B:$B,0)),""))</f>
        <v>079 S ח.גב סג. כפולה שחור+אדום</v>
      </c>
      <c r="C126" s="8" t="n">
        <f aca="false">SUMIFS('Source 2025'!$I:$I,'Source 2025'!$B:$B,$A126,'Source 2025'!$A:$A,"Quantity (units)")</f>
        <v>6</v>
      </c>
      <c r="D126" s="8" t="n">
        <f aca="false">SUMIFS('Source 2026'!$I:$I,'Source 2026'!$B:$B,$A126,'Source 2026'!$A:$A,"Quantity (units)")</f>
        <v>-2</v>
      </c>
      <c r="E126" s="8" t="n">
        <f aca="false">D126*$J$5</f>
        <v>-2.74285714285714</v>
      </c>
      <c r="F126" s="8" t="n">
        <f aca="false">E126-C126</f>
        <v>-8.74285714285714</v>
      </c>
      <c r="G126" s="9" t="n">
        <f aca="false">IF(AND(C126=0,E126=0),0,IF(C126=0,"New",(E126-C126)/C126))</f>
        <v>-1.45714285714286</v>
      </c>
      <c r="H126" s="8" t="n">
        <f aca="false">SUMIFS('Source 2025'!$I:$I,'Source 2025'!$B:$B,$A126,'Source 2025'!$A:$A,"Amount (NIS)")</f>
        <v>595.4</v>
      </c>
      <c r="I126" s="8" t="n">
        <f aca="false">SUMIFS('Source 2026'!$I:$I,'Source 2026'!$B:$B,$A126,'Source 2026'!$A:$A,"Amount (NIS)")</f>
        <v>-198.5</v>
      </c>
      <c r="J126" s="8" t="n">
        <f aca="false">I126*$J$5</f>
        <v>-272.228571428571</v>
      </c>
      <c r="K126" s="8" t="n">
        <f aca="false">J126-H126</f>
        <v>-867.628571428571</v>
      </c>
      <c r="L126" s="9" t="n">
        <f aca="false">IF(AND(H126=0,J126=0),0,IF(H126=0,"New",(J126-H126)/H126))</f>
        <v>-1.45721963625894</v>
      </c>
    </row>
    <row r="127" customFormat="false" ht="15" hidden="false" customHeight="false" outlineLevel="0" collapsed="false">
      <c r="A127" s="7" t="n">
        <v>4415002</v>
      </c>
      <c r="B127" s="7" t="str">
        <f aca="false">IFERROR(INDEX('Source 2026'!$C:$C,MATCH($A127,'Source 2026'!$B:$B,0)),IFERROR(INDEX('Source 2025'!$C:$C,MATCH($A127,'Source 2025'!$B:$B,0)),""))</f>
        <v>26 S סד ליד דו צדדי לאחר שבר</v>
      </c>
      <c r="C127" s="8" t="n">
        <f aca="false">SUMIFS('Source 2025'!$I:$I,'Source 2025'!$B:$B,$A127,'Source 2025'!$A:$A,"Quantity (units)")</f>
        <v>49</v>
      </c>
      <c r="D127" s="8" t="n">
        <f aca="false">SUMIFS('Source 2026'!$I:$I,'Source 2026'!$B:$B,$A127,'Source 2026'!$A:$A,"Quantity (units)")</f>
        <v>40</v>
      </c>
      <c r="E127" s="8" t="n">
        <f aca="false">D127*$J$5</f>
        <v>54.8571428571429</v>
      </c>
      <c r="F127" s="8" t="n">
        <f aca="false">E127-C127</f>
        <v>5.85714285714286</v>
      </c>
      <c r="G127" s="9" t="n">
        <f aca="false">IF(AND(C127=0,E127=0),0,IF(C127=0,"New",(E127-C127)/C127))</f>
        <v>0.119533527696793</v>
      </c>
      <c r="H127" s="8" t="n">
        <f aca="false">SUMIFS('Source 2025'!$I:$I,'Source 2025'!$B:$B,$A127,'Source 2025'!$A:$A,"Amount (NIS)")</f>
        <v>4321.8</v>
      </c>
      <c r="I127" s="8" t="n">
        <f aca="false">SUMIFS('Source 2026'!$I:$I,'Source 2026'!$B:$B,$A127,'Source 2026'!$A:$A,"Amount (NIS)")</f>
        <v>3528</v>
      </c>
      <c r="J127" s="8" t="n">
        <f aca="false">I127*$J$5</f>
        <v>4838.4</v>
      </c>
      <c r="K127" s="8" t="n">
        <f aca="false">J127-H127</f>
        <v>516.6</v>
      </c>
      <c r="L127" s="9" t="n">
        <f aca="false">IF(AND(H127=0,J127=0),0,IF(H127=0,"New",(J127-H127)/H127))</f>
        <v>0.119533527696793</v>
      </c>
    </row>
    <row r="128" customFormat="false" ht="15" hidden="false" customHeight="false" outlineLevel="0" collapsed="false">
      <c r="A128" s="7" t="n">
        <v>4408054</v>
      </c>
      <c r="B128" s="7" t="str">
        <f aca="false">IFERROR(INDEX('Source 2026'!$C:$C,MATCH($A128,'Source 2026'!$B:$B,0)),IFERROR(INDEX('Source 2025'!$C:$C,MATCH($A128,'Source 2025'!$B:$B,0)),""))</f>
        <v>21 XL חבק יד ארוך</v>
      </c>
      <c r="C128" s="8" t="n">
        <f aca="false">SUMIFS('Source 2025'!$I:$I,'Source 2025'!$B:$B,$A128,'Source 2025'!$A:$A,"Quantity (units)")</f>
        <v>62</v>
      </c>
      <c r="D128" s="8" t="n">
        <f aca="false">SUMIFS('Source 2026'!$I:$I,'Source 2026'!$B:$B,$A128,'Source 2026'!$A:$A,"Quantity (units)")</f>
        <v>84</v>
      </c>
      <c r="E128" s="8" t="n">
        <f aca="false">D128*$J$5</f>
        <v>115.2</v>
      </c>
      <c r="F128" s="8" t="n">
        <f aca="false">E128-C128</f>
        <v>53.2</v>
      </c>
      <c r="G128" s="9" t="n">
        <f aca="false">IF(AND(C128=0,E128=0),0,IF(C128=0,"New",(E128-C128)/C128))</f>
        <v>0.858064516129032</v>
      </c>
      <c r="H128" s="8" t="n">
        <f aca="false">SUMIFS('Source 2025'!$I:$I,'Source 2025'!$B:$B,$A128,'Source 2025'!$A:$A,"Amount (NIS)")</f>
        <v>2183</v>
      </c>
      <c r="I128" s="8" t="n">
        <f aca="false">SUMIFS('Source 2026'!$I:$I,'Source 2026'!$B:$B,$A128,'Source 2026'!$A:$A,"Amount (NIS)")</f>
        <v>2966</v>
      </c>
      <c r="J128" s="8" t="n">
        <f aca="false">I128*$J$5</f>
        <v>4067.65714285714</v>
      </c>
      <c r="K128" s="8" t="n">
        <f aca="false">J128-H128</f>
        <v>1884.65714285714</v>
      </c>
      <c r="L128" s="9" t="n">
        <f aca="false">IF(AND(H128=0,J128=0),0,IF(H128=0,"New",(J128-H128)/H128))</f>
        <v>0.863333551469145</v>
      </c>
    </row>
    <row r="129" customFormat="false" ht="15" hidden="false" customHeight="false" outlineLevel="0" collapsed="false">
      <c r="A129" s="7" t="n">
        <v>4413184</v>
      </c>
      <c r="B129" s="7" t="str">
        <f aca="false">IFERROR(INDEX('Source 2026'!$C:$C,MATCH($A129,'Source 2026'!$B:$B,0)),IFERROR(INDEX('Source 2025'!$C:$C,MATCH($A129,'Source 2025'!$B:$B,0)),""))</f>
        <v>T 45 L מגן ברך רגיל</v>
      </c>
      <c r="C129" s="8" t="n">
        <f aca="false">SUMIFS('Source 2025'!$I:$I,'Source 2025'!$B:$B,$A129,'Source 2025'!$A:$A,"Quantity (units)")</f>
        <v>14</v>
      </c>
      <c r="D129" s="8" t="n">
        <f aca="false">SUMIFS('Source 2026'!$I:$I,'Source 2026'!$B:$B,$A129,'Source 2026'!$A:$A,"Quantity (units)")</f>
        <v>6</v>
      </c>
      <c r="E129" s="8" t="n">
        <f aca="false">D129*$J$5</f>
        <v>8.22857142857143</v>
      </c>
      <c r="F129" s="8" t="n">
        <f aca="false">E129-C129</f>
        <v>-5.77142857142857</v>
      </c>
      <c r="G129" s="9" t="n">
        <f aca="false">IF(AND(C129=0,E129=0),0,IF(C129=0,"New",(E129-C129)/C129))</f>
        <v>-0.412244897959184</v>
      </c>
      <c r="H129" s="8" t="n">
        <f aca="false">SUMIFS('Source 2025'!$I:$I,'Source 2025'!$B:$B,$A129,'Source 2025'!$A:$A,"Amount (NIS)")</f>
        <v>1358.4</v>
      </c>
      <c r="I129" s="8" t="n">
        <f aca="false">SUMIFS('Source 2026'!$I:$I,'Source 2026'!$B:$B,$A129,'Source 2026'!$A:$A,"Amount (NIS)")</f>
        <v>582.2</v>
      </c>
      <c r="J129" s="8" t="n">
        <f aca="false">I129*$J$5</f>
        <v>798.445714285714</v>
      </c>
      <c r="K129" s="8" t="n">
        <f aca="false">J129-H129</f>
        <v>-559.954285714286</v>
      </c>
      <c r="L129" s="9" t="n">
        <f aca="false">IF(AND(H129=0,J129=0),0,IF(H129=0,"New",(J129-H129)/H129))</f>
        <v>-0.412216052498738</v>
      </c>
    </row>
    <row r="130" customFormat="false" ht="15" hidden="false" customHeight="false" outlineLevel="0" collapsed="false">
      <c r="A130" s="7" t="n">
        <v>4413018</v>
      </c>
      <c r="B130" s="7" t="str">
        <f aca="false">IFERROR(INDEX('Source 2026'!$C:$C,MATCH($A130,'Source 2026'!$B:$B,0)),IFERROR(INDEX('Source 2025'!$C:$C,MATCH($A130,'Source 2025'!$B:$B,0)),""))</f>
        <v>303 37-38 מדרסי סיליק.לח.סכרת</v>
      </c>
      <c r="C130" s="8" t="n">
        <f aca="false">SUMIFS('Source 2025'!$I:$I,'Source 2025'!$B:$B,$A130,'Source 2025'!$A:$A,"Quantity (units)")</f>
        <v>7</v>
      </c>
      <c r="D130" s="8" t="n">
        <f aca="false">SUMIFS('Source 2026'!$I:$I,'Source 2026'!$B:$B,$A130,'Source 2026'!$A:$A,"Quantity (units)")</f>
        <v>0</v>
      </c>
      <c r="E130" s="8" t="n">
        <f aca="false">D130*$J$5</f>
        <v>0</v>
      </c>
      <c r="F130" s="8" t="n">
        <f aca="false">E130-C130</f>
        <v>-7</v>
      </c>
      <c r="G130" s="9" t="n">
        <f aca="false">IF(AND(C130=0,E130=0),0,IF(C130=0,"New",(E130-C130)/C130))</f>
        <v>-1</v>
      </c>
      <c r="H130" s="8" t="n">
        <f aca="false">SUMIFS('Source 2025'!$I:$I,'Source 2025'!$B:$B,$A130,'Source 2025'!$A:$A,"Amount (NIS)")</f>
        <v>773.4</v>
      </c>
      <c r="I130" s="8" t="n">
        <f aca="false">SUMIFS('Source 2026'!$I:$I,'Source 2026'!$B:$B,$A130,'Source 2026'!$A:$A,"Amount (NIS)")</f>
        <v>0</v>
      </c>
      <c r="J130" s="8" t="n">
        <f aca="false">I130*$J$5</f>
        <v>0</v>
      </c>
      <c r="K130" s="8" t="n">
        <f aca="false">J130-H130</f>
        <v>-773.4</v>
      </c>
      <c r="L130" s="9" t="n">
        <f aca="false">IF(AND(H130=0,J130=0),0,IF(H130=0,"New",(J130-H130)/H130))</f>
        <v>-1</v>
      </c>
    </row>
    <row r="131" customFormat="false" ht="15" hidden="false" customHeight="false" outlineLevel="0" collapsed="false">
      <c r="A131" s="7" t="n">
        <v>4420024</v>
      </c>
      <c r="B131" s="7" t="str">
        <f aca="false">IFERROR(INDEX('Source 2026'!$C:$C,MATCH($A131,'Source 2026'!$B:$B,0)),IFERROR(INDEX('Source 2025'!$C:$C,MATCH($A131,'Source 2025'!$B:$B,0)),""))</f>
        <v>LFריפוד סיליק.לכרית כף הרגל373</v>
      </c>
      <c r="C131" s="8" t="n">
        <f aca="false">SUMIFS('Source 2025'!$I:$I,'Source 2025'!$B:$B,$A131,'Source 2025'!$A:$A,"Quantity (units)")</f>
        <v>57</v>
      </c>
      <c r="D131" s="8" t="n">
        <f aca="false">SUMIFS('Source 2026'!$I:$I,'Source 2026'!$B:$B,$A131,'Source 2026'!$A:$A,"Quantity (units)")</f>
        <v>18</v>
      </c>
      <c r="E131" s="8" t="n">
        <f aca="false">D131*$J$5</f>
        <v>24.6857142857143</v>
      </c>
      <c r="F131" s="8" t="n">
        <f aca="false">E131-C131</f>
        <v>-32.3142857142857</v>
      </c>
      <c r="G131" s="9" t="n">
        <f aca="false">IF(AND(C131=0,E131=0),0,IF(C131=0,"New",(E131-C131)/C131))</f>
        <v>-0.566917293233083</v>
      </c>
      <c r="H131" s="8" t="n">
        <f aca="false">SUMIFS('Source 2025'!$I:$I,'Source 2025'!$B:$B,$A131,'Source 2025'!$A:$A,"Amount (NIS)")</f>
        <v>1110.8</v>
      </c>
      <c r="I131" s="8" t="n">
        <f aca="false">SUMIFS('Source 2026'!$I:$I,'Source 2026'!$B:$B,$A131,'Source 2026'!$A:$A,"Amount (NIS)")</f>
        <v>344.5</v>
      </c>
      <c r="J131" s="8" t="n">
        <f aca="false">I131*$J$5</f>
        <v>472.457142857143</v>
      </c>
      <c r="K131" s="8" t="n">
        <f aca="false">J131-H131</f>
        <v>-638.342857142857</v>
      </c>
      <c r="L131" s="9" t="n">
        <f aca="false">IF(AND(H131=0,J131=0),0,IF(H131=0,"New",(J131-H131)/H131))</f>
        <v>-0.574669478882659</v>
      </c>
    </row>
    <row r="132" customFormat="false" ht="15" hidden="false" customHeight="false" outlineLevel="0" collapsed="false">
      <c r="A132" s="7" t="n">
        <v>4408231</v>
      </c>
      <c r="B132" s="7" t="str">
        <f aca="false">IFERROR(INDEX('Source 2026'!$C:$C,MATCH($A132,'Source 2026'!$B:$B,0)),IFERROR(INDEX('Source 2025'!$C:$C,MATCH($A132,'Source 2025'!$B:$B,0)),""))</f>
        <v>16 S-M חגורת הריון</v>
      </c>
      <c r="C132" s="8" t="n">
        <f aca="false">SUMIFS('Source 2025'!$I:$I,'Source 2025'!$B:$B,$A132,'Source 2025'!$A:$A,"Quantity (units)")</f>
        <v>3</v>
      </c>
      <c r="D132" s="8" t="n">
        <f aca="false">SUMIFS('Source 2026'!$I:$I,'Source 2026'!$B:$B,$A132,'Source 2026'!$A:$A,"Quantity (units)")</f>
        <v>10</v>
      </c>
      <c r="E132" s="8" t="n">
        <f aca="false">D132*$J$5</f>
        <v>13.7142857142857</v>
      </c>
      <c r="F132" s="8" t="n">
        <f aca="false">E132-C132</f>
        <v>10.7142857142857</v>
      </c>
      <c r="G132" s="9" t="n">
        <f aca="false">IF(AND(C132=0,E132=0),0,IF(C132=0,"New",(E132-C132)/C132))</f>
        <v>3.57142857142857</v>
      </c>
      <c r="H132" s="8" t="n">
        <f aca="false">SUMIFS('Source 2025'!$I:$I,'Source 2025'!$B:$B,$A132,'Source 2025'!$A:$A,"Amount (NIS)")</f>
        <v>326.8</v>
      </c>
      <c r="I132" s="8" t="n">
        <f aca="false">SUMIFS('Source 2026'!$I:$I,'Source 2026'!$B:$B,$A132,'Source 2026'!$A:$A,"Amount (NIS)")</f>
        <v>1089.3</v>
      </c>
      <c r="J132" s="8" t="n">
        <f aca="false">I132*$J$5</f>
        <v>1493.89714285714</v>
      </c>
      <c r="K132" s="8" t="n">
        <f aca="false">J132-H132</f>
        <v>1167.09714285714</v>
      </c>
      <c r="L132" s="9" t="n">
        <f aca="false">IF(AND(H132=0,J132=0),0,IF(H132=0,"New",(J132-H132)/H132))</f>
        <v>3.57128868683336</v>
      </c>
    </row>
    <row r="133" customFormat="false" ht="15" hidden="false" customHeight="false" outlineLevel="0" collapsed="false">
      <c r="A133" s="7" t="n">
        <v>4413004</v>
      </c>
      <c r="B133" s="7" t="str">
        <f aca="false">IFERROR(INDEX('Source 2026'!$C:$C,MATCH($A133,'Source 2026'!$B:$B,0)),IFERROR(INDEX('Source 2025'!$C:$C,MATCH($A133,'Source 2025'!$B:$B,0)),""))</f>
        <v>30 XL מגן קרסול מתכוון סקוטש</v>
      </c>
      <c r="C133" s="8" t="n">
        <f aca="false">SUMIFS('Source 2025'!$I:$I,'Source 2025'!$B:$B,$A133,'Source 2025'!$A:$A,"Quantity (units)")</f>
        <v>11</v>
      </c>
      <c r="D133" s="8" t="n">
        <f aca="false">SUMIFS('Source 2026'!$I:$I,'Source 2026'!$B:$B,$A133,'Source 2026'!$A:$A,"Quantity (units)")</f>
        <v>-1</v>
      </c>
      <c r="E133" s="8" t="n">
        <f aca="false">D133*$J$5</f>
        <v>-1.37142857142857</v>
      </c>
      <c r="F133" s="8" t="n">
        <f aca="false">E133-C133</f>
        <v>-12.3714285714286</v>
      </c>
      <c r="G133" s="9" t="n">
        <f aca="false">IF(AND(C133=0,E133=0),0,IF(C133=0,"New",(E133-C133)/C133))</f>
        <v>-1.12467532467532</v>
      </c>
      <c r="H133" s="8" t="n">
        <f aca="false">SUMIFS('Source 2025'!$I:$I,'Source 2025'!$B:$B,$A133,'Source 2025'!$A:$A,"Amount (NIS)")</f>
        <v>683.4</v>
      </c>
      <c r="I133" s="8" t="n">
        <f aca="false">SUMIFS('Source 2026'!$I:$I,'Source 2026'!$B:$B,$A133,'Source 2026'!$A:$A,"Amount (NIS)")</f>
        <v>-61.7</v>
      </c>
      <c r="J133" s="8" t="n">
        <f aca="false">I133*$J$5</f>
        <v>-84.6171428571429</v>
      </c>
      <c r="K133" s="8" t="n">
        <f aca="false">J133-H133</f>
        <v>-768.017142857143</v>
      </c>
      <c r="L133" s="9" t="n">
        <f aca="false">IF(AND(H133=0,J133=0),0,IF(H133=0,"New",(J133-H133)/H133))</f>
        <v>-1.1238178853631</v>
      </c>
    </row>
    <row r="134" customFormat="false" ht="15" hidden="false" customHeight="false" outlineLevel="0" collapsed="false">
      <c r="A134" s="7" t="n">
        <v>4413000</v>
      </c>
      <c r="B134" s="7" t="str">
        <f aca="false">IFERROR(INDEX('Source 2026'!$C:$C,MATCH($A134,'Source 2026'!$B:$B,0)),IFERROR(INDEX('Source 2025'!$C:$C,MATCH($A134,'Source 2025'!$B:$B,0)),""))</f>
        <v>30 S מגן קרסול מתכוון עם סקוטש</v>
      </c>
      <c r="C134" s="8" t="n">
        <f aca="false">SUMIFS('Source 2025'!$I:$I,'Source 2025'!$B:$B,$A134,'Source 2025'!$A:$A,"Quantity (units)")</f>
        <v>9</v>
      </c>
      <c r="D134" s="8" t="n">
        <f aca="false">SUMIFS('Source 2026'!$I:$I,'Source 2026'!$B:$B,$A134,'Source 2026'!$A:$A,"Quantity (units)")</f>
        <v>-3</v>
      </c>
      <c r="E134" s="8" t="n">
        <f aca="false">D134*$J$5</f>
        <v>-4.11428571428571</v>
      </c>
      <c r="F134" s="8" t="n">
        <f aca="false">E134-C134</f>
        <v>-13.1142857142857</v>
      </c>
      <c r="G134" s="9" t="n">
        <f aca="false">IF(AND(C134=0,E134=0),0,IF(C134=0,"New",(E134-C134)/C134))</f>
        <v>-1.45714285714286</v>
      </c>
      <c r="H134" s="8" t="n">
        <f aca="false">SUMIFS('Source 2025'!$I:$I,'Source 2025'!$B:$B,$A134,'Source 2025'!$A:$A,"Amount (NIS)")</f>
        <v>555.6</v>
      </c>
      <c r="I134" s="8" t="n">
        <f aca="false">SUMIFS('Source 2026'!$I:$I,'Source 2026'!$B:$B,$A134,'Source 2026'!$A:$A,"Amount (NIS)")</f>
        <v>-185.2</v>
      </c>
      <c r="J134" s="8" t="n">
        <f aca="false">I134*$J$5</f>
        <v>-253.988571428571</v>
      </c>
      <c r="K134" s="8" t="n">
        <f aca="false">J134-H134</f>
        <v>-809.588571428571</v>
      </c>
      <c r="L134" s="9" t="n">
        <f aca="false">IF(AND(H134=0,J134=0),0,IF(H134=0,"New",(J134-H134)/H134))</f>
        <v>-1.45714285714286</v>
      </c>
    </row>
    <row r="135" customFormat="false" ht="15" hidden="false" customHeight="false" outlineLevel="0" collapsed="false">
      <c r="A135" s="7" t="n">
        <v>4408080</v>
      </c>
      <c r="B135" s="7" t="str">
        <f aca="false">IFERROR(INDEX('Source 2026'!$C:$C,MATCH($A135,'Source 2026'!$B:$B,0)),IFERROR(INDEX('Source 2025'!$C:$C,MATCH($A135,'Source 2025'!$B:$B,0)),""))</f>
        <v>59R L חגורת שבר לצד ימין</v>
      </c>
      <c r="C135" s="8" t="n">
        <f aca="false">SUMIFS('Source 2025'!$I:$I,'Source 2025'!$B:$B,$A135,'Source 2025'!$A:$A,"Quantity (units)")</f>
        <v>4</v>
      </c>
      <c r="D135" s="8" t="n">
        <f aca="false">SUMIFS('Source 2026'!$I:$I,'Source 2026'!$B:$B,$A135,'Source 2026'!$A:$A,"Quantity (units)")</f>
        <v>0</v>
      </c>
      <c r="E135" s="8" t="n">
        <f aca="false">D135*$J$5</f>
        <v>0</v>
      </c>
      <c r="F135" s="8" t="n">
        <f aca="false">E135-C135</f>
        <v>-4</v>
      </c>
      <c r="G135" s="9" t="n">
        <f aca="false">IF(AND(C135=0,E135=0),0,IF(C135=0,"New",(E135-C135)/C135))</f>
        <v>-1</v>
      </c>
      <c r="H135" s="8" t="n">
        <f aca="false">SUMIFS('Source 2025'!$I:$I,'Source 2025'!$B:$B,$A135,'Source 2025'!$A:$A,"Amount (NIS)")</f>
        <v>715.5</v>
      </c>
      <c r="I135" s="8" t="n">
        <f aca="false">SUMIFS('Source 2026'!$I:$I,'Source 2026'!$B:$B,$A135,'Source 2026'!$A:$A,"Amount (NIS)")</f>
        <v>0</v>
      </c>
      <c r="J135" s="8" t="n">
        <f aca="false">I135*$J$5</f>
        <v>0</v>
      </c>
      <c r="K135" s="8" t="n">
        <f aca="false">J135-H135</f>
        <v>-715.5</v>
      </c>
      <c r="L135" s="9" t="n">
        <f aca="false">IF(AND(H135=0,J135=0),0,IF(H135=0,"New",(J135-H135)/H135))</f>
        <v>-1</v>
      </c>
    </row>
    <row r="136" customFormat="false" ht="15" hidden="false" customHeight="false" outlineLevel="0" collapsed="false">
      <c r="A136" s="7" t="n">
        <v>4413128</v>
      </c>
      <c r="B136" s="7" t="str">
        <f aca="false">IFERROR(INDEX('Source 2026'!$C:$C,MATCH($A136,'Source 2026'!$B:$B,0)),IFERROR(INDEX('Source 2025'!$C:$C,MATCH($A136,'Source 2025'!$B:$B,0)),""))</f>
        <v>75 Mמיישר כתף יציב יישור גב צר</v>
      </c>
      <c r="C136" s="8" t="n">
        <f aca="false">SUMIFS('Source 2025'!$I:$I,'Source 2025'!$B:$B,$A136,'Source 2025'!$A:$A,"Quantity (units)")</f>
        <v>32</v>
      </c>
      <c r="D136" s="8" t="n">
        <f aca="false">SUMIFS('Source 2026'!$I:$I,'Source 2026'!$B:$B,$A136,'Source 2026'!$A:$A,"Quantity (units)")</f>
        <v>37</v>
      </c>
      <c r="E136" s="8" t="n">
        <f aca="false">D136*$J$5</f>
        <v>50.7428571428571</v>
      </c>
      <c r="F136" s="8" t="n">
        <f aca="false">E136-C136</f>
        <v>18.7428571428571</v>
      </c>
      <c r="G136" s="9" t="n">
        <f aca="false">IF(AND(C136=0,E136=0),0,IF(C136=0,"New",(E136-C136)/C136))</f>
        <v>0.585714285714286</v>
      </c>
      <c r="H136" s="8" t="n">
        <f aca="false">SUMIFS('Source 2025'!$I:$I,'Source 2025'!$B:$B,$A136,'Source 2025'!$A:$A,"Amount (NIS)")</f>
        <v>4516.8</v>
      </c>
      <c r="I136" s="8" t="n">
        <f aca="false">SUMIFS('Source 2026'!$I:$I,'Source 2026'!$B:$B,$A136,'Source 2026'!$A:$A,"Amount (NIS)")</f>
        <v>5222.6</v>
      </c>
      <c r="J136" s="8" t="n">
        <f aca="false">I136*$J$5</f>
        <v>7162.42285714286</v>
      </c>
      <c r="K136" s="8" t="n">
        <f aca="false">J136-H136</f>
        <v>2645.62285714286</v>
      </c>
      <c r="L136" s="9" t="n">
        <f aca="false">IF(AND(H136=0,J136=0),0,IF(H136=0,"New",(J136-H136)/H136))</f>
        <v>0.58572946713223</v>
      </c>
    </row>
    <row r="137" customFormat="false" ht="15" hidden="false" customHeight="false" outlineLevel="0" collapsed="false">
      <c r="A137" s="7" t="n">
        <v>4416001</v>
      </c>
      <c r="B137" s="7" t="str">
        <f aca="false">IFERROR(INDEX('Source 2026'!$C:$C,MATCH($A137,'Source 2026'!$B:$B,0)),IFERROR(INDEX('Source 2025'!$C:$C,MATCH($A137,'Source 2025'!$B:$B,0)),""))</f>
        <v>307 M עקבים לדורבן-זוג כריות</v>
      </c>
      <c r="C137" s="8" t="n">
        <f aca="false">SUMIFS('Source 2025'!$I:$I,'Source 2025'!$B:$B,$A137,'Source 2025'!$A:$A,"Quantity (units)")</f>
        <v>96</v>
      </c>
      <c r="D137" s="8" t="n">
        <f aca="false">SUMIFS('Source 2026'!$I:$I,'Source 2026'!$B:$B,$A137,'Source 2026'!$A:$A,"Quantity (units)")</f>
        <v>88</v>
      </c>
      <c r="E137" s="8" t="n">
        <f aca="false">D137*$J$5</f>
        <v>120.685714285714</v>
      </c>
      <c r="F137" s="8" t="n">
        <f aca="false">E137-C137</f>
        <v>24.6857142857143</v>
      </c>
      <c r="G137" s="9" t="n">
        <f aca="false">IF(AND(C137=0,E137=0),0,IF(C137=0,"New",(E137-C137)/C137))</f>
        <v>0.257142857142857</v>
      </c>
      <c r="H137" s="8" t="n">
        <f aca="false">SUMIFS('Source 2025'!$I:$I,'Source 2025'!$B:$B,$A137,'Source 2025'!$A:$A,"Amount (NIS)")</f>
        <v>8409.2</v>
      </c>
      <c r="I137" s="8" t="n">
        <f aca="false">SUMIFS('Source 2026'!$I:$I,'Source 2026'!$B:$B,$A137,'Source 2026'!$A:$A,"Amount (NIS)")</f>
        <v>7709.6</v>
      </c>
      <c r="J137" s="8" t="n">
        <f aca="false">I137*$J$5</f>
        <v>10573.1657142857</v>
      </c>
      <c r="K137" s="8" t="n">
        <f aca="false">J137-H137</f>
        <v>2163.96571428571</v>
      </c>
      <c r="L137" s="9" t="n">
        <f aca="false">IF(AND(H137=0,J137=0),0,IF(H137=0,"New",(J137-H137)/H137))</f>
        <v>0.257333124944788</v>
      </c>
    </row>
    <row r="138" customFormat="false" ht="15" hidden="false" customHeight="false" outlineLevel="0" collapsed="false">
      <c r="A138" s="7" t="n">
        <v>4413425</v>
      </c>
      <c r="B138" s="7" t="str">
        <f aca="false">IFERROR(INDEX('Source 2026'!$C:$C,MATCH($A138,'Source 2026'!$B:$B,0)),IFERROR(INDEX('Source 2025'!$C:$C,MATCH($A138,'Source 2025'!$B:$B,0)),""))</f>
        <v>SC35R  M מגן קרסול ימין</v>
      </c>
      <c r="C138" s="8" t="n">
        <f aca="false">SUMIFS('Source 2025'!$I:$I,'Source 2025'!$B:$B,$A138,'Source 2025'!$A:$A,"Quantity (units)")</f>
        <v>0</v>
      </c>
      <c r="D138" s="8" t="n">
        <f aca="false">SUMIFS('Source 2026'!$I:$I,'Source 2026'!$B:$B,$A138,'Source 2026'!$A:$A,"Quantity (units)")</f>
        <v>9</v>
      </c>
      <c r="E138" s="8" t="n">
        <f aca="false">D138*$J$5</f>
        <v>12.3428571428571</v>
      </c>
      <c r="F138" s="8" t="n">
        <f aca="false">E138-C138</f>
        <v>12.3428571428571</v>
      </c>
      <c r="G138" s="9" t="str">
        <f aca="false">IF(AND(C138=0,E138=0),0,IF(C138=0,"New",(E138-C138)/C138))</f>
        <v>New</v>
      </c>
      <c r="H138" s="8" t="n">
        <f aca="false">SUMIFS('Source 2025'!$I:$I,'Source 2025'!$B:$B,$A138,'Source 2025'!$A:$A,"Amount (NIS)")</f>
        <v>-26.3</v>
      </c>
      <c r="I138" s="8" t="n">
        <f aca="false">SUMIFS('Source 2026'!$I:$I,'Source 2026'!$B:$B,$A138,'Source 2026'!$A:$A,"Amount (NIS)")</f>
        <v>670.4</v>
      </c>
      <c r="J138" s="8" t="n">
        <f aca="false">I138*$J$5</f>
        <v>919.405714285714</v>
      </c>
      <c r="K138" s="8" t="n">
        <f aca="false">J138-H138</f>
        <v>945.705714285714</v>
      </c>
      <c r="L138" s="9" t="n">
        <f aca="false">IF(AND(H138=0,J138=0),0,IF(H138=0,"New",(J138-H138)/H138))</f>
        <v>-35.958392178164</v>
      </c>
    </row>
    <row r="139" customFormat="false" ht="15" hidden="false" customHeight="false" outlineLevel="0" collapsed="false">
      <c r="A139" s="7" t="n">
        <v>4415029</v>
      </c>
      <c r="B139" s="7" t="str">
        <f aca="false">IFERROR(INDEX('Source 2026'!$C:$C,MATCH($A139,'Source 2026'!$B:$B,0)),IFERROR(INDEX('Source 2025'!$C:$C,MATCH($A139,'Source 2025'!$B:$B,0)),""))</f>
        <v>סד קיבוע לאצבע הדק</v>
      </c>
      <c r="C139" s="8" t="n">
        <f aca="false">SUMIFS('Source 2025'!$I:$I,'Source 2025'!$B:$B,$A139,'Source 2025'!$A:$A,"Quantity (units)")</f>
        <v>13</v>
      </c>
      <c r="D139" s="8" t="n">
        <f aca="false">SUMIFS('Source 2026'!$I:$I,'Source 2026'!$B:$B,$A139,'Source 2026'!$A:$A,"Quantity (units)")</f>
        <v>30</v>
      </c>
      <c r="E139" s="8" t="n">
        <f aca="false">D139*$J$5</f>
        <v>41.1428571428571</v>
      </c>
      <c r="F139" s="8" t="n">
        <f aca="false">E139-C139</f>
        <v>28.1428571428571</v>
      </c>
      <c r="G139" s="9" t="n">
        <f aca="false">IF(AND(C139=0,E139=0),0,IF(C139=0,"New",(E139-C139)/C139))</f>
        <v>2.16483516483517</v>
      </c>
      <c r="H139" s="8" t="n">
        <f aca="false">SUMIFS('Source 2025'!$I:$I,'Source 2025'!$B:$B,$A139,'Source 2025'!$A:$A,"Amount (NIS)")</f>
        <v>527.3</v>
      </c>
      <c r="I139" s="8" t="n">
        <f aca="false">SUMIFS('Source 2026'!$I:$I,'Source 2026'!$B:$B,$A139,'Source 2026'!$A:$A,"Amount (NIS)")</f>
        <v>1216.8</v>
      </c>
      <c r="J139" s="8" t="n">
        <f aca="false">I139*$J$5</f>
        <v>1668.75428571429</v>
      </c>
      <c r="K139" s="8" t="n">
        <f aca="false">J139-H139</f>
        <v>1141.45428571429</v>
      </c>
      <c r="L139" s="9" t="n">
        <f aca="false">IF(AND(H139=0,J139=0),0,IF(H139=0,"New",(J139-H139)/H139))</f>
        <v>2.16471512557232</v>
      </c>
    </row>
    <row r="140" customFormat="false" ht="15" hidden="false" customHeight="false" outlineLevel="0" collapsed="false">
      <c r="A140" s="7" t="n">
        <v>4415073</v>
      </c>
      <c r="B140" s="7" t="str">
        <f aca="false">IFERROR(INDEX('Source 2026'!$C:$C,MATCH($A140,'Source 2026'!$B:$B,0)),IFERROR(INDEX('Source 2025'!$C:$C,MATCH($A140,'Source 2025'!$B:$B,0)),""))</f>
        <v>T28A L-XL סד לאגודל</v>
      </c>
      <c r="C140" s="8" t="n">
        <f aca="false">SUMIFS('Source 2025'!$I:$I,'Source 2025'!$B:$B,$A140,'Source 2025'!$A:$A,"Quantity (units)")</f>
        <v>31</v>
      </c>
      <c r="D140" s="8" t="n">
        <f aca="false">SUMIFS('Source 2026'!$I:$I,'Source 2026'!$B:$B,$A140,'Source 2026'!$A:$A,"Quantity (units)")</f>
        <v>20</v>
      </c>
      <c r="E140" s="8" t="n">
        <f aca="false">D140*$J$5</f>
        <v>27.4285714285714</v>
      </c>
      <c r="F140" s="8" t="n">
        <f aca="false">E140-C140</f>
        <v>-3.57142857142857</v>
      </c>
      <c r="G140" s="9" t="n">
        <f aca="false">IF(AND(C140=0,E140=0),0,IF(C140=0,"New",(E140-C140)/C140))</f>
        <v>-0.115207373271889</v>
      </c>
      <c r="H140" s="8" t="n">
        <f aca="false">SUMIFS('Source 2025'!$I:$I,'Source 2025'!$B:$B,$A140,'Source 2025'!$A:$A,"Amount (NIS)")</f>
        <v>1959.1</v>
      </c>
      <c r="I140" s="8" t="n">
        <f aca="false">SUMIFS('Source 2026'!$I:$I,'Source 2026'!$B:$B,$A140,'Source 2026'!$A:$A,"Amount (NIS)")</f>
        <v>1270</v>
      </c>
      <c r="J140" s="8" t="n">
        <f aca="false">I140*$J$5</f>
        <v>1741.71428571429</v>
      </c>
      <c r="K140" s="8" t="n">
        <f aca="false">J140-H140</f>
        <v>-217.385714285714</v>
      </c>
      <c r="L140" s="9" t="n">
        <f aca="false">IF(AND(H140=0,J140=0),0,IF(H140=0,"New",(J140-H140)/H140))</f>
        <v>-0.11096203067006</v>
      </c>
    </row>
    <row r="141" customFormat="false" ht="15" hidden="false" customHeight="false" outlineLevel="0" collapsed="false">
      <c r="A141" s="7" t="n">
        <v>4402000</v>
      </c>
      <c r="B141" s="7" t="str">
        <f aca="false">IFERROR(INDEX('Source 2026'!$C:$C,MATCH($A141,'Source 2026'!$B:$B,0)),IFERROR(INDEX('Source 2025'!$C:$C,MATCH($A141,'Source 2025'!$B:$B,0)),""))</f>
        <v>363  בננה לתמיכת אצבעות ז.כרית</v>
      </c>
      <c r="C141" s="8" t="n">
        <f aca="false">SUMIFS('Source 2025'!$I:$I,'Source 2025'!$B:$B,$A141,'Source 2025'!$A:$A,"Quantity (units)")</f>
        <v>53</v>
      </c>
      <c r="D141" s="8" t="n">
        <f aca="false">SUMIFS('Source 2026'!$I:$I,'Source 2026'!$B:$B,$A141,'Source 2026'!$A:$A,"Quantity (units)")</f>
        <v>24</v>
      </c>
      <c r="E141" s="8" t="n">
        <f aca="false">D141*$J$5</f>
        <v>32.9142857142857</v>
      </c>
      <c r="F141" s="8" t="n">
        <f aca="false">E141-C141</f>
        <v>-20.0857142857143</v>
      </c>
      <c r="G141" s="9" t="n">
        <f aca="false">IF(AND(C141=0,E141=0),0,IF(C141=0,"New",(E141-C141)/C141))</f>
        <v>-0.378975741239892</v>
      </c>
      <c r="H141" s="8" t="n">
        <f aca="false">SUMIFS('Source 2025'!$I:$I,'Source 2025'!$B:$B,$A141,'Source 2025'!$A:$A,"Amount (NIS)")</f>
        <v>1249.7</v>
      </c>
      <c r="I141" s="8" t="n">
        <f aca="false">SUMIFS('Source 2026'!$I:$I,'Source 2026'!$B:$B,$A141,'Source 2026'!$A:$A,"Amount (NIS)")</f>
        <v>565.9</v>
      </c>
      <c r="J141" s="8" t="n">
        <f aca="false">I141*$J$5</f>
        <v>776.091428571429</v>
      </c>
      <c r="K141" s="8" t="n">
        <f aca="false">J141-H141</f>
        <v>-473.608571428572</v>
      </c>
      <c r="L141" s="9" t="n">
        <f aca="false">IF(AND(H141=0,J141=0),0,IF(H141=0,"New",(J141-H141)/H141))</f>
        <v>-0.378977811817693</v>
      </c>
    </row>
    <row r="142" customFormat="false" ht="15" hidden="false" customHeight="false" outlineLevel="0" collapsed="false">
      <c r="A142" s="7" t="n">
        <v>4415161</v>
      </c>
      <c r="B142" s="7" t="str">
        <f aca="false">IFERROR(INDEX('Source 2026'!$C:$C,MATCH($A142,'Source 2026'!$B:$B,0)),IFERROR(INDEX('Source 2025'!$C:$C,MATCH($A142,'Source 2025'!$B:$B,0)),""))</f>
        <v>238M סד ליישור אצבע</v>
      </c>
      <c r="C142" s="8" t="n">
        <f aca="false">SUMIFS('Source 2025'!$I:$I,'Source 2025'!$B:$B,$A142,'Source 2025'!$A:$A,"Quantity (units)")</f>
        <v>577</v>
      </c>
      <c r="D142" s="8" t="n">
        <f aca="false">SUMIFS('Source 2026'!$I:$I,'Source 2026'!$B:$B,$A142,'Source 2026'!$A:$A,"Quantity (units)")</f>
        <v>533</v>
      </c>
      <c r="E142" s="8" t="n">
        <f aca="false">D142*$J$5</f>
        <v>730.971428571429</v>
      </c>
      <c r="F142" s="8" t="n">
        <f aca="false">E142-C142</f>
        <v>153.971428571429</v>
      </c>
      <c r="G142" s="9" t="n">
        <f aca="false">IF(AND(C142=0,E142=0),0,IF(C142=0,"New",(E142-C142)/C142))</f>
        <v>0.266848229759841</v>
      </c>
      <c r="H142" s="8" t="n">
        <f aca="false">SUMIFS('Source 2025'!$I:$I,'Source 2025'!$B:$B,$A142,'Source 2025'!$A:$A,"Amount (NIS)")</f>
        <v>8885.8</v>
      </c>
      <c r="I142" s="8" t="n">
        <f aca="false">SUMIFS('Source 2026'!$I:$I,'Source 2026'!$B:$B,$A142,'Source 2026'!$A:$A,"Amount (NIS)")</f>
        <v>8208.2</v>
      </c>
      <c r="J142" s="8" t="n">
        <f aca="false">I142*$J$5</f>
        <v>11256.96</v>
      </c>
      <c r="K142" s="8" t="n">
        <f aca="false">J142-H142</f>
        <v>2371.16</v>
      </c>
      <c r="L142" s="9" t="n">
        <f aca="false">IF(AND(H142=0,J142=0),0,IF(H142=0,"New",(J142-H142)/H142))</f>
        <v>0.266848229759842</v>
      </c>
    </row>
    <row r="143" customFormat="false" ht="15" hidden="false" customHeight="false" outlineLevel="0" collapsed="false">
      <c r="A143" s="7" t="n">
        <v>4413019</v>
      </c>
      <c r="B143" s="7" t="str">
        <f aca="false">IFERROR(INDEX('Source 2026'!$C:$C,MATCH($A143,'Source 2026'!$B:$B,0)),IFERROR(INDEX('Source 2025'!$C:$C,MATCH($A143,'Source 2025'!$B:$B,0)),""))</f>
        <v>303 39-40 מדרסי סיליק.לח.סכרת</v>
      </c>
      <c r="C143" s="8" t="n">
        <f aca="false">SUMIFS('Source 2025'!$I:$I,'Source 2025'!$B:$B,$A143,'Source 2025'!$A:$A,"Quantity (units)")</f>
        <v>6</v>
      </c>
      <c r="D143" s="8" t="n">
        <f aca="false">SUMIFS('Source 2026'!$I:$I,'Source 2026'!$B:$B,$A143,'Source 2026'!$A:$A,"Quantity (units)")</f>
        <v>0</v>
      </c>
      <c r="E143" s="8" t="n">
        <f aca="false">D143*$J$5</f>
        <v>0</v>
      </c>
      <c r="F143" s="8" t="n">
        <f aca="false">E143-C143</f>
        <v>-6</v>
      </c>
      <c r="G143" s="9" t="n">
        <f aca="false">IF(AND(C143=0,E143=0),0,IF(C143=0,"New",(E143-C143)/C143))</f>
        <v>-1</v>
      </c>
      <c r="H143" s="8" t="n">
        <f aca="false">SUMIFS('Source 2025'!$I:$I,'Source 2025'!$B:$B,$A143,'Source 2025'!$A:$A,"Amount (NIS)")</f>
        <v>662.9</v>
      </c>
      <c r="I143" s="8" t="n">
        <f aca="false">SUMIFS('Source 2026'!$I:$I,'Source 2026'!$B:$B,$A143,'Source 2026'!$A:$A,"Amount (NIS)")</f>
        <v>0</v>
      </c>
      <c r="J143" s="8" t="n">
        <f aca="false">I143*$J$5</f>
        <v>0</v>
      </c>
      <c r="K143" s="8" t="n">
        <f aca="false">J143-H143</f>
        <v>-662.9</v>
      </c>
      <c r="L143" s="9" t="n">
        <f aca="false">IF(AND(H143=0,J143=0),0,IF(H143=0,"New",(J143-H143)/H143))</f>
        <v>-1</v>
      </c>
    </row>
    <row r="144" customFormat="false" ht="15" hidden="false" customHeight="false" outlineLevel="0" collapsed="false">
      <c r="A144" s="7" t="n">
        <v>4414000</v>
      </c>
      <c r="B144" s="7" t="str">
        <f aca="false">IFERROR(INDEX('Source 2026'!$C:$C,MATCH($A144,'Source 2026'!$B:$B,0)),IFERROR(INDEX('Source 2025'!$C:$C,MATCH($A144,'Source 2025'!$B:$B,0)),""))</f>
        <v>FC342-נוזל לציפורן חודרנית</v>
      </c>
      <c r="C144" s="8" t="n">
        <f aca="false">SUMIFS('Source 2025'!$I:$I,'Source 2025'!$B:$B,$A144,'Source 2025'!$A:$A,"Quantity (units)")</f>
        <v>185</v>
      </c>
      <c r="D144" s="8" t="n">
        <f aca="false">SUMIFS('Source 2026'!$I:$I,'Source 2026'!$B:$B,$A144,'Source 2026'!$A:$A,"Quantity (units)")</f>
        <v>164</v>
      </c>
      <c r="E144" s="8" t="n">
        <f aca="false">D144*$J$5</f>
        <v>224.914285714286</v>
      </c>
      <c r="F144" s="8" t="n">
        <f aca="false">E144-C144</f>
        <v>39.9142857142857</v>
      </c>
      <c r="G144" s="9" t="n">
        <f aca="false">IF(AND(C144=0,E144=0),0,IF(C144=0,"New",(E144-C144)/C144))</f>
        <v>0.215752895752896</v>
      </c>
      <c r="H144" s="8" t="n">
        <f aca="false">SUMIFS('Source 2025'!$I:$I,'Source 2025'!$B:$B,$A144,'Source 2025'!$A:$A,"Amount (NIS)")</f>
        <v>6186.6</v>
      </c>
      <c r="I144" s="8" t="n">
        <f aca="false">SUMIFS('Source 2026'!$I:$I,'Source 2026'!$B:$B,$A144,'Source 2026'!$A:$A,"Amount (NIS)")</f>
        <v>5523.8</v>
      </c>
      <c r="J144" s="8" t="n">
        <f aca="false">I144*$J$5</f>
        <v>7575.49714285714</v>
      </c>
      <c r="K144" s="8" t="n">
        <f aca="false">J144-H144</f>
        <v>1388.89714285714</v>
      </c>
      <c r="L144" s="9" t="n">
        <f aca="false">IF(AND(H144=0,J144=0),0,IF(H144=0,"New",(J144-H144)/H144))</f>
        <v>0.224500879781648</v>
      </c>
    </row>
    <row r="145" customFormat="false" ht="15" hidden="false" customHeight="false" outlineLevel="0" collapsed="false">
      <c r="A145" s="7" t="n">
        <v>4408230</v>
      </c>
      <c r="B145" s="7" t="str">
        <f aca="false">IFERROR(INDEX('Source 2026'!$C:$C,MATCH($A145,'Source 2026'!$B:$B,0)),IFERROR(INDEX('Source 2025'!$C:$C,MATCH($A145,'Source 2025'!$B:$B,0)),""))</f>
        <v>16 L-XL חגורת הריון</v>
      </c>
      <c r="C145" s="8" t="n">
        <f aca="false">SUMIFS('Source 2025'!$I:$I,'Source 2025'!$B:$B,$A145,'Source 2025'!$A:$A,"Quantity (units)")</f>
        <v>4</v>
      </c>
      <c r="D145" s="8" t="n">
        <f aca="false">SUMIFS('Source 2026'!$I:$I,'Source 2026'!$B:$B,$A145,'Source 2026'!$A:$A,"Quantity (units)")</f>
        <v>10</v>
      </c>
      <c r="E145" s="8" t="n">
        <f aca="false">D145*$J$5</f>
        <v>13.7142857142857</v>
      </c>
      <c r="F145" s="8" t="n">
        <f aca="false">E145-C145</f>
        <v>9.71428571428572</v>
      </c>
      <c r="G145" s="9" t="n">
        <f aca="false">IF(AND(C145=0,E145=0),0,IF(C145=0,"New",(E145-C145)/C145))</f>
        <v>2.42857142857143</v>
      </c>
      <c r="H145" s="8" t="n">
        <f aca="false">SUMIFS('Source 2025'!$I:$I,'Source 2025'!$B:$B,$A145,'Source 2025'!$A:$A,"Amount (NIS)")</f>
        <v>435.7</v>
      </c>
      <c r="I145" s="8" t="n">
        <f aca="false">SUMIFS('Source 2026'!$I:$I,'Source 2026'!$B:$B,$A145,'Source 2026'!$A:$A,"Amount (NIS)")</f>
        <v>1089.3</v>
      </c>
      <c r="J145" s="8" t="n">
        <f aca="false">I145*$J$5</f>
        <v>1493.89714285714</v>
      </c>
      <c r="K145" s="8" t="n">
        <f aca="false">J145-H145</f>
        <v>1058.19714285714</v>
      </c>
      <c r="L145" s="9" t="n">
        <f aca="false">IF(AND(H145=0,J145=0),0,IF(H145=0,"New",(J145-H145)/H145))</f>
        <v>2.42872881078068</v>
      </c>
    </row>
    <row r="146" customFormat="false" ht="15" hidden="false" customHeight="false" outlineLevel="0" collapsed="false">
      <c r="A146" s="7" t="n">
        <v>4418003</v>
      </c>
      <c r="B146" s="7" t="str">
        <f aca="false">IFERROR(INDEX('Source 2026'!$C:$C,MATCH($A146,'Source 2026'!$B:$B,0)),IFERROR(INDEX('Source 2025'!$C:$C,MATCH($A146,'Source 2025'!$B:$B,0)),""))</f>
        <v>60 XL צוארון ספוגי</v>
      </c>
      <c r="C146" s="8" t="n">
        <f aca="false">SUMIFS('Source 2025'!$I:$I,'Source 2025'!$B:$B,$A146,'Source 2025'!$A:$A,"Quantity (units)")</f>
        <v>88</v>
      </c>
      <c r="D146" s="8" t="n">
        <f aca="false">SUMIFS('Source 2026'!$I:$I,'Source 2026'!$B:$B,$A146,'Source 2026'!$A:$A,"Quantity (units)")</f>
        <v>66</v>
      </c>
      <c r="E146" s="8" t="n">
        <f aca="false">D146*$J$5</f>
        <v>90.5142857142857</v>
      </c>
      <c r="F146" s="8" t="n">
        <f aca="false">E146-C146</f>
        <v>2.51428571428572</v>
      </c>
      <c r="G146" s="9" t="n">
        <f aca="false">IF(AND(C146=0,E146=0),0,IF(C146=0,"New",(E146-C146)/C146))</f>
        <v>0.0285714285714286</v>
      </c>
      <c r="H146" s="8" t="n">
        <f aca="false">SUMIFS('Source 2025'!$I:$I,'Source 2025'!$B:$B,$A146,'Source 2025'!$A:$A,"Amount (NIS)")</f>
        <v>2784.9</v>
      </c>
      <c r="I146" s="8" t="n">
        <f aca="false">SUMIFS('Source 2026'!$I:$I,'Source 2026'!$B:$B,$A146,'Source 2026'!$A:$A,"Amount (NIS)")</f>
        <v>2134.8</v>
      </c>
      <c r="J146" s="8" t="n">
        <f aca="false">I146*$J$5</f>
        <v>2927.72571428571</v>
      </c>
      <c r="K146" s="8" t="n">
        <f aca="false">J146-H146</f>
        <v>142.825714285715</v>
      </c>
      <c r="L146" s="9" t="n">
        <f aca="false">IF(AND(H146=0,J146=0),0,IF(H146=0,"New",(J146-H146)/H146))</f>
        <v>0.0512857604530556</v>
      </c>
    </row>
    <row r="147" customFormat="false" ht="15" hidden="false" customHeight="false" outlineLevel="0" collapsed="false">
      <c r="A147" s="7" t="n">
        <v>4408249</v>
      </c>
      <c r="B147" s="7" t="str">
        <f aca="false">IFERROR(INDEX('Source 2026'!$C:$C,MATCH($A147,'Source 2026'!$B:$B,0)),IFERROR(INDEX('Source 2025'!$C:$C,MATCH($A147,'Source 2025'!$B:$B,0)),""))</f>
        <v>SC25  L חבק יד</v>
      </c>
      <c r="C147" s="8" t="n">
        <f aca="false">SUMIFS('Source 2025'!$I:$I,'Source 2025'!$B:$B,$A147,'Source 2025'!$A:$A,"Quantity (units)")</f>
        <v>1</v>
      </c>
      <c r="D147" s="8" t="n">
        <f aca="false">SUMIFS('Source 2026'!$I:$I,'Source 2026'!$B:$B,$A147,'Source 2026'!$A:$A,"Quantity (units)")</f>
        <v>8</v>
      </c>
      <c r="E147" s="8" t="n">
        <f aca="false">D147*$J$5</f>
        <v>10.9714285714286</v>
      </c>
      <c r="F147" s="8" t="n">
        <f aca="false">E147-C147</f>
        <v>9.97142857142857</v>
      </c>
      <c r="G147" s="9" t="n">
        <f aca="false">IF(AND(C147=0,E147=0),0,IF(C147=0,"New",(E147-C147)/C147))</f>
        <v>9.97142857142857</v>
      </c>
      <c r="H147" s="8" t="n">
        <f aca="false">SUMIFS('Source 2025'!$I:$I,'Source 2025'!$B:$B,$A147,'Source 2025'!$A:$A,"Amount (NIS)")</f>
        <v>-30.7</v>
      </c>
      <c r="I147" s="8" t="n">
        <f aca="false">SUMIFS('Source 2026'!$I:$I,'Source 2026'!$B:$B,$A147,'Source 2026'!$A:$A,"Amount (NIS)")</f>
        <v>595.9</v>
      </c>
      <c r="J147" s="8" t="n">
        <f aca="false">I147*$J$5</f>
        <v>817.234285714286</v>
      </c>
      <c r="K147" s="8" t="n">
        <f aca="false">J147-H147</f>
        <v>847.934285714286</v>
      </c>
      <c r="L147" s="9" t="n">
        <f aca="false">IF(AND(H147=0,J147=0),0,IF(H147=0,"New",(J147-H147)/H147))</f>
        <v>-27.6200093066543</v>
      </c>
    </row>
    <row r="148" customFormat="false" ht="15" hidden="false" customHeight="false" outlineLevel="0" collapsed="false">
      <c r="A148" s="7" t="n">
        <v>4415025</v>
      </c>
      <c r="B148" s="7" t="str">
        <f aca="false">IFERROR(INDEX('Source 2026'!$C:$C,MATCH($A148,'Source 2026'!$B:$B,0)),IFERROR(INDEX('Source 2025'!$C:$C,MATCH($A148,'Source 2025'!$B:$B,0)),""))</f>
        <v>28-XS סד לאגודל לאחר שבר</v>
      </c>
      <c r="C148" s="8" t="n">
        <f aca="false">SUMIFS('Source 2025'!$I:$I,'Source 2025'!$B:$B,$A148,'Source 2025'!$A:$A,"Quantity (units)")</f>
        <v>0</v>
      </c>
      <c r="D148" s="8" t="n">
        <f aca="false">SUMIFS('Source 2026'!$I:$I,'Source 2026'!$B:$B,$A148,'Source 2026'!$A:$A,"Quantity (units)")</f>
        <v>7</v>
      </c>
      <c r="E148" s="8" t="n">
        <f aca="false">D148*$J$5</f>
        <v>9.6</v>
      </c>
      <c r="F148" s="8" t="n">
        <f aca="false">E148-C148</f>
        <v>9.6</v>
      </c>
      <c r="G148" s="9" t="str">
        <f aca="false">IF(AND(C148=0,E148=0),0,IF(C148=0,"New",(E148-C148)/C148))</f>
        <v>New</v>
      </c>
      <c r="H148" s="8" t="n">
        <f aca="false">SUMIFS('Source 2025'!$I:$I,'Source 2025'!$B:$B,$A148,'Source 2025'!$A:$A,"Amount (NIS)")</f>
        <v>0</v>
      </c>
      <c r="I148" s="8" t="n">
        <f aca="false">SUMIFS('Source 2026'!$I:$I,'Source 2026'!$B:$B,$A148,'Source 2026'!$A:$A,"Amount (NIS)")</f>
        <v>617.4</v>
      </c>
      <c r="J148" s="8" t="n">
        <f aca="false">I148*$J$5</f>
        <v>846.72</v>
      </c>
      <c r="K148" s="8" t="n">
        <f aca="false">J148-H148</f>
        <v>846.72</v>
      </c>
      <c r="L148" s="9" t="str">
        <f aca="false">IF(AND(H148=0,J148=0),0,IF(H148=0,"New",(J148-H148)/H148))</f>
        <v>New</v>
      </c>
    </row>
    <row r="149" customFormat="false" ht="15" hidden="false" customHeight="false" outlineLevel="0" collapsed="false">
      <c r="A149" s="7" t="n">
        <v>4408070</v>
      </c>
      <c r="B149" s="7" t="str">
        <f aca="false">IFERROR(INDEX('Source 2026'!$C:$C,MATCH($A149,'Source 2026'!$B:$B,0)),IFERROR(INDEX('Source 2025'!$C:$C,MATCH($A149,'Source 2025'!$B:$B,0)),""))</f>
        <v>59D S חגורת שבר דו צדדי</v>
      </c>
      <c r="C149" s="8" t="n">
        <f aca="false">SUMIFS('Source 2025'!$I:$I,'Source 2025'!$B:$B,$A149,'Source 2025'!$A:$A,"Quantity (units)")</f>
        <v>4</v>
      </c>
      <c r="D149" s="8" t="n">
        <f aca="false">SUMIFS('Source 2026'!$I:$I,'Source 2026'!$B:$B,$A149,'Source 2026'!$A:$A,"Quantity (units)")</f>
        <v>6</v>
      </c>
      <c r="E149" s="8" t="n">
        <f aca="false">D149*$J$5</f>
        <v>8.22857142857143</v>
      </c>
      <c r="F149" s="8" t="n">
        <f aca="false">E149-C149</f>
        <v>4.22857142857143</v>
      </c>
      <c r="G149" s="9" t="n">
        <f aca="false">IF(AND(C149=0,E149=0),0,IF(C149=0,"New",(E149-C149)/C149))</f>
        <v>1.05714285714286</v>
      </c>
      <c r="H149" s="8" t="n">
        <f aca="false">SUMIFS('Source 2025'!$I:$I,'Source 2025'!$B:$B,$A149,'Source 2025'!$A:$A,"Amount (NIS)")</f>
        <v>1206.8</v>
      </c>
      <c r="I149" s="8" t="n">
        <f aca="false">SUMIFS('Source 2026'!$I:$I,'Source 2026'!$B:$B,$A149,'Source 2026'!$A:$A,"Amount (NIS)")</f>
        <v>1810.3</v>
      </c>
      <c r="J149" s="8" t="n">
        <f aca="false">I149*$J$5</f>
        <v>2482.69714285714</v>
      </c>
      <c r="K149" s="8" t="n">
        <f aca="false">J149-H149</f>
        <v>1275.89714285714</v>
      </c>
      <c r="L149" s="9" t="n">
        <f aca="false">IF(AND(H149=0,J149=0),0,IF(H149=0,"New",(J149-H149)/H149))</f>
        <v>1.05725649888726</v>
      </c>
    </row>
    <row r="150" customFormat="false" ht="15" hidden="false" customHeight="false" outlineLevel="0" collapsed="false">
      <c r="A150" s="7" t="n">
        <v>4408072</v>
      </c>
      <c r="B150" s="7" t="str">
        <f aca="false">IFERROR(INDEX('Source 2026'!$C:$C,MATCH($A150,'Source 2026'!$B:$B,0)),IFERROR(INDEX('Source 2025'!$C:$C,MATCH($A150,'Source 2025'!$B:$B,0)),""))</f>
        <v>59D M חגורת שבר דו צדדי</v>
      </c>
      <c r="C150" s="8" t="n">
        <f aca="false">SUMIFS('Source 2025'!$I:$I,'Source 2025'!$B:$B,$A150,'Source 2025'!$A:$A,"Quantity (units)")</f>
        <v>0</v>
      </c>
      <c r="D150" s="8" t="n">
        <f aca="false">SUMIFS('Source 2026'!$I:$I,'Source 2026'!$B:$B,$A150,'Source 2026'!$A:$A,"Quantity (units)")</f>
        <v>2</v>
      </c>
      <c r="E150" s="8" t="n">
        <f aca="false">D150*$J$5</f>
        <v>2.74285714285714</v>
      </c>
      <c r="F150" s="8" t="n">
        <f aca="false">E150-C150</f>
        <v>2.74285714285714</v>
      </c>
      <c r="G150" s="9" t="str">
        <f aca="false">IF(AND(C150=0,E150=0),0,IF(C150=0,"New",(E150-C150)/C150))</f>
        <v>New</v>
      </c>
      <c r="H150" s="8" t="n">
        <f aca="false">SUMIFS('Source 2025'!$I:$I,'Source 2025'!$B:$B,$A150,'Source 2025'!$A:$A,"Amount (NIS)")</f>
        <v>0</v>
      </c>
      <c r="I150" s="8" t="n">
        <f aca="false">SUMIFS('Source 2026'!$I:$I,'Source 2026'!$B:$B,$A150,'Source 2026'!$A:$A,"Amount (NIS)")</f>
        <v>603.4</v>
      </c>
      <c r="J150" s="8" t="n">
        <f aca="false">I150*$J$5</f>
        <v>827.52</v>
      </c>
      <c r="K150" s="8" t="n">
        <f aca="false">J150-H150</f>
        <v>827.52</v>
      </c>
      <c r="L150" s="9" t="str">
        <f aca="false">IF(AND(H150=0,J150=0),0,IF(H150=0,"New",(J150-H150)/H150))</f>
        <v>New</v>
      </c>
    </row>
    <row r="151" customFormat="false" ht="15" hidden="false" customHeight="false" outlineLevel="0" collapsed="false">
      <c r="A151" s="7" t="n">
        <v>4413417</v>
      </c>
      <c r="B151" s="7" t="str">
        <f aca="false">IFERROR(INDEX('Source 2026'!$C:$C,MATCH($A151,'Source 2026'!$B:$B,0)),IFERROR(INDEX('Source 2025'!$C:$C,MATCH($A151,'Source 2025'!$B:$B,0)),""))</f>
        <v>SC39  L מגן שוק</v>
      </c>
      <c r="C151" s="8" t="n">
        <f aca="false">SUMIFS('Source 2025'!$I:$I,'Source 2025'!$B:$B,$A151,'Source 2025'!$A:$A,"Quantity (units)")</f>
        <v>9</v>
      </c>
      <c r="D151" s="8" t="n">
        <f aca="false">SUMIFS('Source 2026'!$I:$I,'Source 2026'!$B:$B,$A151,'Source 2026'!$A:$A,"Quantity (units)")</f>
        <v>13</v>
      </c>
      <c r="E151" s="8" t="n">
        <f aca="false">D151*$J$5</f>
        <v>17.8285714285714</v>
      </c>
      <c r="F151" s="8" t="n">
        <f aca="false">E151-C151</f>
        <v>8.82857142857143</v>
      </c>
      <c r="G151" s="9" t="n">
        <f aca="false">IF(AND(C151=0,E151=0),0,IF(C151=0,"New",(E151-C151)/C151))</f>
        <v>0.980952380952381</v>
      </c>
      <c r="H151" s="8" t="n">
        <f aca="false">SUMIFS('Source 2025'!$I:$I,'Source 2025'!$B:$B,$A151,'Source 2025'!$A:$A,"Amount (NIS)")</f>
        <v>1168.6</v>
      </c>
      <c r="I151" s="8" t="n">
        <f aca="false">SUMIFS('Source 2026'!$I:$I,'Source 2026'!$B:$B,$A151,'Source 2026'!$A:$A,"Amount (NIS)")</f>
        <v>1764.9</v>
      </c>
      <c r="J151" s="8" t="n">
        <f aca="false">I151*$J$5</f>
        <v>2420.43428571429</v>
      </c>
      <c r="K151" s="8" t="n">
        <f aca="false">J151-H151</f>
        <v>1251.83428571429</v>
      </c>
      <c r="L151" s="9" t="n">
        <f aca="false">IF(AND(H151=0,J151=0),0,IF(H151=0,"New",(J151-H151)/H151))</f>
        <v>1.07122564240483</v>
      </c>
    </row>
    <row r="152" customFormat="false" ht="15" hidden="false" customHeight="false" outlineLevel="0" collapsed="false">
      <c r="A152" s="7" t="n">
        <v>4408150</v>
      </c>
      <c r="B152" s="7" t="str">
        <f aca="false">IFERROR(INDEX('Source 2026'!$C:$C,MATCH($A152,'Source 2026'!$B:$B,0)),IFERROR(INDEX('Source 2025'!$C:$C,MATCH($A152,'Source 2025'!$B:$B,0)),""))</f>
        <v>11TO S חגורה למנותחי בית החזה</v>
      </c>
      <c r="C152" s="8" t="n">
        <f aca="false">SUMIFS('Source 2025'!$I:$I,'Source 2025'!$B:$B,$A152,'Source 2025'!$A:$A,"Quantity (units)")</f>
        <v>8</v>
      </c>
      <c r="D152" s="8" t="n">
        <f aca="false">SUMIFS('Source 2026'!$I:$I,'Source 2026'!$B:$B,$A152,'Source 2026'!$A:$A,"Quantity (units)")</f>
        <v>12</v>
      </c>
      <c r="E152" s="8" t="n">
        <f aca="false">D152*$J$5</f>
        <v>16.4571428571429</v>
      </c>
      <c r="F152" s="8" t="n">
        <f aca="false">E152-C152</f>
        <v>8.45714285714286</v>
      </c>
      <c r="G152" s="9" t="n">
        <f aca="false">IF(AND(C152=0,E152=0),0,IF(C152=0,"New",(E152-C152)/C152))</f>
        <v>1.05714285714286</v>
      </c>
      <c r="H152" s="8" t="n">
        <f aca="false">SUMIFS('Source 2025'!$I:$I,'Source 2025'!$B:$B,$A152,'Source 2025'!$A:$A,"Amount (NIS)")</f>
        <v>1164.5</v>
      </c>
      <c r="I152" s="8" t="n">
        <f aca="false">SUMIFS('Source 2026'!$I:$I,'Source 2026'!$B:$B,$A152,'Source 2026'!$A:$A,"Amount (NIS)")</f>
        <v>1746.7</v>
      </c>
      <c r="J152" s="8" t="n">
        <f aca="false">I152*$J$5</f>
        <v>2395.47428571429</v>
      </c>
      <c r="K152" s="8" t="n">
        <f aca="false">J152-H152</f>
        <v>1230.97428571429</v>
      </c>
      <c r="L152" s="9" t="n">
        <f aca="false">IF(AND(H152=0,J152=0),0,IF(H152=0,"New",(J152-H152)/H152))</f>
        <v>1.05708397227504</v>
      </c>
    </row>
    <row r="153" customFormat="false" ht="15" hidden="false" customHeight="false" outlineLevel="0" collapsed="false">
      <c r="A153" s="7" t="n">
        <v>4413183</v>
      </c>
      <c r="B153" s="7" t="str">
        <f aca="false">IFERROR(INDEX('Source 2026'!$C:$C,MATCH($A153,'Source 2026'!$B:$B,0)),IFERROR(INDEX('Source 2025'!$C:$C,MATCH($A153,'Source 2025'!$B:$B,0)),""))</f>
        <v>T 45 M מגן ברך רגיל</v>
      </c>
      <c r="C153" s="8" t="n">
        <f aca="false">SUMIFS('Source 2025'!$I:$I,'Source 2025'!$B:$B,$A153,'Source 2025'!$A:$A,"Quantity (units)")</f>
        <v>9</v>
      </c>
      <c r="D153" s="8" t="n">
        <f aca="false">SUMIFS('Source 2026'!$I:$I,'Source 2026'!$B:$B,$A153,'Source 2026'!$A:$A,"Quantity (units)")</f>
        <v>15</v>
      </c>
      <c r="E153" s="8" t="n">
        <f aca="false">D153*$J$5</f>
        <v>20.5714285714286</v>
      </c>
      <c r="F153" s="8" t="n">
        <f aca="false">E153-C153</f>
        <v>11.5714285714286</v>
      </c>
      <c r="G153" s="9" t="n">
        <f aca="false">IF(AND(C153=0,E153=0),0,IF(C153=0,"New",(E153-C153)/C153))</f>
        <v>1.28571428571429</v>
      </c>
      <c r="H153" s="8" t="n">
        <f aca="false">SUMIFS('Source 2025'!$I:$I,'Source 2025'!$B:$B,$A153,'Source 2025'!$A:$A,"Amount (NIS)")</f>
        <v>873.3</v>
      </c>
      <c r="I153" s="8" t="n">
        <f aca="false">SUMIFS('Source 2026'!$I:$I,'Source 2026'!$B:$B,$A153,'Source 2026'!$A:$A,"Amount (NIS)")</f>
        <v>1455.5</v>
      </c>
      <c r="J153" s="8" t="n">
        <f aca="false">I153*$J$5</f>
        <v>1996.11428571429</v>
      </c>
      <c r="K153" s="8" t="n">
        <f aca="false">J153-H153</f>
        <v>1122.81428571429</v>
      </c>
      <c r="L153" s="9" t="n">
        <f aca="false">IF(AND(H153=0,J153=0),0,IF(H153=0,"New",(J153-H153)/H153))</f>
        <v>1.28571428571429</v>
      </c>
    </row>
    <row r="154" customFormat="false" ht="15" hidden="false" customHeight="false" outlineLevel="0" collapsed="false">
      <c r="A154" s="7" t="n">
        <v>4413366</v>
      </c>
      <c r="B154" s="7" t="str">
        <f aca="false">IFERROR(INDEX('Source 2026'!$C:$C,MATCH($A154,'Source 2026'!$B:$B,0)),IFERROR(INDEX('Source 2025'!$C:$C,MATCH($A154,'Source 2025'!$B:$B,0)),""))</f>
        <v>95C S 'מגן מרפק בז</v>
      </c>
      <c r="C154" s="8" t="n">
        <f aca="false">SUMIFS('Source 2025'!$I:$I,'Source 2025'!$B:$B,$A154,'Source 2025'!$A:$A,"Quantity (units)")</f>
        <v>109</v>
      </c>
      <c r="D154" s="8" t="n">
        <f aca="false">SUMIFS('Source 2026'!$I:$I,'Source 2026'!$B:$B,$A154,'Source 2026'!$A:$A,"Quantity (units)")</f>
        <v>88</v>
      </c>
      <c r="E154" s="8" t="n">
        <f aca="false">D154*$J$5</f>
        <v>120.685714285714</v>
      </c>
      <c r="F154" s="8" t="n">
        <f aca="false">E154-C154</f>
        <v>11.6857142857143</v>
      </c>
      <c r="G154" s="9" t="n">
        <f aca="false">IF(AND(C154=0,E154=0),0,IF(C154=0,"New",(E154-C154)/C154))</f>
        <v>0.107208387942333</v>
      </c>
      <c r="H154" s="8" t="n">
        <f aca="false">SUMIFS('Source 2025'!$I:$I,'Source 2025'!$B:$B,$A154,'Source 2025'!$A:$A,"Amount (NIS)")</f>
        <v>3023.9</v>
      </c>
      <c r="I154" s="8" t="n">
        <f aca="false">SUMIFS('Source 2026'!$I:$I,'Source 2026'!$B:$B,$A154,'Source 2026'!$A:$A,"Amount (NIS)")</f>
        <v>2444.9</v>
      </c>
      <c r="J154" s="8" t="n">
        <f aca="false">I154*$J$5</f>
        <v>3353.00571428571</v>
      </c>
      <c r="K154" s="8" t="n">
        <f aca="false">J154-H154</f>
        <v>329.105714285714</v>
      </c>
      <c r="L154" s="9" t="n">
        <f aca="false">IF(AND(H154=0,J154=0),0,IF(H154=0,"New",(J154-H154)/H154))</f>
        <v>0.108834853760281</v>
      </c>
    </row>
    <row r="155" customFormat="false" ht="15" hidden="false" customHeight="false" outlineLevel="0" collapsed="false">
      <c r="A155" s="7" t="n">
        <v>4413426</v>
      </c>
      <c r="B155" s="7" t="str">
        <f aca="false">IFERROR(INDEX('Source 2026'!$C:$C,MATCH($A155,'Source 2026'!$B:$B,0)),IFERROR(INDEX('Source 2025'!$C:$C,MATCH($A155,'Source 2025'!$B:$B,0)),""))</f>
        <v>SC35R  L מגן קרסול ימין</v>
      </c>
      <c r="C155" s="8" t="n">
        <f aca="false">SUMIFS('Source 2025'!$I:$I,'Source 2025'!$B:$B,$A155,'Source 2025'!$A:$A,"Quantity (units)")</f>
        <v>-3</v>
      </c>
      <c r="D155" s="8" t="n">
        <f aca="false">SUMIFS('Source 2026'!$I:$I,'Source 2026'!$B:$B,$A155,'Source 2026'!$A:$A,"Quantity (units)")</f>
        <v>4</v>
      </c>
      <c r="E155" s="8" t="n">
        <f aca="false">D155*$J$5</f>
        <v>5.48571428571429</v>
      </c>
      <c r="F155" s="8" t="n">
        <f aca="false">E155-C155</f>
        <v>8.48571428571429</v>
      </c>
      <c r="G155" s="9" t="n">
        <f aca="false">IF(AND(C155=0,E155=0),0,IF(C155=0,"New",(E155-C155)/C155))</f>
        <v>-2.82857142857143</v>
      </c>
      <c r="H155" s="8" t="n">
        <f aca="false">SUMIFS('Source 2025'!$I:$I,'Source 2025'!$B:$B,$A155,'Source 2025'!$A:$A,"Amount (NIS)")</f>
        <v>-276.1</v>
      </c>
      <c r="I155" s="8" t="n">
        <f aca="false">SUMIFS('Source 2026'!$I:$I,'Source 2026'!$B:$B,$A155,'Source 2026'!$A:$A,"Amount (NIS)")</f>
        <v>298</v>
      </c>
      <c r="J155" s="8" t="n">
        <f aca="false">I155*$J$5</f>
        <v>408.685714285714</v>
      </c>
      <c r="K155" s="8" t="n">
        <f aca="false">J155-H155</f>
        <v>684.785714285714</v>
      </c>
      <c r="L155" s="9" t="n">
        <f aca="false">IF(AND(H155=0,J155=0),0,IF(H155=0,"New",(J155-H155)/H155))</f>
        <v>-2.48020903399389</v>
      </c>
    </row>
    <row r="156" customFormat="false" ht="15" hidden="false" customHeight="false" outlineLevel="0" collapsed="false">
      <c r="A156" s="7" t="n">
        <v>4413427</v>
      </c>
      <c r="B156" s="7" t="str">
        <f aca="false">IFERROR(INDEX('Source 2026'!$C:$C,MATCH($A156,'Source 2026'!$B:$B,0)),IFERROR(INDEX('Source 2025'!$C:$C,MATCH($A156,'Source 2025'!$B:$B,0)),""))</f>
        <v>SC35R  XLמגן קרסול ימין</v>
      </c>
      <c r="C156" s="8" t="n">
        <f aca="false">SUMIFS('Source 2025'!$I:$I,'Source 2025'!$B:$B,$A156,'Source 2025'!$A:$A,"Quantity (units)")</f>
        <v>-1</v>
      </c>
      <c r="D156" s="8" t="n">
        <f aca="false">SUMIFS('Source 2026'!$I:$I,'Source 2026'!$B:$B,$A156,'Source 2026'!$A:$A,"Quantity (units)")</f>
        <v>6</v>
      </c>
      <c r="E156" s="8" t="n">
        <f aca="false">D156*$J$5</f>
        <v>8.22857142857143</v>
      </c>
      <c r="F156" s="8" t="n">
        <f aca="false">E156-C156</f>
        <v>9.22857142857143</v>
      </c>
      <c r="G156" s="9" t="n">
        <f aca="false">IF(AND(C156=0,E156=0),0,IF(C156=0,"New",(E156-C156)/C156))</f>
        <v>-9.22857142857143</v>
      </c>
      <c r="H156" s="8" t="n">
        <f aca="false">SUMIFS('Source 2025'!$I:$I,'Source 2025'!$B:$B,$A156,'Source 2025'!$A:$A,"Amount (NIS)")</f>
        <v>-127.1</v>
      </c>
      <c r="I156" s="8" t="n">
        <f aca="false">SUMIFS('Source 2026'!$I:$I,'Source 2026'!$B:$B,$A156,'Source 2026'!$A:$A,"Amount (NIS)")</f>
        <v>446.9</v>
      </c>
      <c r="J156" s="8" t="n">
        <f aca="false">I156*$J$5</f>
        <v>612.891428571429</v>
      </c>
      <c r="K156" s="8" t="n">
        <f aca="false">J156-H156</f>
        <v>739.991428571429</v>
      </c>
      <c r="L156" s="9" t="n">
        <f aca="false">IF(AND(H156=0,J156=0),0,IF(H156=0,"New",(J156-H156)/H156))</f>
        <v>-5.8221198156682</v>
      </c>
    </row>
    <row r="157" customFormat="false" ht="15" hidden="false" customHeight="false" outlineLevel="0" collapsed="false">
      <c r="A157" s="7" t="n">
        <v>4408029</v>
      </c>
      <c r="B157" s="7" t="str">
        <f aca="false">IFERROR(INDEX('Source 2026'!$C:$C,MATCH($A157,'Source 2026'!$B:$B,0)),IFERROR(INDEX('Source 2025'!$C:$C,MATCH($A157,'Source 2025'!$B:$B,0)),""))</f>
        <v>10 XL ""חגורת גב ""לומבו</v>
      </c>
      <c r="C157" s="8" t="n">
        <f aca="false">SUMIFS('Source 2025'!$I:$I,'Source 2025'!$B:$B,$A157,'Source 2025'!$A:$A,"Quantity (units)")</f>
        <v>2</v>
      </c>
      <c r="D157" s="8" t="n">
        <f aca="false">SUMIFS('Source 2026'!$I:$I,'Source 2026'!$B:$B,$A157,'Source 2026'!$A:$A,"Quantity (units)")</f>
        <v>6</v>
      </c>
      <c r="E157" s="8" t="n">
        <f aca="false">D157*$J$5</f>
        <v>8.22857142857143</v>
      </c>
      <c r="F157" s="8" t="n">
        <f aca="false">E157-C157</f>
        <v>6.22857142857143</v>
      </c>
      <c r="G157" s="9" t="n">
        <f aca="false">IF(AND(C157=0,E157=0),0,IF(C157=0,"New",(E157-C157)/C157))</f>
        <v>3.11428571428571</v>
      </c>
      <c r="H157" s="8" t="n">
        <f aca="false">SUMIFS('Source 2025'!$I:$I,'Source 2025'!$B:$B,$A157,'Source 2025'!$A:$A,"Amount (NIS)")</f>
        <v>282.3</v>
      </c>
      <c r="I157" s="8" t="n">
        <f aca="false">SUMIFS('Source 2026'!$I:$I,'Source 2026'!$B:$B,$A157,'Source 2026'!$A:$A,"Amount (NIS)")</f>
        <v>846.9</v>
      </c>
      <c r="J157" s="8" t="n">
        <f aca="false">I157*$J$5</f>
        <v>1161.46285714286</v>
      </c>
      <c r="K157" s="8" t="n">
        <f aca="false">J157-H157</f>
        <v>879.162857142857</v>
      </c>
      <c r="L157" s="9" t="n">
        <f aca="false">IF(AND(H157=0,J157=0),0,IF(H157=0,"New",(J157-H157)/H157))</f>
        <v>3.11428571428571</v>
      </c>
    </row>
    <row r="158" customFormat="false" ht="15" hidden="false" customHeight="false" outlineLevel="0" collapsed="false">
      <c r="A158" s="7" t="n">
        <v>4422005</v>
      </c>
      <c r="B158" s="7" t="str">
        <f aca="false">IFERROR(INDEX('Source 2026'!$C:$C,MATCH($A158,'Source 2026'!$B:$B,0)),IFERROR(INDEX('Source 2025'!$C:$C,MATCH($A158,'Source 2025'!$B:$B,0)),""))</f>
        <v>T78 M תומך זרוע וכתף</v>
      </c>
      <c r="C158" s="8" t="n">
        <f aca="false">SUMIFS('Source 2025'!$I:$I,'Source 2025'!$B:$B,$A158,'Source 2025'!$A:$A,"Quantity (units)")</f>
        <v>5</v>
      </c>
      <c r="D158" s="8" t="n">
        <f aca="false">SUMIFS('Source 2026'!$I:$I,'Source 2026'!$B:$B,$A158,'Source 2026'!$A:$A,"Quantity (units)")</f>
        <v>2</v>
      </c>
      <c r="E158" s="8" t="n">
        <f aca="false">D158*$J$5</f>
        <v>2.74285714285714</v>
      </c>
      <c r="F158" s="8" t="n">
        <f aca="false">E158-C158</f>
        <v>-2.25714285714286</v>
      </c>
      <c r="G158" s="9" t="n">
        <f aca="false">IF(AND(C158=0,E158=0),0,IF(C158=0,"New",(E158-C158)/C158))</f>
        <v>-0.451428571428571</v>
      </c>
      <c r="H158" s="8" t="n">
        <f aca="false">SUMIFS('Source 2025'!$I:$I,'Source 2025'!$B:$B,$A158,'Source 2025'!$A:$A,"Amount (NIS)")</f>
        <v>936.5</v>
      </c>
      <c r="I158" s="8" t="n">
        <f aca="false">SUMIFS('Source 2026'!$I:$I,'Source 2026'!$B:$B,$A158,'Source 2026'!$A:$A,"Amount (NIS)")</f>
        <v>374.6</v>
      </c>
      <c r="J158" s="8" t="n">
        <f aca="false">I158*$J$5</f>
        <v>513.737142857143</v>
      </c>
      <c r="K158" s="8" t="n">
        <f aca="false">J158-H158</f>
        <v>-422.762857142857</v>
      </c>
      <c r="L158" s="9" t="n">
        <f aca="false">IF(AND(H158=0,J158=0),0,IF(H158=0,"New",(J158-H158)/H158))</f>
        <v>-0.451428571428571</v>
      </c>
    </row>
    <row r="159" customFormat="false" ht="15" hidden="false" customHeight="false" outlineLevel="0" collapsed="false">
      <c r="A159" s="7" t="n">
        <v>4413307</v>
      </c>
      <c r="B159" s="7" t="str">
        <f aca="false">IFERROR(INDEX('Source 2026'!$C:$C,MATCH($A159,'Source 2026'!$B:$B,0)),IFERROR(INDEX('Source 2025'!$C:$C,MATCH($A159,'Source 2025'!$B:$B,0)),""))</f>
        <v>URI 3667 מגן בוניון</v>
      </c>
      <c r="C159" s="8" t="n">
        <f aca="false">SUMIFS('Source 2025'!$I:$I,'Source 2025'!$B:$B,$A159,'Source 2025'!$A:$A,"Quantity (units)")</f>
        <v>79</v>
      </c>
      <c r="D159" s="8" t="n">
        <f aca="false">SUMIFS('Source 2026'!$I:$I,'Source 2026'!$B:$B,$A159,'Source 2026'!$A:$A,"Quantity (units)")</f>
        <v>60</v>
      </c>
      <c r="E159" s="8" t="n">
        <f aca="false">D159*$J$5</f>
        <v>82.2857142857143</v>
      </c>
      <c r="F159" s="8" t="n">
        <f aca="false">E159-C159</f>
        <v>3.28571428571429</v>
      </c>
      <c r="G159" s="9" t="n">
        <f aca="false">IF(AND(C159=0,E159=0),0,IF(C159=0,"New",(E159-C159)/C159))</f>
        <v>0.0415913200723328</v>
      </c>
      <c r="H159" s="8" t="n">
        <f aca="false">SUMIFS('Source 2025'!$I:$I,'Source 2025'!$B:$B,$A159,'Source 2025'!$A:$A,"Amount (NIS)")</f>
        <v>2285.4</v>
      </c>
      <c r="I159" s="8" t="n">
        <f aca="false">SUMIFS('Source 2026'!$I:$I,'Source 2026'!$B:$B,$A159,'Source 2026'!$A:$A,"Amount (NIS)")</f>
        <v>1729.8</v>
      </c>
      <c r="J159" s="8" t="n">
        <f aca="false">I159*$J$5</f>
        <v>2372.29714285714</v>
      </c>
      <c r="K159" s="8" t="n">
        <f aca="false">J159-H159</f>
        <v>86.8971428571426</v>
      </c>
      <c r="L159" s="9" t="n">
        <f aca="false">IF(AND(H159=0,J159=0),0,IF(H159=0,"New",(J159-H159)/H159))</f>
        <v>0.0380227281251171</v>
      </c>
    </row>
    <row r="160" customFormat="false" ht="15" hidden="false" customHeight="false" outlineLevel="0" collapsed="false">
      <c r="A160" s="7" t="n">
        <v>4408248</v>
      </c>
      <c r="B160" s="7" t="str">
        <f aca="false">IFERROR(INDEX('Source 2026'!$C:$C,MATCH($A160,'Source 2026'!$B:$B,0)),IFERROR(INDEX('Source 2025'!$C:$C,MATCH($A160,'Source 2025'!$B:$B,0)),""))</f>
        <v>SC25  M חבק יד</v>
      </c>
      <c r="C160" s="8" t="n">
        <f aca="false">SUMIFS('Source 2025'!$I:$I,'Source 2025'!$B:$B,$A160,'Source 2025'!$A:$A,"Quantity (units)")</f>
        <v>3</v>
      </c>
      <c r="D160" s="8" t="n">
        <f aca="false">SUMIFS('Source 2026'!$I:$I,'Source 2026'!$B:$B,$A160,'Source 2026'!$A:$A,"Quantity (units)")</f>
        <v>10</v>
      </c>
      <c r="E160" s="8" t="n">
        <f aca="false">D160*$J$5</f>
        <v>13.7142857142857</v>
      </c>
      <c r="F160" s="8" t="n">
        <f aca="false">E160-C160</f>
        <v>10.7142857142857</v>
      </c>
      <c r="G160" s="9" t="n">
        <f aca="false">IF(AND(C160=0,E160=0),0,IF(C160=0,"New",(E160-C160)/C160))</f>
        <v>3.57142857142857</v>
      </c>
      <c r="H160" s="8" t="n">
        <f aca="false">SUMIFS('Source 2025'!$I:$I,'Source 2025'!$B:$B,$A160,'Source 2025'!$A:$A,"Amount (NIS)")</f>
        <v>197.2</v>
      </c>
      <c r="I160" s="8" t="n">
        <f aca="false">SUMIFS('Source 2026'!$I:$I,'Source 2026'!$B:$B,$A160,'Source 2026'!$A:$A,"Amount (NIS)")</f>
        <v>744.9</v>
      </c>
      <c r="J160" s="8" t="n">
        <f aca="false">I160*$J$5</f>
        <v>1021.57714285714</v>
      </c>
      <c r="K160" s="8" t="n">
        <f aca="false">J160-H160</f>
        <v>824.377142857143</v>
      </c>
      <c r="L160" s="9" t="n">
        <f aca="false">IF(AND(H160=0,J160=0),0,IF(H160=0,"New",(J160-H160)/H160))</f>
        <v>4.1804114749348</v>
      </c>
    </row>
    <row r="161" customFormat="false" ht="15" hidden="false" customHeight="false" outlineLevel="0" collapsed="false">
      <c r="A161" s="7" t="n">
        <v>4415003</v>
      </c>
      <c r="B161" s="7" t="str">
        <f aca="false">IFERROR(INDEX('Source 2026'!$C:$C,MATCH($A161,'Source 2026'!$B:$B,0)),IFERROR(INDEX('Source 2025'!$C:$C,MATCH($A161,'Source 2025'!$B:$B,0)),""))</f>
        <v>26 XL סד ליד דו צדדי לאחר שבר</v>
      </c>
      <c r="C161" s="8" t="n">
        <f aca="false">SUMIFS('Source 2025'!$I:$I,'Source 2025'!$B:$B,$A161,'Source 2025'!$A:$A,"Quantity (units)")</f>
        <v>27</v>
      </c>
      <c r="D161" s="8" t="n">
        <f aca="false">SUMIFS('Source 2026'!$I:$I,'Source 2026'!$B:$B,$A161,'Source 2026'!$A:$A,"Quantity (units)")</f>
        <v>33</v>
      </c>
      <c r="E161" s="8" t="n">
        <f aca="false">D161*$J$5</f>
        <v>45.2571428571429</v>
      </c>
      <c r="F161" s="8" t="n">
        <f aca="false">E161-C161</f>
        <v>18.2571428571429</v>
      </c>
      <c r="G161" s="9" t="n">
        <f aca="false">IF(AND(C161=0,E161=0),0,IF(C161=0,"New",(E161-C161)/C161))</f>
        <v>0.676190476190476</v>
      </c>
      <c r="H161" s="8" t="n">
        <f aca="false">SUMIFS('Source 2025'!$I:$I,'Source 2025'!$B:$B,$A161,'Source 2025'!$A:$A,"Amount (NIS)")</f>
        <v>2375.1</v>
      </c>
      <c r="I161" s="8" t="n">
        <f aca="false">SUMIFS('Source 2026'!$I:$I,'Source 2026'!$B:$B,$A161,'Source 2026'!$A:$A,"Amount (NIS)")</f>
        <v>2910.6</v>
      </c>
      <c r="J161" s="8" t="n">
        <f aca="false">I161*$J$5</f>
        <v>3991.68</v>
      </c>
      <c r="K161" s="8" t="n">
        <f aca="false">J161-H161</f>
        <v>1616.58</v>
      </c>
      <c r="L161" s="9" t="n">
        <f aca="false">IF(AND(H161=0,J161=0),0,IF(H161=0,"New",(J161-H161)/H161))</f>
        <v>0.680636604774536</v>
      </c>
    </row>
    <row r="162" customFormat="false" ht="15" hidden="false" customHeight="false" outlineLevel="0" collapsed="false">
      <c r="A162" s="7" t="n">
        <v>4413133</v>
      </c>
      <c r="B162" s="7" t="str">
        <f aca="false">IFERROR(INDEX('Source 2026'!$C:$C,MATCH($A162,'Source 2026'!$B:$B,0)),IFERROR(INDEX('Source 2025'!$C:$C,MATCH($A162,'Source 2025'!$B:$B,0)),""))</f>
        <v>76 Mמיישר כתף יציב,יישור רחב</v>
      </c>
      <c r="C162" s="8" t="n">
        <f aca="false">SUMIFS('Source 2025'!$I:$I,'Source 2025'!$B:$B,$A162,'Source 2025'!$A:$A,"Quantity (units)")</f>
        <v>5</v>
      </c>
      <c r="D162" s="8" t="n">
        <f aca="false">SUMIFS('Source 2026'!$I:$I,'Source 2026'!$B:$B,$A162,'Source 2026'!$A:$A,"Quantity (units)")</f>
        <v>2</v>
      </c>
      <c r="E162" s="8" t="n">
        <f aca="false">D162*$J$5</f>
        <v>2.74285714285714</v>
      </c>
      <c r="F162" s="8" t="n">
        <f aca="false">E162-C162</f>
        <v>-2.25714285714286</v>
      </c>
      <c r="G162" s="9" t="n">
        <f aca="false">IF(AND(C162=0,E162=0),0,IF(C162=0,"New",(E162-C162)/C162))</f>
        <v>-0.451428571428571</v>
      </c>
      <c r="H162" s="8" t="n">
        <f aca="false">SUMIFS('Source 2025'!$I:$I,'Source 2025'!$B:$B,$A162,'Source 2025'!$A:$A,"Amount (NIS)")</f>
        <v>882.2</v>
      </c>
      <c r="I162" s="8" t="n">
        <f aca="false">SUMIFS('Source 2026'!$I:$I,'Source 2026'!$B:$B,$A162,'Source 2026'!$A:$A,"Amount (NIS)")</f>
        <v>352.9</v>
      </c>
      <c r="J162" s="8" t="n">
        <f aca="false">I162*$J$5</f>
        <v>483.977142857143</v>
      </c>
      <c r="K162" s="8" t="n">
        <f aca="false">J162-H162</f>
        <v>-398.222857142857</v>
      </c>
      <c r="L162" s="9" t="n">
        <f aca="false">IF(AND(H162=0,J162=0),0,IF(H162=0,"New",(J162-H162)/H162))</f>
        <v>-0.451397480325161</v>
      </c>
    </row>
    <row r="163" customFormat="false" ht="15" hidden="false" customHeight="false" outlineLevel="0" collapsed="false">
      <c r="A163" s="7" t="n">
        <v>4413197</v>
      </c>
      <c r="B163" s="7" t="str">
        <f aca="false">IFERROR(INDEX('Source 2026'!$C:$C,MATCH($A163,'Source 2026'!$B:$B,0)),IFERROR(INDEX('Source 2025'!$C:$C,MATCH($A163,'Source 2025'!$B:$B,0)),""))</f>
        <v>87 L מקבע כתף ויד</v>
      </c>
      <c r="C163" s="8" t="n">
        <f aca="false">SUMIFS('Source 2025'!$I:$I,'Source 2025'!$B:$B,$A163,'Source 2025'!$A:$A,"Quantity (units)")</f>
        <v>13</v>
      </c>
      <c r="D163" s="8" t="n">
        <f aca="false">SUMIFS('Source 2026'!$I:$I,'Source 2026'!$B:$B,$A163,'Source 2026'!$A:$A,"Quantity (units)")</f>
        <v>10</v>
      </c>
      <c r="E163" s="8" t="n">
        <f aca="false">D163*$J$5</f>
        <v>13.7142857142857</v>
      </c>
      <c r="F163" s="8" t="n">
        <f aca="false">E163-C163</f>
        <v>0.714285714285715</v>
      </c>
      <c r="G163" s="9" t="n">
        <f aca="false">IF(AND(C163=0,E163=0),0,IF(C163=0,"New",(E163-C163)/C163))</f>
        <v>0.054945054945055</v>
      </c>
      <c r="H163" s="8" t="n">
        <f aca="false">SUMIFS('Source 2025'!$I:$I,'Source 2025'!$B:$B,$A163,'Source 2025'!$A:$A,"Amount (NIS)")</f>
        <v>2293.7</v>
      </c>
      <c r="I163" s="8" t="n">
        <f aca="false">SUMIFS('Source 2026'!$I:$I,'Source 2026'!$B:$B,$A163,'Source 2026'!$A:$A,"Amount (NIS)")</f>
        <v>1764.4</v>
      </c>
      <c r="J163" s="8" t="n">
        <f aca="false">I163*$J$5</f>
        <v>2419.74857142857</v>
      </c>
      <c r="K163" s="8" t="n">
        <f aca="false">J163-H163</f>
        <v>126.048571428572</v>
      </c>
      <c r="L163" s="9" t="n">
        <f aca="false">IF(AND(H163=0,J163=0),0,IF(H163=0,"New",(J163-H163)/H163))</f>
        <v>0.0549542535765671</v>
      </c>
    </row>
    <row r="164" customFormat="false" ht="15" hidden="false" customHeight="false" outlineLevel="0" collapsed="false">
      <c r="A164" s="7" t="n">
        <v>4415006</v>
      </c>
      <c r="B164" s="7" t="str">
        <f aca="false">IFERROR(INDEX('Source 2026'!$C:$C,MATCH($A164,'Source 2026'!$B:$B,0)),IFERROR(INDEX('Source 2025'!$C:$C,MATCH($A164,'Source 2025'!$B:$B,0)),""))</f>
        <v>28 M סד לאגודל לאחר שבר</v>
      </c>
      <c r="C164" s="8" t="n">
        <f aca="false">SUMIFS('Source 2025'!$I:$I,'Source 2025'!$B:$B,$A164,'Source 2025'!$A:$A,"Quantity (units)")</f>
        <v>63</v>
      </c>
      <c r="D164" s="8" t="n">
        <f aca="false">SUMIFS('Source 2026'!$I:$I,'Source 2026'!$B:$B,$A164,'Source 2026'!$A:$A,"Quantity (units)")</f>
        <v>57</v>
      </c>
      <c r="E164" s="8" t="n">
        <f aca="false">D164*$J$5</f>
        <v>78.1714285714286</v>
      </c>
      <c r="F164" s="8" t="n">
        <f aca="false">E164-C164</f>
        <v>15.1714285714286</v>
      </c>
      <c r="G164" s="9" t="n">
        <f aca="false">IF(AND(C164=0,E164=0),0,IF(C164=0,"New",(E164-C164)/C164))</f>
        <v>0.240816326530612</v>
      </c>
      <c r="H164" s="8" t="n">
        <f aca="false">SUMIFS('Source 2025'!$I:$I,'Source 2025'!$B:$B,$A164,'Source 2025'!$A:$A,"Amount (NIS)")</f>
        <v>5556.6</v>
      </c>
      <c r="I164" s="8" t="n">
        <f aca="false">SUMIFS('Source 2026'!$I:$I,'Source 2026'!$B:$B,$A164,'Source 2026'!$A:$A,"Amount (NIS)")</f>
        <v>5027.4</v>
      </c>
      <c r="J164" s="8" t="n">
        <f aca="false">I164*$J$5</f>
        <v>6894.72</v>
      </c>
      <c r="K164" s="8" t="n">
        <f aca="false">J164-H164</f>
        <v>1338.12</v>
      </c>
      <c r="L164" s="9" t="n">
        <f aca="false">IF(AND(H164=0,J164=0),0,IF(H164=0,"New",(J164-H164)/H164))</f>
        <v>0.240816326530612</v>
      </c>
    </row>
    <row r="165" customFormat="false" ht="15" hidden="false" customHeight="false" outlineLevel="0" collapsed="false">
      <c r="A165" s="7" t="n">
        <v>4408090</v>
      </c>
      <c r="B165" s="7" t="str">
        <f aca="false">IFERROR(INDEX('Source 2026'!$C:$C,MATCH($A165,'Source 2026'!$B:$B,0)),IFERROR(INDEX('Source 2025'!$C:$C,MATCH($A165,'Source 2025'!$B:$B,0)),""))</f>
        <v>T11C L  חגורת גב פוג'יאמה</v>
      </c>
      <c r="C165" s="8" t="n">
        <f aca="false">SUMIFS('Source 2025'!$I:$I,'Source 2025'!$B:$B,$A165,'Source 2025'!$A:$A,"Quantity (units)")</f>
        <v>8</v>
      </c>
      <c r="D165" s="8" t="n">
        <f aca="false">SUMIFS('Source 2026'!$I:$I,'Source 2026'!$B:$B,$A165,'Source 2026'!$A:$A,"Quantity (units)")</f>
        <v>2</v>
      </c>
      <c r="E165" s="8" t="n">
        <f aca="false">D165*$J$5</f>
        <v>2.74285714285714</v>
      </c>
      <c r="F165" s="8" t="n">
        <f aca="false">E165-C165</f>
        <v>-5.25714285714286</v>
      </c>
      <c r="G165" s="9" t="n">
        <f aca="false">IF(AND(C165=0,E165=0),0,IF(C165=0,"New",(E165-C165)/C165))</f>
        <v>-0.657142857142857</v>
      </c>
      <c r="H165" s="8" t="n">
        <f aca="false">SUMIFS('Source 2025'!$I:$I,'Source 2025'!$B:$B,$A165,'Source 2025'!$A:$A,"Amount (NIS)")</f>
        <v>705.6</v>
      </c>
      <c r="I165" s="8" t="n">
        <f aca="false">SUMIFS('Source 2026'!$I:$I,'Source 2026'!$B:$B,$A165,'Source 2026'!$A:$A,"Amount (NIS)")</f>
        <v>176.4</v>
      </c>
      <c r="J165" s="8" t="n">
        <f aca="false">I165*$J$5</f>
        <v>241.92</v>
      </c>
      <c r="K165" s="8" t="n">
        <f aca="false">J165-H165</f>
        <v>-463.68</v>
      </c>
      <c r="L165" s="9" t="n">
        <f aca="false">IF(AND(H165=0,J165=0),0,IF(H165=0,"New",(J165-H165)/H165))</f>
        <v>-0.657142857142857</v>
      </c>
    </row>
    <row r="166" customFormat="false" ht="15" hidden="false" customHeight="false" outlineLevel="0" collapsed="false">
      <c r="A166" s="7" t="n">
        <v>4413497</v>
      </c>
      <c r="B166" s="7" t="str">
        <f aca="false">IFERROR(INDEX('Source 2026'!$C:$C,MATCH($A166,'Source 2026'!$B:$B,0)),IFERROR(INDEX('Source 2025'!$C:$C,MATCH($A166,'Source 2025'!$B:$B,0)),""))</f>
        <v>45B M מגן ברך שחור</v>
      </c>
      <c r="C166" s="8" t="n">
        <f aca="false">SUMIFS('Source 2025'!$I:$I,'Source 2025'!$B:$B,$A166,'Source 2025'!$A:$A,"Quantity (units)")</f>
        <v>40</v>
      </c>
      <c r="D166" s="8" t="n">
        <f aca="false">SUMIFS('Source 2026'!$I:$I,'Source 2026'!$B:$B,$A166,'Source 2026'!$A:$A,"Quantity (units)")</f>
        <v>21</v>
      </c>
      <c r="E166" s="8" t="n">
        <f aca="false">D166*$J$5</f>
        <v>28.8</v>
      </c>
      <c r="F166" s="8" t="n">
        <f aca="false">E166-C166</f>
        <v>-11.2</v>
      </c>
      <c r="G166" s="9" t="n">
        <f aca="false">IF(AND(C166=0,E166=0),0,IF(C166=0,"New",(E166-C166)/C166))</f>
        <v>-0.28</v>
      </c>
      <c r="H166" s="8" t="n">
        <f aca="false">SUMIFS('Source 2025'!$I:$I,'Source 2025'!$B:$B,$A166,'Source 2025'!$A:$A,"Amount (NIS)")</f>
        <v>1110</v>
      </c>
      <c r="I166" s="8" t="n">
        <f aca="false">SUMIFS('Source 2026'!$I:$I,'Source 2026'!$B:$B,$A166,'Source 2026'!$A:$A,"Amount (NIS)")</f>
        <v>582.8</v>
      </c>
      <c r="J166" s="8" t="n">
        <f aca="false">I166*$J$5</f>
        <v>799.268571428571</v>
      </c>
      <c r="K166" s="8" t="n">
        <f aca="false">J166-H166</f>
        <v>-310.731428571429</v>
      </c>
      <c r="L166" s="9" t="n">
        <f aca="false">IF(AND(H166=0,J166=0),0,IF(H166=0,"New",(J166-H166)/H166))</f>
        <v>-0.279938223938224</v>
      </c>
    </row>
    <row r="167" customFormat="false" ht="15" hidden="false" customHeight="false" outlineLevel="0" collapsed="false">
      <c r="A167" s="7" t="n">
        <v>4413046</v>
      </c>
      <c r="B167" s="7" t="str">
        <f aca="false">IFERROR(INDEX('Source 2026'!$C:$C,MATCH($A167,'Source 2026'!$B:$B,0)),IFERROR(INDEX('Source 2025'!$C:$C,MATCH($A167,'Source 2025'!$B:$B,0)),""))</f>
        <v>34 XXL מגן קרסול עקב סגור</v>
      </c>
      <c r="C167" s="8" t="n">
        <f aca="false">SUMIFS('Source 2025'!$I:$I,'Source 2025'!$B:$B,$A167,'Source 2025'!$A:$A,"Quantity (units)")</f>
        <v>59</v>
      </c>
      <c r="D167" s="8" t="n">
        <f aca="false">SUMIFS('Source 2026'!$I:$I,'Source 2026'!$B:$B,$A167,'Source 2026'!$A:$A,"Quantity (units)")</f>
        <v>46</v>
      </c>
      <c r="E167" s="8" t="n">
        <f aca="false">D167*$J$5</f>
        <v>63.0857142857143</v>
      </c>
      <c r="F167" s="8" t="n">
        <f aca="false">E167-C167</f>
        <v>4.08571428571429</v>
      </c>
      <c r="G167" s="9" t="n">
        <f aca="false">IF(AND(C167=0,E167=0),0,IF(C167=0,"New",(E167-C167)/C167))</f>
        <v>0.0692493946731235</v>
      </c>
      <c r="H167" s="8" t="n">
        <f aca="false">SUMIFS('Source 2025'!$I:$I,'Source 2025'!$B:$B,$A167,'Source 2025'!$A:$A,"Amount (NIS)")</f>
        <v>2389.5</v>
      </c>
      <c r="I167" s="8" t="n">
        <f aca="false">SUMIFS('Source 2026'!$I:$I,'Source 2026'!$B:$B,$A167,'Source 2026'!$A:$A,"Amount (NIS)")</f>
        <v>1863</v>
      </c>
      <c r="J167" s="8" t="n">
        <f aca="false">I167*$J$5</f>
        <v>2554.97142857143</v>
      </c>
      <c r="K167" s="8" t="n">
        <f aca="false">J167-H167</f>
        <v>165.471428571429</v>
      </c>
      <c r="L167" s="9" t="n">
        <f aca="false">IF(AND(H167=0,J167=0),0,IF(H167=0,"New",(J167-H167)/H167))</f>
        <v>0.0692493946731235</v>
      </c>
    </row>
    <row r="168" customFormat="false" ht="15" hidden="false" customHeight="false" outlineLevel="0" collapsed="false">
      <c r="A168" s="7" t="n">
        <v>4413107</v>
      </c>
      <c r="B168" s="7" t="str">
        <f aca="false">IFERROR(INDEX('Source 2026'!$C:$C,MATCH($A168,'Source 2026'!$B:$B,0)),IFERROR(INDEX('Source 2025'!$C:$C,MATCH($A168,'Source 2025'!$B:$B,0)),""))</f>
        <v>48 L מגן ברך מחמם</v>
      </c>
      <c r="C168" s="8" t="n">
        <f aca="false">SUMIFS('Source 2025'!$I:$I,'Source 2025'!$B:$B,$A168,'Source 2025'!$A:$A,"Quantity (units)")</f>
        <v>10</v>
      </c>
      <c r="D168" s="8" t="n">
        <f aca="false">SUMIFS('Source 2026'!$I:$I,'Source 2026'!$B:$B,$A168,'Source 2026'!$A:$A,"Quantity (units)")</f>
        <v>0</v>
      </c>
      <c r="E168" s="8" t="n">
        <f aca="false">D168*$J$5</f>
        <v>0</v>
      </c>
      <c r="F168" s="8" t="n">
        <f aca="false">E168-C168</f>
        <v>-10</v>
      </c>
      <c r="G168" s="9" t="n">
        <f aca="false">IF(AND(C168=0,E168=0),0,IF(C168=0,"New",(E168-C168)/C168))</f>
        <v>-1</v>
      </c>
      <c r="H168" s="8" t="n">
        <f aca="false">SUMIFS('Source 2025'!$I:$I,'Source 2025'!$B:$B,$A168,'Source 2025'!$A:$A,"Amount (NIS)")</f>
        <v>523.6</v>
      </c>
      <c r="I168" s="8" t="n">
        <f aca="false">SUMIFS('Source 2026'!$I:$I,'Source 2026'!$B:$B,$A168,'Source 2026'!$A:$A,"Amount (NIS)")</f>
        <v>0</v>
      </c>
      <c r="J168" s="8" t="n">
        <f aca="false">I168*$J$5</f>
        <v>0</v>
      </c>
      <c r="K168" s="8" t="n">
        <f aca="false">J168-H168</f>
        <v>-523.6</v>
      </c>
      <c r="L168" s="9" t="n">
        <f aca="false">IF(AND(H168=0,J168=0),0,IF(H168=0,"New",(J168-H168)/H168))</f>
        <v>-1</v>
      </c>
    </row>
    <row r="169" customFormat="false" ht="15" hidden="false" customHeight="false" outlineLevel="0" collapsed="false">
      <c r="A169" s="7" t="n">
        <v>4415163</v>
      </c>
      <c r="B169" s="7" t="str">
        <f aca="false">IFERROR(INDEX('Source 2026'!$C:$C,MATCH($A169,'Source 2026'!$B:$B,0)),IFERROR(INDEX('Source 2025'!$C:$C,MATCH($A169,'Source 2025'!$B:$B,0)),""))</f>
        <v>238XL סד ליישור אצבע</v>
      </c>
      <c r="C169" s="8" t="n">
        <f aca="false">SUMIFS('Source 2025'!$I:$I,'Source 2025'!$B:$B,$A169,'Source 2025'!$A:$A,"Quantity (units)")</f>
        <v>249</v>
      </c>
      <c r="D169" s="8" t="n">
        <f aca="false">SUMIFS('Source 2026'!$I:$I,'Source 2026'!$B:$B,$A169,'Source 2026'!$A:$A,"Quantity (units)")</f>
        <v>215</v>
      </c>
      <c r="E169" s="8" t="n">
        <f aca="false">D169*$J$5</f>
        <v>294.857142857143</v>
      </c>
      <c r="F169" s="8" t="n">
        <f aca="false">E169-C169</f>
        <v>45.8571428571428</v>
      </c>
      <c r="G169" s="9" t="n">
        <f aca="false">IF(AND(C169=0,E169=0),0,IF(C169=0,"New",(E169-C169)/C169))</f>
        <v>0.184165232358003</v>
      </c>
      <c r="H169" s="8" t="n">
        <f aca="false">SUMIFS('Source 2025'!$I:$I,'Source 2025'!$B:$B,$A169,'Source 2025'!$A:$A,"Amount (NIS)")</f>
        <v>3834.6</v>
      </c>
      <c r="I169" s="8" t="n">
        <f aca="false">SUMIFS('Source 2026'!$I:$I,'Source 2026'!$B:$B,$A169,'Source 2026'!$A:$A,"Amount (NIS)")</f>
        <v>3311</v>
      </c>
      <c r="J169" s="8" t="n">
        <f aca="false">I169*$J$5</f>
        <v>4540.8</v>
      </c>
      <c r="K169" s="8" t="n">
        <f aca="false">J169-H169</f>
        <v>706.2</v>
      </c>
      <c r="L169" s="9" t="n">
        <f aca="false">IF(AND(H169=0,J169=0),0,IF(H169=0,"New",(J169-H169)/H169))</f>
        <v>0.184165232358004</v>
      </c>
    </row>
    <row r="170" customFormat="false" ht="15" hidden="false" customHeight="false" outlineLevel="0" collapsed="false">
      <c r="A170" s="7" t="n">
        <v>4408094</v>
      </c>
      <c r="B170" s="7" t="str">
        <f aca="false">IFERROR(INDEX('Source 2026'!$C:$C,MATCH($A170,'Source 2026'!$B:$B,0)),IFERROR(INDEX('Source 2025'!$C:$C,MATCH($A170,'Source 2025'!$B:$B,0)),""))</f>
        <v>T20 S-M חבק יד עם צמדן</v>
      </c>
      <c r="C170" s="8" t="n">
        <f aca="false">SUMIFS('Source 2025'!$I:$I,'Source 2025'!$B:$B,$A170,'Source 2025'!$A:$A,"Quantity (units)")</f>
        <v>42</v>
      </c>
      <c r="D170" s="8" t="n">
        <f aca="false">SUMIFS('Source 2026'!$I:$I,'Source 2026'!$B:$B,$A170,'Source 2026'!$A:$A,"Quantity (units)")</f>
        <v>27</v>
      </c>
      <c r="E170" s="8" t="n">
        <f aca="false">D170*$J$5</f>
        <v>37.0285714285714</v>
      </c>
      <c r="F170" s="8" t="n">
        <f aca="false">E170-C170</f>
        <v>-4.97142857142857</v>
      </c>
      <c r="G170" s="9" t="n">
        <f aca="false">IF(AND(C170=0,E170=0),0,IF(C170=0,"New",(E170-C170)/C170))</f>
        <v>-0.118367346938775</v>
      </c>
      <c r="H170" s="8" t="n">
        <f aca="false">SUMIFS('Source 2025'!$I:$I,'Source 2025'!$B:$B,$A170,'Source 2025'!$A:$A,"Amount (NIS)")</f>
        <v>1443.5</v>
      </c>
      <c r="I170" s="8" t="n">
        <f aca="false">SUMIFS('Source 2026'!$I:$I,'Source 2026'!$B:$B,$A170,'Source 2026'!$A:$A,"Amount (NIS)")</f>
        <v>928</v>
      </c>
      <c r="J170" s="8" t="n">
        <f aca="false">I170*$J$5</f>
        <v>1272.68571428571</v>
      </c>
      <c r="K170" s="8" t="n">
        <f aca="false">J170-H170</f>
        <v>-170.814285714286</v>
      </c>
      <c r="L170" s="9" t="n">
        <f aca="false">IF(AND(H170=0,J170=0),0,IF(H170=0,"New",(J170-H170)/H170))</f>
        <v>-0.118333415804839</v>
      </c>
    </row>
    <row r="171" customFormat="false" ht="15" hidden="false" customHeight="false" outlineLevel="0" collapsed="false">
      <c r="A171" s="7" t="n">
        <v>4403018</v>
      </c>
      <c r="B171" s="7" t="str">
        <f aca="false">IFERROR(INDEX('Source 2026'!$C:$C,MATCH($A171,'Source 2026'!$B:$B,0)),IFERROR(INDEX('Source 2025'!$C:$C,MATCH($A171,'Source 2025'!$B:$B,0)),""))</f>
        <v>394B גרב.כסף לסכרתים שחור39-42</v>
      </c>
      <c r="C171" s="8" t="n">
        <f aca="false">SUMIFS('Source 2025'!$I:$I,'Source 2025'!$B:$B,$A171,'Source 2025'!$A:$A,"Quantity (units)")</f>
        <v>25</v>
      </c>
      <c r="D171" s="8" t="n">
        <f aca="false">SUMIFS('Source 2026'!$I:$I,'Source 2026'!$B:$B,$A171,'Source 2026'!$A:$A,"Quantity (units)")</f>
        <v>4</v>
      </c>
      <c r="E171" s="8" t="n">
        <f aca="false">D171*$J$5</f>
        <v>5.48571428571429</v>
      </c>
      <c r="F171" s="8" t="n">
        <f aca="false">E171-C171</f>
        <v>-19.5142857142857</v>
      </c>
      <c r="G171" s="9" t="n">
        <f aca="false">IF(AND(C171=0,E171=0),0,IF(C171=0,"New",(E171-C171)/C171))</f>
        <v>-0.780571428571429</v>
      </c>
      <c r="H171" s="8" t="n">
        <f aca="false">SUMIFS('Source 2025'!$I:$I,'Source 2025'!$B:$B,$A171,'Source 2025'!$A:$A,"Amount (NIS)")</f>
        <v>600.5</v>
      </c>
      <c r="I171" s="8" t="n">
        <f aca="false">SUMIFS('Source 2026'!$I:$I,'Source 2026'!$B:$B,$A171,'Source 2026'!$A:$A,"Amount (NIS)")</f>
        <v>96.1</v>
      </c>
      <c r="J171" s="8" t="n">
        <f aca="false">I171*$J$5</f>
        <v>131.794285714286</v>
      </c>
      <c r="K171" s="8" t="n">
        <f aca="false">J171-H171</f>
        <v>-468.705714285714</v>
      </c>
      <c r="L171" s="9" t="n">
        <f aca="false">IF(AND(H171=0,J171=0),0,IF(H171=0,"New",(J171-H171)/H171))</f>
        <v>-0.780525752349233</v>
      </c>
    </row>
    <row r="172" customFormat="false" ht="15" hidden="false" customHeight="false" outlineLevel="0" collapsed="false">
      <c r="A172" s="7" t="n">
        <v>4403002</v>
      </c>
      <c r="B172" s="7" t="str">
        <f aca="false">IFERROR(INDEX('Source 2026'!$C:$C,MATCH($A172,'Source 2026'!$B:$B,0)),IFERROR(INDEX('Source 2025'!$C:$C,MATCH($A172,'Source 2025'!$B:$B,0)),""))</f>
        <v>390B 43-46.גרב.כסף לסכרתיים שח</v>
      </c>
      <c r="C172" s="8" t="n">
        <f aca="false">SUMIFS('Source 2025'!$I:$I,'Source 2025'!$B:$B,$A172,'Source 2025'!$A:$A,"Quantity (units)")</f>
        <v>18</v>
      </c>
      <c r="D172" s="8" t="n">
        <f aca="false">SUMIFS('Source 2026'!$I:$I,'Source 2026'!$B:$B,$A172,'Source 2026'!$A:$A,"Quantity (units)")</f>
        <v>2</v>
      </c>
      <c r="E172" s="8" t="n">
        <f aca="false">D172*$J$5</f>
        <v>2.74285714285714</v>
      </c>
      <c r="F172" s="8" t="n">
        <f aca="false">E172-C172</f>
        <v>-15.2571428571429</v>
      </c>
      <c r="G172" s="9" t="n">
        <f aca="false">IF(AND(C172=0,E172=0),0,IF(C172=0,"New",(E172-C172)/C172))</f>
        <v>-0.847619047619048</v>
      </c>
      <c r="H172" s="8" t="n">
        <f aca="false">SUMIFS('Source 2025'!$I:$I,'Source 2025'!$B:$B,$A172,'Source 2025'!$A:$A,"Amount (NIS)")</f>
        <v>566.3</v>
      </c>
      <c r="I172" s="8" t="n">
        <f aca="false">SUMIFS('Source 2026'!$I:$I,'Source 2026'!$B:$B,$A172,'Source 2026'!$A:$A,"Amount (NIS)")</f>
        <v>62.9</v>
      </c>
      <c r="J172" s="8" t="n">
        <f aca="false">I172*$J$5</f>
        <v>86.2628571428571</v>
      </c>
      <c r="K172" s="8" t="n">
        <f aca="false">J172-H172</f>
        <v>-480.037142857143</v>
      </c>
      <c r="L172" s="9" t="n">
        <f aca="false">IF(AND(H172=0,J172=0),0,IF(H172=0,"New",(J172-H172)/H172))</f>
        <v>-0.847672863953987</v>
      </c>
    </row>
    <row r="173" customFormat="false" ht="15" hidden="false" customHeight="false" outlineLevel="0" collapsed="false">
      <c r="A173" s="7" t="n">
        <v>4408203</v>
      </c>
      <c r="B173" s="7" t="str">
        <f aca="false">IFERROR(INDEX('Source 2026'!$C:$C,MATCH($A173,'Source 2026'!$B:$B,0)),IFERROR(INDEX('Source 2025'!$C:$C,MATCH($A173,'Source 2025'!$B:$B,0)),""))</f>
        <v>14 0 חגורה למנותחי בית חזה</v>
      </c>
      <c r="C173" s="8" t="n">
        <f aca="false">SUMIFS('Source 2025'!$I:$I,'Source 2025'!$B:$B,$A173,'Source 2025'!$A:$A,"Quantity (units)")</f>
        <v>0</v>
      </c>
      <c r="D173" s="8" t="n">
        <f aca="false">SUMIFS('Source 2026'!$I:$I,'Source 2026'!$B:$B,$A173,'Source 2026'!$A:$A,"Quantity (units)")</f>
        <v>2</v>
      </c>
      <c r="E173" s="8" t="n">
        <f aca="false">D173*$J$5</f>
        <v>2.74285714285714</v>
      </c>
      <c r="F173" s="8" t="n">
        <f aca="false">E173-C173</f>
        <v>2.74285714285714</v>
      </c>
      <c r="G173" s="9" t="str">
        <f aca="false">IF(AND(C173=0,E173=0),0,IF(C173=0,"New",(E173-C173)/C173))</f>
        <v>New</v>
      </c>
      <c r="H173" s="8" t="n">
        <f aca="false">SUMIFS('Source 2025'!$I:$I,'Source 2025'!$B:$B,$A173,'Source 2025'!$A:$A,"Amount (NIS)")</f>
        <v>0</v>
      </c>
      <c r="I173" s="8" t="n">
        <f aca="false">SUMIFS('Source 2026'!$I:$I,'Source 2026'!$B:$B,$A173,'Source 2026'!$A:$A,"Amount (NIS)")</f>
        <v>502.9</v>
      </c>
      <c r="J173" s="8" t="n">
        <f aca="false">I173*$J$5</f>
        <v>689.691428571429</v>
      </c>
      <c r="K173" s="8" t="n">
        <f aca="false">J173-H173</f>
        <v>689.691428571429</v>
      </c>
      <c r="L173" s="9" t="str">
        <f aca="false">IF(AND(H173=0,J173=0),0,IF(H173=0,"New",(J173-H173)/H173))</f>
        <v>New</v>
      </c>
    </row>
    <row r="174" customFormat="false" ht="15" hidden="false" customHeight="false" outlineLevel="0" collapsed="false">
      <c r="A174" s="7" t="n">
        <v>4408016</v>
      </c>
      <c r="B174" s="7" t="str">
        <f aca="false">IFERROR(INDEX('Source 2026'!$C:$C,MATCH($A174,'Source 2026'!$B:$B,0)),IFERROR(INDEX('Source 2025'!$C:$C,MATCH($A174,'Source 2025'!$B:$B,0)),""))</f>
        <v>07AU M ח.גב ""איטלקית"" אורירית</v>
      </c>
      <c r="C174" s="8" t="n">
        <f aca="false">SUMIFS('Source 2025'!$I:$I,'Source 2025'!$B:$B,$A174,'Source 2025'!$A:$A,"Quantity (units)")</f>
        <v>2</v>
      </c>
      <c r="D174" s="8" t="n">
        <f aca="false">SUMIFS('Source 2026'!$I:$I,'Source 2026'!$B:$B,$A174,'Source 2026'!$A:$A,"Quantity (units)")</f>
        <v>0</v>
      </c>
      <c r="E174" s="8" t="n">
        <f aca="false">D174*$J$5</f>
        <v>0</v>
      </c>
      <c r="F174" s="8" t="n">
        <f aca="false">E174-C174</f>
        <v>-2</v>
      </c>
      <c r="G174" s="9" t="n">
        <f aca="false">IF(AND(C174=0,E174=0),0,IF(C174=0,"New",(E174-C174)/C174))</f>
        <v>-1</v>
      </c>
      <c r="H174" s="8" t="n">
        <f aca="false">SUMIFS('Source 2025'!$I:$I,'Source 2025'!$B:$B,$A174,'Source 2025'!$A:$A,"Amount (NIS)")</f>
        <v>488.4</v>
      </c>
      <c r="I174" s="8" t="n">
        <f aca="false">SUMIFS('Source 2026'!$I:$I,'Source 2026'!$B:$B,$A174,'Source 2026'!$A:$A,"Amount (NIS)")</f>
        <v>0</v>
      </c>
      <c r="J174" s="8" t="n">
        <f aca="false">I174*$J$5</f>
        <v>0</v>
      </c>
      <c r="K174" s="8" t="n">
        <f aca="false">J174-H174</f>
        <v>-488.4</v>
      </c>
      <c r="L174" s="9" t="n">
        <f aca="false">IF(AND(H174=0,J174=0),0,IF(H174=0,"New",(J174-H174)/H174))</f>
        <v>-1</v>
      </c>
    </row>
    <row r="175" customFormat="false" ht="15" hidden="false" customHeight="false" outlineLevel="0" collapsed="false">
      <c r="A175" s="7" t="n">
        <v>4415001</v>
      </c>
      <c r="B175" s="7" t="str">
        <f aca="false">IFERROR(INDEX('Source 2026'!$C:$C,MATCH($A175,'Source 2026'!$B:$B,0)),IFERROR(INDEX('Source 2025'!$C:$C,MATCH($A175,'Source 2025'!$B:$B,0)),""))</f>
        <v>26 M סד ליד דו צדדי לאחר שבר</v>
      </c>
      <c r="C175" s="8" t="n">
        <f aca="false">SUMIFS('Source 2025'!$I:$I,'Source 2025'!$B:$B,$A175,'Source 2025'!$A:$A,"Quantity (units)")</f>
        <v>53</v>
      </c>
      <c r="D175" s="8" t="n">
        <f aca="false">SUMIFS('Source 2026'!$I:$I,'Source 2026'!$B:$B,$A175,'Source 2026'!$A:$A,"Quantity (units)")</f>
        <v>59</v>
      </c>
      <c r="E175" s="8" t="n">
        <f aca="false">D175*$J$5</f>
        <v>80.9142857142857</v>
      </c>
      <c r="F175" s="8" t="n">
        <f aca="false">E175-C175</f>
        <v>27.9142857142857</v>
      </c>
      <c r="G175" s="9" t="n">
        <f aca="false">IF(AND(C175=0,E175=0),0,IF(C175=0,"New",(E175-C175)/C175))</f>
        <v>0.526684636118598</v>
      </c>
      <c r="H175" s="8" t="n">
        <f aca="false">SUMIFS('Source 2025'!$I:$I,'Source 2025'!$B:$B,$A175,'Source 2025'!$A:$A,"Amount (NIS)")</f>
        <v>4674.6</v>
      </c>
      <c r="I175" s="8" t="n">
        <f aca="false">SUMIFS('Source 2026'!$I:$I,'Source 2026'!$B:$B,$A175,'Source 2026'!$A:$A,"Amount (NIS)")</f>
        <v>5160.9</v>
      </c>
      <c r="J175" s="8" t="n">
        <f aca="false">I175*$J$5</f>
        <v>7077.80571428571</v>
      </c>
      <c r="K175" s="8" t="n">
        <f aca="false">J175-H175</f>
        <v>2403.20571428571</v>
      </c>
      <c r="L175" s="9" t="n">
        <f aca="false">IF(AND(H175=0,J175=0),0,IF(H175=0,"New",(J175-H175)/H175))</f>
        <v>0.514098685296221</v>
      </c>
    </row>
    <row r="176" customFormat="false" ht="15" hidden="false" customHeight="false" outlineLevel="0" collapsed="false">
      <c r="A176" s="7" t="n">
        <v>4413110</v>
      </c>
      <c r="B176" s="7" t="str">
        <f aca="false">IFERROR(INDEX('Source 2026'!$C:$C,MATCH($A176,'Source 2026'!$B:$B,0)),IFERROR(INDEX('Source 2025'!$C:$C,MATCH($A176,'Source 2025'!$B:$B,0)),""))</f>
        <v>48 XXL מגן ברך מחמם</v>
      </c>
      <c r="C176" s="8" t="n">
        <f aca="false">SUMIFS('Source 2025'!$I:$I,'Source 2025'!$B:$B,$A176,'Source 2025'!$A:$A,"Quantity (units)")</f>
        <v>9</v>
      </c>
      <c r="D176" s="8" t="n">
        <f aca="false">SUMIFS('Source 2026'!$I:$I,'Source 2026'!$B:$B,$A176,'Source 2026'!$A:$A,"Quantity (units)")</f>
        <v>0</v>
      </c>
      <c r="E176" s="8" t="n">
        <f aca="false">D176*$J$5</f>
        <v>0</v>
      </c>
      <c r="F176" s="8" t="n">
        <f aca="false">E176-C176</f>
        <v>-9</v>
      </c>
      <c r="G176" s="9" t="n">
        <f aca="false">IF(AND(C176=0,E176=0),0,IF(C176=0,"New",(E176-C176)/C176))</f>
        <v>-1</v>
      </c>
      <c r="H176" s="8" t="n">
        <f aca="false">SUMIFS('Source 2025'!$I:$I,'Source 2025'!$B:$B,$A176,'Source 2025'!$A:$A,"Amount (NIS)")</f>
        <v>471.2</v>
      </c>
      <c r="I176" s="8" t="n">
        <f aca="false">SUMIFS('Source 2026'!$I:$I,'Source 2026'!$B:$B,$A176,'Source 2026'!$A:$A,"Amount (NIS)")</f>
        <v>0</v>
      </c>
      <c r="J176" s="8" t="n">
        <f aca="false">I176*$J$5</f>
        <v>0</v>
      </c>
      <c r="K176" s="8" t="n">
        <f aca="false">J176-H176</f>
        <v>-471.2</v>
      </c>
      <c r="L176" s="9" t="n">
        <f aca="false">IF(AND(H176=0,J176=0),0,IF(H176=0,"New",(J176-H176)/H176))</f>
        <v>-1</v>
      </c>
    </row>
    <row r="177" customFormat="false" ht="15" hidden="false" customHeight="false" outlineLevel="0" collapsed="false">
      <c r="A177" s="7" t="n">
        <v>4413149</v>
      </c>
      <c r="B177" s="7" t="str">
        <f aca="false">IFERROR(INDEX('Source 2026'!$C:$C,MATCH($A177,'Source 2026'!$B:$B,0)),IFERROR(INDEX('Source 2025'!$C:$C,MATCH($A177,'Source 2025'!$B:$B,0)),""))</f>
        <v>FC321-מלח אמבט לכף הרגל</v>
      </c>
      <c r="C177" s="8" t="n">
        <f aca="false">SUMIFS('Source 2025'!$I:$I,'Source 2025'!$B:$B,$A177,'Source 2025'!$A:$A,"Quantity (units)")</f>
        <v>201</v>
      </c>
      <c r="D177" s="8" t="n">
        <f aca="false">SUMIFS('Source 2026'!$I:$I,'Source 2026'!$B:$B,$A177,'Source 2026'!$A:$A,"Quantity (units)")</f>
        <v>157</v>
      </c>
      <c r="E177" s="8" t="n">
        <f aca="false">D177*$J$5</f>
        <v>215.314285714286</v>
      </c>
      <c r="F177" s="8" t="n">
        <f aca="false">E177-C177</f>
        <v>14.3142857142857</v>
      </c>
      <c r="G177" s="9" t="n">
        <f aca="false">IF(AND(C177=0,E177=0),0,IF(C177=0,"New",(E177-C177)/C177))</f>
        <v>0.0712153518123668</v>
      </c>
      <c r="H177" s="8" t="n">
        <f aca="false">SUMIFS('Source 2025'!$I:$I,'Source 2025'!$B:$B,$A177,'Source 2025'!$A:$A,"Amount (NIS)")</f>
        <v>2183.5</v>
      </c>
      <c r="I177" s="8" t="n">
        <f aca="false">SUMIFS('Source 2026'!$I:$I,'Source 2026'!$B:$B,$A177,'Source 2026'!$A:$A,"Amount (NIS)")</f>
        <v>1717.6</v>
      </c>
      <c r="J177" s="8" t="n">
        <f aca="false">I177*$J$5</f>
        <v>2355.56571428571</v>
      </c>
      <c r="K177" s="8" t="n">
        <f aca="false">J177-H177</f>
        <v>172.065714285714</v>
      </c>
      <c r="L177" s="9" t="n">
        <f aca="false">IF(AND(H177=0,J177=0),0,IF(H177=0,"New",(J177-H177)/H177))</f>
        <v>0.0788027086263861</v>
      </c>
    </row>
    <row r="178" customFormat="false" ht="15" hidden="false" customHeight="false" outlineLevel="0" collapsed="false">
      <c r="A178" s="7" t="n">
        <v>4415072</v>
      </c>
      <c r="B178" s="7" t="str">
        <f aca="false">IFERROR(INDEX('Source 2026'!$C:$C,MATCH($A178,'Source 2026'!$B:$B,0)),IFERROR(INDEX('Source 2025'!$C:$C,MATCH($A178,'Source 2025'!$B:$B,0)),""))</f>
        <v>T28A S-M סד לאגודל</v>
      </c>
      <c r="C178" s="8" t="n">
        <f aca="false">SUMIFS('Source 2025'!$I:$I,'Source 2025'!$B:$B,$A178,'Source 2025'!$A:$A,"Quantity (units)")</f>
        <v>159</v>
      </c>
      <c r="D178" s="8" t="n">
        <f aca="false">SUMIFS('Source 2026'!$I:$I,'Source 2026'!$B:$B,$A178,'Source 2026'!$A:$A,"Quantity (units)")</f>
        <v>152</v>
      </c>
      <c r="E178" s="8" t="n">
        <f aca="false">D178*$J$5</f>
        <v>208.457142857143</v>
      </c>
      <c r="F178" s="8" t="n">
        <f aca="false">E178-C178</f>
        <v>49.4571428571429</v>
      </c>
      <c r="G178" s="9" t="n">
        <f aca="false">IF(AND(C178=0,E178=0),0,IF(C178=0,"New",(E178-C178)/C178))</f>
        <v>0.311051212938005</v>
      </c>
      <c r="H178" s="8" t="n">
        <f aca="false">SUMIFS('Source 2025'!$I:$I,'Source 2025'!$B:$B,$A178,'Source 2025'!$A:$A,"Amount (NIS)")</f>
        <v>10043</v>
      </c>
      <c r="I178" s="8" t="n">
        <f aca="false">SUMIFS('Source 2026'!$I:$I,'Source 2026'!$B:$B,$A178,'Source 2026'!$A:$A,"Amount (NIS)")</f>
        <v>9583.6</v>
      </c>
      <c r="J178" s="8" t="n">
        <f aca="false">I178*$J$5</f>
        <v>13143.2228571429</v>
      </c>
      <c r="K178" s="8" t="n">
        <f aca="false">J178-H178</f>
        <v>3100.22285714286</v>
      </c>
      <c r="L178" s="9" t="n">
        <f aca="false">IF(AND(H178=0,J178=0),0,IF(H178=0,"New",(J178-H178)/H178))</f>
        <v>0.308694897654372</v>
      </c>
    </row>
    <row r="179" customFormat="false" ht="15" hidden="false" customHeight="false" outlineLevel="0" collapsed="false">
      <c r="A179" s="7" t="n">
        <v>4413074</v>
      </c>
      <c r="B179" s="7" t="str">
        <f aca="false">IFERROR(INDEX('Source 2026'!$C:$C,MATCH($A179,'Source 2026'!$B:$B,0)),IFERROR(INDEX('Source 2025'!$C:$C,MATCH($A179,'Source 2025'!$B:$B,0)),""))</f>
        <v>41  XL.מ.ברך מוצלב+ספירלות בצד</v>
      </c>
      <c r="C179" s="8" t="n">
        <f aca="false">SUMIFS('Source 2025'!$I:$I,'Source 2025'!$B:$B,$A179,'Source 2025'!$A:$A,"Quantity (units)")</f>
        <v>6</v>
      </c>
      <c r="D179" s="8" t="n">
        <f aca="false">SUMIFS('Source 2026'!$I:$I,'Source 2026'!$B:$B,$A179,'Source 2026'!$A:$A,"Quantity (units)")</f>
        <v>2</v>
      </c>
      <c r="E179" s="8" t="n">
        <f aca="false">D179*$J$5</f>
        <v>2.74285714285714</v>
      </c>
      <c r="F179" s="8" t="n">
        <f aca="false">E179-C179</f>
        <v>-3.25714285714286</v>
      </c>
      <c r="G179" s="9" t="n">
        <f aca="false">IF(AND(C179=0,E179=0),0,IF(C179=0,"New",(E179-C179)/C179))</f>
        <v>-0.542857142857143</v>
      </c>
      <c r="H179" s="8" t="n">
        <f aca="false">SUMIFS('Source 2025'!$I:$I,'Source 2025'!$B:$B,$A179,'Source 2025'!$A:$A,"Amount (NIS)")</f>
        <v>688</v>
      </c>
      <c r="I179" s="8" t="n">
        <f aca="false">SUMIFS('Source 2026'!$I:$I,'Source 2026'!$B:$B,$A179,'Source 2026'!$A:$A,"Amount (NIS)")</f>
        <v>229.3</v>
      </c>
      <c r="J179" s="8" t="n">
        <f aca="false">I179*$J$5</f>
        <v>314.468571428571</v>
      </c>
      <c r="K179" s="8" t="n">
        <f aca="false">J179-H179</f>
        <v>-373.531428571429</v>
      </c>
      <c r="L179" s="9" t="n">
        <f aca="false">IF(AND(H179=0,J179=0),0,IF(H179=0,"New",(J179-H179)/H179))</f>
        <v>-0.542923588039867</v>
      </c>
    </row>
    <row r="180" customFormat="false" ht="15" hidden="false" customHeight="false" outlineLevel="0" collapsed="false">
      <c r="A180" s="7" t="n">
        <v>4413160</v>
      </c>
      <c r="B180" s="7" t="str">
        <f aca="false">IFERROR(INDEX('Source 2026'!$C:$C,MATCH($A180,'Source 2026'!$B:$B,0)),IFERROR(INDEX('Source 2025'!$C:$C,MATCH($A180,'Source 2025'!$B:$B,0)),""))</f>
        <v>34+ M מגן קרסול עקב סגור+רצוע</v>
      </c>
      <c r="C180" s="8" t="n">
        <f aca="false">SUMIFS('Source 2025'!$I:$I,'Source 2025'!$B:$B,$A180,'Source 2025'!$A:$A,"Quantity (units)")</f>
        <v>151</v>
      </c>
      <c r="D180" s="8" t="n">
        <f aca="false">SUMIFS('Source 2026'!$I:$I,'Source 2026'!$B:$B,$A180,'Source 2026'!$A:$A,"Quantity (units)")</f>
        <v>143</v>
      </c>
      <c r="E180" s="8" t="n">
        <f aca="false">D180*$J$5</f>
        <v>196.114285714286</v>
      </c>
      <c r="F180" s="8" t="n">
        <f aca="false">E180-C180</f>
        <v>45.1142857142857</v>
      </c>
      <c r="G180" s="9" t="n">
        <f aca="false">IF(AND(C180=0,E180=0),0,IF(C180=0,"New",(E180-C180)/C180))</f>
        <v>0.298770104068117</v>
      </c>
      <c r="H180" s="8" t="n">
        <f aca="false">SUMIFS('Source 2025'!$I:$I,'Source 2025'!$B:$B,$A180,'Source 2025'!$A:$A,"Amount (NIS)")</f>
        <v>8653.8</v>
      </c>
      <c r="I180" s="8" t="n">
        <f aca="false">SUMIFS('Source 2026'!$I:$I,'Source 2026'!$B:$B,$A180,'Source 2026'!$A:$A,"Amount (NIS)")</f>
        <v>8195.3</v>
      </c>
      <c r="J180" s="8" t="n">
        <f aca="false">I180*$J$5</f>
        <v>11239.2685714286</v>
      </c>
      <c r="K180" s="8" t="n">
        <f aca="false">J180-H180</f>
        <v>2585.46857142857</v>
      </c>
      <c r="L180" s="9" t="n">
        <f aca="false">IF(AND(H180=0,J180=0),0,IF(H180=0,"New",(J180-H180)/H180))</f>
        <v>0.29876685056606</v>
      </c>
    </row>
    <row r="181" customFormat="false" ht="15" hidden="false" customHeight="false" outlineLevel="0" collapsed="false">
      <c r="A181" s="7" t="n">
        <v>4409011</v>
      </c>
      <c r="B181" s="7" t="str">
        <f aca="false">IFERROR(INDEX('Source 2026'!$C:$C,MATCH($A181,'Source 2026'!$B:$B,0)),IFERROR(INDEX('Source 2025'!$C:$C,MATCH($A181,'Source 2025'!$B:$B,0)),""))</f>
        <v>804AT-B      טייפ חבישה לספורט</v>
      </c>
      <c r="C181" s="8" t="n">
        <f aca="false">SUMIFS('Source 2025'!$I:$I,'Source 2025'!$B:$B,$A181,'Source 2025'!$A:$A,"Quantity (units)")</f>
        <v>218</v>
      </c>
      <c r="D181" s="8" t="n">
        <f aca="false">SUMIFS('Source 2026'!$I:$I,'Source 2026'!$B:$B,$A181,'Source 2026'!$A:$A,"Quantity (units)")</f>
        <v>189</v>
      </c>
      <c r="E181" s="8" t="n">
        <f aca="false">D181*$J$5</f>
        <v>259.2</v>
      </c>
      <c r="F181" s="8" t="n">
        <f aca="false">E181-C181</f>
        <v>41.2</v>
      </c>
      <c r="G181" s="9" t="n">
        <f aca="false">IF(AND(C181=0,E181=0),0,IF(C181=0,"New",(E181-C181)/C181))</f>
        <v>0.188990825688073</v>
      </c>
      <c r="H181" s="8" t="n">
        <f aca="false">SUMIFS('Source 2025'!$I:$I,'Source 2025'!$B:$B,$A181,'Source 2025'!$A:$A,"Amount (NIS)")</f>
        <v>3357.2</v>
      </c>
      <c r="I181" s="8" t="n">
        <f aca="false">SUMIFS('Source 2026'!$I:$I,'Source 2026'!$B:$B,$A181,'Source 2026'!$A:$A,"Amount (NIS)")</f>
        <v>2910.6</v>
      </c>
      <c r="J181" s="8" t="n">
        <f aca="false">I181*$J$5</f>
        <v>3991.68</v>
      </c>
      <c r="K181" s="8" t="n">
        <f aca="false">J181-H181</f>
        <v>634.48</v>
      </c>
      <c r="L181" s="9" t="n">
        <f aca="false">IF(AND(H181=0,J181=0),0,IF(H181=0,"New",(J181-H181)/H181))</f>
        <v>0.188990825688073</v>
      </c>
    </row>
    <row r="182" customFormat="false" ht="15" hidden="false" customHeight="false" outlineLevel="0" collapsed="false">
      <c r="A182" s="7" t="n">
        <v>4408046</v>
      </c>
      <c r="B182" s="7" t="str">
        <f aca="false">IFERROR(INDEX('Source 2026'!$C:$C,MATCH($A182,'Source 2026'!$B:$B,0)),IFERROR(INDEX('Source 2025'!$C:$C,MATCH($A182,'Source 2025'!$B:$B,0)),""))</f>
        <v>20 L חבק יד מתכוון עם צמדן</v>
      </c>
      <c r="C182" s="8" t="n">
        <f aca="false">SUMIFS('Source 2025'!$I:$I,'Source 2025'!$B:$B,$A182,'Source 2025'!$A:$A,"Quantity (units)")</f>
        <v>98</v>
      </c>
      <c r="D182" s="8" t="n">
        <f aca="false">SUMIFS('Source 2026'!$I:$I,'Source 2026'!$B:$B,$A182,'Source 2026'!$A:$A,"Quantity (units)")</f>
        <v>82</v>
      </c>
      <c r="E182" s="8" t="n">
        <f aca="false">D182*$J$5</f>
        <v>112.457142857143</v>
      </c>
      <c r="F182" s="8" t="n">
        <f aca="false">E182-C182</f>
        <v>14.4571428571429</v>
      </c>
      <c r="G182" s="9" t="n">
        <f aca="false">IF(AND(C182=0,E182=0),0,IF(C182=0,"New",(E182-C182)/C182))</f>
        <v>0.147521865889213</v>
      </c>
      <c r="H182" s="8" t="n">
        <f aca="false">SUMIFS('Source 2025'!$I:$I,'Source 2025'!$B:$B,$A182,'Source 2025'!$A:$A,"Amount (NIS)")</f>
        <v>2662.6</v>
      </c>
      <c r="I182" s="8" t="n">
        <f aca="false">SUMIFS('Source 2026'!$I:$I,'Source 2026'!$B:$B,$A182,'Source 2026'!$A:$A,"Amount (NIS)")</f>
        <v>2230.5</v>
      </c>
      <c r="J182" s="8" t="n">
        <f aca="false">I182*$J$5</f>
        <v>3058.97142857143</v>
      </c>
      <c r="K182" s="8" t="n">
        <f aca="false">J182-H182</f>
        <v>396.371428571429</v>
      </c>
      <c r="L182" s="9" t="n">
        <f aca="false">IF(AND(H182=0,J182=0),0,IF(H182=0,"New",(J182-H182)/H182))</f>
        <v>0.148866306832205</v>
      </c>
    </row>
    <row r="183" customFormat="false" ht="15" hidden="false" customHeight="false" outlineLevel="0" collapsed="false">
      <c r="A183" s="7" t="n">
        <v>4413155</v>
      </c>
      <c r="B183" s="7" t="str">
        <f aca="false">IFERROR(INDEX('Source 2026'!$C:$C,MATCH($A183,'Source 2026'!$B:$B,0)),IFERROR(INDEX('Source 2025'!$C:$C,MATCH($A183,'Source 2025'!$B:$B,0)),""))</f>
        <v>305GA מדרס אורטופ.מתכוון39-40</v>
      </c>
      <c r="C183" s="8" t="n">
        <f aca="false">SUMIFS('Source 2025'!$I:$I,'Source 2025'!$B:$B,$A183,'Source 2025'!$A:$A,"Quantity (units)")</f>
        <v>13</v>
      </c>
      <c r="D183" s="8" t="n">
        <f aca="false">SUMIFS('Source 2026'!$I:$I,'Source 2026'!$B:$B,$A183,'Source 2026'!$A:$A,"Quantity (units)")</f>
        <v>7</v>
      </c>
      <c r="E183" s="8" t="n">
        <f aca="false">D183*$J$5</f>
        <v>9.6</v>
      </c>
      <c r="F183" s="8" t="n">
        <f aca="false">E183-C183</f>
        <v>-3.4</v>
      </c>
      <c r="G183" s="9" t="n">
        <f aca="false">IF(AND(C183=0,E183=0),0,IF(C183=0,"New",(E183-C183)/C183))</f>
        <v>-0.261538461538462</v>
      </c>
      <c r="H183" s="8" t="n">
        <f aca="false">SUMIFS('Source 2025'!$I:$I,'Source 2025'!$B:$B,$A183,'Source 2025'!$A:$A,"Amount (NIS)")</f>
        <v>909.4</v>
      </c>
      <c r="I183" s="8" t="n">
        <f aca="false">SUMIFS('Source 2026'!$I:$I,'Source 2026'!$B:$B,$A183,'Source 2026'!$A:$A,"Amount (NIS)")</f>
        <v>489.7</v>
      </c>
      <c r="J183" s="8" t="n">
        <f aca="false">I183*$J$5</f>
        <v>671.588571428571</v>
      </c>
      <c r="K183" s="8" t="n">
        <f aca="false">J183-H183</f>
        <v>-237.811428571429</v>
      </c>
      <c r="L183" s="9" t="n">
        <f aca="false">IF(AND(H183=0,J183=0),0,IF(H183=0,"New",(J183-H183)/H183))</f>
        <v>-0.261503660184109</v>
      </c>
    </row>
    <row r="184" customFormat="false" ht="15" hidden="false" customHeight="false" outlineLevel="0" collapsed="false">
      <c r="A184" s="7" t="n">
        <v>4409001</v>
      </c>
      <c r="B184" s="7" t="str">
        <f aca="false">IFERROR(INDEX('Source 2026'!$C:$C,MATCH($A184,'Source 2026'!$B:$B,0)),IFERROR(INDEX('Source 2025'!$C:$C,MATCH($A184,'Source 2025'!$B:$B,0)),""))</f>
        <v>365  X-Lטבעת אלסטית מסיליקון</v>
      </c>
      <c r="C184" s="8" t="n">
        <f aca="false">SUMIFS('Source 2025'!$I:$I,'Source 2025'!$B:$B,$A184,'Source 2025'!$A:$A,"Quantity (units)")</f>
        <v>112</v>
      </c>
      <c r="D184" s="8" t="n">
        <f aca="false">SUMIFS('Source 2026'!$I:$I,'Source 2026'!$B:$B,$A184,'Source 2026'!$A:$A,"Quantity (units)")</f>
        <v>75</v>
      </c>
      <c r="E184" s="8" t="n">
        <f aca="false">D184*$J$5</f>
        <v>102.857142857143</v>
      </c>
      <c r="F184" s="8" t="n">
        <f aca="false">E184-C184</f>
        <v>-9.14285714285714</v>
      </c>
      <c r="G184" s="9" t="n">
        <f aca="false">IF(AND(C184=0,E184=0),0,IF(C184=0,"New",(E184-C184)/C184))</f>
        <v>-0.0816326530612245</v>
      </c>
      <c r="H184" s="8" t="n">
        <f aca="false">SUMIFS('Source 2025'!$I:$I,'Source 2025'!$B:$B,$A184,'Source 2025'!$A:$A,"Amount (NIS)")</f>
        <v>1254.4</v>
      </c>
      <c r="I184" s="8" t="n">
        <f aca="false">SUMIFS('Source 2026'!$I:$I,'Source 2026'!$B:$B,$A184,'Source 2026'!$A:$A,"Amount (NIS)")</f>
        <v>840</v>
      </c>
      <c r="J184" s="8" t="n">
        <f aca="false">I184*$J$5</f>
        <v>1152</v>
      </c>
      <c r="K184" s="8" t="n">
        <f aca="false">J184-H184</f>
        <v>-102.4</v>
      </c>
      <c r="L184" s="9" t="n">
        <f aca="false">IF(AND(H184=0,J184=0),0,IF(H184=0,"New",(J184-H184)/H184))</f>
        <v>-0.0816326530612246</v>
      </c>
    </row>
    <row r="185" customFormat="false" ht="15" hidden="false" customHeight="false" outlineLevel="0" collapsed="false">
      <c r="A185" s="7" t="n">
        <v>4413371</v>
      </c>
      <c r="B185" s="7" t="str">
        <f aca="false">IFERROR(INDEX('Source 2026'!$C:$C,MATCH($A185,'Source 2026'!$B:$B,0)),IFERROR(INDEX('Source 2025'!$C:$C,MATCH($A185,'Source 2025'!$B:$B,0)),""))</f>
        <v>3675    מגן זרת מסיליקון</v>
      </c>
      <c r="C185" s="8" t="n">
        <f aca="false">SUMIFS('Source 2025'!$I:$I,'Source 2025'!$B:$B,$A185,'Source 2025'!$A:$A,"Quantity (units)")</f>
        <v>17</v>
      </c>
      <c r="D185" s="8" t="n">
        <f aca="false">SUMIFS('Source 2026'!$I:$I,'Source 2026'!$B:$B,$A185,'Source 2026'!$A:$A,"Quantity (units)")</f>
        <v>32</v>
      </c>
      <c r="E185" s="8" t="n">
        <f aca="false">D185*$J$5</f>
        <v>43.8857142857143</v>
      </c>
      <c r="F185" s="8" t="n">
        <f aca="false">E185-C185</f>
        <v>26.8857142857143</v>
      </c>
      <c r="G185" s="9" t="n">
        <f aca="false">IF(AND(C185=0,E185=0),0,IF(C185=0,"New",(E185-C185)/C185))</f>
        <v>1.58151260504202</v>
      </c>
      <c r="H185" s="8" t="n">
        <f aca="false">SUMIFS('Source 2025'!$I:$I,'Source 2025'!$B:$B,$A185,'Source 2025'!$A:$A,"Amount (NIS)")</f>
        <v>467.8</v>
      </c>
      <c r="I185" s="8" t="n">
        <f aca="false">SUMIFS('Source 2026'!$I:$I,'Source 2026'!$B:$B,$A185,'Source 2026'!$A:$A,"Amount (NIS)")</f>
        <v>880.6</v>
      </c>
      <c r="J185" s="8" t="n">
        <f aca="false">I185*$J$5</f>
        <v>1207.68</v>
      </c>
      <c r="K185" s="8" t="n">
        <f aca="false">J185-H185</f>
        <v>739.88</v>
      </c>
      <c r="L185" s="9" t="n">
        <f aca="false">IF(AND(H185=0,J185=0),0,IF(H185=0,"New",(J185-H185)/H185))</f>
        <v>1.58161607524583</v>
      </c>
    </row>
    <row r="186" customFormat="false" ht="15" hidden="false" customHeight="false" outlineLevel="0" collapsed="false">
      <c r="A186" s="7" t="n">
        <v>4411001</v>
      </c>
      <c r="B186" s="7" t="str">
        <f aca="false">IFERROR(INDEX('Source 2026'!$C:$C,MATCH($A186,'Source 2026'!$B:$B,0)),IFERROR(INDEX('Source 2025'!$C:$C,MATCH($A186,'Source 2025'!$B:$B,0)),""))</f>
        <v>3623 כרית ליישור אצבע פטיש</v>
      </c>
      <c r="C186" s="8" t="n">
        <f aca="false">SUMIFS('Source 2025'!$I:$I,'Source 2025'!$B:$B,$A186,'Source 2025'!$A:$A,"Quantity (units)")</f>
        <v>66</v>
      </c>
      <c r="D186" s="8" t="n">
        <f aca="false">SUMIFS('Source 2026'!$I:$I,'Source 2026'!$B:$B,$A186,'Source 2026'!$A:$A,"Quantity (units)")</f>
        <v>81</v>
      </c>
      <c r="E186" s="8" t="n">
        <f aca="false">D186*$J$5</f>
        <v>111.085714285714</v>
      </c>
      <c r="F186" s="8" t="n">
        <f aca="false">E186-C186</f>
        <v>45.0857142857143</v>
      </c>
      <c r="G186" s="9" t="n">
        <f aca="false">IF(AND(C186=0,E186=0),0,IF(C186=0,"New",(E186-C186)/C186))</f>
        <v>0.683116883116883</v>
      </c>
      <c r="H186" s="8" t="n">
        <f aca="false">SUMIFS('Source 2025'!$I:$I,'Source 2025'!$B:$B,$A186,'Source 2025'!$A:$A,"Amount (NIS)")</f>
        <v>1727.3</v>
      </c>
      <c r="I186" s="8" t="n">
        <f aca="false">SUMIFS('Source 2026'!$I:$I,'Source 2026'!$B:$B,$A186,'Source 2026'!$A:$A,"Amount (NIS)")</f>
        <v>2128.2</v>
      </c>
      <c r="J186" s="8" t="n">
        <f aca="false">I186*$J$5</f>
        <v>2918.67428571429</v>
      </c>
      <c r="K186" s="8" t="n">
        <f aca="false">J186-H186</f>
        <v>1191.37428571429</v>
      </c>
      <c r="L186" s="9" t="n">
        <f aca="false">IF(AND(H186=0,J186=0),0,IF(H186=0,"New",(J186-H186)/H186))</f>
        <v>0.689732117011686</v>
      </c>
    </row>
    <row r="187" customFormat="false" ht="15" hidden="false" customHeight="false" outlineLevel="0" collapsed="false">
      <c r="A187" s="7" t="n">
        <v>4413281</v>
      </c>
      <c r="B187" s="7" t="str">
        <f aca="false">IFERROR(INDEX('Source 2026'!$C:$C,MATCH($A187,'Source 2026'!$B:$B,0)),IFERROR(INDEX('Source 2025'!$C:$C,MATCH($A187,'Source 2025'!$B:$B,0)),""))</f>
        <v>422E S מגן ברך ארוך עם כרית</v>
      </c>
      <c r="C187" s="8" t="n">
        <f aca="false">SUMIFS('Source 2025'!$I:$I,'Source 2025'!$B:$B,$A187,'Source 2025'!$A:$A,"Quantity (units)")</f>
        <v>-2</v>
      </c>
      <c r="D187" s="8" t="n">
        <f aca="false">SUMIFS('Source 2026'!$I:$I,'Source 2026'!$B:$B,$A187,'Source 2026'!$A:$A,"Quantity (units)")</f>
        <v>0</v>
      </c>
      <c r="E187" s="8" t="n">
        <f aca="false">D187*$J$5</f>
        <v>0</v>
      </c>
      <c r="F187" s="8" t="n">
        <f aca="false">E187-C187</f>
        <v>2</v>
      </c>
      <c r="G187" s="9" t="n">
        <f aca="false">IF(AND(C187=0,E187=0),0,IF(C187=0,"New",(E187-C187)/C187))</f>
        <v>-1</v>
      </c>
      <c r="H187" s="8" t="n">
        <f aca="false">SUMIFS('Source 2025'!$I:$I,'Source 2025'!$B:$B,$A187,'Source 2025'!$A:$A,"Amount (NIS)")</f>
        <v>-393.5</v>
      </c>
      <c r="I187" s="8" t="n">
        <f aca="false">SUMIFS('Source 2026'!$I:$I,'Source 2026'!$B:$B,$A187,'Source 2026'!$A:$A,"Amount (NIS)")</f>
        <v>0</v>
      </c>
      <c r="J187" s="8" t="n">
        <f aca="false">I187*$J$5</f>
        <v>0</v>
      </c>
      <c r="K187" s="8" t="n">
        <f aca="false">J187-H187</f>
        <v>393.5</v>
      </c>
      <c r="L187" s="9" t="n">
        <f aca="false">IF(AND(H187=0,J187=0),0,IF(H187=0,"New",(J187-H187)/H187))</f>
        <v>-1</v>
      </c>
    </row>
    <row r="188" customFormat="false" ht="15" hidden="false" customHeight="false" outlineLevel="0" collapsed="false">
      <c r="A188" s="7" t="n">
        <v>4413142</v>
      </c>
      <c r="B188" s="7" t="str">
        <f aca="false">IFERROR(INDEX('Source 2026'!$C:$C,MATCH($A188,'Source 2026'!$B:$B,0)),IFERROR(INDEX('Source 2025'!$C:$C,MATCH($A188,'Source 2025'!$B:$B,0)),""))</f>
        <v>95 XL מגן מרפק רגיל לבן</v>
      </c>
      <c r="C188" s="8" t="n">
        <f aca="false">SUMIFS('Source 2025'!$I:$I,'Source 2025'!$B:$B,$A188,'Source 2025'!$A:$A,"Quantity (units)")</f>
        <v>34</v>
      </c>
      <c r="D188" s="8" t="n">
        <f aca="false">SUMIFS('Source 2026'!$I:$I,'Source 2026'!$B:$B,$A188,'Source 2026'!$A:$A,"Quantity (units)")</f>
        <v>48</v>
      </c>
      <c r="E188" s="8" t="n">
        <f aca="false">D188*$J$5</f>
        <v>65.8285714285714</v>
      </c>
      <c r="F188" s="8" t="n">
        <f aca="false">E188-C188</f>
        <v>31.8285714285714</v>
      </c>
      <c r="G188" s="9" t="n">
        <f aca="false">IF(AND(C188=0,E188=0),0,IF(C188=0,"New",(E188-C188)/C188))</f>
        <v>0.936134453781512</v>
      </c>
      <c r="H188" s="8" t="n">
        <f aca="false">SUMIFS('Source 2025'!$I:$I,'Source 2025'!$B:$B,$A188,'Source 2025'!$A:$A,"Amount (NIS)")</f>
        <v>945.8</v>
      </c>
      <c r="I188" s="8" t="n">
        <f aca="false">SUMIFS('Source 2026'!$I:$I,'Source 2026'!$B:$B,$A188,'Source 2026'!$A:$A,"Amount (NIS)")</f>
        <v>1336.4</v>
      </c>
      <c r="J188" s="8" t="n">
        <f aca="false">I188*$J$5</f>
        <v>1832.77714285714</v>
      </c>
      <c r="K188" s="8" t="n">
        <f aca="false">J188-H188</f>
        <v>886.977142857143</v>
      </c>
      <c r="L188" s="9" t="n">
        <f aca="false">IF(AND(H188=0,J188=0),0,IF(H188=0,"New",(J188-H188)/H188))</f>
        <v>0.937806241126182</v>
      </c>
    </row>
    <row r="189" customFormat="false" ht="15" hidden="false" customHeight="false" outlineLevel="0" collapsed="false">
      <c r="A189" s="7" t="n">
        <v>4413495</v>
      </c>
      <c r="B189" s="7" t="str">
        <f aca="false">IFERROR(INDEX('Source 2026'!$C:$C,MATCH($A189,'Source 2026'!$B:$B,0)),IFERROR(INDEX('Source 2025'!$C:$C,MATCH($A189,'Source 2025'!$B:$B,0)),""))</f>
        <v>45B L מגן ברך שחור</v>
      </c>
      <c r="C189" s="8" t="n">
        <f aca="false">SUMIFS('Source 2025'!$I:$I,'Source 2025'!$B:$B,$A189,'Source 2025'!$A:$A,"Quantity (units)")</f>
        <v>44</v>
      </c>
      <c r="D189" s="8" t="n">
        <f aca="false">SUMIFS('Source 2026'!$I:$I,'Source 2026'!$B:$B,$A189,'Source 2026'!$A:$A,"Quantity (units)")</f>
        <v>30</v>
      </c>
      <c r="E189" s="8" t="n">
        <f aca="false">D189*$J$5</f>
        <v>41.1428571428571</v>
      </c>
      <c r="F189" s="8" t="n">
        <f aca="false">E189-C189</f>
        <v>-2.85714285714285</v>
      </c>
      <c r="G189" s="9" t="n">
        <f aca="false">IF(AND(C189=0,E189=0),0,IF(C189=0,"New",(E189-C189)/C189))</f>
        <v>-0.0649350649350649</v>
      </c>
      <c r="H189" s="8" t="n">
        <f aca="false">SUMIFS('Source 2025'!$I:$I,'Source 2025'!$B:$B,$A189,'Source 2025'!$A:$A,"Amount (NIS)")</f>
        <v>1221</v>
      </c>
      <c r="I189" s="8" t="n">
        <f aca="false">SUMIFS('Source 2026'!$I:$I,'Source 2026'!$B:$B,$A189,'Source 2026'!$A:$A,"Amount (NIS)")</f>
        <v>832.5</v>
      </c>
      <c r="J189" s="8" t="n">
        <f aca="false">I189*$J$5</f>
        <v>1141.71428571429</v>
      </c>
      <c r="K189" s="8" t="n">
        <f aca="false">J189-H189</f>
        <v>-79.2857142857142</v>
      </c>
      <c r="L189" s="9" t="n">
        <f aca="false">IF(AND(H189=0,J189=0),0,IF(H189=0,"New",(J189-H189)/H189))</f>
        <v>-0.0649350649350649</v>
      </c>
    </row>
    <row r="190" customFormat="false" ht="15" hidden="false" customHeight="false" outlineLevel="0" collapsed="false">
      <c r="A190" s="7" t="n">
        <v>4413096</v>
      </c>
      <c r="B190" s="7" t="str">
        <f aca="false">IFERROR(INDEX('Source 2026'!$C:$C,MATCH($A190,'Source 2026'!$B:$B,0)),IFERROR(INDEX('Source 2025'!$C:$C,MATCH($A190,'Source 2025'!$B:$B,0)),""))</f>
        <v>45 XXL מגן ברך לבן</v>
      </c>
      <c r="C190" s="8" t="n">
        <f aca="false">SUMIFS('Source 2025'!$I:$I,'Source 2025'!$B:$B,$A190,'Source 2025'!$A:$A,"Quantity (units)")</f>
        <v>94</v>
      </c>
      <c r="D190" s="8" t="n">
        <f aca="false">SUMIFS('Source 2026'!$I:$I,'Source 2026'!$B:$B,$A190,'Source 2026'!$A:$A,"Quantity (units)")</f>
        <v>80</v>
      </c>
      <c r="E190" s="8" t="n">
        <f aca="false">D190*$J$5</f>
        <v>109.714285714286</v>
      </c>
      <c r="F190" s="8" t="n">
        <f aca="false">E190-C190</f>
        <v>15.7142857142857</v>
      </c>
      <c r="G190" s="9" t="n">
        <f aca="false">IF(AND(C190=0,E190=0),0,IF(C190=0,"New",(E190-C190)/C190))</f>
        <v>0.167173252279635</v>
      </c>
      <c r="H190" s="8" t="n">
        <f aca="false">SUMIFS('Source 2025'!$I:$I,'Source 2025'!$B:$B,$A190,'Source 2025'!$A:$A,"Amount (NIS)")</f>
        <v>2609.4</v>
      </c>
      <c r="I190" s="8" t="n">
        <f aca="false">SUMIFS('Source 2026'!$I:$I,'Source 2026'!$B:$B,$A190,'Source 2026'!$A:$A,"Amount (NIS)")</f>
        <v>2224.7</v>
      </c>
      <c r="J190" s="8" t="n">
        <f aca="false">I190*$J$5</f>
        <v>3051.01714285714</v>
      </c>
      <c r="K190" s="8" t="n">
        <f aca="false">J190-H190</f>
        <v>441.617142857142</v>
      </c>
      <c r="L190" s="9" t="n">
        <f aca="false">IF(AND(H190=0,J190=0),0,IF(H190=0,"New",(J190-H190)/H190))</f>
        <v>0.169240876391945</v>
      </c>
    </row>
    <row r="191" customFormat="false" ht="15" hidden="false" customHeight="false" outlineLevel="0" collapsed="false">
      <c r="A191" s="7" t="n">
        <v>4403001</v>
      </c>
      <c r="B191" s="7" t="str">
        <f aca="false">IFERROR(INDEX('Source 2026'!$C:$C,MATCH($A191,'Source 2026'!$B:$B,0)),IFERROR(INDEX('Source 2025'!$C:$C,MATCH($A191,'Source 2025'!$B:$B,0)),""))</f>
        <v>390B 39-42.גרב.כסף לסכרתיים שח</v>
      </c>
      <c r="C191" s="8" t="n">
        <f aca="false">SUMIFS('Source 2025'!$I:$I,'Source 2025'!$B:$B,$A191,'Source 2025'!$A:$A,"Quantity (units)")</f>
        <v>14</v>
      </c>
      <c r="D191" s="8" t="n">
        <f aca="false">SUMIFS('Source 2026'!$I:$I,'Source 2026'!$B:$B,$A191,'Source 2026'!$A:$A,"Quantity (units)")</f>
        <v>2</v>
      </c>
      <c r="E191" s="8" t="n">
        <f aca="false">D191*$J$5</f>
        <v>2.74285714285714</v>
      </c>
      <c r="F191" s="8" t="n">
        <f aca="false">E191-C191</f>
        <v>-11.2571428571429</v>
      </c>
      <c r="G191" s="9" t="n">
        <f aca="false">IF(AND(C191=0,E191=0),0,IF(C191=0,"New",(E191-C191)/C191))</f>
        <v>-0.804081632653061</v>
      </c>
      <c r="H191" s="8" t="n">
        <f aca="false">SUMIFS('Source 2025'!$I:$I,'Source 2025'!$B:$B,$A191,'Source 2025'!$A:$A,"Amount (NIS)")</f>
        <v>440.4</v>
      </c>
      <c r="I191" s="8" t="n">
        <f aca="false">SUMIFS('Source 2026'!$I:$I,'Source 2026'!$B:$B,$A191,'Source 2026'!$A:$A,"Amount (NIS)")</f>
        <v>62.9</v>
      </c>
      <c r="J191" s="8" t="n">
        <f aca="false">I191*$J$5</f>
        <v>86.2628571428571</v>
      </c>
      <c r="K191" s="8" t="n">
        <f aca="false">J191-H191</f>
        <v>-354.137142857143</v>
      </c>
      <c r="L191" s="9" t="n">
        <f aca="false">IF(AND(H191=0,J191=0),0,IF(H191=0,"New",(J191-H191)/H191))</f>
        <v>-0.804126119112495</v>
      </c>
    </row>
    <row r="192" customFormat="false" ht="15" hidden="false" customHeight="false" outlineLevel="0" collapsed="false">
      <c r="A192" s="7" t="n">
        <v>4413079</v>
      </c>
      <c r="B192" s="7" t="str">
        <f aca="false">IFERROR(INDEX('Source 2026'!$C:$C,MATCH($A192,'Source 2026'!$B:$B,0)),IFERROR(INDEX('Source 2025'!$C:$C,MATCH($A192,'Source 2025'!$B:$B,0)),""))</f>
        <v>41X XL מגן ברך מוצלב+מוט</v>
      </c>
      <c r="C192" s="8" t="n">
        <f aca="false">SUMIFS('Source 2025'!$I:$I,'Source 2025'!$B:$B,$A192,'Source 2025'!$A:$A,"Quantity (units)")</f>
        <v>3</v>
      </c>
      <c r="D192" s="8" t="n">
        <f aca="false">SUMIFS('Source 2026'!$I:$I,'Source 2026'!$B:$B,$A192,'Source 2026'!$A:$A,"Quantity (units)")</f>
        <v>0</v>
      </c>
      <c r="E192" s="8" t="n">
        <f aca="false">D192*$J$5</f>
        <v>0</v>
      </c>
      <c r="F192" s="8" t="n">
        <f aca="false">E192-C192</f>
        <v>-3</v>
      </c>
      <c r="G192" s="9" t="n">
        <f aca="false">IF(AND(C192=0,E192=0),0,IF(C192=0,"New",(E192-C192)/C192))</f>
        <v>-1</v>
      </c>
      <c r="H192" s="8" t="n">
        <f aca="false">SUMIFS('Source 2025'!$I:$I,'Source 2025'!$B:$B,$A192,'Source 2025'!$A:$A,"Amount (NIS)")</f>
        <v>377.1</v>
      </c>
      <c r="I192" s="8" t="n">
        <f aca="false">SUMIFS('Source 2026'!$I:$I,'Source 2026'!$B:$B,$A192,'Source 2026'!$A:$A,"Amount (NIS)")</f>
        <v>0</v>
      </c>
      <c r="J192" s="8" t="n">
        <f aca="false">I192*$J$5</f>
        <v>0</v>
      </c>
      <c r="K192" s="8" t="n">
        <f aca="false">J192-H192</f>
        <v>-377.1</v>
      </c>
      <c r="L192" s="9" t="n">
        <f aca="false">IF(AND(H192=0,J192=0),0,IF(H192=0,"New",(J192-H192)/H192))</f>
        <v>-1</v>
      </c>
    </row>
    <row r="193" customFormat="false" ht="15" hidden="false" customHeight="false" outlineLevel="0" collapsed="false">
      <c r="A193" s="7" t="n">
        <v>4415080</v>
      </c>
      <c r="B193" s="7" t="str">
        <f aca="false">IFERROR(INDEX('Source 2026'!$C:$C,MATCH($A193,'Source 2026'!$B:$B,0)),IFERROR(INDEX('Source 2025'!$C:$C,MATCH($A193,'Source 2025'!$B:$B,0)),""))</f>
        <v>PD346-10 סכינים למקצוע</v>
      </c>
      <c r="C193" s="8" t="n">
        <f aca="false">SUMIFS('Source 2025'!$I:$I,'Source 2025'!$B:$B,$A193,'Source 2025'!$A:$A,"Quantity (units)")</f>
        <v>69</v>
      </c>
      <c r="D193" s="8" t="n">
        <f aca="false">SUMIFS('Source 2026'!$I:$I,'Source 2026'!$B:$B,$A193,'Source 2026'!$A:$A,"Quantity (units)")</f>
        <v>23</v>
      </c>
      <c r="E193" s="8" t="n">
        <f aca="false">D193*$J$5</f>
        <v>31.5428571428571</v>
      </c>
      <c r="F193" s="8" t="n">
        <f aca="false">E193-C193</f>
        <v>-37.4571428571429</v>
      </c>
      <c r="G193" s="9" t="n">
        <f aca="false">IF(AND(C193=0,E193=0),0,IF(C193=0,"New",(E193-C193)/C193))</f>
        <v>-0.542857142857143</v>
      </c>
      <c r="H193" s="8" t="n">
        <f aca="false">SUMIFS('Source 2025'!$I:$I,'Source 2025'!$B:$B,$A193,'Source 2025'!$A:$A,"Amount (NIS)")</f>
        <v>564.4</v>
      </c>
      <c r="I193" s="8" t="n">
        <f aca="false">SUMIFS('Source 2026'!$I:$I,'Source 2026'!$B:$B,$A193,'Source 2026'!$A:$A,"Amount (NIS)")</f>
        <v>188.1</v>
      </c>
      <c r="J193" s="8" t="n">
        <f aca="false">I193*$J$5</f>
        <v>257.965714285714</v>
      </c>
      <c r="K193" s="8" t="n">
        <f aca="false">J193-H193</f>
        <v>-306.434285714286</v>
      </c>
      <c r="L193" s="9" t="n">
        <f aca="false">IF(AND(H193=0,J193=0),0,IF(H193=0,"New",(J193-H193)/H193))</f>
        <v>-0.542938139111066</v>
      </c>
    </row>
    <row r="194" customFormat="false" ht="15" hidden="false" customHeight="false" outlineLevel="0" collapsed="false">
      <c r="A194" s="7" t="n">
        <v>4408207</v>
      </c>
      <c r="B194" s="7" t="str">
        <f aca="false">IFERROR(INDEX('Source 2026'!$C:$C,MATCH($A194,'Source 2026'!$B:$B,0)),IFERROR(INDEX('Source 2025'!$C:$C,MATCH($A194,'Source 2025'!$B:$B,0)),""))</f>
        <v>AC-25 חבק לשורש כף היד</v>
      </c>
      <c r="C194" s="8" t="n">
        <f aca="false">SUMIFS('Source 2025'!$I:$I,'Source 2025'!$B:$B,$A194,'Source 2025'!$A:$A,"Quantity (units)")</f>
        <v>60</v>
      </c>
      <c r="D194" s="8" t="n">
        <f aca="false">SUMIFS('Source 2026'!$I:$I,'Source 2026'!$B:$B,$A194,'Source 2026'!$A:$A,"Quantity (units)")</f>
        <v>45</v>
      </c>
      <c r="E194" s="8" t="n">
        <f aca="false">D194*$J$5</f>
        <v>61.7142857142857</v>
      </c>
      <c r="F194" s="8" t="n">
        <f aca="false">E194-C194</f>
        <v>1.71428571428572</v>
      </c>
      <c r="G194" s="9" t="n">
        <f aca="false">IF(AND(C194=0,E194=0),0,IF(C194=0,"New",(E194-C194)/C194))</f>
        <v>0.0285714285714286</v>
      </c>
      <c r="H194" s="8" t="n">
        <f aca="false">SUMIFS('Source 2025'!$I:$I,'Source 2025'!$B:$B,$A194,'Source 2025'!$A:$A,"Amount (NIS)")</f>
        <v>1495.8</v>
      </c>
      <c r="I194" s="8" t="n">
        <f aca="false">SUMIFS('Source 2026'!$I:$I,'Source 2026'!$B:$B,$A194,'Source 2026'!$A:$A,"Amount (NIS)")</f>
        <v>1121.9</v>
      </c>
      <c r="J194" s="8" t="n">
        <f aca="false">I194*$J$5</f>
        <v>1538.60571428571</v>
      </c>
      <c r="K194" s="8" t="n">
        <f aca="false">J194-H194</f>
        <v>42.8057142857144</v>
      </c>
      <c r="L194" s="9" t="n">
        <f aca="false">IF(AND(H194=0,J194=0),0,IF(H194=0,"New",(J194-H194)/H194))</f>
        <v>0.0286172712165493</v>
      </c>
    </row>
    <row r="195" customFormat="false" ht="15" hidden="false" customHeight="false" outlineLevel="0" collapsed="false">
      <c r="A195" s="7" t="n">
        <v>4408092</v>
      </c>
      <c r="B195" s="7" t="str">
        <f aca="false">IFERROR(INDEX('Source 2026'!$C:$C,MATCH($A195,'Source 2026'!$B:$B,0)),IFERROR(INDEX('Source 2025'!$C:$C,MATCH($A195,'Source 2025'!$B:$B,0)),""))</f>
        <v>T11C XL חגורת גב פוג'יאמה</v>
      </c>
      <c r="C195" s="8" t="n">
        <f aca="false">SUMIFS('Source 2025'!$I:$I,'Source 2025'!$B:$B,$A195,'Source 2025'!$A:$A,"Quantity (units)")</f>
        <v>6</v>
      </c>
      <c r="D195" s="8" t="n">
        <f aca="false">SUMIFS('Source 2026'!$I:$I,'Source 2026'!$B:$B,$A195,'Source 2026'!$A:$A,"Quantity (units)")</f>
        <v>2</v>
      </c>
      <c r="E195" s="8" t="n">
        <f aca="false">D195*$J$5</f>
        <v>2.74285714285714</v>
      </c>
      <c r="F195" s="8" t="n">
        <f aca="false">E195-C195</f>
        <v>-3.25714285714286</v>
      </c>
      <c r="G195" s="9" t="n">
        <f aca="false">IF(AND(C195=0,E195=0),0,IF(C195=0,"New",(E195-C195)/C195))</f>
        <v>-0.542857142857143</v>
      </c>
      <c r="H195" s="8" t="n">
        <f aca="false">SUMIFS('Source 2025'!$I:$I,'Source 2025'!$B:$B,$A195,'Source 2025'!$A:$A,"Amount (NIS)")</f>
        <v>529.2</v>
      </c>
      <c r="I195" s="8" t="n">
        <f aca="false">SUMIFS('Source 2026'!$I:$I,'Source 2026'!$B:$B,$A195,'Source 2026'!$A:$A,"Amount (NIS)")</f>
        <v>176.4</v>
      </c>
      <c r="J195" s="8" t="n">
        <f aca="false">I195*$J$5</f>
        <v>241.92</v>
      </c>
      <c r="K195" s="8" t="n">
        <f aca="false">J195-H195</f>
        <v>-287.28</v>
      </c>
      <c r="L195" s="9" t="n">
        <f aca="false">IF(AND(H195=0,J195=0),0,IF(H195=0,"New",(J195-H195)/H195))</f>
        <v>-0.542857142857143</v>
      </c>
    </row>
    <row r="196" customFormat="false" ht="15" hidden="false" customHeight="false" outlineLevel="0" collapsed="false">
      <c r="A196" s="7" t="n">
        <v>4408250</v>
      </c>
      <c r="B196" s="7" t="str">
        <f aca="false">IFERROR(INDEX('Source 2026'!$C:$C,MATCH($A196,'Source 2026'!$B:$B,0)),IFERROR(INDEX('Source 2025'!$C:$C,MATCH($A196,'Source 2025'!$B:$B,0)),""))</f>
        <v>SC25 XL חבק יד</v>
      </c>
      <c r="C196" s="8" t="n">
        <f aca="false">SUMIFS('Source 2025'!$I:$I,'Source 2025'!$B:$B,$A196,'Source 2025'!$A:$A,"Quantity (units)")</f>
        <v>0</v>
      </c>
      <c r="D196" s="8" t="n">
        <f aca="false">SUMIFS('Source 2026'!$I:$I,'Source 2026'!$B:$B,$A196,'Source 2026'!$A:$A,"Quantity (units)")</f>
        <v>4</v>
      </c>
      <c r="E196" s="8" t="n">
        <f aca="false">D196*$J$5</f>
        <v>5.48571428571429</v>
      </c>
      <c r="F196" s="8" t="n">
        <f aca="false">E196-C196</f>
        <v>5.48571428571429</v>
      </c>
      <c r="G196" s="9" t="str">
        <f aca="false">IF(AND(C196=0,E196=0),0,IF(C196=0,"New",(E196-C196)/C196))</f>
        <v>New</v>
      </c>
      <c r="H196" s="8" t="n">
        <f aca="false">SUMIFS('Source 2025'!$I:$I,'Source 2025'!$B:$B,$A196,'Source 2025'!$A:$A,"Amount (NIS)")</f>
        <v>-52.6</v>
      </c>
      <c r="I196" s="8" t="n">
        <f aca="false">SUMIFS('Source 2026'!$I:$I,'Source 2026'!$B:$B,$A196,'Source 2026'!$A:$A,"Amount (NIS)")</f>
        <v>298</v>
      </c>
      <c r="J196" s="8" t="n">
        <f aca="false">I196*$J$5</f>
        <v>408.685714285714</v>
      </c>
      <c r="K196" s="8" t="n">
        <f aca="false">J196-H196</f>
        <v>461.285714285714</v>
      </c>
      <c r="L196" s="9" t="n">
        <f aca="false">IF(AND(H196=0,J196=0),0,IF(H196=0,"New",(J196-H196)/H196))</f>
        <v>-8.76969038565997</v>
      </c>
    </row>
    <row r="197" customFormat="false" ht="15" hidden="false" customHeight="false" outlineLevel="0" collapsed="false">
      <c r="A197" s="7" t="n">
        <v>4413072</v>
      </c>
      <c r="B197" s="7" t="str">
        <f aca="false">IFERROR(INDEX('Source 2026'!$C:$C,MATCH($A197,'Source 2026'!$B:$B,0)),IFERROR(INDEX('Source 2025'!$C:$C,MATCH($A197,'Source 2025'!$B:$B,0)),""))</f>
        <v>41 Lמ.ברך מוצלב+ספירלות בצדדים</v>
      </c>
      <c r="C197" s="8" t="n">
        <f aca="false">SUMIFS('Source 2025'!$I:$I,'Source 2025'!$B:$B,$A197,'Source 2025'!$A:$A,"Quantity (units)")</f>
        <v>4</v>
      </c>
      <c r="D197" s="8" t="n">
        <f aca="false">SUMIFS('Source 2026'!$I:$I,'Source 2026'!$B:$B,$A197,'Source 2026'!$A:$A,"Quantity (units)")</f>
        <v>1</v>
      </c>
      <c r="E197" s="8" t="n">
        <f aca="false">D197*$J$5</f>
        <v>1.37142857142857</v>
      </c>
      <c r="F197" s="8" t="n">
        <f aca="false">E197-C197</f>
        <v>-2.62857142857143</v>
      </c>
      <c r="G197" s="9" t="n">
        <f aca="false">IF(AND(C197=0,E197=0),0,IF(C197=0,"New",(E197-C197)/C197))</f>
        <v>-0.657142857142857</v>
      </c>
      <c r="H197" s="8" t="n">
        <f aca="false">SUMIFS('Source 2025'!$I:$I,'Source 2025'!$B:$B,$A197,'Source 2025'!$A:$A,"Amount (NIS)")</f>
        <v>458.7</v>
      </c>
      <c r="I197" s="8" t="n">
        <f aca="false">SUMIFS('Source 2026'!$I:$I,'Source 2026'!$B:$B,$A197,'Source 2026'!$A:$A,"Amount (NIS)")</f>
        <v>114.7</v>
      </c>
      <c r="J197" s="8" t="n">
        <f aca="false">I197*$J$5</f>
        <v>157.302857142857</v>
      </c>
      <c r="K197" s="8" t="n">
        <f aca="false">J197-H197</f>
        <v>-301.397142857143</v>
      </c>
      <c r="L197" s="9" t="n">
        <f aca="false">IF(AND(H197=0,J197=0),0,IF(H197=0,"New",(J197-H197)/H197))</f>
        <v>-0.657068111744371</v>
      </c>
    </row>
    <row r="198" customFormat="false" ht="15" hidden="false" customHeight="false" outlineLevel="0" collapsed="false">
      <c r="A198" s="7" t="n">
        <v>4413162</v>
      </c>
      <c r="B198" s="7" t="str">
        <f aca="false">IFERROR(INDEX('Source 2026'!$C:$C,MATCH($A198,'Source 2026'!$B:$B,0)),IFERROR(INDEX('Source 2025'!$C:$C,MATCH($A198,'Source 2025'!$B:$B,0)),""))</f>
        <v>34+XL מגן קרסול עקב סגור+רצוע</v>
      </c>
      <c r="C198" s="8" t="n">
        <f aca="false">SUMIFS('Source 2025'!$I:$I,'Source 2025'!$B:$B,$A198,'Source 2025'!$A:$A,"Quantity (units)")</f>
        <v>116</v>
      </c>
      <c r="D198" s="8" t="n">
        <f aca="false">SUMIFS('Source 2026'!$I:$I,'Source 2026'!$B:$B,$A198,'Source 2026'!$A:$A,"Quantity (units)")</f>
        <v>110</v>
      </c>
      <c r="E198" s="8" t="n">
        <f aca="false">D198*$J$5</f>
        <v>150.857142857143</v>
      </c>
      <c r="F198" s="8" t="n">
        <f aca="false">E198-C198</f>
        <v>34.8571428571429</v>
      </c>
      <c r="G198" s="9" t="n">
        <f aca="false">IF(AND(C198=0,E198=0),0,IF(C198=0,"New",(E198-C198)/C198))</f>
        <v>0.300492610837438</v>
      </c>
      <c r="H198" s="8" t="n">
        <f aca="false">SUMIFS('Source 2025'!$I:$I,'Source 2025'!$B:$B,$A198,'Source 2025'!$A:$A,"Amount (NIS)")</f>
        <v>6648</v>
      </c>
      <c r="I198" s="8" t="n">
        <f aca="false">SUMIFS('Source 2026'!$I:$I,'Source 2026'!$B:$B,$A198,'Source 2026'!$A:$A,"Amount (NIS)")</f>
        <v>6304.1</v>
      </c>
      <c r="J198" s="8" t="n">
        <f aca="false">I198*$J$5</f>
        <v>8645.62285714286</v>
      </c>
      <c r="K198" s="8" t="n">
        <f aca="false">J198-H198</f>
        <v>1997.62285714286</v>
      </c>
      <c r="L198" s="9" t="n">
        <f aca="false">IF(AND(H198=0,J198=0),0,IF(H198=0,"New",(J198-H198)/H198))</f>
        <v>0.300484785972151</v>
      </c>
    </row>
    <row r="199" customFormat="false" ht="15" hidden="false" customHeight="false" outlineLevel="0" collapsed="false">
      <c r="A199" s="7" t="n">
        <v>4408095</v>
      </c>
      <c r="B199" s="7" t="str">
        <f aca="false">IFERROR(INDEX('Source 2026'!$C:$C,MATCH($A199,'Source 2026'!$B:$B,0)),IFERROR(INDEX('Source 2025'!$C:$C,MATCH($A199,'Source 2025'!$B:$B,0)),""))</f>
        <v>T20 L-XL  חבק יד עם צמדן</v>
      </c>
      <c r="C199" s="8" t="n">
        <f aca="false">SUMIFS('Source 2025'!$I:$I,'Source 2025'!$B:$B,$A199,'Source 2025'!$A:$A,"Quantity (units)")</f>
        <v>31</v>
      </c>
      <c r="D199" s="8" t="n">
        <f aca="false">SUMIFS('Source 2026'!$I:$I,'Source 2026'!$B:$B,$A199,'Source 2026'!$A:$A,"Quantity (units)")</f>
        <v>21</v>
      </c>
      <c r="E199" s="8" t="n">
        <f aca="false">D199*$J$5</f>
        <v>28.8</v>
      </c>
      <c r="F199" s="8" t="n">
        <f aca="false">E199-C199</f>
        <v>-2.2</v>
      </c>
      <c r="G199" s="9" t="n">
        <f aca="false">IF(AND(C199=0,E199=0),0,IF(C199=0,"New",(E199-C199)/C199))</f>
        <v>-0.0709677419354838</v>
      </c>
      <c r="H199" s="8" t="n">
        <f aca="false">SUMIFS('Source 2025'!$I:$I,'Source 2025'!$B:$B,$A199,'Source 2025'!$A:$A,"Amount (NIS)")</f>
        <v>1065.5</v>
      </c>
      <c r="I199" s="8" t="n">
        <f aca="false">SUMIFS('Source 2026'!$I:$I,'Source 2026'!$B:$B,$A199,'Source 2026'!$A:$A,"Amount (NIS)")</f>
        <v>724.2</v>
      </c>
      <c r="J199" s="8" t="n">
        <f aca="false">I199*$J$5</f>
        <v>993.188571428572</v>
      </c>
      <c r="K199" s="8" t="n">
        <f aca="false">J199-H199</f>
        <v>-72.3114285714285</v>
      </c>
      <c r="L199" s="9" t="n">
        <f aca="false">IF(AND(H199=0,J199=0),0,IF(H199=0,"New",(J199-H199)/H199))</f>
        <v>-0.067866192934236</v>
      </c>
    </row>
    <row r="200" customFormat="false" ht="15" hidden="false" customHeight="false" outlineLevel="0" collapsed="false">
      <c r="A200" s="7" t="n">
        <v>4413088</v>
      </c>
      <c r="B200" s="7" t="str">
        <f aca="false">IFERROR(INDEX('Source 2026'!$C:$C,MATCH($A200,'Source 2026'!$B:$B,0)),IFERROR(INDEX('Source 2025'!$C:$C,MATCH($A200,'Source 2025'!$B:$B,0)),""))</f>
        <v>422 Mמ.ברך+כרית סיל.סביב לפיקה</v>
      </c>
      <c r="C200" s="8" t="n">
        <f aca="false">SUMIFS('Source 2025'!$I:$I,'Source 2025'!$B:$B,$A200,'Source 2025'!$A:$A,"Quantity (units)")</f>
        <v>2</v>
      </c>
      <c r="D200" s="8" t="n">
        <f aca="false">SUMIFS('Source 2026'!$I:$I,'Source 2026'!$B:$B,$A200,'Source 2026'!$A:$A,"Quantity (units)")</f>
        <v>0</v>
      </c>
      <c r="E200" s="8" t="n">
        <f aca="false">D200*$J$5</f>
        <v>0</v>
      </c>
      <c r="F200" s="8" t="n">
        <f aca="false">E200-C200</f>
        <v>-2</v>
      </c>
      <c r="G200" s="9" t="n">
        <f aca="false">IF(AND(C200=0,E200=0),0,IF(C200=0,"New",(E200-C200)/C200))</f>
        <v>-1</v>
      </c>
      <c r="H200" s="8" t="n">
        <f aca="false">SUMIFS('Source 2025'!$I:$I,'Source 2025'!$B:$B,$A200,'Source 2025'!$A:$A,"Amount (NIS)")</f>
        <v>326.4</v>
      </c>
      <c r="I200" s="8" t="n">
        <f aca="false">SUMIFS('Source 2026'!$I:$I,'Source 2026'!$B:$B,$A200,'Source 2026'!$A:$A,"Amount (NIS)")</f>
        <v>0</v>
      </c>
      <c r="J200" s="8" t="n">
        <f aca="false">I200*$J$5</f>
        <v>0</v>
      </c>
      <c r="K200" s="8" t="n">
        <f aca="false">J200-H200</f>
        <v>-326.4</v>
      </c>
      <c r="L200" s="9" t="n">
        <f aca="false">IF(AND(H200=0,J200=0),0,IF(H200=0,"New",(J200-H200)/H200))</f>
        <v>-1</v>
      </c>
    </row>
    <row r="201" customFormat="false" ht="15" hidden="false" customHeight="false" outlineLevel="0" collapsed="false">
      <c r="A201" s="7" t="n">
        <v>4413112</v>
      </c>
      <c r="B201" s="7" t="str">
        <f aca="false">IFERROR(INDEX('Source 2026'!$C:$C,MATCH($A201,'Source 2026'!$B:$B,0)),IFERROR(INDEX('Source 2025'!$C:$C,MATCH($A201,'Source 2025'!$B:$B,0)),""))</f>
        <v>49  L מגן ירך</v>
      </c>
      <c r="C201" s="8" t="n">
        <f aca="false">SUMIFS('Source 2025'!$I:$I,'Source 2025'!$B:$B,$A201,'Source 2025'!$A:$A,"Quantity (units)")</f>
        <v>25</v>
      </c>
      <c r="D201" s="8" t="n">
        <f aca="false">SUMIFS('Source 2026'!$I:$I,'Source 2026'!$B:$B,$A201,'Source 2026'!$A:$A,"Quantity (units)")</f>
        <v>16</v>
      </c>
      <c r="E201" s="8" t="n">
        <f aca="false">D201*$J$5</f>
        <v>21.9428571428571</v>
      </c>
      <c r="F201" s="8" t="n">
        <f aca="false">E201-C201</f>
        <v>-3.05714285714286</v>
      </c>
      <c r="G201" s="9" t="n">
        <f aca="false">IF(AND(C201=0,E201=0),0,IF(C201=0,"New",(E201-C201)/C201))</f>
        <v>-0.122285714285714</v>
      </c>
      <c r="H201" s="8" t="n">
        <f aca="false">SUMIFS('Source 2025'!$I:$I,'Source 2025'!$B:$B,$A201,'Source 2025'!$A:$A,"Amount (NIS)")</f>
        <v>760</v>
      </c>
      <c r="I201" s="8" t="n">
        <f aca="false">SUMIFS('Source 2026'!$I:$I,'Source 2026'!$B:$B,$A201,'Source 2026'!$A:$A,"Amount (NIS)")</f>
        <v>439.1</v>
      </c>
      <c r="J201" s="8" t="n">
        <f aca="false">I201*$J$5</f>
        <v>602.194285714286</v>
      </c>
      <c r="K201" s="8" t="n">
        <f aca="false">J201-H201</f>
        <v>-157.805714285714</v>
      </c>
      <c r="L201" s="9" t="n">
        <f aca="false">IF(AND(H201=0,J201=0),0,IF(H201=0,"New",(J201-H201)/H201))</f>
        <v>-0.207639097744361</v>
      </c>
    </row>
    <row r="202" customFormat="false" ht="15" hidden="false" customHeight="false" outlineLevel="0" collapsed="false">
      <c r="A202" s="7" t="n">
        <v>4409002</v>
      </c>
      <c r="B202" s="7" t="str">
        <f aca="false">IFERROR(INDEX('Source 2026'!$C:$C,MATCH($A202,'Source 2026'!$B:$B,0)),IFERROR(INDEX('Source 2025'!$C:$C,MATCH($A202,'Source 2025'!$B:$B,0)),""))</f>
        <v>FC341-טיפות נגד פטרת הציפורן</v>
      </c>
      <c r="C202" s="8" t="n">
        <f aca="false">SUMIFS('Source 2025'!$I:$I,'Source 2025'!$B:$B,$A202,'Source 2025'!$A:$A,"Quantity (units)")</f>
        <v>-15</v>
      </c>
      <c r="D202" s="8" t="n">
        <f aca="false">SUMIFS('Source 2026'!$I:$I,'Source 2026'!$B:$B,$A202,'Source 2026'!$A:$A,"Quantity (units)")</f>
        <v>-6</v>
      </c>
      <c r="E202" s="8" t="n">
        <f aca="false">D202*$J$5</f>
        <v>-8.22857142857143</v>
      </c>
      <c r="F202" s="8" t="n">
        <f aca="false">E202-C202</f>
        <v>6.77142857142857</v>
      </c>
      <c r="G202" s="9" t="n">
        <f aca="false">IF(AND(C202=0,E202=0),0,IF(C202=0,"New",(E202-C202)/C202))</f>
        <v>-0.451428571428571</v>
      </c>
      <c r="H202" s="8" t="n">
        <f aca="false">SUMIFS('Source 2025'!$I:$I,'Source 2025'!$B:$B,$A202,'Source 2025'!$A:$A,"Amount (NIS)")</f>
        <v>-508</v>
      </c>
      <c r="I202" s="8" t="n">
        <f aca="false">SUMIFS('Source 2026'!$I:$I,'Source 2026'!$B:$B,$A202,'Source 2026'!$A:$A,"Amount (NIS)")</f>
        <v>-191.6</v>
      </c>
      <c r="J202" s="8" t="n">
        <f aca="false">I202*$J$5</f>
        <v>-262.765714285714</v>
      </c>
      <c r="K202" s="8" t="n">
        <f aca="false">J202-H202</f>
        <v>245.234285714286</v>
      </c>
      <c r="L202" s="9" t="n">
        <f aca="false">IF(AND(H202=0,J202=0),0,IF(H202=0,"New",(J202-H202)/H202))</f>
        <v>-0.482744656917885</v>
      </c>
    </row>
    <row r="203" customFormat="false" ht="15" hidden="false" customHeight="false" outlineLevel="0" collapsed="false">
      <c r="A203" s="7" t="n">
        <v>4408059</v>
      </c>
      <c r="B203" s="7" t="str">
        <f aca="false">IFERROR(INDEX('Source 2026'!$C:$C,MATCH($A203,'Source 2026'!$B:$B,0)),IFERROR(INDEX('Source 2025'!$C:$C,MATCH($A203,'Source 2025'!$B:$B,0)),""))</f>
        <v>25 L חבק יד אגודלי</v>
      </c>
      <c r="C203" s="8" t="n">
        <f aca="false">SUMIFS('Source 2025'!$I:$I,'Source 2025'!$B:$B,$A203,'Source 2025'!$A:$A,"Quantity (units)")</f>
        <v>-4</v>
      </c>
      <c r="D203" s="8" t="n">
        <f aca="false">SUMIFS('Source 2026'!$I:$I,'Source 2026'!$B:$B,$A203,'Source 2026'!$A:$A,"Quantity (units)")</f>
        <v>0</v>
      </c>
      <c r="E203" s="8" t="n">
        <f aca="false">D203*$J$5</f>
        <v>0</v>
      </c>
      <c r="F203" s="8" t="n">
        <f aca="false">E203-C203</f>
        <v>4</v>
      </c>
      <c r="G203" s="9" t="n">
        <f aca="false">IF(AND(C203=0,E203=0),0,IF(C203=0,"New",(E203-C203)/C203))</f>
        <v>-1</v>
      </c>
      <c r="H203" s="8" t="n">
        <f aca="false">SUMIFS('Source 2025'!$I:$I,'Source 2025'!$B:$B,$A203,'Source 2025'!$A:$A,"Amount (NIS)")</f>
        <v>-314.4</v>
      </c>
      <c r="I203" s="8" t="n">
        <f aca="false">SUMIFS('Source 2026'!$I:$I,'Source 2026'!$B:$B,$A203,'Source 2026'!$A:$A,"Amount (NIS)")</f>
        <v>0</v>
      </c>
      <c r="J203" s="8" t="n">
        <f aca="false">I203*$J$5</f>
        <v>0</v>
      </c>
      <c r="K203" s="8" t="n">
        <f aca="false">J203-H203</f>
        <v>314.4</v>
      </c>
      <c r="L203" s="9" t="n">
        <f aca="false">IF(AND(H203=0,J203=0),0,IF(H203=0,"New",(J203-H203)/H203))</f>
        <v>-1</v>
      </c>
    </row>
    <row r="204" customFormat="false" ht="15" hidden="false" customHeight="false" outlineLevel="0" collapsed="false">
      <c r="A204" s="7" t="n">
        <v>4403007</v>
      </c>
      <c r="B204" s="7" t="str">
        <f aca="false">IFERROR(INDEX('Source 2026'!$C:$C,MATCH($A204,'Source 2026'!$B:$B,0)),IFERROR(INDEX('Source 2025'!$C:$C,MATCH($A204,'Source 2025'!$B:$B,0)),""))</f>
        <v>390W גרב.כסף לסכרתיים לבן39-42</v>
      </c>
      <c r="C204" s="8" t="n">
        <f aca="false">SUMIFS('Source 2025'!$I:$I,'Source 2025'!$B:$B,$A204,'Source 2025'!$A:$A,"Quantity (units)")</f>
        <v>16</v>
      </c>
      <c r="D204" s="8" t="n">
        <f aca="false">SUMIFS('Source 2026'!$I:$I,'Source 2026'!$B:$B,$A204,'Source 2026'!$A:$A,"Quantity (units)")</f>
        <v>6</v>
      </c>
      <c r="E204" s="8" t="n">
        <f aca="false">D204*$J$5</f>
        <v>8.22857142857143</v>
      </c>
      <c r="F204" s="8" t="n">
        <f aca="false">E204-C204</f>
        <v>-7.77142857142857</v>
      </c>
      <c r="G204" s="9" t="n">
        <f aca="false">IF(AND(C204=0,E204=0),0,IF(C204=0,"New",(E204-C204)/C204))</f>
        <v>-0.485714285714286</v>
      </c>
      <c r="H204" s="8" t="n">
        <f aca="false">SUMIFS('Source 2025'!$I:$I,'Source 2025'!$B:$B,$A204,'Source 2025'!$A:$A,"Amount (NIS)")</f>
        <v>500</v>
      </c>
      <c r="I204" s="8" t="n">
        <f aca="false">SUMIFS('Source 2026'!$I:$I,'Source 2026'!$B:$B,$A204,'Source 2026'!$A:$A,"Amount (NIS)")</f>
        <v>188.8</v>
      </c>
      <c r="J204" s="8" t="n">
        <f aca="false">I204*$J$5</f>
        <v>258.925714285714</v>
      </c>
      <c r="K204" s="8" t="n">
        <f aca="false">J204-H204</f>
        <v>-241.074285714286</v>
      </c>
      <c r="L204" s="9" t="n">
        <f aca="false">IF(AND(H204=0,J204=0),0,IF(H204=0,"New",(J204-H204)/H204))</f>
        <v>-0.482148571428571</v>
      </c>
    </row>
    <row r="205" customFormat="false" ht="15" hidden="false" customHeight="false" outlineLevel="0" collapsed="false">
      <c r="A205" s="7" t="n">
        <v>4413002</v>
      </c>
      <c r="B205" s="7" t="str">
        <f aca="false">IFERROR(INDEX('Source 2026'!$C:$C,MATCH($A205,'Source 2026'!$B:$B,0)),IFERROR(INDEX('Source 2025'!$C:$C,MATCH($A205,'Source 2025'!$B:$B,0)),""))</f>
        <v>30 L מגן קרסול מתכוון עם סקוטש</v>
      </c>
      <c r="C205" s="8" t="n">
        <f aca="false">SUMIFS('Source 2025'!$I:$I,'Source 2025'!$B:$B,$A205,'Source 2025'!$A:$A,"Quantity (units)")</f>
        <v>3</v>
      </c>
      <c r="D205" s="8" t="n">
        <f aca="false">SUMIFS('Source 2026'!$I:$I,'Source 2026'!$B:$B,$A205,'Source 2026'!$A:$A,"Quantity (units)")</f>
        <v>-2</v>
      </c>
      <c r="E205" s="8" t="n">
        <f aca="false">D205*$J$5</f>
        <v>-2.74285714285714</v>
      </c>
      <c r="F205" s="8" t="n">
        <f aca="false">E205-C205</f>
        <v>-5.74285714285714</v>
      </c>
      <c r="G205" s="9" t="n">
        <f aca="false">IF(AND(C205=0,E205=0),0,IF(C205=0,"New",(E205-C205)/C205))</f>
        <v>-1.91428571428571</v>
      </c>
      <c r="H205" s="8" t="n">
        <f aca="false">SUMIFS('Source 2025'!$I:$I,'Source 2025'!$B:$B,$A205,'Source 2025'!$A:$A,"Amount (NIS)")</f>
        <v>185.2</v>
      </c>
      <c r="I205" s="8" t="n">
        <f aca="false">SUMIFS('Source 2026'!$I:$I,'Source 2026'!$B:$B,$A205,'Source 2026'!$A:$A,"Amount (NIS)")</f>
        <v>-123.5</v>
      </c>
      <c r="J205" s="8" t="n">
        <f aca="false">I205*$J$5</f>
        <v>-169.371428571429</v>
      </c>
      <c r="K205" s="8" t="n">
        <f aca="false">J205-H205</f>
        <v>-354.571428571429</v>
      </c>
      <c r="L205" s="9" t="n">
        <f aca="false">IF(AND(H205=0,J205=0),0,IF(H205=0,"New",(J205-H205)/H205))</f>
        <v>-1.91453255168158</v>
      </c>
    </row>
    <row r="206" customFormat="false" ht="15" hidden="false" customHeight="false" outlineLevel="0" collapsed="false">
      <c r="A206" s="7" t="n">
        <v>4401002</v>
      </c>
      <c r="B206" s="7" t="str">
        <f aca="false">IFERROR(INDEX('Source 2026'!$C:$C,MATCH($A206,'Source 2026'!$B:$B,0)),IFERROR(INDEX('Source 2025'!$C:$C,MATCH($A206,'Source 2025'!$B:$B,0)),""))</f>
        <v>PD 344-אבן טבעית להסרת עור קשה</v>
      </c>
      <c r="C206" s="8" t="n">
        <f aca="false">SUMIFS('Source 2025'!$I:$I,'Source 2025'!$B:$B,$A206,'Source 2025'!$A:$A,"Quantity (units)")</f>
        <v>118</v>
      </c>
      <c r="D206" s="8" t="n">
        <f aca="false">SUMIFS('Source 2026'!$I:$I,'Source 2026'!$B:$B,$A206,'Source 2026'!$A:$A,"Quantity (units)")</f>
        <v>160</v>
      </c>
      <c r="E206" s="8" t="n">
        <f aca="false">D206*$J$5</f>
        <v>219.428571428571</v>
      </c>
      <c r="F206" s="8" t="n">
        <f aca="false">E206-C206</f>
        <v>101.428571428571</v>
      </c>
      <c r="G206" s="9" t="n">
        <f aca="false">IF(AND(C206=0,E206=0),0,IF(C206=0,"New",(E206-C206)/C206))</f>
        <v>0.859564164648911</v>
      </c>
      <c r="H206" s="8" t="n">
        <f aca="false">SUMIFS('Source 2025'!$I:$I,'Source 2025'!$B:$B,$A206,'Source 2025'!$A:$A,"Amount (NIS)")</f>
        <v>851.9</v>
      </c>
      <c r="I206" s="8" t="n">
        <f aca="false">SUMIFS('Source 2026'!$I:$I,'Source 2026'!$B:$B,$A206,'Source 2026'!$A:$A,"Amount (NIS)")</f>
        <v>1155.2</v>
      </c>
      <c r="J206" s="8" t="n">
        <f aca="false">I206*$J$5</f>
        <v>1584.27428571429</v>
      </c>
      <c r="K206" s="8" t="n">
        <f aca="false">J206-H206</f>
        <v>732.374285714286</v>
      </c>
      <c r="L206" s="9" t="n">
        <f aca="false">IF(AND(H206=0,J206=0),0,IF(H206=0,"New",(J206-H206)/H206))</f>
        <v>0.859695135243909</v>
      </c>
    </row>
    <row r="207" customFormat="false" ht="15" hidden="false" customHeight="false" outlineLevel="0" collapsed="false">
      <c r="A207" s="7" t="n">
        <v>4413212</v>
      </c>
      <c r="B207" s="7" t="str">
        <f aca="false">IFERROR(INDEX('Source 2026'!$C:$C,MATCH($A207,'Source 2026'!$B:$B,0)),IFERROR(INDEX('Source 2025'!$C:$C,MATCH($A207,'Source 2025'!$B:$B,0)),""))</f>
        <v>T95 L מגן מרפק רגיל</v>
      </c>
      <c r="C207" s="8" t="n">
        <f aca="false">SUMIFS('Source 2025'!$I:$I,'Source 2025'!$B:$B,$A207,'Source 2025'!$A:$A,"Quantity (units)")</f>
        <v>-3</v>
      </c>
      <c r="D207" s="8" t="n">
        <f aca="false">SUMIFS('Source 2026'!$I:$I,'Source 2026'!$B:$B,$A207,'Source 2026'!$A:$A,"Quantity (units)")</f>
        <v>0</v>
      </c>
      <c r="E207" s="8" t="n">
        <f aca="false">D207*$J$5</f>
        <v>0</v>
      </c>
      <c r="F207" s="8" t="n">
        <f aca="false">E207-C207</f>
        <v>3</v>
      </c>
      <c r="G207" s="9" t="n">
        <f aca="false">IF(AND(C207=0,E207=0),0,IF(C207=0,"New",(E207-C207)/C207))</f>
        <v>-1</v>
      </c>
      <c r="H207" s="8" t="n">
        <f aca="false">SUMIFS('Source 2025'!$I:$I,'Source 2025'!$B:$B,$A207,'Source 2025'!$A:$A,"Amount (NIS)")</f>
        <v>-302.4</v>
      </c>
      <c r="I207" s="8" t="n">
        <f aca="false">SUMIFS('Source 2026'!$I:$I,'Source 2026'!$B:$B,$A207,'Source 2026'!$A:$A,"Amount (NIS)")</f>
        <v>0</v>
      </c>
      <c r="J207" s="8" t="n">
        <f aca="false">I207*$J$5</f>
        <v>0</v>
      </c>
      <c r="K207" s="8" t="n">
        <f aca="false">J207-H207</f>
        <v>302.4</v>
      </c>
      <c r="L207" s="9" t="n">
        <f aca="false">IF(AND(H207=0,J207=0),0,IF(H207=0,"New",(J207-H207)/H207))</f>
        <v>-1</v>
      </c>
    </row>
    <row r="208" customFormat="false" ht="15" hidden="false" customHeight="false" outlineLevel="0" collapsed="false">
      <c r="A208" s="7" t="n">
        <v>4408073</v>
      </c>
      <c r="B208" s="7" t="str">
        <f aca="false">IFERROR(INDEX('Source 2026'!$C:$C,MATCH($A208,'Source 2026'!$B:$B,0)),IFERROR(INDEX('Source 2025'!$C:$C,MATCH($A208,'Source 2025'!$B:$B,0)),""))</f>
        <v>59D XL חגורת שבר דו צדדי</v>
      </c>
      <c r="C208" s="8" t="n">
        <f aca="false">SUMIFS('Source 2025'!$I:$I,'Source 2025'!$B:$B,$A208,'Source 2025'!$A:$A,"Quantity (units)")</f>
        <v>2</v>
      </c>
      <c r="D208" s="8" t="n">
        <f aca="false">SUMIFS('Source 2026'!$I:$I,'Source 2026'!$B:$B,$A208,'Source 2026'!$A:$A,"Quantity (units)")</f>
        <v>1</v>
      </c>
      <c r="E208" s="8" t="n">
        <f aca="false">D208*$J$5</f>
        <v>1.37142857142857</v>
      </c>
      <c r="F208" s="8" t="n">
        <f aca="false">E208-C208</f>
        <v>-0.628571428571429</v>
      </c>
      <c r="G208" s="9" t="n">
        <f aca="false">IF(AND(C208=0,E208=0),0,IF(C208=0,"New",(E208-C208)/C208))</f>
        <v>-0.314285714285714</v>
      </c>
      <c r="H208" s="8" t="n">
        <f aca="false">SUMIFS('Source 2025'!$I:$I,'Source 2025'!$B:$B,$A208,'Source 2025'!$A:$A,"Amount (NIS)")</f>
        <v>603.4</v>
      </c>
      <c r="I208" s="8" t="n">
        <f aca="false">SUMIFS('Source 2026'!$I:$I,'Source 2026'!$B:$B,$A208,'Source 2026'!$A:$A,"Amount (NIS)")</f>
        <v>301.7</v>
      </c>
      <c r="J208" s="8" t="n">
        <f aca="false">I208*$J$5</f>
        <v>413.76</v>
      </c>
      <c r="K208" s="8" t="n">
        <f aca="false">J208-H208</f>
        <v>-189.64</v>
      </c>
      <c r="L208" s="9" t="n">
        <f aca="false">IF(AND(H208=0,J208=0),0,IF(H208=0,"New",(J208-H208)/H208))</f>
        <v>-0.314285714285714</v>
      </c>
    </row>
    <row r="209" customFormat="false" ht="15" hidden="false" customHeight="false" outlineLevel="0" collapsed="false">
      <c r="A209" s="7" t="n">
        <v>4408011</v>
      </c>
      <c r="B209" s="7" t="str">
        <f aca="false">IFERROR(INDEX('Source 2026'!$C:$C,MATCH($A209,'Source 2026'!$B:$B,0)),IFERROR(INDEX('Source 2025'!$C:$C,MATCH($A209,'Source 2025'!$B:$B,0)),""))</f>
        <v>079  M ח.גב סג.כפולה שחור+אדום</v>
      </c>
      <c r="C209" s="8" t="n">
        <f aca="false">SUMIFS('Source 2025'!$I:$I,'Source 2025'!$B:$B,$A209,'Source 2025'!$A:$A,"Quantity (units)")</f>
        <v>2</v>
      </c>
      <c r="D209" s="8" t="n">
        <f aca="false">SUMIFS('Source 2026'!$I:$I,'Source 2026'!$B:$B,$A209,'Source 2026'!$A:$A,"Quantity (units)")</f>
        <v>-1</v>
      </c>
      <c r="E209" s="8" t="n">
        <f aca="false">D209*$J$5</f>
        <v>-1.37142857142857</v>
      </c>
      <c r="F209" s="8" t="n">
        <f aca="false">E209-C209</f>
        <v>-3.37142857142857</v>
      </c>
      <c r="G209" s="9" t="n">
        <f aca="false">IF(AND(C209=0,E209=0),0,IF(C209=0,"New",(E209-C209)/C209))</f>
        <v>-1.68571428571429</v>
      </c>
      <c r="H209" s="8" t="n">
        <f aca="false">SUMIFS('Source 2025'!$I:$I,'Source 2025'!$B:$B,$A209,'Source 2025'!$A:$A,"Amount (NIS)")</f>
        <v>198.5</v>
      </c>
      <c r="I209" s="8" t="n">
        <f aca="false">SUMIFS('Source 2026'!$I:$I,'Source 2026'!$B:$B,$A209,'Source 2026'!$A:$A,"Amount (NIS)")</f>
        <v>-99.2</v>
      </c>
      <c r="J209" s="8" t="n">
        <f aca="false">I209*$J$5</f>
        <v>-136.045714285714</v>
      </c>
      <c r="K209" s="8" t="n">
        <f aca="false">J209-H209</f>
        <v>-334.545714285714</v>
      </c>
      <c r="L209" s="9" t="n">
        <f aca="false">IF(AND(H209=0,J209=0),0,IF(H209=0,"New",(J209-H209)/H209))</f>
        <v>-1.68536883771141</v>
      </c>
    </row>
    <row r="210" customFormat="false" ht="15" hidden="false" customHeight="false" outlineLevel="0" collapsed="false">
      <c r="A210" s="7" t="n">
        <v>4408153</v>
      </c>
      <c r="B210" s="7" t="str">
        <f aca="false">IFERROR(INDEX('Source 2026'!$C:$C,MATCH($A210,'Source 2026'!$B:$B,0)),IFERROR(INDEX('Source 2025'!$C:$C,MATCH($A210,'Source 2025'!$B:$B,0)),""))</f>
        <v>11TO XLחגורה למנותחי בית החזה</v>
      </c>
      <c r="C210" s="8" t="n">
        <f aca="false">SUMIFS('Source 2025'!$I:$I,'Source 2025'!$B:$B,$A210,'Source 2025'!$A:$A,"Quantity (units)")</f>
        <v>57</v>
      </c>
      <c r="D210" s="8" t="n">
        <f aca="false">SUMIFS('Source 2026'!$I:$I,'Source 2026'!$B:$B,$A210,'Source 2026'!$A:$A,"Quantity (units)")</f>
        <v>59</v>
      </c>
      <c r="E210" s="8" t="n">
        <f aca="false">D210*$J$5</f>
        <v>80.9142857142857</v>
      </c>
      <c r="F210" s="8" t="n">
        <f aca="false">E210-C210</f>
        <v>23.9142857142857</v>
      </c>
      <c r="G210" s="9" t="n">
        <f aca="false">IF(AND(C210=0,E210=0),0,IF(C210=0,"New",(E210-C210)/C210))</f>
        <v>0.419548872180451</v>
      </c>
      <c r="H210" s="8" t="n">
        <f aca="false">SUMIFS('Source 2025'!$I:$I,'Source 2025'!$B:$B,$A210,'Source 2025'!$A:$A,"Amount (NIS)")</f>
        <v>8296.9</v>
      </c>
      <c r="I210" s="8" t="n">
        <f aca="false">SUMIFS('Source 2026'!$I:$I,'Source 2026'!$B:$B,$A210,'Source 2026'!$A:$A,"Amount (NIS)")</f>
        <v>8588</v>
      </c>
      <c r="J210" s="8" t="n">
        <f aca="false">I210*$J$5</f>
        <v>11777.8285714286</v>
      </c>
      <c r="K210" s="8" t="n">
        <f aca="false">J210-H210</f>
        <v>3480.92857142857</v>
      </c>
      <c r="L210" s="9" t="n">
        <f aca="false">IF(AND(H210=0,J210=0),0,IF(H210=0,"New",(J210-H210)/H210))</f>
        <v>0.41954568229442</v>
      </c>
    </row>
    <row r="211" customFormat="false" ht="15" hidden="false" customHeight="false" outlineLevel="0" collapsed="false">
      <c r="A211" s="7" t="n">
        <v>4413279</v>
      </c>
      <c r="B211" s="7" t="str">
        <f aca="false">IFERROR(INDEX('Source 2026'!$C:$C,MATCH($A211,'Source 2026'!$B:$B,0)),IFERROR(INDEX('Source 2025'!$C:$C,MATCH($A211,'Source 2025'!$B:$B,0)),""))</f>
        <v>422E L מגן ברך ארוך עם כרית</v>
      </c>
      <c r="C211" s="8" t="n">
        <f aca="false">SUMIFS('Source 2025'!$I:$I,'Source 2025'!$B:$B,$A211,'Source 2025'!$A:$A,"Quantity (units)")</f>
        <v>-1</v>
      </c>
      <c r="D211" s="8" t="n">
        <f aca="false">SUMIFS('Source 2026'!$I:$I,'Source 2026'!$B:$B,$A211,'Source 2026'!$A:$A,"Quantity (units)")</f>
        <v>0</v>
      </c>
      <c r="E211" s="8" t="n">
        <f aca="false">D211*$J$5</f>
        <v>0</v>
      </c>
      <c r="F211" s="8" t="n">
        <f aca="false">E211-C211</f>
        <v>1</v>
      </c>
      <c r="G211" s="9" t="n">
        <f aca="false">IF(AND(C211=0,E211=0),0,IF(C211=0,"New",(E211-C211)/C211))</f>
        <v>-1</v>
      </c>
      <c r="H211" s="8" t="n">
        <f aca="false">SUMIFS('Source 2025'!$I:$I,'Source 2025'!$B:$B,$A211,'Source 2025'!$A:$A,"Amount (NIS)")</f>
        <v>-271</v>
      </c>
      <c r="I211" s="8" t="n">
        <f aca="false">SUMIFS('Source 2026'!$I:$I,'Source 2026'!$B:$B,$A211,'Source 2026'!$A:$A,"Amount (NIS)")</f>
        <v>0</v>
      </c>
      <c r="J211" s="8" t="n">
        <f aca="false">I211*$J$5</f>
        <v>0</v>
      </c>
      <c r="K211" s="8" t="n">
        <f aca="false">J211-H211</f>
        <v>271</v>
      </c>
      <c r="L211" s="9" t="n">
        <f aca="false">IF(AND(H211=0,J211=0),0,IF(H211=0,"New",(J211-H211)/H211))</f>
        <v>-1</v>
      </c>
    </row>
    <row r="212" customFormat="false" ht="15" hidden="false" customHeight="false" outlineLevel="0" collapsed="false">
      <c r="A212" s="7" t="n">
        <v>4408089</v>
      </c>
      <c r="B212" s="7" t="str">
        <f aca="false">IFERROR(INDEX('Source 2026'!$C:$C,MATCH($A212,'Source 2026'!$B:$B,0)),IFERROR(INDEX('Source 2025'!$C:$C,MATCH($A212,'Source 2025'!$B:$B,0)),""))</f>
        <v>T11C S  חגורת גב פוג'יאמה</v>
      </c>
      <c r="C212" s="8" t="n">
        <f aca="false">SUMIFS('Source 2025'!$I:$I,'Source 2025'!$B:$B,$A212,'Source 2025'!$A:$A,"Quantity (units)")</f>
        <v>-2</v>
      </c>
      <c r="D212" s="8" t="n">
        <f aca="false">SUMIFS('Source 2026'!$I:$I,'Source 2026'!$B:$B,$A212,'Source 2026'!$A:$A,"Quantity (units)")</f>
        <v>1</v>
      </c>
      <c r="E212" s="8" t="n">
        <f aca="false">D212*$J$5</f>
        <v>1.37142857142857</v>
      </c>
      <c r="F212" s="8" t="n">
        <f aca="false">E212-C212</f>
        <v>3.37142857142857</v>
      </c>
      <c r="G212" s="9" t="n">
        <f aca="false">IF(AND(C212=0,E212=0),0,IF(C212=0,"New",(E212-C212)/C212))</f>
        <v>-1.68571428571429</v>
      </c>
      <c r="H212" s="8" t="n">
        <f aca="false">SUMIFS('Source 2025'!$I:$I,'Source 2025'!$B:$B,$A212,'Source 2025'!$A:$A,"Amount (NIS)")</f>
        <v>-176.4</v>
      </c>
      <c r="I212" s="8" t="n">
        <f aca="false">SUMIFS('Source 2026'!$I:$I,'Source 2026'!$B:$B,$A212,'Source 2026'!$A:$A,"Amount (NIS)")</f>
        <v>88.2</v>
      </c>
      <c r="J212" s="8" t="n">
        <f aca="false">I212*$J$5</f>
        <v>120.96</v>
      </c>
      <c r="K212" s="8" t="n">
        <f aca="false">J212-H212</f>
        <v>297.36</v>
      </c>
      <c r="L212" s="9" t="n">
        <f aca="false">IF(AND(H212=0,J212=0),0,IF(H212=0,"New",(J212-H212)/H212))</f>
        <v>-1.68571428571429</v>
      </c>
    </row>
    <row r="213" customFormat="false" ht="15" hidden="false" customHeight="false" outlineLevel="0" collapsed="false">
      <c r="A213" s="7" t="n">
        <v>4413170</v>
      </c>
      <c r="B213" s="7" t="str">
        <f aca="false">IFERROR(INDEX('Source 2026'!$C:$C,MATCH($A213,'Source 2026'!$B:$B,0)),IFERROR(INDEX('Source 2025'!$C:$C,MATCH($A213,'Source 2025'!$B:$B,0)),""))</f>
        <v>T402 M מיצב פיקה</v>
      </c>
      <c r="C213" s="8" t="n">
        <f aca="false">SUMIFS('Source 2025'!$I:$I,'Source 2025'!$B:$B,$A213,'Source 2025'!$A:$A,"Quantity (units)")</f>
        <v>3</v>
      </c>
      <c r="D213" s="8" t="n">
        <f aca="false">SUMIFS('Source 2026'!$I:$I,'Source 2026'!$B:$B,$A213,'Source 2026'!$A:$A,"Quantity (units)")</f>
        <v>0</v>
      </c>
      <c r="E213" s="8" t="n">
        <f aca="false">D213*$J$5</f>
        <v>0</v>
      </c>
      <c r="F213" s="8" t="n">
        <f aca="false">E213-C213</f>
        <v>-3</v>
      </c>
      <c r="G213" s="9" t="n">
        <f aca="false">IF(AND(C213=0,E213=0),0,IF(C213=0,"New",(E213-C213)/C213))</f>
        <v>-1</v>
      </c>
      <c r="H213" s="8" t="n">
        <f aca="false">SUMIFS('Source 2025'!$I:$I,'Source 2025'!$B:$B,$A213,'Source 2025'!$A:$A,"Amount (NIS)")</f>
        <v>264.6</v>
      </c>
      <c r="I213" s="8" t="n">
        <f aca="false">SUMIFS('Source 2026'!$I:$I,'Source 2026'!$B:$B,$A213,'Source 2026'!$A:$A,"Amount (NIS)")</f>
        <v>0</v>
      </c>
      <c r="J213" s="8" t="n">
        <f aca="false">I213*$J$5</f>
        <v>0</v>
      </c>
      <c r="K213" s="8" t="n">
        <f aca="false">J213-H213</f>
        <v>-264.6</v>
      </c>
      <c r="L213" s="9" t="n">
        <f aca="false">IF(AND(H213=0,J213=0),0,IF(H213=0,"New",(J213-H213)/H213))</f>
        <v>-1</v>
      </c>
    </row>
    <row r="214" customFormat="false" ht="15" hidden="false" customHeight="false" outlineLevel="0" collapsed="false">
      <c r="A214" s="7" t="n">
        <v>4413063</v>
      </c>
      <c r="B214" s="7" t="str">
        <f aca="false">IFERROR(INDEX('Source 2026'!$C:$C,MATCH($A214,'Source 2026'!$B:$B,0)),IFERROR(INDEX('Source 2025'!$C:$C,MATCH($A214,'Source 2025'!$B:$B,0)),""))</f>
        <v>366S-'מדבק.לשחרור לחץ מיבלת2יח</v>
      </c>
      <c r="C214" s="8" t="n">
        <f aca="false">SUMIFS('Source 2025'!$I:$I,'Source 2025'!$B:$B,$A214,'Source 2025'!$A:$A,"Quantity (units)")</f>
        <v>88</v>
      </c>
      <c r="D214" s="8" t="n">
        <f aca="false">SUMIFS('Source 2026'!$I:$I,'Source 2026'!$B:$B,$A214,'Source 2026'!$A:$A,"Quantity (units)")</f>
        <v>67</v>
      </c>
      <c r="E214" s="8" t="n">
        <f aca="false">D214*$J$5</f>
        <v>91.8857142857143</v>
      </c>
      <c r="F214" s="8" t="n">
        <f aca="false">E214-C214</f>
        <v>3.88571428571429</v>
      </c>
      <c r="G214" s="9" t="n">
        <f aca="false">IF(AND(C214=0,E214=0),0,IF(C214=0,"New",(E214-C214)/C214))</f>
        <v>0.0441558441558442</v>
      </c>
      <c r="H214" s="8" t="n">
        <f aca="false">SUMIFS('Source 2025'!$I:$I,'Source 2025'!$B:$B,$A214,'Source 2025'!$A:$A,"Amount (NIS)")</f>
        <v>1149.2</v>
      </c>
      <c r="I214" s="8" t="n">
        <f aca="false">SUMIFS('Source 2026'!$I:$I,'Source 2026'!$B:$B,$A214,'Source 2026'!$A:$A,"Amount (NIS)")</f>
        <v>891.2</v>
      </c>
      <c r="J214" s="8" t="n">
        <f aca="false">I214*$J$5</f>
        <v>1222.21714285714</v>
      </c>
      <c r="K214" s="8" t="n">
        <f aca="false">J214-H214</f>
        <v>73.017142857143</v>
      </c>
      <c r="L214" s="9" t="n">
        <f aca="false">IF(AND(H214=0,J214=0),0,IF(H214=0,"New",(J214-H214)/H214))</f>
        <v>0.0635373676097659</v>
      </c>
    </row>
    <row r="215" customFormat="false" ht="15" hidden="false" customHeight="false" outlineLevel="0" collapsed="false">
      <c r="A215" s="7" t="n">
        <v>4413415</v>
      </c>
      <c r="B215" s="7" t="str">
        <f aca="false">IFERROR(INDEX('Source 2026'!$C:$C,MATCH($A215,'Source 2026'!$B:$B,0)),IFERROR(INDEX('Source 2025'!$C:$C,MATCH($A215,'Source 2025'!$B:$B,0)),""))</f>
        <v>SC39  S מגן שוק</v>
      </c>
      <c r="C215" s="8" t="n">
        <f aca="false">SUMIFS('Source 2025'!$I:$I,'Source 2025'!$B:$B,$A215,'Source 2025'!$A:$A,"Quantity (units)")</f>
        <v>2</v>
      </c>
      <c r="D215" s="8" t="n">
        <f aca="false">SUMIFS('Source 2026'!$I:$I,'Source 2026'!$B:$B,$A215,'Source 2026'!$A:$A,"Quantity (units)")</f>
        <v>0</v>
      </c>
      <c r="E215" s="8" t="n">
        <f aca="false">D215*$J$5</f>
        <v>0</v>
      </c>
      <c r="F215" s="8" t="n">
        <f aca="false">E215-C215</f>
        <v>-2</v>
      </c>
      <c r="G215" s="9" t="n">
        <f aca="false">IF(AND(C215=0,E215=0),0,IF(C215=0,"New",(E215-C215)/C215))</f>
        <v>-1</v>
      </c>
      <c r="H215" s="8" t="n">
        <f aca="false">SUMIFS('Source 2025'!$I:$I,'Source 2025'!$B:$B,$A215,'Source 2025'!$A:$A,"Amount (NIS)")</f>
        <v>256</v>
      </c>
      <c r="I215" s="8" t="n">
        <f aca="false">SUMIFS('Source 2026'!$I:$I,'Source 2026'!$B:$B,$A215,'Source 2026'!$A:$A,"Amount (NIS)")</f>
        <v>0</v>
      </c>
      <c r="J215" s="8" t="n">
        <f aca="false">I215*$J$5</f>
        <v>0</v>
      </c>
      <c r="K215" s="8" t="n">
        <f aca="false">J215-H215</f>
        <v>-256</v>
      </c>
      <c r="L215" s="9" t="n">
        <f aca="false">IF(AND(H215=0,J215=0),0,IF(H215=0,"New",(J215-H215)/H215))</f>
        <v>-1</v>
      </c>
    </row>
    <row r="216" customFormat="false" ht="15" hidden="false" customHeight="false" outlineLevel="0" collapsed="false">
      <c r="A216" s="7" t="n">
        <v>4413077</v>
      </c>
      <c r="B216" s="7" t="str">
        <f aca="false">IFERROR(INDEX('Source 2026'!$C:$C,MATCH($A216,'Source 2026'!$B:$B,0)),IFERROR(INDEX('Source 2025'!$C:$C,MATCH($A216,'Source 2025'!$B:$B,0)),""))</f>
        <v>41X M מגן ברך מוצלב+מוט</v>
      </c>
      <c r="C216" s="8" t="n">
        <f aca="false">SUMIFS('Source 2025'!$I:$I,'Source 2025'!$B:$B,$A216,'Source 2025'!$A:$A,"Quantity (units)")</f>
        <v>0</v>
      </c>
      <c r="D216" s="8" t="n">
        <f aca="false">SUMIFS('Source 2026'!$I:$I,'Source 2026'!$B:$B,$A216,'Source 2026'!$A:$A,"Quantity (units)")</f>
        <v>-2</v>
      </c>
      <c r="E216" s="8" t="n">
        <f aca="false">D216*$J$5</f>
        <v>-2.74285714285714</v>
      </c>
      <c r="F216" s="8" t="n">
        <f aca="false">E216-C216</f>
        <v>-2.74285714285714</v>
      </c>
      <c r="G216" s="9" t="str">
        <f aca="false">IF(AND(C216=0,E216=0),0,IF(C216=0,"New",(E216-C216)/C216))</f>
        <v>New</v>
      </c>
      <c r="H216" s="8" t="n">
        <f aca="false">SUMIFS('Source 2025'!$I:$I,'Source 2025'!$B:$B,$A216,'Source 2025'!$A:$A,"Amount (NIS)")</f>
        <v>0</v>
      </c>
      <c r="I216" s="8" t="n">
        <f aca="false">SUMIFS('Source 2026'!$I:$I,'Source 2026'!$B:$B,$A216,'Source 2026'!$A:$A,"Amount (NIS)")</f>
        <v>-255.9</v>
      </c>
      <c r="J216" s="8" t="n">
        <f aca="false">I216*$J$5</f>
        <v>-350.948571428571</v>
      </c>
      <c r="K216" s="8" t="n">
        <f aca="false">J216-H216</f>
        <v>-350.948571428571</v>
      </c>
      <c r="L216" s="9" t="str">
        <f aca="false">IF(AND(H216=0,J216=0),0,IF(H216=0,"New",(J216-H216)/H216))</f>
        <v>New</v>
      </c>
    </row>
    <row r="217" customFormat="false" ht="15" hidden="false" customHeight="false" outlineLevel="0" collapsed="false">
      <c r="A217" s="7" t="n">
        <v>4413278</v>
      </c>
      <c r="B217" s="7" t="str">
        <f aca="false">IFERROR(INDEX('Source 2026'!$C:$C,MATCH($A217,'Source 2026'!$B:$B,0)),IFERROR(INDEX('Source 2025'!$C:$C,MATCH($A217,'Source 2025'!$B:$B,0)),""))</f>
        <v>LF377 S-מדרס סיליקון לנעלי עקב</v>
      </c>
      <c r="C217" s="8" t="n">
        <f aca="false">SUMIFS('Source 2025'!$I:$I,'Source 2025'!$B:$B,$A217,'Source 2025'!$A:$A,"Quantity (units)")</f>
        <v>-4</v>
      </c>
      <c r="D217" s="8" t="n">
        <f aca="false">SUMIFS('Source 2026'!$I:$I,'Source 2026'!$B:$B,$A217,'Source 2026'!$A:$A,"Quantity (units)")</f>
        <v>0</v>
      </c>
      <c r="E217" s="8" t="n">
        <f aca="false">D217*$J$5</f>
        <v>0</v>
      </c>
      <c r="F217" s="8" t="n">
        <f aca="false">E217-C217</f>
        <v>4</v>
      </c>
      <c r="G217" s="9" t="n">
        <f aca="false">IF(AND(C217=0,E217=0),0,IF(C217=0,"New",(E217-C217)/C217))</f>
        <v>-1</v>
      </c>
      <c r="H217" s="8" t="n">
        <f aca="false">SUMIFS('Source 2025'!$I:$I,'Source 2025'!$B:$B,$A217,'Source 2025'!$A:$A,"Amount (NIS)")</f>
        <v>-252.2</v>
      </c>
      <c r="I217" s="8" t="n">
        <f aca="false">SUMIFS('Source 2026'!$I:$I,'Source 2026'!$B:$B,$A217,'Source 2026'!$A:$A,"Amount (NIS)")</f>
        <v>0</v>
      </c>
      <c r="J217" s="8" t="n">
        <f aca="false">I217*$J$5</f>
        <v>0</v>
      </c>
      <c r="K217" s="8" t="n">
        <f aca="false">J217-H217</f>
        <v>252.2</v>
      </c>
      <c r="L217" s="9" t="n">
        <f aca="false">IF(AND(H217=0,J217=0),0,IF(H217=0,"New",(J217-H217)/H217))</f>
        <v>-1</v>
      </c>
    </row>
    <row r="218" customFormat="false" ht="15" hidden="false" customHeight="false" outlineLevel="0" collapsed="false">
      <c r="A218" s="7" t="n">
        <v>4413217</v>
      </c>
      <c r="B218" s="7" t="str">
        <f aca="false">IFERROR(INDEX('Source 2026'!$C:$C,MATCH($A218,'Source 2026'!$B:$B,0)),IFERROR(INDEX('Source 2025'!$C:$C,MATCH($A218,'Source 2025'!$B:$B,0)),""))</f>
        <v>T35 Lמגן קרסול+ צמדן</v>
      </c>
      <c r="C218" s="8" t="n">
        <f aca="false">SUMIFS('Source 2025'!$I:$I,'Source 2025'!$B:$B,$A218,'Source 2025'!$A:$A,"Quantity (units)")</f>
        <v>-4</v>
      </c>
      <c r="D218" s="8" t="n">
        <f aca="false">SUMIFS('Source 2026'!$I:$I,'Source 2026'!$B:$B,$A218,'Source 2026'!$A:$A,"Quantity (units)")</f>
        <v>0</v>
      </c>
      <c r="E218" s="8" t="n">
        <f aca="false">D218*$J$5</f>
        <v>0</v>
      </c>
      <c r="F218" s="8" t="n">
        <f aca="false">E218-C218</f>
        <v>4</v>
      </c>
      <c r="G218" s="9" t="n">
        <f aca="false">IF(AND(C218=0,E218=0),0,IF(C218=0,"New",(E218-C218)/C218))</f>
        <v>-1</v>
      </c>
      <c r="H218" s="8" t="n">
        <f aca="false">SUMIFS('Source 2025'!$I:$I,'Source 2025'!$B:$B,$A218,'Source 2025'!$A:$A,"Amount (NIS)")</f>
        <v>-246.9</v>
      </c>
      <c r="I218" s="8" t="n">
        <f aca="false">SUMIFS('Source 2026'!$I:$I,'Source 2026'!$B:$B,$A218,'Source 2026'!$A:$A,"Amount (NIS)")</f>
        <v>0</v>
      </c>
      <c r="J218" s="8" t="n">
        <f aca="false">I218*$J$5</f>
        <v>0</v>
      </c>
      <c r="K218" s="8" t="n">
        <f aca="false">J218-H218</f>
        <v>246.9</v>
      </c>
      <c r="L218" s="9" t="n">
        <f aca="false">IF(AND(H218=0,J218=0),0,IF(H218=0,"New",(J218-H218)/H218))</f>
        <v>-1</v>
      </c>
    </row>
    <row r="219" customFormat="false" ht="15" hidden="false" customHeight="false" outlineLevel="0" collapsed="false">
      <c r="A219" s="7" t="n">
        <v>4408015</v>
      </c>
      <c r="B219" s="7" t="str">
        <f aca="false">IFERROR(INDEX('Source 2026'!$C:$C,MATCH($A219,'Source 2026'!$B:$B,0)),IFERROR(INDEX('Source 2025'!$C:$C,MATCH($A219,'Source 2025'!$B:$B,0)),""))</f>
        <v>07AU L ח.גב ""איטלקית"" אורירית</v>
      </c>
      <c r="C219" s="8" t="n">
        <f aca="false">SUMIFS('Source 2025'!$I:$I,'Source 2025'!$B:$B,$A219,'Source 2025'!$A:$A,"Quantity (units)")</f>
        <v>1</v>
      </c>
      <c r="D219" s="8" t="n">
        <f aca="false">SUMIFS('Source 2026'!$I:$I,'Source 2026'!$B:$B,$A219,'Source 2026'!$A:$A,"Quantity (units)")</f>
        <v>0</v>
      </c>
      <c r="E219" s="8" t="n">
        <f aca="false">D219*$J$5</f>
        <v>0</v>
      </c>
      <c r="F219" s="8" t="n">
        <f aca="false">E219-C219</f>
        <v>-1</v>
      </c>
      <c r="G219" s="9" t="n">
        <f aca="false">IF(AND(C219=0,E219=0),0,IF(C219=0,"New",(E219-C219)/C219))</f>
        <v>-1</v>
      </c>
      <c r="H219" s="8" t="n">
        <f aca="false">SUMIFS('Source 2025'!$I:$I,'Source 2025'!$B:$B,$A219,'Source 2025'!$A:$A,"Amount (NIS)")</f>
        <v>244.2</v>
      </c>
      <c r="I219" s="8" t="n">
        <f aca="false">SUMIFS('Source 2026'!$I:$I,'Source 2026'!$B:$B,$A219,'Source 2026'!$A:$A,"Amount (NIS)")</f>
        <v>0</v>
      </c>
      <c r="J219" s="8" t="n">
        <f aca="false">I219*$J$5</f>
        <v>0</v>
      </c>
      <c r="K219" s="8" t="n">
        <f aca="false">J219-H219</f>
        <v>-244.2</v>
      </c>
      <c r="L219" s="9" t="n">
        <f aca="false">IF(AND(H219=0,J219=0),0,IF(H219=0,"New",(J219-H219)/H219))</f>
        <v>-1</v>
      </c>
    </row>
    <row r="220" customFormat="false" ht="15" hidden="false" customHeight="false" outlineLevel="0" collapsed="false">
      <c r="A220" s="7" t="n">
        <v>4413113</v>
      </c>
      <c r="B220" s="7" t="str">
        <f aca="false">IFERROR(INDEX('Source 2026'!$C:$C,MATCH($A220,'Source 2026'!$B:$B,0)),IFERROR(INDEX('Source 2025'!$C:$C,MATCH($A220,'Source 2025'!$B:$B,0)),""))</f>
        <v>49  M מגן ירך</v>
      </c>
      <c r="C220" s="8" t="n">
        <f aca="false">SUMIFS('Source 2025'!$I:$I,'Source 2025'!$B:$B,$A220,'Source 2025'!$A:$A,"Quantity (units)")</f>
        <v>20</v>
      </c>
      <c r="D220" s="8" t="n">
        <f aca="false">SUMIFS('Source 2026'!$I:$I,'Source 2026'!$B:$B,$A220,'Source 2026'!$A:$A,"Quantity (units)")</f>
        <v>12</v>
      </c>
      <c r="E220" s="8" t="n">
        <f aca="false">D220*$J$5</f>
        <v>16.4571428571429</v>
      </c>
      <c r="F220" s="8" t="n">
        <f aca="false">E220-C220</f>
        <v>-3.54285714285714</v>
      </c>
      <c r="G220" s="9" t="n">
        <f aca="false">IF(AND(C220=0,E220=0),0,IF(C220=0,"New",(E220-C220)/C220))</f>
        <v>-0.177142857142857</v>
      </c>
      <c r="H220" s="8" t="n">
        <f aca="false">SUMIFS('Source 2025'!$I:$I,'Source 2025'!$B:$B,$A220,'Source 2025'!$A:$A,"Amount (NIS)")</f>
        <v>610</v>
      </c>
      <c r="I220" s="8" t="n">
        <f aca="false">SUMIFS('Source 2026'!$I:$I,'Source 2026'!$B:$B,$A220,'Source 2026'!$A:$A,"Amount (NIS)")</f>
        <v>366</v>
      </c>
      <c r="J220" s="8" t="n">
        <f aca="false">I220*$J$5</f>
        <v>501.942857142857</v>
      </c>
      <c r="K220" s="8" t="n">
        <f aca="false">J220-H220</f>
        <v>-108.057142857143</v>
      </c>
      <c r="L220" s="9" t="n">
        <f aca="false">IF(AND(H220=0,J220=0),0,IF(H220=0,"New",(J220-H220)/H220))</f>
        <v>-0.177142857142857</v>
      </c>
    </row>
    <row r="221" customFormat="false" ht="15" hidden="false" customHeight="false" outlineLevel="0" collapsed="false">
      <c r="A221" s="7" t="n">
        <v>4413416</v>
      </c>
      <c r="B221" s="7" t="str">
        <f aca="false">IFERROR(INDEX('Source 2026'!$C:$C,MATCH($A221,'Source 2026'!$B:$B,0)),IFERROR(INDEX('Source 2025'!$C:$C,MATCH($A221,'Source 2025'!$B:$B,0)),""))</f>
        <v>SC39  M מגן שוק</v>
      </c>
      <c r="C221" s="8" t="n">
        <f aca="false">SUMIFS('Source 2025'!$I:$I,'Source 2025'!$B:$B,$A221,'Source 2025'!$A:$A,"Quantity (units)")</f>
        <v>7</v>
      </c>
      <c r="D221" s="8" t="n">
        <f aca="false">SUMIFS('Source 2026'!$I:$I,'Source 2026'!$B:$B,$A221,'Source 2026'!$A:$A,"Quantity (units)")</f>
        <v>8</v>
      </c>
      <c r="E221" s="8" t="n">
        <f aca="false">D221*$J$5</f>
        <v>10.9714285714286</v>
      </c>
      <c r="F221" s="8" t="n">
        <f aca="false">E221-C221</f>
        <v>3.97142857142857</v>
      </c>
      <c r="G221" s="9" t="n">
        <f aca="false">IF(AND(C221=0,E221=0),0,IF(C221=0,"New",(E221-C221)/C221))</f>
        <v>0.56734693877551</v>
      </c>
      <c r="H221" s="8" t="n">
        <f aca="false">SUMIFS('Source 2025'!$I:$I,'Source 2025'!$B:$B,$A221,'Source 2025'!$A:$A,"Amount (NIS)")</f>
        <v>843.8</v>
      </c>
      <c r="I221" s="8" t="n">
        <f aca="false">SUMIFS('Source 2026'!$I:$I,'Source 2026'!$B:$B,$A221,'Source 2026'!$A:$A,"Amount (NIS)")</f>
        <v>1086.1</v>
      </c>
      <c r="J221" s="8" t="n">
        <f aca="false">I221*$J$5</f>
        <v>1489.50857142857</v>
      </c>
      <c r="K221" s="8" t="n">
        <f aca="false">J221-H221</f>
        <v>645.708571428571</v>
      </c>
      <c r="L221" s="9" t="n">
        <f aca="false">IF(AND(H221=0,J221=0),0,IF(H221=0,"New",(J221-H221)/H221))</f>
        <v>0.765238885314733</v>
      </c>
    </row>
    <row r="222" customFormat="false" ht="15" hidden="false" customHeight="false" outlineLevel="0" collapsed="false">
      <c r="A222" s="7" t="n">
        <v>4413071</v>
      </c>
      <c r="B222" s="7" t="str">
        <f aca="false">IFERROR(INDEX('Source 2026'!$C:$C,MATCH($A222,'Source 2026'!$B:$B,0)),IFERROR(INDEX('Source 2025'!$C:$C,MATCH($A222,'Source 2025'!$B:$B,0)),""))</f>
        <v>41 Sמ.ברך מוצלב+ספירלות בצדדים</v>
      </c>
      <c r="C222" s="8" t="n">
        <f aca="false">SUMIFS('Source 2025'!$I:$I,'Source 2025'!$B:$B,$A222,'Source 2025'!$A:$A,"Quantity (units)")</f>
        <v>2</v>
      </c>
      <c r="D222" s="8" t="n">
        <f aca="false">SUMIFS('Source 2026'!$I:$I,'Source 2026'!$B:$B,$A222,'Source 2026'!$A:$A,"Quantity (units)")</f>
        <v>4</v>
      </c>
      <c r="E222" s="8" t="n">
        <f aca="false">D222*$J$5</f>
        <v>5.48571428571429</v>
      </c>
      <c r="F222" s="8" t="n">
        <f aca="false">E222-C222</f>
        <v>3.48571428571429</v>
      </c>
      <c r="G222" s="9" t="n">
        <f aca="false">IF(AND(C222=0,E222=0),0,IF(C222=0,"New",(E222-C222)/C222))</f>
        <v>1.74285714285714</v>
      </c>
      <c r="H222" s="8" t="n">
        <f aca="false">SUMIFS('Source 2025'!$I:$I,'Source 2025'!$B:$B,$A222,'Source 2025'!$A:$A,"Amount (NIS)")</f>
        <v>229.3</v>
      </c>
      <c r="I222" s="8" t="n">
        <f aca="false">SUMIFS('Source 2026'!$I:$I,'Source 2026'!$B:$B,$A222,'Source 2026'!$A:$A,"Amount (NIS)")</f>
        <v>458.7</v>
      </c>
      <c r="J222" s="8" t="n">
        <f aca="false">I222*$J$5</f>
        <v>629.074285714286</v>
      </c>
      <c r="K222" s="8" t="n">
        <f aca="false">J222-H222</f>
        <v>399.774285714286</v>
      </c>
      <c r="L222" s="9" t="n">
        <f aca="false">IF(AND(H222=0,J222=0),0,IF(H222=0,"New",(J222-H222)/H222))</f>
        <v>1.74345523643387</v>
      </c>
    </row>
    <row r="223" customFormat="false" ht="15" hidden="false" customHeight="false" outlineLevel="0" collapsed="false">
      <c r="A223" s="7" t="n">
        <v>4415008</v>
      </c>
      <c r="B223" s="7" t="str">
        <f aca="false">IFERROR(INDEX('Source 2026'!$C:$C,MATCH($A223,'Source 2026'!$B:$B,0)),IFERROR(INDEX('Source 2025'!$C:$C,MATCH($A223,'Source 2025'!$B:$B,0)),""))</f>
        <v>28 XL סד לאגודל לאחר שבר</v>
      </c>
      <c r="C223" s="8" t="n">
        <f aca="false">SUMIFS('Source 2025'!$I:$I,'Source 2025'!$B:$B,$A223,'Source 2025'!$A:$A,"Quantity (units)")</f>
        <v>18</v>
      </c>
      <c r="D223" s="8" t="n">
        <f aca="false">SUMIFS('Source 2026'!$I:$I,'Source 2026'!$B:$B,$A223,'Source 2026'!$A:$A,"Quantity (units)")</f>
        <v>15</v>
      </c>
      <c r="E223" s="8" t="n">
        <f aca="false">D223*$J$5</f>
        <v>20.5714285714286</v>
      </c>
      <c r="F223" s="8" t="n">
        <f aca="false">E223-C223</f>
        <v>2.57142857142857</v>
      </c>
      <c r="G223" s="9" t="n">
        <f aca="false">IF(AND(C223=0,E223=0),0,IF(C223=0,"New",(E223-C223)/C223))</f>
        <v>0.142857142857143</v>
      </c>
      <c r="H223" s="8" t="n">
        <f aca="false">SUMIFS('Source 2025'!$I:$I,'Source 2025'!$B:$B,$A223,'Source 2025'!$A:$A,"Amount (NIS)")</f>
        <v>1549.8</v>
      </c>
      <c r="I223" s="8" t="n">
        <f aca="false">SUMIFS('Source 2026'!$I:$I,'Source 2026'!$B:$B,$A223,'Source 2026'!$A:$A,"Amount (NIS)")</f>
        <v>1323</v>
      </c>
      <c r="J223" s="8" t="n">
        <f aca="false">I223*$J$5</f>
        <v>1814.4</v>
      </c>
      <c r="K223" s="8" t="n">
        <f aca="false">J223-H223</f>
        <v>264.6</v>
      </c>
      <c r="L223" s="9" t="n">
        <f aca="false">IF(AND(H223=0,J223=0),0,IF(H223=0,"New",(J223-H223)/H223))</f>
        <v>0.170731707317073</v>
      </c>
    </row>
    <row r="224" customFormat="false" ht="15" hidden="false" customHeight="false" outlineLevel="0" collapsed="false">
      <c r="A224" s="7" t="n">
        <v>4408206</v>
      </c>
      <c r="B224" s="7" t="str">
        <f aca="false">IFERROR(INDEX('Source 2026'!$C:$C,MATCH($A224,'Source 2026'!$B:$B,0)),IFERROR(INDEX('Source 2025'!$C:$C,MATCH($A224,'Source 2025'!$B:$B,0)),""))</f>
        <v>AC-11 חגורת בטן קלה</v>
      </c>
      <c r="C224" s="8" t="n">
        <f aca="false">SUMIFS('Source 2025'!$I:$I,'Source 2025'!$B:$B,$A224,'Source 2025'!$A:$A,"Quantity (units)")</f>
        <v>-1</v>
      </c>
      <c r="D224" s="8" t="n">
        <f aca="false">SUMIFS('Source 2026'!$I:$I,'Source 2026'!$B:$B,$A224,'Source 2026'!$A:$A,"Quantity (units)")</f>
        <v>2</v>
      </c>
      <c r="E224" s="8" t="n">
        <f aca="false">D224*$J$5</f>
        <v>2.74285714285714</v>
      </c>
      <c r="F224" s="8" t="n">
        <f aca="false">E224-C224</f>
        <v>3.74285714285714</v>
      </c>
      <c r="G224" s="9" t="n">
        <f aca="false">IF(AND(C224=0,E224=0),0,IF(C224=0,"New",(E224-C224)/C224))</f>
        <v>-3.74285714285714</v>
      </c>
      <c r="H224" s="8" t="n">
        <f aca="false">SUMIFS('Source 2025'!$I:$I,'Source 2025'!$B:$B,$A224,'Source 2025'!$A:$A,"Amount (NIS)")</f>
        <v>-75.3</v>
      </c>
      <c r="I224" s="8" t="n">
        <f aca="false">SUMIFS('Source 2026'!$I:$I,'Source 2026'!$B:$B,$A224,'Source 2026'!$A:$A,"Amount (NIS)")</f>
        <v>150.5</v>
      </c>
      <c r="J224" s="8" t="n">
        <f aca="false">I224*$J$5</f>
        <v>206.4</v>
      </c>
      <c r="K224" s="8" t="n">
        <f aca="false">J224-H224</f>
        <v>281.7</v>
      </c>
      <c r="L224" s="9" t="n">
        <f aca="false">IF(AND(H224=0,J224=0),0,IF(H224=0,"New",(J224-H224)/H224))</f>
        <v>-3.74103585657371</v>
      </c>
    </row>
    <row r="225" customFormat="false" ht="15" hidden="false" customHeight="false" outlineLevel="0" collapsed="false">
      <c r="A225" s="7" t="n">
        <v>4408104</v>
      </c>
      <c r="B225" s="7" t="str">
        <f aca="false">IFERROR(INDEX('Source 2026'!$C:$C,MATCH($A225,'Source 2026'!$B:$B,0)),IFERROR(INDEX('Source 2025'!$C:$C,MATCH($A225,'Source 2025'!$B:$B,0)),""))</f>
        <v>19 L-XLחגורת הריון בכאב.חזק</v>
      </c>
      <c r="C225" s="8" t="n">
        <f aca="false">SUMIFS('Source 2025'!$I:$I,'Source 2025'!$B:$B,$A225,'Source 2025'!$A:$A,"Quantity (units)")</f>
        <v>0</v>
      </c>
      <c r="D225" s="8" t="n">
        <f aca="false">SUMIFS('Source 2026'!$I:$I,'Source 2026'!$B:$B,$A225,'Source 2026'!$A:$A,"Quantity (units)")</f>
        <v>-1</v>
      </c>
      <c r="E225" s="8" t="n">
        <f aca="false">D225*$J$5</f>
        <v>-1.37142857142857</v>
      </c>
      <c r="F225" s="8" t="n">
        <f aca="false">E225-C225</f>
        <v>-1.37142857142857</v>
      </c>
      <c r="G225" s="9" t="str">
        <f aca="false">IF(AND(C225=0,E225=0),0,IF(C225=0,"New",(E225-C225)/C225))</f>
        <v>New</v>
      </c>
      <c r="H225" s="8" t="n">
        <f aca="false">SUMIFS('Source 2025'!$I:$I,'Source 2025'!$B:$B,$A225,'Source 2025'!$A:$A,"Amount (NIS)")</f>
        <v>0</v>
      </c>
      <c r="I225" s="8" t="n">
        <f aca="false">SUMIFS('Source 2026'!$I:$I,'Source 2026'!$B:$B,$A225,'Source 2026'!$A:$A,"Amount (NIS)")</f>
        <v>-223.2</v>
      </c>
      <c r="J225" s="8" t="n">
        <f aca="false">I225*$J$5</f>
        <v>-306.102857142857</v>
      </c>
      <c r="K225" s="8" t="n">
        <f aca="false">J225-H225</f>
        <v>-306.102857142857</v>
      </c>
      <c r="L225" s="9" t="str">
        <f aca="false">IF(AND(H225=0,J225=0),0,IF(H225=0,"New",(J225-H225)/H225))</f>
        <v>New</v>
      </c>
    </row>
    <row r="226" customFormat="false" ht="15" hidden="false" customHeight="false" outlineLevel="0" collapsed="false">
      <c r="A226" s="7" t="n">
        <v>4413020</v>
      </c>
      <c r="B226" s="7" t="str">
        <f aca="false">IFERROR(INDEX('Source 2026'!$C:$C,MATCH($A226,'Source 2026'!$B:$B,0)),IFERROR(INDEX('Source 2025'!$C:$C,MATCH($A226,'Source 2025'!$B:$B,0)),""))</f>
        <v>303 41-42 מדרסי סיליק.לח.סכרת</v>
      </c>
      <c r="C226" s="8" t="n">
        <f aca="false">SUMIFS('Source 2025'!$I:$I,'Source 2025'!$B:$B,$A226,'Source 2025'!$A:$A,"Quantity (units)")</f>
        <v>3</v>
      </c>
      <c r="D226" s="8" t="n">
        <f aca="false">SUMIFS('Source 2026'!$I:$I,'Source 2026'!$B:$B,$A226,'Source 2026'!$A:$A,"Quantity (units)")</f>
        <v>1</v>
      </c>
      <c r="E226" s="8" t="n">
        <f aca="false">D226*$J$5</f>
        <v>1.37142857142857</v>
      </c>
      <c r="F226" s="8" t="n">
        <f aca="false">E226-C226</f>
        <v>-1.62857142857143</v>
      </c>
      <c r="G226" s="9" t="n">
        <f aca="false">IF(AND(C226=0,E226=0),0,IF(C226=0,"New",(E226-C226)/C226))</f>
        <v>-0.542857142857143</v>
      </c>
      <c r="H226" s="8" t="n">
        <f aca="false">SUMIFS('Source 2025'!$I:$I,'Source 2025'!$B:$B,$A226,'Source 2025'!$A:$A,"Amount (NIS)")</f>
        <v>331.5</v>
      </c>
      <c r="I226" s="8" t="n">
        <f aca="false">SUMIFS('Source 2026'!$I:$I,'Source 2026'!$B:$B,$A226,'Source 2026'!$A:$A,"Amount (NIS)")</f>
        <v>110.5</v>
      </c>
      <c r="J226" s="8" t="n">
        <f aca="false">I226*$J$5</f>
        <v>151.542857142857</v>
      </c>
      <c r="K226" s="8" t="n">
        <f aca="false">J226-H226</f>
        <v>-179.957142857143</v>
      </c>
      <c r="L226" s="9" t="n">
        <f aca="false">IF(AND(H226=0,J226=0),0,IF(H226=0,"New",(J226-H226)/H226))</f>
        <v>-0.542857142857143</v>
      </c>
    </row>
    <row r="227" customFormat="false" ht="15" hidden="false" customHeight="false" outlineLevel="0" collapsed="false">
      <c r="A227" s="7" t="n">
        <v>4413141</v>
      </c>
      <c r="B227" s="7" t="str">
        <f aca="false">IFERROR(INDEX('Source 2026'!$C:$C,MATCH($A227,'Source 2026'!$B:$B,0)),IFERROR(INDEX('Source 2025'!$C:$C,MATCH($A227,'Source 2025'!$B:$B,0)),""))</f>
        <v>95 S מגן מרפק רגיל לבן</v>
      </c>
      <c r="C227" s="8" t="n">
        <f aca="false">SUMIFS('Source 2025'!$I:$I,'Source 2025'!$B:$B,$A227,'Source 2025'!$A:$A,"Quantity (units)")</f>
        <v>72</v>
      </c>
      <c r="D227" s="8" t="n">
        <f aca="false">SUMIFS('Source 2026'!$I:$I,'Source 2026'!$B:$B,$A227,'Source 2026'!$A:$A,"Quantity (units)")</f>
        <v>64</v>
      </c>
      <c r="E227" s="8" t="n">
        <f aca="false">D227*$J$5</f>
        <v>87.7714285714286</v>
      </c>
      <c r="F227" s="8" t="n">
        <f aca="false">E227-C227</f>
        <v>15.7714285714286</v>
      </c>
      <c r="G227" s="9" t="n">
        <f aca="false">IF(AND(C227=0,E227=0),0,IF(C227=0,"New",(E227-C227)/C227))</f>
        <v>0.219047619047619</v>
      </c>
      <c r="H227" s="8" t="n">
        <f aca="false">SUMIFS('Source 2025'!$I:$I,'Source 2025'!$B:$B,$A227,'Source 2025'!$A:$A,"Amount (NIS)")</f>
        <v>1998.7</v>
      </c>
      <c r="I227" s="8" t="n">
        <f aca="false">SUMIFS('Source 2026'!$I:$I,'Source 2026'!$B:$B,$A227,'Source 2026'!$A:$A,"Amount (NIS)")</f>
        <v>1778.6</v>
      </c>
      <c r="J227" s="8" t="n">
        <f aca="false">I227*$J$5</f>
        <v>2439.22285714286</v>
      </c>
      <c r="K227" s="8" t="n">
        <f aca="false">J227-H227</f>
        <v>440.522857142857</v>
      </c>
      <c r="L227" s="9" t="n">
        <f aca="false">IF(AND(H227=0,J227=0),0,IF(H227=0,"New",(J227-H227)/H227))</f>
        <v>0.220404691620982</v>
      </c>
    </row>
    <row r="228" customFormat="false" ht="15" hidden="false" customHeight="false" outlineLevel="0" collapsed="false">
      <c r="A228" s="7" t="n">
        <v>4408049</v>
      </c>
      <c r="B228" s="7" t="str">
        <f aca="false">IFERROR(INDEX('Source 2026'!$C:$C,MATCH($A228,'Source 2026'!$B:$B,0)),IFERROR(INDEX('Source 2025'!$C:$C,MATCH($A228,'Source 2025'!$B:$B,0)),""))</f>
        <v>20 XL חבק יד מתכוון עם צמדן</v>
      </c>
      <c r="C228" s="8" t="n">
        <f aca="false">SUMIFS('Source 2025'!$I:$I,'Source 2025'!$B:$B,$A228,'Source 2025'!$A:$A,"Quantity (units)")</f>
        <v>41</v>
      </c>
      <c r="D228" s="8" t="n">
        <f aca="false">SUMIFS('Source 2026'!$I:$I,'Source 2026'!$B:$B,$A228,'Source 2026'!$A:$A,"Quantity (units)")</f>
        <v>33</v>
      </c>
      <c r="E228" s="8" t="n">
        <f aca="false">D228*$J$5</f>
        <v>45.2571428571429</v>
      </c>
      <c r="F228" s="8" t="n">
        <f aca="false">E228-C228</f>
        <v>4.25714285714286</v>
      </c>
      <c r="G228" s="9" t="n">
        <f aca="false">IF(AND(C228=0,E228=0),0,IF(C228=0,"New",(E228-C228)/C228))</f>
        <v>0.10383275261324</v>
      </c>
      <c r="H228" s="8" t="n">
        <f aca="false">SUMIFS('Source 2025'!$I:$I,'Source 2025'!$B:$B,$A228,'Source 2025'!$A:$A,"Amount (NIS)")</f>
        <v>1114.3</v>
      </c>
      <c r="I228" s="8" t="n">
        <f aca="false">SUMIFS('Source 2026'!$I:$I,'Source 2026'!$B:$B,$A228,'Source 2026'!$A:$A,"Amount (NIS)")</f>
        <v>897.2</v>
      </c>
      <c r="J228" s="8" t="n">
        <f aca="false">I228*$J$5</f>
        <v>1230.44571428571</v>
      </c>
      <c r="K228" s="8" t="n">
        <f aca="false">J228-H228</f>
        <v>116.145714285714</v>
      </c>
      <c r="L228" s="9" t="n">
        <f aca="false">IF(AND(H228=0,J228=0),0,IF(H228=0,"New",(J228-H228)/H228))</f>
        <v>0.104231997025679</v>
      </c>
    </row>
    <row r="229" customFormat="false" ht="15" hidden="false" customHeight="false" outlineLevel="0" collapsed="false">
      <c r="A229" s="7" t="n">
        <v>4408208</v>
      </c>
      <c r="B229" s="7" t="str">
        <f aca="false">IFERROR(INDEX('Source 2026'!$C:$C,MATCH($A229,'Source 2026'!$B:$B,0)),IFERROR(INDEX('Source 2025'!$C:$C,MATCH($A229,'Source 2025'!$B:$B,0)),""))</f>
        <v>AC91 חבק טניס</v>
      </c>
      <c r="C229" s="8" t="n">
        <f aca="false">SUMIFS('Source 2025'!$I:$I,'Source 2025'!$B:$B,$A229,'Source 2025'!$A:$A,"Quantity (units)")</f>
        <v>123</v>
      </c>
      <c r="D229" s="8" t="n">
        <f aca="false">SUMIFS('Source 2026'!$I:$I,'Source 2026'!$B:$B,$A229,'Source 2026'!$A:$A,"Quantity (units)")</f>
        <v>116</v>
      </c>
      <c r="E229" s="8" t="n">
        <f aca="false">D229*$J$5</f>
        <v>159.085714285714</v>
      </c>
      <c r="F229" s="8" t="n">
        <f aca="false">E229-C229</f>
        <v>36.0857142857143</v>
      </c>
      <c r="G229" s="9" t="n">
        <f aca="false">IF(AND(C229=0,E229=0),0,IF(C229=0,"New",(E229-C229)/C229))</f>
        <v>0.293379790940767</v>
      </c>
      <c r="H229" s="8" t="n">
        <f aca="false">SUMIFS('Source 2025'!$I:$I,'Source 2025'!$B:$B,$A229,'Source 2025'!$A:$A,"Amount (NIS)")</f>
        <v>3539</v>
      </c>
      <c r="I229" s="8" t="n">
        <f aca="false">SUMIFS('Source 2026'!$I:$I,'Source 2026'!$B:$B,$A229,'Source 2026'!$A:$A,"Amount (NIS)")</f>
        <v>3322.9</v>
      </c>
      <c r="J229" s="8" t="n">
        <f aca="false">I229*$J$5</f>
        <v>4557.12</v>
      </c>
      <c r="K229" s="8" t="n">
        <f aca="false">J229-H229</f>
        <v>1018.12</v>
      </c>
      <c r="L229" s="9" t="n">
        <f aca="false">IF(AND(H229=0,J229=0),0,IF(H229=0,"New",(J229-H229)/H229))</f>
        <v>0.287685786945465</v>
      </c>
    </row>
    <row r="230" customFormat="false" ht="15" hidden="false" customHeight="false" outlineLevel="0" collapsed="false">
      <c r="A230" s="7" t="n">
        <v>4415005</v>
      </c>
      <c r="B230" s="7" t="str">
        <f aca="false">IFERROR(INDEX('Source 2026'!$C:$C,MATCH($A230,'Source 2026'!$B:$B,0)),IFERROR(INDEX('Source 2025'!$C:$C,MATCH($A230,'Source 2025'!$B:$B,0)),""))</f>
        <v>28 L סד לאגודל לאחר שבר</v>
      </c>
      <c r="C230" s="8" t="n">
        <f aca="false">SUMIFS('Source 2025'!$I:$I,'Source 2025'!$B:$B,$A230,'Source 2025'!$A:$A,"Quantity (units)")</f>
        <v>46</v>
      </c>
      <c r="D230" s="8" t="n">
        <f aca="false">SUMIFS('Source 2026'!$I:$I,'Source 2026'!$B:$B,$A230,'Source 2026'!$A:$A,"Quantity (units)")</f>
        <v>48</v>
      </c>
      <c r="E230" s="8" t="n">
        <f aca="false">D230*$J$5</f>
        <v>65.8285714285714</v>
      </c>
      <c r="F230" s="8" t="n">
        <f aca="false">E230-C230</f>
        <v>19.8285714285714</v>
      </c>
      <c r="G230" s="9" t="n">
        <f aca="false">IF(AND(C230=0,E230=0),0,IF(C230=0,"New",(E230-C230)/C230))</f>
        <v>0.431055900621118</v>
      </c>
      <c r="H230" s="8" t="n">
        <f aca="false">SUMIFS('Source 2025'!$I:$I,'Source 2025'!$B:$B,$A230,'Source 2025'!$A:$A,"Amount (NIS)")</f>
        <v>4019.4</v>
      </c>
      <c r="I230" s="8" t="n">
        <f aca="false">SUMIFS('Source 2026'!$I:$I,'Source 2026'!$B:$B,$A230,'Source 2026'!$A:$A,"Amount (NIS)")</f>
        <v>4233.6</v>
      </c>
      <c r="J230" s="8" t="n">
        <f aca="false">I230*$J$5</f>
        <v>5806.08</v>
      </c>
      <c r="K230" s="8" t="n">
        <f aca="false">J230-H230</f>
        <v>1786.68</v>
      </c>
      <c r="L230" s="9" t="n">
        <f aca="false">IF(AND(H230=0,J230=0),0,IF(H230=0,"New",(J230-H230)/H230))</f>
        <v>0.444514106583072</v>
      </c>
    </row>
    <row r="231" customFormat="false" ht="15" hidden="false" customHeight="false" outlineLevel="0" collapsed="false">
      <c r="A231" s="7" t="n">
        <v>4420001</v>
      </c>
      <c r="B231" s="7" t="str">
        <f aca="false">IFERROR(INDEX('Source 2026'!$C:$C,MATCH($A231,'Source 2026'!$B:$B,0)),IFERROR(INDEX('Source 2025'!$C:$C,MATCH($A231,'Source 2025'!$B:$B,0)),""))</f>
        <v>371 רפידת מגבת כותנה-זוג</v>
      </c>
      <c r="C231" s="8" t="n">
        <f aca="false">SUMIFS('Source 2025'!$I:$I,'Source 2025'!$B:$B,$A231,'Source 2025'!$A:$A,"Quantity (units)")</f>
        <v>54</v>
      </c>
      <c r="D231" s="8" t="n">
        <f aca="false">SUMIFS('Source 2026'!$I:$I,'Source 2026'!$B:$B,$A231,'Source 2026'!$A:$A,"Quantity (units)")</f>
        <v>34</v>
      </c>
      <c r="E231" s="8" t="n">
        <f aca="false">D231*$J$5</f>
        <v>46.6285714285714</v>
      </c>
      <c r="F231" s="8" t="n">
        <f aca="false">E231-C231</f>
        <v>-7.37142857142857</v>
      </c>
      <c r="G231" s="9" t="n">
        <f aca="false">IF(AND(C231=0,E231=0),0,IF(C231=0,"New",(E231-C231)/C231))</f>
        <v>-0.136507936507937</v>
      </c>
      <c r="H231" s="8" t="n">
        <f aca="false">SUMIFS('Source 2025'!$I:$I,'Source 2025'!$B:$B,$A231,'Source 2025'!$A:$A,"Amount (NIS)")</f>
        <v>576.7</v>
      </c>
      <c r="I231" s="8" t="n">
        <f aca="false">SUMIFS('Source 2026'!$I:$I,'Source 2026'!$B:$B,$A231,'Source 2026'!$A:$A,"Amount (NIS)")</f>
        <v>363.1</v>
      </c>
      <c r="J231" s="8" t="n">
        <f aca="false">I231*$J$5</f>
        <v>497.965714285714</v>
      </c>
      <c r="K231" s="8" t="n">
        <f aca="false">J231-H231</f>
        <v>-78.7342857142857</v>
      </c>
      <c r="L231" s="9" t="n">
        <f aca="false">IF(AND(H231=0,J231=0),0,IF(H231=0,"New",(J231-H231)/H231))</f>
        <v>-0.136525551784785</v>
      </c>
    </row>
    <row r="232" customFormat="false" ht="15" hidden="false" customHeight="false" outlineLevel="0" collapsed="false">
      <c r="A232" s="7" t="n">
        <v>4416002</v>
      </c>
      <c r="B232" s="7" t="str">
        <f aca="false">IFERROR(INDEX('Source 2026'!$C:$C,MATCH($A232,'Source 2026'!$B:$B,0)),IFERROR(INDEX('Source 2025'!$C:$C,MATCH($A232,'Source 2025'!$B:$B,0)),""))</f>
        <v>307 S עקבים לדורבן-זוג כריות</v>
      </c>
      <c r="C232" s="8" t="n">
        <f aca="false">SUMIFS('Source 2025'!$I:$I,'Source 2025'!$B:$B,$A232,'Source 2025'!$A:$A,"Quantity (units)")</f>
        <v>30</v>
      </c>
      <c r="D232" s="8" t="n">
        <f aca="false">SUMIFS('Source 2026'!$I:$I,'Source 2026'!$B:$B,$A232,'Source 2026'!$A:$A,"Quantity (units)")</f>
        <v>32</v>
      </c>
      <c r="E232" s="8" t="n">
        <f aca="false">D232*$J$5</f>
        <v>43.8857142857143</v>
      </c>
      <c r="F232" s="8" t="n">
        <f aca="false">E232-C232</f>
        <v>13.8857142857143</v>
      </c>
      <c r="G232" s="9" t="n">
        <f aca="false">IF(AND(C232=0,E232=0),0,IF(C232=0,"New",(E232-C232)/C232))</f>
        <v>0.462857142857143</v>
      </c>
      <c r="H232" s="8" t="n">
        <f aca="false">SUMIFS('Source 2025'!$I:$I,'Source 2025'!$B:$B,$A232,'Source 2025'!$A:$A,"Amount (NIS)")</f>
        <v>2588.1</v>
      </c>
      <c r="I232" s="8" t="n">
        <f aca="false">SUMIFS('Source 2026'!$I:$I,'Source 2026'!$B:$B,$A232,'Source 2026'!$A:$A,"Amount (NIS)")</f>
        <v>2798.4</v>
      </c>
      <c r="J232" s="8" t="n">
        <f aca="false">I232*$J$5</f>
        <v>3837.80571428571</v>
      </c>
      <c r="K232" s="8" t="n">
        <f aca="false">J232-H232</f>
        <v>1249.70571428571</v>
      </c>
      <c r="L232" s="9" t="n">
        <f aca="false">IF(AND(H232=0,J232=0),0,IF(H232=0,"New",(J232-H232)/H232))</f>
        <v>0.482866084883009</v>
      </c>
    </row>
    <row r="233" customFormat="false" ht="15" hidden="false" customHeight="false" outlineLevel="0" collapsed="false">
      <c r="A233" s="7" t="n">
        <v>4413158</v>
      </c>
      <c r="B233" s="7" t="str">
        <f aca="false">IFERROR(INDEX('Source 2026'!$C:$C,MATCH($A233,'Source 2026'!$B:$B,0)),IFERROR(INDEX('Source 2025'!$C:$C,MATCH($A233,'Source 2025'!$B:$B,0)),""))</f>
        <v>305GA מדרס אורטופ.מתכוון45-46</v>
      </c>
      <c r="C233" s="8" t="n">
        <f aca="false">SUMIFS('Source 2025'!$I:$I,'Source 2025'!$B:$B,$A233,'Source 2025'!$A:$A,"Quantity (units)")</f>
        <v>15</v>
      </c>
      <c r="D233" s="8" t="n">
        <f aca="false">SUMIFS('Source 2026'!$I:$I,'Source 2026'!$B:$B,$A233,'Source 2026'!$A:$A,"Quantity (units)")</f>
        <v>12</v>
      </c>
      <c r="E233" s="8" t="n">
        <f aca="false">D233*$J$5</f>
        <v>16.4571428571429</v>
      </c>
      <c r="F233" s="8" t="n">
        <f aca="false">E233-C233</f>
        <v>1.45714285714286</v>
      </c>
      <c r="G233" s="9" t="n">
        <f aca="false">IF(AND(C233=0,E233=0),0,IF(C233=0,"New",(E233-C233)/C233))</f>
        <v>0.097142857142857</v>
      </c>
      <c r="H233" s="8" t="n">
        <f aca="false">SUMIFS('Source 2025'!$I:$I,'Source 2025'!$B:$B,$A233,'Source 2025'!$A:$A,"Amount (NIS)")</f>
        <v>1049.3</v>
      </c>
      <c r="I233" s="8" t="n">
        <f aca="false">SUMIFS('Source 2026'!$I:$I,'Source 2026'!$B:$B,$A233,'Source 2026'!$A:$A,"Amount (NIS)")</f>
        <v>839.4</v>
      </c>
      <c r="J233" s="8" t="n">
        <f aca="false">I233*$J$5</f>
        <v>1151.17714285714</v>
      </c>
      <c r="K233" s="8" t="n">
        <f aca="false">J233-H233</f>
        <v>101.877142857143</v>
      </c>
      <c r="L233" s="9" t="n">
        <f aca="false">IF(AND(H233=0,J233=0),0,IF(H233=0,"New",(J233-H233)/H233))</f>
        <v>0.0970905773917306</v>
      </c>
    </row>
    <row r="234" customFormat="false" ht="15" hidden="false" customHeight="false" outlineLevel="0" collapsed="false">
      <c r="A234" s="7" t="n">
        <v>4413109</v>
      </c>
      <c r="B234" s="7" t="str">
        <f aca="false">IFERROR(INDEX('Source 2026'!$C:$C,MATCH($A234,'Source 2026'!$B:$B,0)),IFERROR(INDEX('Source 2025'!$C:$C,MATCH($A234,'Source 2025'!$B:$B,0)),""))</f>
        <v>48 XL מגן ברך מחמם</v>
      </c>
      <c r="C234" s="8" t="n">
        <f aca="false">SUMIFS('Source 2025'!$I:$I,'Source 2025'!$B:$B,$A234,'Source 2025'!$A:$A,"Quantity (units)")</f>
        <v>4</v>
      </c>
      <c r="D234" s="8" t="n">
        <f aca="false">SUMIFS('Source 2026'!$I:$I,'Source 2026'!$B:$B,$A234,'Source 2026'!$A:$A,"Quantity (units)")</f>
        <v>0</v>
      </c>
      <c r="E234" s="8" t="n">
        <f aca="false">D234*$J$5</f>
        <v>0</v>
      </c>
      <c r="F234" s="8" t="n">
        <f aca="false">E234-C234</f>
        <v>-4</v>
      </c>
      <c r="G234" s="9" t="n">
        <f aca="false">IF(AND(C234=0,E234=0),0,IF(C234=0,"New",(E234-C234)/C234))</f>
        <v>-1</v>
      </c>
      <c r="H234" s="8" t="n">
        <f aca="false">SUMIFS('Source 2025'!$I:$I,'Source 2025'!$B:$B,$A234,'Source 2025'!$A:$A,"Amount (NIS)")</f>
        <v>209.4</v>
      </c>
      <c r="I234" s="8" t="n">
        <f aca="false">SUMIFS('Source 2026'!$I:$I,'Source 2026'!$B:$B,$A234,'Source 2026'!$A:$A,"Amount (NIS)")</f>
        <v>0</v>
      </c>
      <c r="J234" s="8" t="n">
        <f aca="false">I234*$J$5</f>
        <v>0</v>
      </c>
      <c r="K234" s="8" t="n">
        <f aca="false">J234-H234</f>
        <v>-209.4</v>
      </c>
      <c r="L234" s="9" t="n">
        <f aca="false">IF(AND(H234=0,J234=0),0,IF(H234=0,"New",(J234-H234)/H234))</f>
        <v>-1</v>
      </c>
    </row>
    <row r="235" customFormat="false" ht="15" hidden="false" customHeight="false" outlineLevel="0" collapsed="false">
      <c r="A235" s="7" t="n">
        <v>4413423</v>
      </c>
      <c r="B235" s="7" t="str">
        <f aca="false">IFERROR(INDEX('Source 2026'!$C:$C,MATCH($A235,'Source 2026'!$B:$B,0)),IFERROR(INDEX('Source 2025'!$C:$C,MATCH($A235,'Source 2025'!$B:$B,0)),""))</f>
        <v>SC35L XL מגן קרסול שמאל</v>
      </c>
      <c r="C235" s="8" t="n">
        <f aca="false">SUMIFS('Source 2025'!$I:$I,'Source 2025'!$B:$B,$A235,'Source 2025'!$A:$A,"Quantity (units)")</f>
        <v>4</v>
      </c>
      <c r="D235" s="8" t="n">
        <f aca="false">SUMIFS('Source 2026'!$I:$I,'Source 2026'!$B:$B,$A235,'Source 2026'!$A:$A,"Quantity (units)")</f>
        <v>6</v>
      </c>
      <c r="E235" s="8" t="n">
        <f aca="false">D235*$J$5</f>
        <v>8.22857142857143</v>
      </c>
      <c r="F235" s="8" t="n">
        <f aca="false">E235-C235</f>
        <v>4.22857142857143</v>
      </c>
      <c r="G235" s="9" t="n">
        <f aca="false">IF(AND(C235=0,E235=0),0,IF(C235=0,"New",(E235-C235)/C235))</f>
        <v>1.05714285714286</v>
      </c>
      <c r="H235" s="8" t="n">
        <f aca="false">SUMIFS('Source 2025'!$I:$I,'Source 2025'!$B:$B,$A235,'Source 2025'!$A:$A,"Amount (NIS)")</f>
        <v>245.4</v>
      </c>
      <c r="I235" s="8" t="n">
        <f aca="false">SUMIFS('Source 2026'!$I:$I,'Source 2026'!$B:$B,$A235,'Source 2026'!$A:$A,"Amount (NIS)")</f>
        <v>446.9</v>
      </c>
      <c r="J235" s="8" t="n">
        <f aca="false">I235*$J$5</f>
        <v>612.891428571429</v>
      </c>
      <c r="K235" s="8" t="n">
        <f aca="false">J235-H235</f>
        <v>367.491428571429</v>
      </c>
      <c r="L235" s="9" t="n">
        <f aca="false">IF(AND(H235=0,J235=0),0,IF(H235=0,"New",(J235-H235)/H235))</f>
        <v>1.49752008382815</v>
      </c>
    </row>
    <row r="236" customFormat="false" ht="15" hidden="false" customHeight="false" outlineLevel="0" collapsed="false">
      <c r="A236" s="7" t="n">
        <v>4408010</v>
      </c>
      <c r="B236" s="7" t="str">
        <f aca="false">IFERROR(INDEX('Source 2026'!$C:$C,MATCH($A236,'Source 2026'!$B:$B,0)),IFERROR(INDEX('Source 2025'!$C:$C,MATCH($A236,'Source 2025'!$B:$B,0)),""))</f>
        <v>079 L ח.גב סג.כפולה שחור+אדום</v>
      </c>
      <c r="C236" s="8" t="n">
        <f aca="false">SUMIFS('Source 2025'!$I:$I,'Source 2025'!$B:$B,$A236,'Source 2025'!$A:$A,"Quantity (units)")</f>
        <v>-3</v>
      </c>
      <c r="D236" s="8" t="n">
        <f aca="false">SUMIFS('Source 2026'!$I:$I,'Source 2026'!$B:$B,$A236,'Source 2026'!$A:$A,"Quantity (units)")</f>
        <v>-1</v>
      </c>
      <c r="E236" s="8" t="n">
        <f aca="false">D236*$J$5</f>
        <v>-1.37142857142857</v>
      </c>
      <c r="F236" s="8" t="n">
        <f aca="false">E236-C236</f>
        <v>1.62857142857143</v>
      </c>
      <c r="G236" s="9" t="n">
        <f aca="false">IF(AND(C236=0,E236=0),0,IF(C236=0,"New",(E236-C236)/C236))</f>
        <v>-0.542857142857143</v>
      </c>
      <c r="H236" s="8" t="n">
        <f aca="false">SUMIFS('Source 2025'!$I:$I,'Source 2025'!$B:$B,$A236,'Source 2025'!$A:$A,"Amount (NIS)")</f>
        <v>-297.7</v>
      </c>
      <c r="I236" s="8" t="n">
        <f aca="false">SUMIFS('Source 2026'!$I:$I,'Source 2026'!$B:$B,$A236,'Source 2026'!$A:$A,"Amount (NIS)")</f>
        <v>-99.2</v>
      </c>
      <c r="J236" s="8" t="n">
        <f aca="false">I236*$J$5</f>
        <v>-136.045714285714</v>
      </c>
      <c r="K236" s="8" t="n">
        <f aca="false">J236-H236</f>
        <v>161.654285714286</v>
      </c>
      <c r="L236" s="9" t="n">
        <f aca="false">IF(AND(H236=0,J236=0),0,IF(H236=0,"New",(J236-H236)/H236))</f>
        <v>-0.543010701089304</v>
      </c>
    </row>
    <row r="237" customFormat="false" ht="15" hidden="false" customHeight="false" outlineLevel="0" collapsed="false">
      <c r="A237" s="7" t="n">
        <v>4408012</v>
      </c>
      <c r="B237" s="7" t="str">
        <f aca="false">IFERROR(INDEX('Source 2026'!$C:$C,MATCH($A237,'Source 2026'!$B:$B,0)),IFERROR(INDEX('Source 2025'!$C:$C,MATCH($A237,'Source 2025'!$B:$B,0)),""))</f>
        <v>079 XL ח.גב סג.כפולה שחור+אדום</v>
      </c>
      <c r="C237" s="8" t="n">
        <f aca="false">SUMIFS('Source 2025'!$I:$I,'Source 2025'!$B:$B,$A237,'Source 2025'!$A:$A,"Quantity (units)")</f>
        <v>-2</v>
      </c>
      <c r="D237" s="8" t="n">
        <f aca="false">SUMIFS('Source 2026'!$I:$I,'Source 2026'!$B:$B,$A237,'Source 2026'!$A:$A,"Quantity (units)")</f>
        <v>0</v>
      </c>
      <c r="E237" s="8" t="n">
        <f aca="false">D237*$J$5</f>
        <v>0</v>
      </c>
      <c r="F237" s="8" t="n">
        <f aca="false">E237-C237</f>
        <v>2</v>
      </c>
      <c r="G237" s="9" t="n">
        <f aca="false">IF(AND(C237=0,E237=0),0,IF(C237=0,"New",(E237-C237)/C237))</f>
        <v>-1</v>
      </c>
      <c r="H237" s="8" t="n">
        <f aca="false">SUMIFS('Source 2025'!$I:$I,'Source 2025'!$B:$B,$A237,'Source 2025'!$A:$A,"Amount (NIS)")</f>
        <v>-198.5</v>
      </c>
      <c r="I237" s="8" t="n">
        <f aca="false">SUMIFS('Source 2026'!$I:$I,'Source 2026'!$B:$B,$A237,'Source 2026'!$A:$A,"Amount (NIS)")</f>
        <v>0</v>
      </c>
      <c r="J237" s="8" t="n">
        <f aca="false">I237*$J$5</f>
        <v>0</v>
      </c>
      <c r="K237" s="8" t="n">
        <f aca="false">J237-H237</f>
        <v>198.5</v>
      </c>
      <c r="L237" s="9" t="n">
        <f aca="false">IF(AND(H237=0,J237=0),0,IF(H237=0,"New",(J237-H237)/H237))</f>
        <v>-1</v>
      </c>
    </row>
    <row r="238" customFormat="false" ht="15" hidden="false" customHeight="false" outlineLevel="0" collapsed="false">
      <c r="A238" s="7" t="n">
        <v>4408234</v>
      </c>
      <c r="B238" s="7" t="str">
        <f aca="false">IFERROR(INDEX('Source 2026'!$C:$C,MATCH($A238,'Source 2026'!$B:$B,0)),IFERROR(INDEX('Source 2025'!$C:$C,MATCH($A238,'Source 2025'!$B:$B,0)),""))</f>
        <v>078C M'חגורת גב+סגירה כפו בז</v>
      </c>
      <c r="C238" s="8" t="n">
        <f aca="false">SUMIFS('Source 2025'!$I:$I,'Source 2025'!$B:$B,$A238,'Source 2025'!$A:$A,"Quantity (units)")</f>
        <v>-3</v>
      </c>
      <c r="D238" s="8" t="n">
        <f aca="false">SUMIFS('Source 2026'!$I:$I,'Source 2026'!$B:$B,$A238,'Source 2026'!$A:$A,"Quantity (units)")</f>
        <v>-1</v>
      </c>
      <c r="E238" s="8" t="n">
        <f aca="false">D238*$J$5</f>
        <v>-1.37142857142857</v>
      </c>
      <c r="F238" s="8" t="n">
        <f aca="false">E238-C238</f>
        <v>1.62857142857143</v>
      </c>
      <c r="G238" s="9" t="n">
        <f aca="false">IF(AND(C238=0,E238=0),0,IF(C238=0,"New",(E238-C238)/C238))</f>
        <v>-0.542857142857143</v>
      </c>
      <c r="H238" s="8" t="n">
        <f aca="false">SUMIFS('Source 2025'!$I:$I,'Source 2025'!$B:$B,$A238,'Source 2025'!$A:$A,"Amount (NIS)")</f>
        <v>-297.7</v>
      </c>
      <c r="I238" s="8" t="n">
        <f aca="false">SUMIFS('Source 2026'!$I:$I,'Source 2026'!$B:$B,$A238,'Source 2026'!$A:$A,"Amount (NIS)")</f>
        <v>-99.2</v>
      </c>
      <c r="J238" s="8" t="n">
        <f aca="false">I238*$J$5</f>
        <v>-136.045714285714</v>
      </c>
      <c r="K238" s="8" t="n">
        <f aca="false">J238-H238</f>
        <v>161.654285714286</v>
      </c>
      <c r="L238" s="9" t="n">
        <f aca="false">IF(AND(H238=0,J238=0),0,IF(H238=0,"New",(J238-H238)/H238))</f>
        <v>-0.543010701089304</v>
      </c>
    </row>
    <row r="239" customFormat="false" ht="15" hidden="false" customHeight="false" outlineLevel="0" collapsed="false">
      <c r="A239" s="7" t="n">
        <v>4408235</v>
      </c>
      <c r="B239" s="7" t="str">
        <f aca="false">IFERROR(INDEX('Source 2026'!$C:$C,MATCH($A239,'Source 2026'!$B:$B,0)),IFERROR(INDEX('Source 2025'!$C:$C,MATCH($A239,'Source 2025'!$B:$B,0)),""))</f>
        <v>078C S'חגורת גב+סגירה כפו בז</v>
      </c>
      <c r="C239" s="8" t="n">
        <f aca="false">SUMIFS('Source 2025'!$I:$I,'Source 2025'!$B:$B,$A239,'Source 2025'!$A:$A,"Quantity (units)")</f>
        <v>-1</v>
      </c>
      <c r="D239" s="8" t="n">
        <f aca="false">SUMIFS('Source 2026'!$I:$I,'Source 2026'!$B:$B,$A239,'Source 2026'!$A:$A,"Quantity (units)")</f>
        <v>-3</v>
      </c>
      <c r="E239" s="8" t="n">
        <f aca="false">D239*$J$5</f>
        <v>-4.11428571428571</v>
      </c>
      <c r="F239" s="8" t="n">
        <f aca="false">E239-C239</f>
        <v>-3.11428571428571</v>
      </c>
      <c r="G239" s="9" t="n">
        <f aca="false">IF(AND(C239=0,E239=0),0,IF(C239=0,"New",(E239-C239)/C239))</f>
        <v>3.11428571428571</v>
      </c>
      <c r="H239" s="8" t="n">
        <f aca="false">SUMIFS('Source 2025'!$I:$I,'Source 2025'!$B:$B,$A239,'Source 2025'!$A:$A,"Amount (NIS)")</f>
        <v>-99.2</v>
      </c>
      <c r="I239" s="8" t="n">
        <f aca="false">SUMIFS('Source 2026'!$I:$I,'Source 2026'!$B:$B,$A239,'Source 2026'!$A:$A,"Amount (NIS)")</f>
        <v>-297.7</v>
      </c>
      <c r="J239" s="8" t="n">
        <f aca="false">I239*$J$5</f>
        <v>-408.274285714286</v>
      </c>
      <c r="K239" s="8" t="n">
        <f aca="false">J239-H239</f>
        <v>-309.074285714286</v>
      </c>
      <c r="L239" s="9" t="n">
        <f aca="false">IF(AND(H239=0,J239=0),0,IF(H239=0,"New",(J239-H239)/H239))</f>
        <v>3.11566820276498</v>
      </c>
    </row>
    <row r="240" customFormat="false" ht="15" hidden="false" customHeight="false" outlineLevel="0" collapsed="false">
      <c r="A240" s="7" t="n">
        <v>4413408</v>
      </c>
      <c r="B240" s="7" t="str">
        <f aca="false">IFERROR(INDEX('Source 2026'!$C:$C,MATCH($A240,'Source 2026'!$B:$B,0)),IFERROR(INDEX('Source 2025'!$C:$C,MATCH($A240,'Source 2025'!$B:$B,0)),""))</f>
        <v>SC95 XLמגן מרפק</v>
      </c>
      <c r="C240" s="8" t="n">
        <f aca="false">SUMIFS('Source 2025'!$I:$I,'Source 2025'!$B:$B,$A240,'Source 2025'!$A:$A,"Quantity (units)")</f>
        <v>6</v>
      </c>
      <c r="D240" s="8" t="n">
        <f aca="false">SUMIFS('Source 2026'!$I:$I,'Source 2026'!$B:$B,$A240,'Source 2026'!$A:$A,"Quantity (units)")</f>
        <v>3</v>
      </c>
      <c r="E240" s="8" t="n">
        <f aca="false">D240*$J$5</f>
        <v>4.11428571428571</v>
      </c>
      <c r="F240" s="8" t="n">
        <f aca="false">E240-C240</f>
        <v>-1.88571428571429</v>
      </c>
      <c r="G240" s="9" t="n">
        <f aca="false">IF(AND(C240=0,E240=0),0,IF(C240=0,"New",(E240-C240)/C240))</f>
        <v>-0.314285714285714</v>
      </c>
      <c r="H240" s="8" t="n">
        <f aca="false">SUMIFS('Source 2025'!$I:$I,'Source 2025'!$B:$B,$A240,'Source 2025'!$A:$A,"Amount (NIS)")</f>
        <v>420.6</v>
      </c>
      <c r="I240" s="8" t="n">
        <f aca="false">SUMIFS('Source 2026'!$I:$I,'Source 2026'!$B:$B,$A240,'Source 2026'!$A:$A,"Amount (NIS)")</f>
        <v>223.5</v>
      </c>
      <c r="J240" s="8" t="n">
        <f aca="false">I240*$J$5</f>
        <v>306.514285714286</v>
      </c>
      <c r="K240" s="8" t="n">
        <f aca="false">J240-H240</f>
        <v>-114.085714285714</v>
      </c>
      <c r="L240" s="9" t="n">
        <f aca="false">IF(AND(H240=0,J240=0),0,IF(H240=0,"New",(J240-H240)/H240))</f>
        <v>-0.271245159975545</v>
      </c>
    </row>
    <row r="241" customFormat="false" ht="15" hidden="false" customHeight="false" outlineLevel="0" collapsed="false">
      <c r="A241" s="7" t="n">
        <v>4413066</v>
      </c>
      <c r="B241" s="7" t="str">
        <f aca="false">IFERROR(INDEX('Source 2026'!$C:$C,MATCH($A241,'Source 2026'!$B:$B,0)),IFERROR(INDEX('Source 2025'!$C:$C,MATCH($A241,'Source 2025'!$B:$B,0)),""))</f>
        <v>3677S-מד.לשחרור לחץ א.הבוניון</v>
      </c>
      <c r="C241" s="8" t="n">
        <f aca="false">SUMIFS('Source 2025'!$I:$I,'Source 2025'!$B:$B,$A241,'Source 2025'!$A:$A,"Quantity (units)")</f>
        <v>35</v>
      </c>
      <c r="D241" s="8" t="n">
        <f aca="false">SUMIFS('Source 2026'!$I:$I,'Source 2026'!$B:$B,$A241,'Source 2026'!$A:$A,"Quantity (units)")</f>
        <v>26</v>
      </c>
      <c r="E241" s="8" t="n">
        <f aca="false">D241*$J$5</f>
        <v>35.6571428571429</v>
      </c>
      <c r="F241" s="8" t="n">
        <f aca="false">E241-C241</f>
        <v>0.657142857142858</v>
      </c>
      <c r="G241" s="9" t="n">
        <f aca="false">IF(AND(C241=0,E241=0),0,IF(C241=0,"New",(E241-C241)/C241))</f>
        <v>0.0187755102040817</v>
      </c>
      <c r="H241" s="8" t="n">
        <f aca="false">SUMIFS('Source 2025'!$I:$I,'Source 2025'!$B:$B,$A241,'Source 2025'!$A:$A,"Amount (NIS)")</f>
        <v>658.1</v>
      </c>
      <c r="I241" s="8" t="n">
        <f aca="false">SUMIFS('Source 2026'!$I:$I,'Source 2026'!$B:$B,$A241,'Source 2026'!$A:$A,"Amount (NIS)")</f>
        <v>463.1</v>
      </c>
      <c r="J241" s="8" t="n">
        <f aca="false">I241*$J$5</f>
        <v>635.108571428572</v>
      </c>
      <c r="K241" s="8" t="n">
        <f aca="false">J241-H241</f>
        <v>-22.9914285714285</v>
      </c>
      <c r="L241" s="9" t="n">
        <f aca="false">IF(AND(H241=0,J241=0),0,IF(H241=0,"New",(J241-H241)/H241))</f>
        <v>-0.0349360713743026</v>
      </c>
    </row>
    <row r="242" customFormat="false" ht="15" hidden="false" customHeight="false" outlineLevel="0" collapsed="false">
      <c r="A242" s="7" t="n">
        <v>4415089</v>
      </c>
      <c r="B242" s="7" t="str">
        <f aca="false">IFERROR(INDEX('Source 2026'!$C:$C,MATCH($A242,'Source 2026'!$B:$B,0)),IFERROR(INDEX('Source 2025'!$C:$C,MATCH($A242,'Source 2025'!$B:$B,0)),""))</f>
        <v>27L M סד ליד שמאל</v>
      </c>
      <c r="C242" s="8" t="n">
        <f aca="false">SUMIFS('Source 2025'!$I:$I,'Source 2025'!$B:$B,$A242,'Source 2025'!$A:$A,"Quantity (units)")</f>
        <v>-2</v>
      </c>
      <c r="D242" s="8" t="n">
        <f aca="false">SUMIFS('Source 2026'!$I:$I,'Source 2026'!$B:$B,$A242,'Source 2026'!$A:$A,"Quantity (units)")</f>
        <v>0</v>
      </c>
      <c r="E242" s="8" t="n">
        <f aca="false">D242*$J$5</f>
        <v>0</v>
      </c>
      <c r="F242" s="8" t="n">
        <f aca="false">E242-C242</f>
        <v>2</v>
      </c>
      <c r="G242" s="9" t="n">
        <f aca="false">IF(AND(C242=0,E242=0),0,IF(C242=0,"New",(E242-C242)/C242))</f>
        <v>-1</v>
      </c>
      <c r="H242" s="8" t="n">
        <f aca="false">SUMIFS('Source 2025'!$I:$I,'Source 2025'!$B:$B,$A242,'Source 2025'!$A:$A,"Amount (NIS)")</f>
        <v>-194.1</v>
      </c>
      <c r="I242" s="8" t="n">
        <f aca="false">SUMIFS('Source 2026'!$I:$I,'Source 2026'!$B:$B,$A242,'Source 2026'!$A:$A,"Amount (NIS)")</f>
        <v>0</v>
      </c>
      <c r="J242" s="8" t="n">
        <f aca="false">I242*$J$5</f>
        <v>0</v>
      </c>
      <c r="K242" s="8" t="n">
        <f aca="false">J242-H242</f>
        <v>194.1</v>
      </c>
      <c r="L242" s="9" t="n">
        <f aca="false">IF(AND(H242=0,J242=0),0,IF(H242=0,"New",(J242-H242)/H242))</f>
        <v>-1</v>
      </c>
    </row>
    <row r="243" customFormat="false" ht="15" hidden="false" customHeight="false" outlineLevel="0" collapsed="false">
      <c r="A243" s="7" t="n">
        <v>4413178</v>
      </c>
      <c r="B243" s="7" t="str">
        <f aca="false">IFERROR(INDEX('Source 2026'!$C:$C,MATCH($A243,'Source 2026'!$B:$B,0)),IFERROR(INDEX('Source 2025'!$C:$C,MATCH($A243,'Source 2025'!$B:$B,0)),""))</f>
        <v>T39 XL מגן שוק</v>
      </c>
      <c r="C243" s="8" t="n">
        <f aca="false">SUMIFS('Source 2025'!$I:$I,'Source 2025'!$B:$B,$A243,'Source 2025'!$A:$A,"Quantity (units)")</f>
        <v>-2</v>
      </c>
      <c r="D243" s="8" t="n">
        <f aca="false">SUMIFS('Source 2026'!$I:$I,'Source 2026'!$B:$B,$A243,'Source 2026'!$A:$A,"Quantity (units)")</f>
        <v>0</v>
      </c>
      <c r="E243" s="8" t="n">
        <f aca="false">D243*$J$5</f>
        <v>0</v>
      </c>
      <c r="F243" s="8" t="n">
        <f aca="false">E243-C243</f>
        <v>2</v>
      </c>
      <c r="G243" s="9" t="n">
        <f aca="false">IF(AND(C243=0,E243=0),0,IF(C243=0,"New",(E243-C243)/C243))</f>
        <v>-1</v>
      </c>
      <c r="H243" s="8" t="n">
        <f aca="false">SUMIFS('Source 2025'!$I:$I,'Source 2025'!$B:$B,$A243,'Source 2025'!$A:$A,"Amount (NIS)")</f>
        <v>-194.1</v>
      </c>
      <c r="I243" s="8" t="n">
        <f aca="false">SUMIFS('Source 2026'!$I:$I,'Source 2026'!$B:$B,$A243,'Source 2026'!$A:$A,"Amount (NIS)")</f>
        <v>0</v>
      </c>
      <c r="J243" s="8" t="n">
        <f aca="false">I243*$J$5</f>
        <v>0</v>
      </c>
      <c r="K243" s="8" t="n">
        <f aca="false">J243-H243</f>
        <v>194.1</v>
      </c>
      <c r="L243" s="9" t="n">
        <f aca="false">IF(AND(H243=0,J243=0),0,IF(H243=0,"New",(J243-H243)/H243))</f>
        <v>-1</v>
      </c>
    </row>
    <row r="244" customFormat="false" ht="15" hidden="false" customHeight="false" outlineLevel="0" collapsed="false">
      <c r="A244" s="7" t="n">
        <v>4413182</v>
      </c>
      <c r="B244" s="7" t="str">
        <f aca="false">IFERROR(INDEX('Source 2026'!$C:$C,MATCH($A244,'Source 2026'!$B:$B,0)),IFERROR(INDEX('Source 2025'!$C:$C,MATCH($A244,'Source 2025'!$B:$B,0)),""))</f>
        <v>T45 S מגן ברך רגיל</v>
      </c>
      <c r="C244" s="8" t="n">
        <f aca="false">SUMIFS('Source 2025'!$I:$I,'Source 2025'!$B:$B,$A244,'Source 2025'!$A:$A,"Quantity (units)")</f>
        <v>0</v>
      </c>
      <c r="D244" s="8" t="n">
        <f aca="false">SUMIFS('Source 2026'!$I:$I,'Source 2026'!$B:$B,$A244,'Source 2026'!$A:$A,"Quantity (units)")</f>
        <v>2</v>
      </c>
      <c r="E244" s="8" t="n">
        <f aca="false">D244*$J$5</f>
        <v>2.74285714285714</v>
      </c>
      <c r="F244" s="8" t="n">
        <f aca="false">E244-C244</f>
        <v>2.74285714285714</v>
      </c>
      <c r="G244" s="9" t="str">
        <f aca="false">IF(AND(C244=0,E244=0),0,IF(C244=0,"New",(E244-C244)/C244))</f>
        <v>New</v>
      </c>
      <c r="H244" s="8" t="n">
        <f aca="false">SUMIFS('Source 2025'!$I:$I,'Source 2025'!$B:$B,$A244,'Source 2025'!$A:$A,"Amount (NIS)")</f>
        <v>0</v>
      </c>
      <c r="I244" s="8" t="n">
        <f aca="false">SUMIFS('Source 2026'!$I:$I,'Source 2026'!$B:$B,$A244,'Source 2026'!$A:$A,"Amount (NIS)")</f>
        <v>194.1</v>
      </c>
      <c r="J244" s="8" t="n">
        <f aca="false">I244*$J$5</f>
        <v>266.194285714286</v>
      </c>
      <c r="K244" s="8" t="n">
        <f aca="false">J244-H244</f>
        <v>266.194285714286</v>
      </c>
      <c r="L244" s="9" t="str">
        <f aca="false">IF(AND(H244=0,J244=0),0,IF(H244=0,"New",(J244-H244)/H244))</f>
        <v>New</v>
      </c>
    </row>
    <row r="245" customFormat="false" ht="15" hidden="false" customHeight="false" outlineLevel="0" collapsed="false">
      <c r="A245" s="7" t="n">
        <v>4413009</v>
      </c>
      <c r="B245" s="7" t="str">
        <f aca="false">IFERROR(INDEX('Source 2026'!$C:$C,MATCH($A245,'Source 2026'!$B:$B,0)),IFERROR(INDEX('Source 2025'!$C:$C,MATCH($A245,'Source 2025'!$B:$B,0)),""))</f>
        <v>300M תתמדרס/ציפוי עור גבר זו44</v>
      </c>
      <c r="C245" s="8" t="n">
        <f aca="false">SUMIFS('Source 2025'!$I:$I,'Source 2025'!$B:$B,$A245,'Source 2025'!$A:$A,"Quantity (units)")</f>
        <v>-2</v>
      </c>
      <c r="D245" s="8" t="n">
        <f aca="false">SUMIFS('Source 2026'!$I:$I,'Source 2026'!$B:$B,$A245,'Source 2026'!$A:$A,"Quantity (units)")</f>
        <v>0</v>
      </c>
      <c r="E245" s="8" t="n">
        <f aca="false">D245*$J$5</f>
        <v>0</v>
      </c>
      <c r="F245" s="8" t="n">
        <f aca="false">E245-C245</f>
        <v>2</v>
      </c>
      <c r="G245" s="9" t="n">
        <f aca="false">IF(AND(C245=0,E245=0),0,IF(C245=0,"New",(E245-C245)/C245))</f>
        <v>-1</v>
      </c>
      <c r="H245" s="8" t="n">
        <f aca="false">SUMIFS('Source 2025'!$I:$I,'Source 2025'!$B:$B,$A245,'Source 2025'!$A:$A,"Amount (NIS)")</f>
        <v>-193.5</v>
      </c>
      <c r="I245" s="8" t="n">
        <f aca="false">SUMIFS('Source 2026'!$I:$I,'Source 2026'!$B:$B,$A245,'Source 2026'!$A:$A,"Amount (NIS)")</f>
        <v>0</v>
      </c>
      <c r="J245" s="8" t="n">
        <f aca="false">I245*$J$5</f>
        <v>0</v>
      </c>
      <c r="K245" s="8" t="n">
        <f aca="false">J245-H245</f>
        <v>193.5</v>
      </c>
      <c r="L245" s="9" t="n">
        <f aca="false">IF(AND(H245=0,J245=0),0,IF(H245=0,"New",(J245-H245)/H245))</f>
        <v>-1</v>
      </c>
    </row>
    <row r="246" customFormat="false" ht="15" hidden="false" customHeight="false" outlineLevel="0" collapsed="false">
      <c r="A246" s="7" t="n">
        <v>4408132</v>
      </c>
      <c r="B246" s="7" t="str">
        <f aca="false">IFERROR(INDEX('Source 2026'!$C:$C,MATCH($A246,'Source 2026'!$B:$B,0)),IFERROR(INDEX('Source 2025'!$C:$C,MATCH($A246,'Source 2025'!$B:$B,0)),""))</f>
        <v>11EU XXL חגורת בטןלאחר ניתוח</v>
      </c>
      <c r="C246" s="8" t="n">
        <f aca="false">SUMIFS('Source 2025'!$I:$I,'Source 2025'!$B:$B,$A246,'Source 2025'!$A:$A,"Quantity (units)")</f>
        <v>63</v>
      </c>
      <c r="D246" s="8" t="n">
        <f aca="false">SUMIFS('Source 2026'!$I:$I,'Source 2026'!$B:$B,$A246,'Source 2026'!$A:$A,"Quantity (units)")</f>
        <v>65</v>
      </c>
      <c r="E246" s="8" t="n">
        <f aca="false">D246*$J$5</f>
        <v>89.1428571428571</v>
      </c>
      <c r="F246" s="8" t="n">
        <f aca="false">E246-C246</f>
        <v>26.1428571428571</v>
      </c>
      <c r="G246" s="9" t="n">
        <f aca="false">IF(AND(C246=0,E246=0),0,IF(C246=0,"New",(E246-C246)/C246))</f>
        <v>0.414965986394558</v>
      </c>
      <c r="H246" s="8" t="n">
        <f aca="false">SUMIFS('Source 2025'!$I:$I,'Source 2025'!$B:$B,$A246,'Source 2025'!$A:$A,"Amount (NIS)")</f>
        <v>6048</v>
      </c>
      <c r="I246" s="8" t="n">
        <f aca="false">SUMIFS('Source 2026'!$I:$I,'Source 2026'!$B:$B,$A246,'Source 2026'!$A:$A,"Amount (NIS)")</f>
        <v>6240</v>
      </c>
      <c r="J246" s="8" t="n">
        <f aca="false">I246*$J$5</f>
        <v>8557.71428571429</v>
      </c>
      <c r="K246" s="8" t="n">
        <f aca="false">J246-H246</f>
        <v>2509.71428571429</v>
      </c>
      <c r="L246" s="9" t="n">
        <f aca="false">IF(AND(H246=0,J246=0),0,IF(H246=0,"New",(J246-H246)/H246))</f>
        <v>0.414965986394558</v>
      </c>
    </row>
    <row r="247" customFormat="false" ht="15" hidden="false" customHeight="false" outlineLevel="0" collapsed="false">
      <c r="A247" s="7" t="n">
        <v>4408047</v>
      </c>
      <c r="B247" s="7" t="str">
        <f aca="false">IFERROR(INDEX('Source 2026'!$C:$C,MATCH($A247,'Source 2026'!$B:$B,0)),IFERROR(INDEX('Source 2025'!$C:$C,MATCH($A247,'Source 2025'!$B:$B,0)),""))</f>
        <v>20 M חבק יד מתכוון עם צמדן</v>
      </c>
      <c r="C247" s="8" t="n">
        <f aca="false">SUMIFS('Source 2025'!$I:$I,'Source 2025'!$B:$B,$A247,'Source 2025'!$A:$A,"Quantity (units)")</f>
        <v>107</v>
      </c>
      <c r="D247" s="8" t="n">
        <f aca="false">SUMIFS('Source 2026'!$I:$I,'Source 2026'!$B:$B,$A247,'Source 2026'!$A:$A,"Quantity (units)")</f>
        <v>100</v>
      </c>
      <c r="E247" s="8" t="n">
        <f aca="false">D247*$J$5</f>
        <v>137.142857142857</v>
      </c>
      <c r="F247" s="8" t="n">
        <f aca="false">E247-C247</f>
        <v>30.1428571428571</v>
      </c>
      <c r="G247" s="9" t="n">
        <f aca="false">IF(AND(C247=0,E247=0),0,IF(C247=0,"New",(E247-C247)/C247))</f>
        <v>0.281708945260347</v>
      </c>
      <c r="H247" s="8" t="n">
        <f aca="false">SUMIFS('Source 2025'!$I:$I,'Source 2025'!$B:$B,$A247,'Source 2025'!$A:$A,"Amount (NIS)")</f>
        <v>2906.8</v>
      </c>
      <c r="I247" s="8" t="n">
        <f aca="false">SUMIFS('Source 2026'!$I:$I,'Source 2026'!$B:$B,$A247,'Source 2026'!$A:$A,"Amount (NIS)")</f>
        <v>2716.9</v>
      </c>
      <c r="J247" s="8" t="n">
        <f aca="false">I247*$J$5</f>
        <v>3726.03428571429</v>
      </c>
      <c r="K247" s="8" t="n">
        <f aca="false">J247-H247</f>
        <v>819.234285714286</v>
      </c>
      <c r="L247" s="9" t="n">
        <f aca="false">IF(AND(H247=0,J247=0),0,IF(H247=0,"New",(J247-H247)/H247))</f>
        <v>0.281833729776485</v>
      </c>
    </row>
    <row r="248" customFormat="false" ht="15" hidden="false" customHeight="false" outlineLevel="0" collapsed="false">
      <c r="A248" s="7" t="n">
        <v>4413418</v>
      </c>
      <c r="B248" s="7" t="str">
        <f aca="false">IFERROR(INDEX('Source 2026'!$C:$C,MATCH($A248,'Source 2026'!$B:$B,0)),IFERROR(INDEX('Source 2025'!$C:$C,MATCH($A248,'Source 2025'!$B:$B,0)),""))</f>
        <v>SC39 XL מגן שוק</v>
      </c>
      <c r="C248" s="8" t="n">
        <f aca="false">SUMIFS('Source 2025'!$I:$I,'Source 2025'!$B:$B,$A248,'Source 2025'!$A:$A,"Quantity (units)")</f>
        <v>-1</v>
      </c>
      <c r="D248" s="8" t="n">
        <f aca="false">SUMIFS('Source 2026'!$I:$I,'Source 2026'!$B:$B,$A248,'Source 2026'!$A:$A,"Quantity (units)")</f>
        <v>0</v>
      </c>
      <c r="E248" s="8" t="n">
        <f aca="false">D248*$J$5</f>
        <v>0</v>
      </c>
      <c r="F248" s="8" t="n">
        <f aca="false">E248-C248</f>
        <v>1</v>
      </c>
      <c r="G248" s="9" t="n">
        <f aca="false">IF(AND(C248=0,E248=0),0,IF(C248=0,"New",(E248-C248)/C248))</f>
        <v>-1</v>
      </c>
      <c r="H248" s="8" t="n">
        <f aca="false">SUMIFS('Source 2025'!$I:$I,'Source 2025'!$B:$B,$A248,'Source 2025'!$A:$A,"Amount (NIS)")</f>
        <v>-189</v>
      </c>
      <c r="I248" s="8" t="n">
        <f aca="false">SUMIFS('Source 2026'!$I:$I,'Source 2026'!$B:$B,$A248,'Source 2026'!$A:$A,"Amount (NIS)")</f>
        <v>0</v>
      </c>
      <c r="J248" s="8" t="n">
        <f aca="false">I248*$J$5</f>
        <v>0</v>
      </c>
      <c r="K248" s="8" t="n">
        <f aca="false">J248-H248</f>
        <v>189</v>
      </c>
      <c r="L248" s="9" t="n">
        <f aca="false">IF(AND(H248=0,J248=0),0,IF(H248=0,"New",(J248-H248)/H248))</f>
        <v>-1</v>
      </c>
    </row>
    <row r="249" customFormat="false" ht="15" hidden="false" customHeight="false" outlineLevel="0" collapsed="false">
      <c r="A249" s="7" t="n">
        <v>4408076</v>
      </c>
      <c r="B249" s="7" t="str">
        <f aca="false">IFERROR(INDEX('Source 2026'!$C:$C,MATCH($A249,'Source 2026'!$B:$B,0)),IFERROR(INDEX('Source 2025'!$C:$C,MATCH($A249,'Source 2025'!$B:$B,0)),""))</f>
        <v>59L L חגורת שבר לצד שמאל</v>
      </c>
      <c r="C249" s="8" t="n">
        <f aca="false">SUMIFS('Source 2025'!$I:$I,'Source 2025'!$B:$B,$A249,'Source 2025'!$A:$A,"Quantity (units)")</f>
        <v>-1</v>
      </c>
      <c r="D249" s="8" t="n">
        <f aca="false">SUMIFS('Source 2026'!$I:$I,'Source 2026'!$B:$B,$A249,'Source 2026'!$A:$A,"Quantity (units)")</f>
        <v>0</v>
      </c>
      <c r="E249" s="8" t="n">
        <f aca="false">D249*$J$5</f>
        <v>0</v>
      </c>
      <c r="F249" s="8" t="n">
        <f aca="false">E249-C249</f>
        <v>1</v>
      </c>
      <c r="G249" s="9" t="n">
        <f aca="false">IF(AND(C249=0,E249=0),0,IF(C249=0,"New",(E249-C249)/C249))</f>
        <v>-1</v>
      </c>
      <c r="H249" s="8" t="n">
        <f aca="false">SUMIFS('Source 2025'!$I:$I,'Source 2025'!$B:$B,$A249,'Source 2025'!$A:$A,"Amount (NIS)")</f>
        <v>-178.9</v>
      </c>
      <c r="I249" s="8" t="n">
        <f aca="false">SUMIFS('Source 2026'!$I:$I,'Source 2026'!$B:$B,$A249,'Source 2026'!$A:$A,"Amount (NIS)")</f>
        <v>0</v>
      </c>
      <c r="J249" s="8" t="n">
        <f aca="false">I249*$J$5</f>
        <v>0</v>
      </c>
      <c r="K249" s="8" t="n">
        <f aca="false">J249-H249</f>
        <v>178.9</v>
      </c>
      <c r="L249" s="9" t="n">
        <f aca="false">IF(AND(H249=0,J249=0),0,IF(H249=0,"New",(J249-H249)/H249))</f>
        <v>-1</v>
      </c>
    </row>
    <row r="250" customFormat="false" ht="15" hidden="false" customHeight="false" outlineLevel="0" collapsed="false">
      <c r="A250" s="7" t="n">
        <v>4413198</v>
      </c>
      <c r="B250" s="7" t="str">
        <f aca="false">IFERROR(INDEX('Source 2026'!$C:$C,MATCH($A250,'Source 2026'!$B:$B,0)),IFERROR(INDEX('Source 2025'!$C:$C,MATCH($A250,'Source 2025'!$B:$B,0)),""))</f>
        <v>87 XL מקבע כתף ויד</v>
      </c>
      <c r="C250" s="8" t="n">
        <f aca="false">SUMIFS('Source 2025'!$I:$I,'Source 2025'!$B:$B,$A250,'Source 2025'!$A:$A,"Quantity (units)")</f>
        <v>8</v>
      </c>
      <c r="D250" s="8" t="n">
        <f aca="false">SUMIFS('Source 2026'!$I:$I,'Source 2026'!$B:$B,$A250,'Source 2026'!$A:$A,"Quantity (units)")</f>
        <v>9</v>
      </c>
      <c r="E250" s="8" t="n">
        <f aca="false">D250*$J$5</f>
        <v>12.3428571428571</v>
      </c>
      <c r="F250" s="8" t="n">
        <f aca="false">E250-C250</f>
        <v>4.34285714285714</v>
      </c>
      <c r="G250" s="9" t="n">
        <f aca="false">IF(AND(C250=0,E250=0),0,IF(C250=0,"New",(E250-C250)/C250))</f>
        <v>0.542857142857143</v>
      </c>
      <c r="H250" s="8" t="n">
        <f aca="false">SUMIFS('Source 2025'!$I:$I,'Source 2025'!$B:$B,$A250,'Source 2025'!$A:$A,"Amount (NIS)")</f>
        <v>1411.5</v>
      </c>
      <c r="I250" s="8" t="n">
        <f aca="false">SUMIFS('Source 2026'!$I:$I,'Source 2026'!$B:$B,$A250,'Source 2026'!$A:$A,"Amount (NIS)")</f>
        <v>1588</v>
      </c>
      <c r="J250" s="8" t="n">
        <f aca="false">I250*$J$5</f>
        <v>2177.82857142857</v>
      </c>
      <c r="K250" s="8" t="n">
        <f aca="false">J250-H250</f>
        <v>766.328571428572</v>
      </c>
      <c r="L250" s="9" t="n">
        <f aca="false">IF(AND(H250=0,J250=0),0,IF(H250=0,"New",(J250-H250)/H250))</f>
        <v>0.542917868528921</v>
      </c>
    </row>
    <row r="251" customFormat="false" ht="15" hidden="false" customHeight="false" outlineLevel="0" collapsed="false">
      <c r="A251" s="7" t="n">
        <v>4413204</v>
      </c>
      <c r="B251" s="7" t="str">
        <f aca="false">IFERROR(INDEX('Source 2026'!$C:$C,MATCH($A251,'Source 2026'!$B:$B,0)),IFERROR(INDEX('Source 2025'!$C:$C,MATCH($A251,'Source 2025'!$B:$B,0)),""))</f>
        <v>87 XXL מקבע כתף ויד</v>
      </c>
      <c r="C251" s="8" t="n">
        <f aca="false">SUMIFS('Source 2025'!$I:$I,'Source 2025'!$B:$B,$A251,'Source 2025'!$A:$A,"Quantity (units)")</f>
        <v>4</v>
      </c>
      <c r="D251" s="8" t="n">
        <f aca="false">SUMIFS('Source 2026'!$I:$I,'Source 2026'!$B:$B,$A251,'Source 2026'!$A:$A,"Quantity (units)")</f>
        <v>3</v>
      </c>
      <c r="E251" s="8" t="n">
        <f aca="false">D251*$J$5</f>
        <v>4.11428571428571</v>
      </c>
      <c r="F251" s="8" t="n">
        <f aca="false">E251-C251</f>
        <v>0.114285714285714</v>
      </c>
      <c r="G251" s="9" t="n">
        <f aca="false">IF(AND(C251=0,E251=0),0,IF(C251=0,"New",(E251-C251)/C251))</f>
        <v>0.0285714285714285</v>
      </c>
      <c r="H251" s="8" t="n">
        <f aca="false">SUMIFS('Source 2025'!$I:$I,'Source 2025'!$B:$B,$A251,'Source 2025'!$A:$A,"Amount (NIS)")</f>
        <v>705.8</v>
      </c>
      <c r="I251" s="8" t="n">
        <f aca="false">SUMIFS('Source 2026'!$I:$I,'Source 2026'!$B:$B,$A251,'Source 2026'!$A:$A,"Amount (NIS)")</f>
        <v>529.3</v>
      </c>
      <c r="J251" s="8" t="n">
        <f aca="false">I251*$J$5</f>
        <v>725.897142857143</v>
      </c>
      <c r="K251" s="8" t="n">
        <f aca="false">J251-H251</f>
        <v>20.0971428571429</v>
      </c>
      <c r="L251" s="9" t="n">
        <f aca="false">IF(AND(H251=0,J251=0),0,IF(H251=0,"New",(J251-H251)/H251))</f>
        <v>0.0284742743796301</v>
      </c>
    </row>
    <row r="252" customFormat="false" ht="15" hidden="false" customHeight="false" outlineLevel="0" collapsed="false">
      <c r="A252" s="7" t="n">
        <v>4408091</v>
      </c>
      <c r="B252" s="7" t="str">
        <f aca="false">IFERROR(INDEX('Source 2026'!$C:$C,MATCH($A252,'Source 2026'!$B:$B,0)),IFERROR(INDEX('Source 2025'!$C:$C,MATCH($A252,'Source 2025'!$B:$B,0)),""))</f>
        <v>T11C M  חגורת גב פוג'יאמה</v>
      </c>
      <c r="C252" s="8" t="n">
        <f aca="false">SUMIFS('Source 2025'!$I:$I,'Source 2025'!$B:$B,$A252,'Source 2025'!$A:$A,"Quantity (units)")</f>
        <v>0</v>
      </c>
      <c r="D252" s="8" t="n">
        <f aca="false">SUMIFS('Source 2026'!$I:$I,'Source 2026'!$B:$B,$A252,'Source 2026'!$A:$A,"Quantity (units)")</f>
        <v>2</v>
      </c>
      <c r="E252" s="8" t="n">
        <f aca="false">D252*$J$5</f>
        <v>2.74285714285714</v>
      </c>
      <c r="F252" s="8" t="n">
        <f aca="false">E252-C252</f>
        <v>2.74285714285714</v>
      </c>
      <c r="G252" s="9" t="str">
        <f aca="false">IF(AND(C252=0,E252=0),0,IF(C252=0,"New",(E252-C252)/C252))</f>
        <v>New</v>
      </c>
      <c r="H252" s="8" t="n">
        <f aca="false">SUMIFS('Source 2025'!$I:$I,'Source 2025'!$B:$B,$A252,'Source 2025'!$A:$A,"Amount (NIS)")</f>
        <v>0</v>
      </c>
      <c r="I252" s="8" t="n">
        <f aca="false">SUMIFS('Source 2026'!$I:$I,'Source 2026'!$B:$B,$A252,'Source 2026'!$A:$A,"Amount (NIS)")</f>
        <v>176.4</v>
      </c>
      <c r="J252" s="8" t="n">
        <f aca="false">I252*$J$5</f>
        <v>241.92</v>
      </c>
      <c r="K252" s="8" t="n">
        <f aca="false">J252-H252</f>
        <v>241.92</v>
      </c>
      <c r="L252" s="9" t="str">
        <f aca="false">IF(AND(H252=0,J252=0),0,IF(H252=0,"New",(J252-H252)/H252))</f>
        <v>New</v>
      </c>
    </row>
    <row r="253" customFormat="false" ht="15" hidden="false" customHeight="false" outlineLevel="0" collapsed="false">
      <c r="A253" s="7" t="n">
        <v>4413196</v>
      </c>
      <c r="B253" s="7" t="str">
        <f aca="false">IFERROR(INDEX('Source 2026'!$C:$C,MATCH($A253,'Source 2026'!$B:$B,0)),IFERROR(INDEX('Source 2025'!$C:$C,MATCH($A253,'Source 2025'!$B:$B,0)),""))</f>
        <v>87 M מקבע כתף ויד</v>
      </c>
      <c r="C253" s="8" t="n">
        <f aca="false">SUMIFS('Source 2025'!$I:$I,'Source 2025'!$B:$B,$A253,'Source 2025'!$A:$A,"Quantity (units)")</f>
        <v>6</v>
      </c>
      <c r="D253" s="8" t="n">
        <f aca="false">SUMIFS('Source 2026'!$I:$I,'Source 2026'!$B:$B,$A253,'Source 2026'!$A:$A,"Quantity (units)")</f>
        <v>5</v>
      </c>
      <c r="E253" s="8" t="n">
        <f aca="false">D253*$J$5</f>
        <v>6.85714285714286</v>
      </c>
      <c r="F253" s="8" t="n">
        <f aca="false">E253-C253</f>
        <v>0.857142857142858</v>
      </c>
      <c r="G253" s="9" t="n">
        <f aca="false">IF(AND(C253=0,E253=0),0,IF(C253=0,"New",(E253-C253)/C253))</f>
        <v>0.142857142857143</v>
      </c>
      <c r="H253" s="8" t="n">
        <f aca="false">SUMIFS('Source 2025'!$I:$I,'Source 2025'!$B:$B,$A253,'Source 2025'!$A:$A,"Amount (NIS)")</f>
        <v>1058.6</v>
      </c>
      <c r="I253" s="8" t="n">
        <f aca="false">SUMIFS('Source 2026'!$I:$I,'Source 2026'!$B:$B,$A253,'Source 2026'!$A:$A,"Amount (NIS)")</f>
        <v>882.2</v>
      </c>
      <c r="J253" s="8" t="n">
        <f aca="false">I253*$J$5</f>
        <v>1209.87428571429</v>
      </c>
      <c r="K253" s="8" t="n">
        <f aca="false">J253-H253</f>
        <v>151.274285714286</v>
      </c>
      <c r="L253" s="9" t="n">
        <f aca="false">IF(AND(H253=0,J253=0),0,IF(H253=0,"New",(J253-H253)/H253))</f>
        <v>0.142900326576881</v>
      </c>
    </row>
    <row r="254" customFormat="false" ht="15" hidden="false" customHeight="false" outlineLevel="0" collapsed="false">
      <c r="A254" s="7" t="n">
        <v>4413422</v>
      </c>
      <c r="B254" s="7" t="str">
        <f aca="false">IFERROR(INDEX('Source 2026'!$C:$C,MATCH($A254,'Source 2026'!$B:$B,0)),IFERROR(INDEX('Source 2025'!$C:$C,MATCH($A254,'Source 2025'!$B:$B,0)),""))</f>
        <v>SC35L  L מגן קרסול שמאל</v>
      </c>
      <c r="C254" s="8" t="n">
        <f aca="false">SUMIFS('Source 2025'!$I:$I,'Source 2025'!$B:$B,$A254,'Source 2025'!$A:$A,"Quantity (units)")</f>
        <v>9</v>
      </c>
      <c r="D254" s="8" t="n">
        <f aca="false">SUMIFS('Source 2026'!$I:$I,'Source 2026'!$B:$B,$A254,'Source 2026'!$A:$A,"Quantity (units)")</f>
        <v>11</v>
      </c>
      <c r="E254" s="8" t="n">
        <f aca="false">D254*$J$5</f>
        <v>15.0857142857143</v>
      </c>
      <c r="F254" s="8" t="n">
        <f aca="false">E254-C254</f>
        <v>6.08571428571429</v>
      </c>
      <c r="G254" s="9" t="n">
        <f aca="false">IF(AND(C254=0,E254=0),0,IF(C254=0,"New",(E254-C254)/C254))</f>
        <v>0.676190476190476</v>
      </c>
      <c r="H254" s="8" t="n">
        <f aca="false">SUMIFS('Source 2025'!$I:$I,'Source 2025'!$B:$B,$A254,'Source 2025'!$A:$A,"Amount (NIS)")</f>
        <v>644.1</v>
      </c>
      <c r="I254" s="8" t="n">
        <f aca="false">SUMIFS('Source 2026'!$I:$I,'Source 2026'!$B:$B,$A254,'Source 2026'!$A:$A,"Amount (NIS)")</f>
        <v>819.4</v>
      </c>
      <c r="J254" s="8" t="n">
        <f aca="false">I254*$J$5</f>
        <v>1123.74857142857</v>
      </c>
      <c r="K254" s="8" t="n">
        <f aca="false">J254-H254</f>
        <v>479.648571428572</v>
      </c>
      <c r="L254" s="9" t="n">
        <f aca="false">IF(AND(H254=0,J254=0),0,IF(H254=0,"New",(J254-H254)/H254))</f>
        <v>0.744680284782753</v>
      </c>
    </row>
    <row r="255" customFormat="false" ht="15" hidden="false" customHeight="false" outlineLevel="0" collapsed="false">
      <c r="A255" s="7" t="n">
        <v>4413364</v>
      </c>
      <c r="B255" s="7" t="str">
        <f aca="false">IFERROR(INDEX('Source 2026'!$C:$C,MATCH($A255,'Source 2026'!$B:$B,0)),IFERROR(INDEX('Source 2025'!$C:$C,MATCH($A255,'Source 2025'!$B:$B,0)),""))</f>
        <v>95C M 'מגן מרפק בז</v>
      </c>
      <c r="C255" s="8" t="n">
        <f aca="false">SUMIFS('Source 2025'!$I:$I,'Source 2025'!$B:$B,$A255,'Source 2025'!$A:$A,"Quantity (units)")</f>
        <v>121</v>
      </c>
      <c r="D255" s="8" t="n">
        <f aca="false">SUMIFS('Source 2026'!$I:$I,'Source 2026'!$B:$B,$A255,'Source 2026'!$A:$A,"Quantity (units)")</f>
        <v>127</v>
      </c>
      <c r="E255" s="8" t="n">
        <f aca="false">D255*$J$5</f>
        <v>174.171428571429</v>
      </c>
      <c r="F255" s="8" t="n">
        <f aca="false">E255-C255</f>
        <v>53.1714285714286</v>
      </c>
      <c r="G255" s="9" t="n">
        <f aca="false">IF(AND(C255=0,E255=0),0,IF(C255=0,"New",(E255-C255)/C255))</f>
        <v>0.439433293978749</v>
      </c>
      <c r="H255" s="8" t="n">
        <f aca="false">SUMIFS('Source 2025'!$I:$I,'Source 2025'!$B:$B,$A255,'Source 2025'!$A:$A,"Amount (NIS)")</f>
        <v>3355</v>
      </c>
      <c r="I255" s="8" t="n">
        <f aca="false">SUMIFS('Source 2026'!$I:$I,'Source 2026'!$B:$B,$A255,'Source 2026'!$A:$A,"Amount (NIS)")</f>
        <v>3527.5</v>
      </c>
      <c r="J255" s="8" t="n">
        <f aca="false">I255*$J$5</f>
        <v>4837.71428571429</v>
      </c>
      <c r="K255" s="8" t="n">
        <f aca="false">J255-H255</f>
        <v>1482.71428571429</v>
      </c>
      <c r="L255" s="9" t="n">
        <f aca="false">IF(AND(H255=0,J255=0),0,IF(H255=0,"New",(J255-H255)/H255))</f>
        <v>0.441941664892484</v>
      </c>
    </row>
    <row r="256" customFormat="false" ht="15" hidden="false" customHeight="false" outlineLevel="0" collapsed="false">
      <c r="A256" s="7" t="n">
        <v>4408078</v>
      </c>
      <c r="B256" s="7" t="str">
        <f aca="false">IFERROR(INDEX('Source 2026'!$C:$C,MATCH($A256,'Source 2026'!$B:$B,0)),IFERROR(INDEX('Source 2025'!$C:$C,MATCH($A256,'Source 2025'!$B:$B,0)),""))</f>
        <v>59L XLחגורת שבר לצד שמאל</v>
      </c>
      <c r="C256" s="8" t="n">
        <f aca="false">SUMIFS('Source 2025'!$I:$I,'Source 2025'!$B:$B,$A256,'Source 2025'!$A:$A,"Quantity (units)")</f>
        <v>0</v>
      </c>
      <c r="D256" s="8" t="n">
        <f aca="false">SUMIFS('Source 2026'!$I:$I,'Source 2026'!$B:$B,$A256,'Source 2026'!$A:$A,"Quantity (units)")</f>
        <v>1</v>
      </c>
      <c r="E256" s="8" t="n">
        <f aca="false">D256*$J$5</f>
        <v>1.37142857142857</v>
      </c>
      <c r="F256" s="8" t="n">
        <f aca="false">E256-C256</f>
        <v>1.37142857142857</v>
      </c>
      <c r="G256" s="9" t="str">
        <f aca="false">IF(AND(C256=0,E256=0),0,IF(C256=0,"New",(E256-C256)/C256))</f>
        <v>New</v>
      </c>
      <c r="H256" s="8" t="n">
        <f aca="false">SUMIFS('Source 2025'!$I:$I,'Source 2025'!$B:$B,$A256,'Source 2025'!$A:$A,"Amount (NIS)")</f>
        <v>0</v>
      </c>
      <c r="I256" s="8" t="n">
        <f aca="false">SUMIFS('Source 2026'!$I:$I,'Source 2026'!$B:$B,$A256,'Source 2026'!$A:$A,"Amount (NIS)")</f>
        <v>172</v>
      </c>
      <c r="J256" s="8" t="n">
        <f aca="false">I256*$J$5</f>
        <v>235.885714285714</v>
      </c>
      <c r="K256" s="8" t="n">
        <f aca="false">J256-H256</f>
        <v>235.885714285714</v>
      </c>
      <c r="L256" s="9" t="str">
        <f aca="false">IF(AND(H256=0,J256=0),0,IF(H256=0,"New",(J256-H256)/H256))</f>
        <v>New</v>
      </c>
    </row>
    <row r="257" customFormat="false" ht="15" hidden="false" customHeight="false" outlineLevel="0" collapsed="false">
      <c r="A257" s="7" t="n">
        <v>4415142</v>
      </c>
      <c r="B257" s="7" t="str">
        <f aca="false">IFERROR(INDEX('Source 2026'!$C:$C,MATCH($A257,'Source 2026'!$B:$B,0)),IFERROR(INDEX('Source 2025'!$C:$C,MATCH($A257,'Source 2025'!$B:$B,0)),""))</f>
        <v>26 XS סד ליד דו צדדי לאחר שבר</v>
      </c>
      <c r="C257" s="8" t="n">
        <f aca="false">SUMIFS('Source 2025'!$I:$I,'Source 2025'!$B:$B,$A257,'Source 2025'!$A:$A,"Quantity (units)")</f>
        <v>-1</v>
      </c>
      <c r="D257" s="8" t="n">
        <f aca="false">SUMIFS('Source 2026'!$I:$I,'Source 2026'!$B:$B,$A257,'Source 2026'!$A:$A,"Quantity (units)")</f>
        <v>0</v>
      </c>
      <c r="E257" s="8" t="n">
        <f aca="false">D257*$J$5</f>
        <v>0</v>
      </c>
      <c r="F257" s="8" t="n">
        <f aca="false">E257-C257</f>
        <v>1</v>
      </c>
      <c r="G257" s="9" t="n">
        <f aca="false">IF(AND(C257=0,E257=0),0,IF(C257=0,"New",(E257-C257)/C257))</f>
        <v>-1</v>
      </c>
      <c r="H257" s="8" t="n">
        <f aca="false">SUMIFS('Source 2025'!$I:$I,'Source 2025'!$B:$B,$A257,'Source 2025'!$A:$A,"Amount (NIS)")</f>
        <v>-166.6</v>
      </c>
      <c r="I257" s="8" t="n">
        <f aca="false">SUMIFS('Source 2026'!$I:$I,'Source 2026'!$B:$B,$A257,'Source 2026'!$A:$A,"Amount (NIS)")</f>
        <v>0</v>
      </c>
      <c r="J257" s="8" t="n">
        <f aca="false">I257*$J$5</f>
        <v>0</v>
      </c>
      <c r="K257" s="8" t="n">
        <f aca="false">J257-H257</f>
        <v>166.6</v>
      </c>
      <c r="L257" s="9" t="n">
        <f aca="false">IF(AND(H257=0,J257=0),0,IF(H257=0,"New",(J257-H257)/H257))</f>
        <v>-1</v>
      </c>
    </row>
    <row r="258" customFormat="false" ht="15" hidden="false" customHeight="false" outlineLevel="0" collapsed="false">
      <c r="A258" s="7" t="n">
        <v>4413496</v>
      </c>
      <c r="B258" s="7" t="str">
        <f aca="false">IFERROR(INDEX('Source 2026'!$C:$C,MATCH($A258,'Source 2026'!$B:$B,0)),IFERROR(INDEX('Source 2025'!$C:$C,MATCH($A258,'Source 2025'!$B:$B,0)),""))</f>
        <v>45B XL מגן ברך שחור</v>
      </c>
      <c r="C258" s="8" t="n">
        <f aca="false">SUMIFS('Source 2025'!$I:$I,'Source 2025'!$B:$B,$A258,'Source 2025'!$A:$A,"Quantity (units)")</f>
        <v>13</v>
      </c>
      <c r="D258" s="8" t="n">
        <f aca="false">SUMIFS('Source 2026'!$I:$I,'Source 2026'!$B:$B,$A258,'Source 2026'!$A:$A,"Quantity (units)")</f>
        <v>19</v>
      </c>
      <c r="E258" s="8" t="n">
        <f aca="false">D258*$J$5</f>
        <v>26.0571428571429</v>
      </c>
      <c r="F258" s="8" t="n">
        <f aca="false">E258-C258</f>
        <v>13.0571428571429</v>
      </c>
      <c r="G258" s="9" t="n">
        <f aca="false">IF(AND(C258=0,E258=0),0,IF(C258=0,"New",(E258-C258)/C258))</f>
        <v>1.0043956043956</v>
      </c>
      <c r="H258" s="8" t="n">
        <f aca="false">SUMIFS('Source 2025'!$I:$I,'Source 2025'!$B:$B,$A258,'Source 2025'!$A:$A,"Amount (NIS)")</f>
        <v>360.8</v>
      </c>
      <c r="I258" s="8" t="n">
        <f aca="false">SUMIFS('Source 2026'!$I:$I,'Source 2026'!$B:$B,$A258,'Source 2026'!$A:$A,"Amount (NIS)")</f>
        <v>527.3</v>
      </c>
      <c r="J258" s="8" t="n">
        <f aca="false">I258*$J$5</f>
        <v>723.154285714286</v>
      </c>
      <c r="K258" s="8" t="n">
        <f aca="false">J258-H258</f>
        <v>362.354285714286</v>
      </c>
      <c r="L258" s="9" t="n">
        <f aca="false">IF(AND(H258=0,J258=0),0,IF(H258=0,"New",(J258-H258)/H258))</f>
        <v>1.00430788723472</v>
      </c>
    </row>
    <row r="259" customFormat="false" ht="15" hidden="false" customHeight="false" outlineLevel="0" collapsed="false">
      <c r="A259" s="7" t="n">
        <v>4413034</v>
      </c>
      <c r="B259" s="7" t="str">
        <f aca="false">IFERROR(INDEX('Source 2026'!$C:$C,MATCH($A259,'Source 2026'!$B:$B,0)),IFERROR(INDEX('Source 2025'!$C:$C,MATCH($A259,'Source 2025'!$B:$B,0)),""))</f>
        <v>312 9 מ""ס להתאמהX5 מדבקה גדולה</v>
      </c>
      <c r="C259" s="8" t="n">
        <f aca="false">SUMIFS('Source 2025'!$I:$I,'Source 2025'!$B:$B,$A259,'Source 2025'!$A:$A,"Quantity (units)")</f>
        <v>45</v>
      </c>
      <c r="D259" s="8" t="n">
        <f aca="false">SUMIFS('Source 2026'!$I:$I,'Source 2026'!$B:$B,$A259,'Source 2026'!$A:$A,"Quantity (units)")</f>
        <v>38</v>
      </c>
      <c r="E259" s="8" t="n">
        <f aca="false">D259*$J$5</f>
        <v>52.1142857142857</v>
      </c>
      <c r="F259" s="8" t="n">
        <f aca="false">E259-C259</f>
        <v>7.11428571428571</v>
      </c>
      <c r="G259" s="9" t="n">
        <f aca="false">IF(AND(C259=0,E259=0),0,IF(C259=0,"New",(E259-C259)/C259))</f>
        <v>0.158095238095238</v>
      </c>
      <c r="H259" s="8" t="n">
        <f aca="false">SUMIFS('Source 2025'!$I:$I,'Source 2025'!$B:$B,$A259,'Source 2025'!$A:$A,"Amount (NIS)")</f>
        <v>960.3</v>
      </c>
      <c r="I259" s="8" t="n">
        <f aca="false">SUMIFS('Source 2026'!$I:$I,'Source 2026'!$B:$B,$A259,'Source 2026'!$A:$A,"Amount (NIS)")</f>
        <v>795</v>
      </c>
      <c r="J259" s="8" t="n">
        <f aca="false">I259*$J$5</f>
        <v>1090.28571428571</v>
      </c>
      <c r="K259" s="8" t="n">
        <f aca="false">J259-H259</f>
        <v>129.985714285714</v>
      </c>
      <c r="L259" s="9" t="n">
        <f aca="false">IF(AND(H259=0,J259=0),0,IF(H259=0,"New",(J259-H259)/H259))</f>
        <v>0.13535948587495</v>
      </c>
    </row>
    <row r="260" customFormat="false" ht="15" hidden="false" customHeight="false" outlineLevel="0" collapsed="false">
      <c r="A260" s="7" t="n">
        <v>4413087</v>
      </c>
      <c r="B260" s="7" t="str">
        <f aca="false">IFERROR(INDEX('Source 2026'!$C:$C,MATCH($A260,'Source 2026'!$B:$B,0)),IFERROR(INDEX('Source 2025'!$C:$C,MATCH($A260,'Source 2025'!$B:$B,0)),""))</f>
        <v>422 Lמ.ברך+כרית סיל.סביב לפיקה</v>
      </c>
      <c r="C260" s="8" t="n">
        <f aca="false">SUMIFS('Source 2025'!$I:$I,'Source 2025'!$B:$B,$A260,'Source 2025'!$A:$A,"Quantity (units)")</f>
        <v>1</v>
      </c>
      <c r="D260" s="8" t="n">
        <f aca="false">SUMIFS('Source 2026'!$I:$I,'Source 2026'!$B:$B,$A260,'Source 2026'!$A:$A,"Quantity (units)")</f>
        <v>0</v>
      </c>
      <c r="E260" s="8" t="n">
        <f aca="false">D260*$J$5</f>
        <v>0</v>
      </c>
      <c r="F260" s="8" t="n">
        <f aca="false">E260-C260</f>
        <v>-1</v>
      </c>
      <c r="G260" s="9" t="n">
        <f aca="false">IF(AND(C260=0,E260=0),0,IF(C260=0,"New",(E260-C260)/C260))</f>
        <v>-1</v>
      </c>
      <c r="H260" s="8" t="n">
        <f aca="false">SUMIFS('Source 2025'!$I:$I,'Source 2025'!$B:$B,$A260,'Source 2025'!$A:$A,"Amount (NIS)")</f>
        <v>163.2</v>
      </c>
      <c r="I260" s="8" t="n">
        <f aca="false">SUMIFS('Source 2026'!$I:$I,'Source 2026'!$B:$B,$A260,'Source 2026'!$A:$A,"Amount (NIS)")</f>
        <v>0</v>
      </c>
      <c r="J260" s="8" t="n">
        <f aca="false">I260*$J$5</f>
        <v>0</v>
      </c>
      <c r="K260" s="8" t="n">
        <f aca="false">J260-H260</f>
        <v>-163.2</v>
      </c>
      <c r="L260" s="9" t="n">
        <f aca="false">IF(AND(H260=0,J260=0),0,IF(H260=0,"New",(J260-H260)/H260))</f>
        <v>-1</v>
      </c>
    </row>
    <row r="261" customFormat="false" ht="15" hidden="false" customHeight="false" outlineLevel="0" collapsed="false">
      <c r="A261" s="7" t="n">
        <v>4408002</v>
      </c>
      <c r="B261" s="7" t="str">
        <f aca="false">IFERROR(INDEX('Source 2026'!$C:$C,MATCH($A261,'Source 2026'!$B:$B,0)),IFERROR(INDEX('Source 2025'!$C:$C,MATCH($A261,'Source 2025'!$B:$B,0)),""))</f>
        <v>06 L  ""ח.גב קלה ""מיקדו</v>
      </c>
      <c r="C261" s="8" t="n">
        <f aca="false">SUMIFS('Source 2025'!$I:$I,'Source 2025'!$B:$B,$A261,'Source 2025'!$A:$A,"Quantity (units)")</f>
        <v>-1</v>
      </c>
      <c r="D261" s="8" t="n">
        <f aca="false">SUMIFS('Source 2026'!$I:$I,'Source 2026'!$B:$B,$A261,'Source 2026'!$A:$A,"Quantity (units)")</f>
        <v>0</v>
      </c>
      <c r="E261" s="8" t="n">
        <f aca="false">D261*$J$5</f>
        <v>0</v>
      </c>
      <c r="F261" s="8" t="n">
        <f aca="false">E261-C261</f>
        <v>1</v>
      </c>
      <c r="G261" s="9" t="n">
        <f aca="false">IF(AND(C261=0,E261=0),0,IF(C261=0,"New",(E261-C261)/C261))</f>
        <v>-1</v>
      </c>
      <c r="H261" s="8" t="n">
        <f aca="false">SUMIFS('Source 2025'!$I:$I,'Source 2025'!$B:$B,$A261,'Source 2025'!$A:$A,"Amount (NIS)")</f>
        <v>-158.8</v>
      </c>
      <c r="I261" s="8" t="n">
        <f aca="false">SUMIFS('Source 2026'!$I:$I,'Source 2026'!$B:$B,$A261,'Source 2026'!$A:$A,"Amount (NIS)")</f>
        <v>0</v>
      </c>
      <c r="J261" s="8" t="n">
        <f aca="false">I261*$J$5</f>
        <v>0</v>
      </c>
      <c r="K261" s="8" t="n">
        <f aca="false">J261-H261</f>
        <v>158.8</v>
      </c>
      <c r="L261" s="9" t="n">
        <f aca="false">IF(AND(H261=0,J261=0),0,IF(H261=0,"New",(J261-H261)/H261))</f>
        <v>-1</v>
      </c>
    </row>
    <row r="262" customFormat="false" ht="15" hidden="false" customHeight="false" outlineLevel="0" collapsed="false">
      <c r="A262" s="7" t="n">
        <v>4420019</v>
      </c>
      <c r="B262" s="7" t="str">
        <f aca="false">IFERROR(INDEX('Source 2026'!$C:$C,MATCH($A262,'Source 2026'!$B:$B,0)),IFERROR(INDEX('Source 2025'!$C:$C,MATCH($A262,'Source 2025'!$B:$B,0)),""))</f>
        <v>T91  L-XL רצועת טניס אלבו</v>
      </c>
      <c r="C262" s="8" t="n">
        <f aca="false">SUMIFS('Source 2025'!$I:$I,'Source 2025'!$B:$B,$A262,'Source 2025'!$A:$A,"Quantity (units)")</f>
        <v>-3</v>
      </c>
      <c r="D262" s="8" t="n">
        <f aca="false">SUMIFS('Source 2026'!$I:$I,'Source 2026'!$B:$B,$A262,'Source 2026'!$A:$A,"Quantity (units)")</f>
        <v>0</v>
      </c>
      <c r="E262" s="8" t="n">
        <f aca="false">D262*$J$5</f>
        <v>0</v>
      </c>
      <c r="F262" s="8" t="n">
        <f aca="false">E262-C262</f>
        <v>3</v>
      </c>
      <c r="G262" s="9" t="n">
        <f aca="false">IF(AND(C262=0,E262=0),0,IF(C262=0,"New",(E262-C262)/C262))</f>
        <v>-1</v>
      </c>
      <c r="H262" s="8" t="n">
        <f aca="false">SUMIFS('Source 2025'!$I:$I,'Source 2025'!$B:$B,$A262,'Source 2025'!$A:$A,"Amount (NIS)")</f>
        <v>-158.7</v>
      </c>
      <c r="I262" s="8" t="n">
        <f aca="false">SUMIFS('Source 2026'!$I:$I,'Source 2026'!$B:$B,$A262,'Source 2026'!$A:$A,"Amount (NIS)")</f>
        <v>0</v>
      </c>
      <c r="J262" s="8" t="n">
        <f aca="false">I262*$J$5</f>
        <v>0</v>
      </c>
      <c r="K262" s="8" t="n">
        <f aca="false">J262-H262</f>
        <v>158.7</v>
      </c>
      <c r="L262" s="9" t="n">
        <f aca="false">IF(AND(H262=0,J262=0),0,IF(H262=0,"New",(J262-H262)/H262))</f>
        <v>-1</v>
      </c>
    </row>
    <row r="263" customFormat="false" ht="15" hidden="false" customHeight="false" outlineLevel="0" collapsed="false">
      <c r="A263" s="7" t="n">
        <v>4420020</v>
      </c>
      <c r="B263" s="7" t="str">
        <f aca="false">IFERROR(INDEX('Source 2026'!$C:$C,MATCH($A263,'Source 2026'!$B:$B,0)),IFERROR(INDEX('Source 2025'!$C:$C,MATCH($A263,'Source 2025'!$B:$B,0)),""))</f>
        <v>T91 S-M רצועת טניס אלבו</v>
      </c>
      <c r="C263" s="8" t="n">
        <f aca="false">SUMIFS('Source 2025'!$I:$I,'Source 2025'!$B:$B,$A263,'Source 2025'!$A:$A,"Quantity (units)")</f>
        <v>-3</v>
      </c>
      <c r="D263" s="8" t="n">
        <f aca="false">SUMIFS('Source 2026'!$I:$I,'Source 2026'!$B:$B,$A263,'Source 2026'!$A:$A,"Quantity (units)")</f>
        <v>0</v>
      </c>
      <c r="E263" s="8" t="n">
        <f aca="false">D263*$J$5</f>
        <v>0</v>
      </c>
      <c r="F263" s="8" t="n">
        <f aca="false">E263-C263</f>
        <v>3</v>
      </c>
      <c r="G263" s="9" t="n">
        <f aca="false">IF(AND(C263=0,E263=0),0,IF(C263=0,"New",(E263-C263)/C263))</f>
        <v>-1</v>
      </c>
      <c r="H263" s="8" t="n">
        <f aca="false">SUMIFS('Source 2025'!$I:$I,'Source 2025'!$B:$B,$A263,'Source 2025'!$A:$A,"Amount (NIS)")</f>
        <v>-158.7</v>
      </c>
      <c r="I263" s="8" t="n">
        <f aca="false">SUMIFS('Source 2026'!$I:$I,'Source 2026'!$B:$B,$A263,'Source 2026'!$A:$A,"Amount (NIS)")</f>
        <v>0</v>
      </c>
      <c r="J263" s="8" t="n">
        <f aca="false">I263*$J$5</f>
        <v>0</v>
      </c>
      <c r="K263" s="8" t="n">
        <f aca="false">J263-H263</f>
        <v>158.7</v>
      </c>
      <c r="L263" s="9" t="n">
        <f aca="false">IF(AND(H263=0,J263=0),0,IF(H263=0,"New",(J263-H263)/H263))</f>
        <v>-1</v>
      </c>
    </row>
    <row r="264" customFormat="false" ht="15" hidden="false" customHeight="false" outlineLevel="0" collapsed="false">
      <c r="A264" s="7" t="n">
        <v>4415000</v>
      </c>
      <c r="B264" s="7" t="str">
        <f aca="false">IFERROR(INDEX('Source 2026'!$C:$C,MATCH($A264,'Source 2026'!$B:$B,0)),IFERROR(INDEX('Source 2025'!$C:$C,MATCH($A264,'Source 2025'!$B:$B,0)),""))</f>
        <v>26 L סד ליד דו צדדי לאחר שבר</v>
      </c>
      <c r="C264" s="8" t="n">
        <f aca="false">SUMIFS('Source 2025'!$I:$I,'Source 2025'!$B:$B,$A264,'Source 2025'!$A:$A,"Quantity (units)")</f>
        <v>56</v>
      </c>
      <c r="D264" s="8" t="n">
        <f aca="false">SUMIFS('Source 2026'!$I:$I,'Source 2026'!$B:$B,$A264,'Source 2026'!$A:$A,"Quantity (units)")</f>
        <v>57</v>
      </c>
      <c r="E264" s="8" t="n">
        <f aca="false">D264*$J$5</f>
        <v>78.1714285714286</v>
      </c>
      <c r="F264" s="8" t="n">
        <f aca="false">E264-C264</f>
        <v>22.1714285714286</v>
      </c>
      <c r="G264" s="9" t="n">
        <f aca="false">IF(AND(C264=0,E264=0),0,IF(C264=0,"New",(E264-C264)/C264))</f>
        <v>0.395918367346939</v>
      </c>
      <c r="H264" s="8" t="n">
        <f aca="false">SUMIFS('Source 2025'!$I:$I,'Source 2025'!$B:$B,$A264,'Source 2025'!$A:$A,"Amount (NIS)")</f>
        <v>4869.9</v>
      </c>
      <c r="I264" s="8" t="n">
        <f aca="false">SUMIFS('Source 2026'!$I:$I,'Source 2026'!$B:$B,$A264,'Source 2026'!$A:$A,"Amount (NIS)")</f>
        <v>5027.4</v>
      </c>
      <c r="J264" s="8" t="n">
        <f aca="false">I264*$J$5</f>
        <v>6894.72</v>
      </c>
      <c r="K264" s="8" t="n">
        <f aca="false">J264-H264</f>
        <v>2024.82</v>
      </c>
      <c r="L264" s="9" t="n">
        <f aca="false">IF(AND(H264=0,J264=0),0,IF(H264=0,"New",(J264-H264)/H264))</f>
        <v>0.415782664941785</v>
      </c>
    </row>
    <row r="265" customFormat="false" ht="15" hidden="false" customHeight="false" outlineLevel="0" collapsed="false">
      <c r="A265" s="7" t="n">
        <v>4420004</v>
      </c>
      <c r="B265" s="7" t="str">
        <f aca="false">IFERROR(INDEX('Source 2026'!$C:$C,MATCH($A265,'Source 2026'!$B:$B,0)),IFERROR(INDEX('Source 2025'!$C:$C,MATCH($A265,'Source 2025'!$B:$B,0)),""))</f>
        <v>377  רפ.אורטופדית ספורט זוג35</v>
      </c>
      <c r="C265" s="8" t="n">
        <f aca="false">SUMIFS('Source 2025'!$I:$I,'Source 2025'!$B:$B,$A265,'Source 2025'!$A:$A,"Quantity (units)")</f>
        <v>4</v>
      </c>
      <c r="D265" s="8" t="n">
        <f aca="false">SUMIFS('Source 2026'!$I:$I,'Source 2026'!$B:$B,$A265,'Source 2026'!$A:$A,"Quantity (units)")</f>
        <v>0</v>
      </c>
      <c r="E265" s="8" t="n">
        <f aca="false">D265*$J$5</f>
        <v>0</v>
      </c>
      <c r="F265" s="8" t="n">
        <f aca="false">E265-C265</f>
        <v>-4</v>
      </c>
      <c r="G265" s="9" t="n">
        <f aca="false">IF(AND(C265=0,E265=0),0,IF(C265=0,"New",(E265-C265)/C265))</f>
        <v>-1</v>
      </c>
      <c r="H265" s="8" t="n">
        <f aca="false">SUMIFS('Source 2025'!$I:$I,'Source 2025'!$B:$B,$A265,'Source 2025'!$A:$A,"Amount (NIS)")</f>
        <v>157.3</v>
      </c>
      <c r="I265" s="8" t="n">
        <f aca="false">SUMIFS('Source 2026'!$I:$I,'Source 2026'!$B:$B,$A265,'Source 2026'!$A:$A,"Amount (NIS)")</f>
        <v>0</v>
      </c>
      <c r="J265" s="8" t="n">
        <f aca="false">I265*$J$5</f>
        <v>0</v>
      </c>
      <c r="K265" s="8" t="n">
        <f aca="false">J265-H265</f>
        <v>-157.3</v>
      </c>
      <c r="L265" s="9" t="n">
        <f aca="false">IF(AND(H265=0,J265=0),0,IF(H265=0,"New",(J265-H265)/H265))</f>
        <v>-1</v>
      </c>
    </row>
    <row r="266" customFormat="false" ht="15" hidden="false" customHeight="false" outlineLevel="0" collapsed="false">
      <c r="A266" s="7" t="n">
        <v>4420005</v>
      </c>
      <c r="B266" s="7" t="str">
        <f aca="false">IFERROR(INDEX('Source 2026'!$C:$C,MATCH($A266,'Source 2026'!$B:$B,0)),IFERROR(INDEX('Source 2025'!$C:$C,MATCH($A266,'Source 2025'!$B:$B,0)),""))</f>
        <v>377 רפ.אורטופדית ספורט זוג36</v>
      </c>
      <c r="C266" s="8" t="n">
        <f aca="false">SUMIFS('Source 2025'!$I:$I,'Source 2025'!$B:$B,$A266,'Source 2025'!$A:$A,"Quantity (units)")</f>
        <v>4</v>
      </c>
      <c r="D266" s="8" t="n">
        <f aca="false">SUMIFS('Source 2026'!$I:$I,'Source 2026'!$B:$B,$A266,'Source 2026'!$A:$A,"Quantity (units)")</f>
        <v>0</v>
      </c>
      <c r="E266" s="8" t="n">
        <f aca="false">D266*$J$5</f>
        <v>0</v>
      </c>
      <c r="F266" s="8" t="n">
        <f aca="false">E266-C266</f>
        <v>-4</v>
      </c>
      <c r="G266" s="9" t="n">
        <f aca="false">IF(AND(C266=0,E266=0),0,IF(C266=0,"New",(E266-C266)/C266))</f>
        <v>-1</v>
      </c>
      <c r="H266" s="8" t="n">
        <f aca="false">SUMIFS('Source 2025'!$I:$I,'Source 2025'!$B:$B,$A266,'Source 2025'!$A:$A,"Amount (NIS)")</f>
        <v>157.3</v>
      </c>
      <c r="I266" s="8" t="n">
        <f aca="false">SUMIFS('Source 2026'!$I:$I,'Source 2026'!$B:$B,$A266,'Source 2026'!$A:$A,"Amount (NIS)")</f>
        <v>0</v>
      </c>
      <c r="J266" s="8" t="n">
        <f aca="false">I266*$J$5</f>
        <v>0</v>
      </c>
      <c r="K266" s="8" t="n">
        <f aca="false">J266-H266</f>
        <v>-157.3</v>
      </c>
      <c r="L266" s="9" t="n">
        <f aca="false">IF(AND(H266=0,J266=0),0,IF(H266=0,"New",(J266-H266)/H266))</f>
        <v>-1</v>
      </c>
    </row>
    <row r="267" customFormat="false" ht="15" hidden="false" customHeight="false" outlineLevel="0" collapsed="false">
      <c r="A267" s="7" t="n">
        <v>4420008</v>
      </c>
      <c r="B267" s="7" t="str">
        <f aca="false">IFERROR(INDEX('Source 2026'!$C:$C,MATCH($A267,'Source 2026'!$B:$B,0)),IFERROR(INDEX('Source 2025'!$C:$C,MATCH($A267,'Source 2025'!$B:$B,0)),""))</f>
        <v>377  רפ.אורטופדית ספורט זוג39</v>
      </c>
      <c r="C267" s="8" t="n">
        <f aca="false">SUMIFS('Source 2025'!$I:$I,'Source 2025'!$B:$B,$A267,'Source 2025'!$A:$A,"Quantity (units)")</f>
        <v>4</v>
      </c>
      <c r="D267" s="8" t="n">
        <f aca="false">SUMIFS('Source 2026'!$I:$I,'Source 2026'!$B:$B,$A267,'Source 2026'!$A:$A,"Quantity (units)")</f>
        <v>0</v>
      </c>
      <c r="E267" s="8" t="n">
        <f aca="false">D267*$J$5</f>
        <v>0</v>
      </c>
      <c r="F267" s="8" t="n">
        <f aca="false">E267-C267</f>
        <v>-4</v>
      </c>
      <c r="G267" s="9" t="n">
        <f aca="false">IF(AND(C267=0,E267=0),0,IF(C267=0,"New",(E267-C267)/C267))</f>
        <v>-1</v>
      </c>
      <c r="H267" s="8" t="n">
        <f aca="false">SUMIFS('Source 2025'!$I:$I,'Source 2025'!$B:$B,$A267,'Source 2025'!$A:$A,"Amount (NIS)")</f>
        <v>157.3</v>
      </c>
      <c r="I267" s="8" t="n">
        <f aca="false">SUMIFS('Source 2026'!$I:$I,'Source 2026'!$B:$B,$A267,'Source 2026'!$A:$A,"Amount (NIS)")</f>
        <v>0</v>
      </c>
      <c r="J267" s="8" t="n">
        <f aca="false">I267*$J$5</f>
        <v>0</v>
      </c>
      <c r="K267" s="8" t="n">
        <f aca="false">J267-H267</f>
        <v>-157.3</v>
      </c>
      <c r="L267" s="9" t="n">
        <f aca="false">IF(AND(H267=0,J267=0),0,IF(H267=0,"New",(J267-H267)/H267))</f>
        <v>-1</v>
      </c>
    </row>
    <row r="268" customFormat="false" ht="15" hidden="false" customHeight="false" outlineLevel="0" collapsed="false">
      <c r="A268" s="7" t="n">
        <v>4403006</v>
      </c>
      <c r="B268" s="7" t="str">
        <f aca="false">IFERROR(INDEX('Source 2026'!$C:$C,MATCH($A268,'Source 2026'!$B:$B,0)),IFERROR(INDEX('Source 2025'!$C:$C,MATCH($A268,'Source 2025'!$B:$B,0)),""))</f>
        <v>390W גרב כסף לסכרתיים לבן35-38</v>
      </c>
      <c r="C268" s="8" t="n">
        <f aca="false">SUMIFS('Source 2025'!$I:$I,'Source 2025'!$B:$B,$A268,'Source 2025'!$A:$A,"Quantity (units)")</f>
        <v>2</v>
      </c>
      <c r="D268" s="8" t="n">
        <f aca="false">SUMIFS('Source 2026'!$I:$I,'Source 2026'!$B:$B,$A268,'Source 2026'!$A:$A,"Quantity (units)")</f>
        <v>7</v>
      </c>
      <c r="E268" s="8" t="n">
        <f aca="false">D268*$J$5</f>
        <v>9.6</v>
      </c>
      <c r="F268" s="8" t="n">
        <f aca="false">E268-C268</f>
        <v>7.6</v>
      </c>
      <c r="G268" s="9" t="n">
        <f aca="false">IF(AND(C268=0,E268=0),0,IF(C268=0,"New",(E268-C268)/C268))</f>
        <v>3.8</v>
      </c>
      <c r="H268" s="8" t="n">
        <f aca="false">SUMIFS('Source 2025'!$I:$I,'Source 2025'!$B:$B,$A268,'Source 2025'!$A:$A,"Amount (NIS)")</f>
        <v>62.9</v>
      </c>
      <c r="I268" s="8" t="n">
        <f aca="false">SUMIFS('Source 2026'!$I:$I,'Source 2026'!$B:$B,$A268,'Source 2026'!$A:$A,"Amount (NIS)")</f>
        <v>220.2</v>
      </c>
      <c r="J268" s="8" t="n">
        <f aca="false">I268*$J$5</f>
        <v>301.988571428571</v>
      </c>
      <c r="K268" s="8" t="n">
        <f aca="false">J268-H268</f>
        <v>239.088571428571</v>
      </c>
      <c r="L268" s="9" t="n">
        <f aca="false">IF(AND(H268=0,J268=0),0,IF(H268=0,"New",(J268-H268)/H268))</f>
        <v>3.80109016579605</v>
      </c>
    </row>
    <row r="269" customFormat="false" ht="15" hidden="false" customHeight="false" outlineLevel="0" collapsed="false">
      <c r="A269" s="7" t="n">
        <v>4413106</v>
      </c>
      <c r="B269" s="7" t="str">
        <f aca="false">IFERROR(INDEX('Source 2026'!$C:$C,MATCH($A269,'Source 2026'!$B:$B,0)),IFERROR(INDEX('Source 2025'!$C:$C,MATCH($A269,'Source 2025'!$B:$B,0)),""))</f>
        <v>48 S מגן ברך מחמם</v>
      </c>
      <c r="C269" s="8" t="n">
        <f aca="false">SUMIFS('Source 2025'!$I:$I,'Source 2025'!$B:$B,$A269,'Source 2025'!$A:$A,"Quantity (units)")</f>
        <v>3</v>
      </c>
      <c r="D269" s="8" t="n">
        <f aca="false">SUMIFS('Source 2026'!$I:$I,'Source 2026'!$B:$B,$A269,'Source 2026'!$A:$A,"Quantity (units)")</f>
        <v>0</v>
      </c>
      <c r="E269" s="8" t="n">
        <f aca="false">D269*$J$5</f>
        <v>0</v>
      </c>
      <c r="F269" s="8" t="n">
        <f aca="false">E269-C269</f>
        <v>-3</v>
      </c>
      <c r="G269" s="9" t="n">
        <f aca="false">IF(AND(C269=0,E269=0),0,IF(C269=0,"New",(E269-C269)/C269))</f>
        <v>-1</v>
      </c>
      <c r="H269" s="8" t="n">
        <f aca="false">SUMIFS('Source 2025'!$I:$I,'Source 2025'!$B:$B,$A269,'Source 2025'!$A:$A,"Amount (NIS)")</f>
        <v>157.1</v>
      </c>
      <c r="I269" s="8" t="n">
        <f aca="false">SUMIFS('Source 2026'!$I:$I,'Source 2026'!$B:$B,$A269,'Source 2026'!$A:$A,"Amount (NIS)")</f>
        <v>0</v>
      </c>
      <c r="J269" s="8" t="n">
        <f aca="false">I269*$J$5</f>
        <v>0</v>
      </c>
      <c r="K269" s="8" t="n">
        <f aca="false">J269-H269</f>
        <v>-157.1</v>
      </c>
      <c r="L269" s="9" t="n">
        <f aca="false">IF(AND(H269=0,J269=0),0,IF(H269=0,"New",(J269-H269)/H269))</f>
        <v>-1</v>
      </c>
    </row>
    <row r="270" customFormat="false" ht="15" hidden="false" customHeight="false" outlineLevel="0" collapsed="false">
      <c r="A270" s="7" t="n">
        <v>4413132</v>
      </c>
      <c r="B270" s="7" t="str">
        <f aca="false">IFERROR(INDEX('Source 2026'!$C:$C,MATCH($A270,'Source 2026'!$B:$B,0)),IFERROR(INDEX('Source 2025'!$C:$C,MATCH($A270,'Source 2025'!$B:$B,0)),""))</f>
        <v>76 Lמיישר כתף יציב יישור רחב</v>
      </c>
      <c r="C270" s="8" t="n">
        <f aca="false">SUMIFS('Source 2025'!$I:$I,'Source 2025'!$B:$B,$A270,'Source 2025'!$A:$A,"Quantity (units)")</f>
        <v>3</v>
      </c>
      <c r="D270" s="8" t="n">
        <f aca="false">SUMIFS('Source 2026'!$I:$I,'Source 2026'!$B:$B,$A270,'Source 2026'!$A:$A,"Quantity (units)")</f>
        <v>4</v>
      </c>
      <c r="E270" s="8" t="n">
        <f aca="false">D270*$J$5</f>
        <v>5.48571428571429</v>
      </c>
      <c r="F270" s="8" t="n">
        <f aca="false">E270-C270</f>
        <v>2.48571428571429</v>
      </c>
      <c r="G270" s="9" t="n">
        <f aca="false">IF(AND(C270=0,E270=0),0,IF(C270=0,"New",(E270-C270)/C270))</f>
        <v>0.828571428571429</v>
      </c>
      <c r="H270" s="8" t="n">
        <f aca="false">SUMIFS('Source 2025'!$I:$I,'Source 2025'!$B:$B,$A270,'Source 2025'!$A:$A,"Amount (NIS)")</f>
        <v>461.8</v>
      </c>
      <c r="I270" s="8" t="n">
        <f aca="false">SUMIFS('Source 2026'!$I:$I,'Source 2026'!$B:$B,$A270,'Source 2026'!$A:$A,"Amount (NIS)")</f>
        <v>615.7</v>
      </c>
      <c r="J270" s="8" t="n">
        <f aca="false">I270*$J$5</f>
        <v>844.388571428572</v>
      </c>
      <c r="K270" s="8" t="n">
        <f aca="false">J270-H270</f>
        <v>382.588571428571</v>
      </c>
      <c r="L270" s="9" t="n">
        <f aca="false">IF(AND(H270=0,J270=0),0,IF(H270=0,"New",(J270-H270)/H270))</f>
        <v>0.828472437047578</v>
      </c>
    </row>
    <row r="271" customFormat="false" ht="15" hidden="false" customHeight="false" outlineLevel="0" collapsed="false">
      <c r="A271" s="7" t="n">
        <v>4413114</v>
      </c>
      <c r="B271" s="7" t="str">
        <f aca="false">IFERROR(INDEX('Source 2026'!$C:$C,MATCH($A271,'Source 2026'!$B:$B,0)),IFERROR(INDEX('Source 2025'!$C:$C,MATCH($A271,'Source 2025'!$B:$B,0)),""))</f>
        <v>49 XL מגן ירך</v>
      </c>
      <c r="C271" s="8" t="n">
        <f aca="false">SUMIFS('Source 2025'!$I:$I,'Source 2025'!$B:$B,$A271,'Source 2025'!$A:$A,"Quantity (units)")</f>
        <v>17</v>
      </c>
      <c r="D271" s="8" t="n">
        <f aca="false">SUMIFS('Source 2026'!$I:$I,'Source 2026'!$B:$B,$A271,'Source 2026'!$A:$A,"Quantity (units)")</f>
        <v>12</v>
      </c>
      <c r="E271" s="8" t="n">
        <f aca="false">D271*$J$5</f>
        <v>16.4571428571429</v>
      </c>
      <c r="F271" s="8" t="n">
        <f aca="false">E271-C271</f>
        <v>-0.542857142857145</v>
      </c>
      <c r="G271" s="9" t="n">
        <f aca="false">IF(AND(C271=0,E271=0),0,IF(C271=0,"New",(E271-C271)/C271))</f>
        <v>-0.0319327731092438</v>
      </c>
      <c r="H271" s="8" t="n">
        <f aca="false">SUMIFS('Source 2025'!$I:$I,'Source 2025'!$B:$B,$A271,'Source 2025'!$A:$A,"Amount (NIS)")</f>
        <v>518.5</v>
      </c>
      <c r="I271" s="8" t="n">
        <f aca="false">SUMIFS('Source 2026'!$I:$I,'Source 2026'!$B:$B,$A271,'Source 2026'!$A:$A,"Amount (NIS)")</f>
        <v>366</v>
      </c>
      <c r="J271" s="8" t="n">
        <f aca="false">I271*$J$5</f>
        <v>501.942857142857</v>
      </c>
      <c r="K271" s="8" t="n">
        <f aca="false">J271-H271</f>
        <v>-16.5571428571429</v>
      </c>
      <c r="L271" s="9" t="n">
        <f aca="false">IF(AND(H271=0,J271=0),0,IF(H271=0,"New",(J271-H271)/H271))</f>
        <v>-0.0319327731092437</v>
      </c>
    </row>
    <row r="272" customFormat="false" ht="15" hidden="false" customHeight="false" outlineLevel="0" collapsed="false">
      <c r="A272" s="7" t="n">
        <v>4408027</v>
      </c>
      <c r="B272" s="7" t="str">
        <f aca="false">IFERROR(INDEX('Source 2026'!$C:$C,MATCH($A272,'Source 2026'!$B:$B,0)),IFERROR(INDEX('Source 2025'!$C:$C,MATCH($A272,'Source 2025'!$B:$B,0)),""))</f>
        <v>10 L ""חגורת גב ""לומבו</v>
      </c>
      <c r="C272" s="8" t="n">
        <f aca="false">SUMIFS('Source 2025'!$I:$I,'Source 2025'!$B:$B,$A272,'Source 2025'!$A:$A,"Quantity (units)")</f>
        <v>2</v>
      </c>
      <c r="D272" s="8" t="n">
        <f aca="false">SUMIFS('Source 2026'!$I:$I,'Source 2026'!$B:$B,$A272,'Source 2026'!$A:$A,"Quantity (units)")</f>
        <v>3</v>
      </c>
      <c r="E272" s="8" t="n">
        <f aca="false">D272*$J$5</f>
        <v>4.11428571428571</v>
      </c>
      <c r="F272" s="8" t="n">
        <f aca="false">E272-C272</f>
        <v>2.11428571428571</v>
      </c>
      <c r="G272" s="9" t="n">
        <f aca="false">IF(AND(C272=0,E272=0),0,IF(C272=0,"New",(E272-C272)/C272))</f>
        <v>1.05714285714286</v>
      </c>
      <c r="H272" s="8" t="n">
        <f aca="false">SUMIFS('Source 2025'!$I:$I,'Source 2025'!$B:$B,$A272,'Source 2025'!$A:$A,"Amount (NIS)")</f>
        <v>282.3</v>
      </c>
      <c r="I272" s="8" t="n">
        <f aca="false">SUMIFS('Source 2026'!$I:$I,'Source 2026'!$B:$B,$A272,'Source 2026'!$A:$A,"Amount (NIS)")</f>
        <v>423.5</v>
      </c>
      <c r="J272" s="8" t="n">
        <f aca="false">I272*$J$5</f>
        <v>580.8</v>
      </c>
      <c r="K272" s="8" t="n">
        <f aca="false">J272-H272</f>
        <v>298.5</v>
      </c>
      <c r="L272" s="9" t="n">
        <f aca="false">IF(AND(H272=0,J272=0),0,IF(H272=0,"New",(J272-H272)/H272))</f>
        <v>1.05738575982997</v>
      </c>
    </row>
    <row r="273" customFormat="false" ht="15" hidden="false" customHeight="false" outlineLevel="0" collapsed="false">
      <c r="A273" s="7" t="n">
        <v>4413405</v>
      </c>
      <c r="B273" s="7" t="str">
        <f aca="false">IFERROR(INDEX('Source 2026'!$C:$C,MATCH($A273,'Source 2026'!$B:$B,0)),IFERROR(INDEX('Source 2025'!$C:$C,MATCH($A273,'Source 2025'!$B:$B,0)),""))</f>
        <v>SC95 S מגן מרפק</v>
      </c>
      <c r="C273" s="8" t="n">
        <f aca="false">SUMIFS('Source 2025'!$I:$I,'Source 2025'!$B:$B,$A273,'Source 2025'!$A:$A,"Quantity (units)")</f>
        <v>-2</v>
      </c>
      <c r="D273" s="8" t="n">
        <f aca="false">SUMIFS('Source 2026'!$I:$I,'Source 2026'!$B:$B,$A273,'Source 2026'!$A:$A,"Quantity (units)")</f>
        <v>0</v>
      </c>
      <c r="E273" s="8" t="n">
        <f aca="false">D273*$J$5</f>
        <v>0</v>
      </c>
      <c r="F273" s="8" t="n">
        <f aca="false">E273-C273</f>
        <v>2</v>
      </c>
      <c r="G273" s="9" t="n">
        <f aca="false">IF(AND(C273=0,E273=0),0,IF(C273=0,"New",(E273-C273)/C273))</f>
        <v>-1</v>
      </c>
      <c r="H273" s="8" t="n">
        <f aca="false">SUMIFS('Source 2025'!$I:$I,'Source 2025'!$B:$B,$A273,'Source 2025'!$A:$A,"Amount (NIS)")</f>
        <v>-141.1</v>
      </c>
      <c r="I273" s="8" t="n">
        <f aca="false">SUMIFS('Source 2026'!$I:$I,'Source 2026'!$B:$B,$A273,'Source 2026'!$A:$A,"Amount (NIS)")</f>
        <v>0</v>
      </c>
      <c r="J273" s="8" t="n">
        <f aca="false">I273*$J$5</f>
        <v>0</v>
      </c>
      <c r="K273" s="8" t="n">
        <f aca="false">J273-H273</f>
        <v>141.1</v>
      </c>
      <c r="L273" s="9" t="n">
        <f aca="false">IF(AND(H273=0,J273=0),0,IF(H273=0,"New",(J273-H273)/H273))</f>
        <v>-1</v>
      </c>
    </row>
    <row r="274" customFormat="false" ht="15" hidden="false" customHeight="false" outlineLevel="0" collapsed="false">
      <c r="A274" s="7" t="n">
        <v>4413498</v>
      </c>
      <c r="B274" s="7" t="str">
        <f aca="false">IFERROR(INDEX('Source 2026'!$C:$C,MATCH($A274,'Source 2026'!$B:$B,0)),IFERROR(INDEX('Source 2025'!$C:$C,MATCH($A274,'Source 2025'!$B:$B,0)),""))</f>
        <v>45B S מגן ברך שחור</v>
      </c>
      <c r="C274" s="8" t="n">
        <f aca="false">SUMIFS('Source 2025'!$I:$I,'Source 2025'!$B:$B,$A274,'Source 2025'!$A:$A,"Quantity (units)")</f>
        <v>12</v>
      </c>
      <c r="D274" s="8" t="n">
        <f aca="false">SUMIFS('Source 2026'!$I:$I,'Source 2026'!$B:$B,$A274,'Source 2026'!$A:$A,"Quantity (units)")</f>
        <v>17</v>
      </c>
      <c r="E274" s="8" t="n">
        <f aca="false">D274*$J$5</f>
        <v>23.3142857142857</v>
      </c>
      <c r="F274" s="8" t="n">
        <f aca="false">E274-C274</f>
        <v>11.3142857142857</v>
      </c>
      <c r="G274" s="9" t="n">
        <f aca="false">IF(AND(C274=0,E274=0),0,IF(C274=0,"New",(E274-C274)/C274))</f>
        <v>0.942857142857143</v>
      </c>
      <c r="H274" s="8" t="n">
        <f aca="false">SUMIFS('Source 2025'!$I:$I,'Source 2025'!$B:$B,$A274,'Source 2025'!$A:$A,"Amount (NIS)")</f>
        <v>333</v>
      </c>
      <c r="I274" s="8" t="n">
        <f aca="false">SUMIFS('Source 2026'!$I:$I,'Source 2026'!$B:$B,$A274,'Source 2026'!$A:$A,"Amount (NIS)")</f>
        <v>471.8</v>
      </c>
      <c r="J274" s="8" t="n">
        <f aca="false">I274*$J$5</f>
        <v>647.04</v>
      </c>
      <c r="K274" s="8" t="n">
        <f aca="false">J274-H274</f>
        <v>314.04</v>
      </c>
      <c r="L274" s="9" t="n">
        <f aca="false">IF(AND(H274=0,J274=0),0,IF(H274=0,"New",(J274-H274)/H274))</f>
        <v>0.943063063063063</v>
      </c>
    </row>
    <row r="275" customFormat="false" ht="15" hidden="false" customHeight="false" outlineLevel="0" collapsed="false">
      <c r="A275" s="7" t="n">
        <v>4408060</v>
      </c>
      <c r="B275" s="7" t="str">
        <f aca="false">IFERROR(INDEX('Source 2026'!$C:$C,MATCH($A275,'Source 2026'!$B:$B,0)),IFERROR(INDEX('Source 2025'!$C:$C,MATCH($A275,'Source 2025'!$B:$B,0)),""))</f>
        <v>25 M חבק יד אגודלי</v>
      </c>
      <c r="C275" s="8" t="n">
        <f aca="false">SUMIFS('Source 2025'!$I:$I,'Source 2025'!$B:$B,$A275,'Source 2025'!$A:$A,"Quantity (units)")</f>
        <v>2</v>
      </c>
      <c r="D275" s="8" t="n">
        <f aca="false">SUMIFS('Source 2026'!$I:$I,'Source 2026'!$B:$B,$A275,'Source 2026'!$A:$A,"Quantity (units)")</f>
        <v>0</v>
      </c>
      <c r="E275" s="8" t="n">
        <f aca="false">D275*$J$5</f>
        <v>0</v>
      </c>
      <c r="F275" s="8" t="n">
        <f aca="false">E275-C275</f>
        <v>-2</v>
      </c>
      <c r="G275" s="9" t="n">
        <f aca="false">IF(AND(C275=0,E275=0),0,IF(C275=0,"New",(E275-C275)/C275))</f>
        <v>-1</v>
      </c>
      <c r="H275" s="8" t="n">
        <f aca="false">SUMIFS('Source 2025'!$I:$I,'Source 2025'!$B:$B,$A275,'Source 2025'!$A:$A,"Amount (NIS)")</f>
        <v>137</v>
      </c>
      <c r="I275" s="8" t="n">
        <f aca="false">SUMIFS('Source 2026'!$I:$I,'Source 2026'!$B:$B,$A275,'Source 2026'!$A:$A,"Amount (NIS)")</f>
        <v>0</v>
      </c>
      <c r="J275" s="8" t="n">
        <f aca="false">I275*$J$5</f>
        <v>0</v>
      </c>
      <c r="K275" s="8" t="n">
        <f aca="false">J275-H275</f>
        <v>-137</v>
      </c>
      <c r="L275" s="9" t="n">
        <f aca="false">IF(AND(H275=0,J275=0),0,IF(H275=0,"New",(J275-H275)/H275))</f>
        <v>-1</v>
      </c>
    </row>
    <row r="276" customFormat="false" ht="15" hidden="false" customHeight="false" outlineLevel="0" collapsed="false">
      <c r="A276" s="7" t="n">
        <v>4408062</v>
      </c>
      <c r="B276" s="7" t="str">
        <f aca="false">IFERROR(INDEX('Source 2026'!$C:$C,MATCH($A276,'Source 2026'!$B:$B,0)),IFERROR(INDEX('Source 2025'!$C:$C,MATCH($A276,'Source 2025'!$B:$B,0)),""))</f>
        <v>25 XL חבק יד אגודלי</v>
      </c>
      <c r="C276" s="8" t="n">
        <f aca="false">SUMIFS('Source 2025'!$I:$I,'Source 2025'!$B:$B,$A276,'Source 2025'!$A:$A,"Quantity (units)")</f>
        <v>1</v>
      </c>
      <c r="D276" s="8" t="n">
        <f aca="false">SUMIFS('Source 2026'!$I:$I,'Source 2026'!$B:$B,$A276,'Source 2026'!$A:$A,"Quantity (units)")</f>
        <v>-1</v>
      </c>
      <c r="E276" s="8" t="n">
        <f aca="false">D276*$J$5</f>
        <v>-1.37142857142857</v>
      </c>
      <c r="F276" s="8" t="n">
        <f aca="false">E276-C276</f>
        <v>-2.37142857142857</v>
      </c>
      <c r="G276" s="9" t="n">
        <f aca="false">IF(AND(C276=0,E276=0),0,IF(C276=0,"New",(E276-C276)/C276))</f>
        <v>-2.37142857142857</v>
      </c>
      <c r="H276" s="8" t="n">
        <f aca="false">SUMIFS('Source 2025'!$I:$I,'Source 2025'!$B:$B,$A276,'Source 2025'!$A:$A,"Amount (NIS)")</f>
        <v>68.5</v>
      </c>
      <c r="I276" s="8" t="n">
        <f aca="false">SUMIFS('Source 2026'!$I:$I,'Source 2026'!$B:$B,$A276,'Source 2026'!$A:$A,"Amount (NIS)")</f>
        <v>-68.5</v>
      </c>
      <c r="J276" s="8" t="n">
        <f aca="false">I276*$J$5</f>
        <v>-93.9428571428572</v>
      </c>
      <c r="K276" s="8" t="n">
        <f aca="false">J276-H276</f>
        <v>-162.442857142857</v>
      </c>
      <c r="L276" s="9" t="n">
        <f aca="false">IF(AND(H276=0,J276=0),0,IF(H276=0,"New",(J276-H276)/H276))</f>
        <v>-2.37142857142857</v>
      </c>
    </row>
    <row r="277" customFormat="false" ht="15" hidden="false" customHeight="false" outlineLevel="0" collapsed="false">
      <c r="A277" s="7" t="n">
        <v>4413276</v>
      </c>
      <c r="B277" s="7" t="str">
        <f aca="false">IFERROR(INDEX('Source 2026'!$C:$C,MATCH($A277,'Source 2026'!$B:$B,0)),IFERROR(INDEX('Source 2025'!$C:$C,MATCH($A277,'Source 2025'!$B:$B,0)),""))</f>
        <v>LF377 L-מדרס סיליקון לנעלי עקב</v>
      </c>
      <c r="C277" s="8" t="n">
        <f aca="false">SUMIFS('Source 2025'!$I:$I,'Source 2025'!$B:$B,$A277,'Source 2025'!$A:$A,"Quantity (units)")</f>
        <v>0</v>
      </c>
      <c r="D277" s="8" t="n">
        <f aca="false">SUMIFS('Source 2026'!$I:$I,'Source 2026'!$B:$B,$A277,'Source 2026'!$A:$A,"Quantity (units)")</f>
        <v>4</v>
      </c>
      <c r="E277" s="8" t="n">
        <f aca="false">D277*$J$5</f>
        <v>5.48571428571429</v>
      </c>
      <c r="F277" s="8" t="n">
        <f aca="false">E277-C277</f>
        <v>5.48571428571429</v>
      </c>
      <c r="G277" s="9" t="str">
        <f aca="false">IF(AND(C277=0,E277=0),0,IF(C277=0,"New",(E277-C277)/C277))</f>
        <v>New</v>
      </c>
      <c r="H277" s="8" t="n">
        <f aca="false">SUMIFS('Source 2025'!$I:$I,'Source 2025'!$B:$B,$A277,'Source 2025'!$A:$A,"Amount (NIS)")</f>
        <v>0</v>
      </c>
      <c r="I277" s="8" t="n">
        <f aca="false">SUMIFS('Source 2026'!$I:$I,'Source 2026'!$B:$B,$A277,'Source 2026'!$A:$A,"Amount (NIS)")</f>
        <v>136.1</v>
      </c>
      <c r="J277" s="8" t="n">
        <f aca="false">I277*$J$5</f>
        <v>186.651428571429</v>
      </c>
      <c r="K277" s="8" t="n">
        <f aca="false">J277-H277</f>
        <v>186.651428571429</v>
      </c>
      <c r="L277" s="9" t="str">
        <f aca="false">IF(AND(H277=0,J277=0),0,IF(H277=0,"New",(J277-H277)/H277))</f>
        <v>New</v>
      </c>
    </row>
    <row r="278" customFormat="false" ht="15" hidden="false" customHeight="false" outlineLevel="0" collapsed="false">
      <c r="A278" s="7" t="n">
        <v>4408061</v>
      </c>
      <c r="B278" s="7" t="str">
        <f aca="false">IFERROR(INDEX('Source 2026'!$C:$C,MATCH($A278,'Source 2026'!$B:$B,0)),IFERROR(INDEX('Source 2025'!$C:$C,MATCH($A278,'Source 2025'!$B:$B,0)),""))</f>
        <v>25 S חבק יד אגודלי</v>
      </c>
      <c r="C278" s="8" t="n">
        <f aca="false">SUMIFS('Source 2025'!$I:$I,'Source 2025'!$B:$B,$A278,'Source 2025'!$A:$A,"Quantity (units)")</f>
        <v>-2</v>
      </c>
      <c r="D278" s="8" t="n">
        <f aca="false">SUMIFS('Source 2026'!$I:$I,'Source 2026'!$B:$B,$A278,'Source 2026'!$A:$A,"Quantity (units)")</f>
        <v>0</v>
      </c>
      <c r="E278" s="8" t="n">
        <f aca="false">D278*$J$5</f>
        <v>0</v>
      </c>
      <c r="F278" s="8" t="n">
        <f aca="false">E278-C278</f>
        <v>2</v>
      </c>
      <c r="G278" s="9" t="n">
        <f aca="false">IF(AND(C278=0,E278=0),0,IF(C278=0,"New",(E278-C278)/C278))</f>
        <v>-1</v>
      </c>
      <c r="H278" s="8" t="n">
        <f aca="false">SUMIFS('Source 2025'!$I:$I,'Source 2025'!$B:$B,$A278,'Source 2025'!$A:$A,"Amount (NIS)")</f>
        <v>-133.6</v>
      </c>
      <c r="I278" s="8" t="n">
        <f aca="false">SUMIFS('Source 2026'!$I:$I,'Source 2026'!$B:$B,$A278,'Source 2026'!$A:$A,"Amount (NIS)")</f>
        <v>0</v>
      </c>
      <c r="J278" s="8" t="n">
        <f aca="false">I278*$J$5</f>
        <v>0</v>
      </c>
      <c r="K278" s="8" t="n">
        <f aca="false">J278-H278</f>
        <v>133.6</v>
      </c>
      <c r="L278" s="9" t="n">
        <f aca="false">IF(AND(H278=0,J278=0),0,IF(H278=0,"New",(J278-H278)/H278))</f>
        <v>-1</v>
      </c>
    </row>
    <row r="279" customFormat="false" ht="15" hidden="false" customHeight="false" outlineLevel="0" collapsed="false">
      <c r="A279" s="7" t="n">
        <v>4415067</v>
      </c>
      <c r="B279" s="7" t="str">
        <f aca="false">IFERROR(INDEX('Source 2026'!$C:$C,MATCH($A279,'Source 2026'!$B:$B,0)),IFERROR(INDEX('Source 2025'!$C:$C,MATCH($A279,'Source 2025'!$B:$B,0)),""))</f>
        <v>T28 XL סד לאגודל כפפה</v>
      </c>
      <c r="C279" s="8" t="n">
        <f aca="false">SUMIFS('Source 2025'!$I:$I,'Source 2025'!$B:$B,$A279,'Source 2025'!$A:$A,"Quantity (units)")</f>
        <v>-2</v>
      </c>
      <c r="D279" s="8" t="n">
        <f aca="false">SUMIFS('Source 2026'!$I:$I,'Source 2026'!$B:$B,$A279,'Source 2026'!$A:$A,"Quantity (units)")</f>
        <v>0</v>
      </c>
      <c r="E279" s="8" t="n">
        <f aca="false">D279*$J$5</f>
        <v>0</v>
      </c>
      <c r="F279" s="8" t="n">
        <f aca="false">E279-C279</f>
        <v>2</v>
      </c>
      <c r="G279" s="9" t="n">
        <f aca="false">IF(AND(C279=0,E279=0),0,IF(C279=0,"New",(E279-C279)/C279))</f>
        <v>-1</v>
      </c>
      <c r="H279" s="8" t="n">
        <f aca="false">SUMIFS('Source 2025'!$I:$I,'Source 2025'!$B:$B,$A279,'Source 2025'!$A:$A,"Amount (NIS)")</f>
        <v>-132.3</v>
      </c>
      <c r="I279" s="8" t="n">
        <f aca="false">SUMIFS('Source 2026'!$I:$I,'Source 2026'!$B:$B,$A279,'Source 2026'!$A:$A,"Amount (NIS)")</f>
        <v>0</v>
      </c>
      <c r="J279" s="8" t="n">
        <f aca="false">I279*$J$5</f>
        <v>0</v>
      </c>
      <c r="K279" s="8" t="n">
        <f aca="false">J279-H279</f>
        <v>132.3</v>
      </c>
      <c r="L279" s="9" t="n">
        <f aca="false">IF(AND(H279=0,J279=0),0,IF(H279=0,"New",(J279-H279)/H279))</f>
        <v>-1</v>
      </c>
    </row>
    <row r="280" customFormat="false" ht="15" hidden="false" customHeight="false" outlineLevel="0" collapsed="false">
      <c r="A280" s="7" t="n">
        <v>4413218</v>
      </c>
      <c r="B280" s="7" t="str">
        <f aca="false">IFERROR(INDEX('Source 2026'!$C:$C,MATCH($A280,'Source 2026'!$B:$B,0)),IFERROR(INDEX('Source 2025'!$C:$C,MATCH($A280,'Source 2025'!$B:$B,0)),""))</f>
        <v>T35 XLמגן קרסול+ צמדן</v>
      </c>
      <c r="C280" s="8" t="n">
        <f aca="false">SUMIFS('Source 2025'!$I:$I,'Source 2025'!$B:$B,$A280,'Source 2025'!$A:$A,"Quantity (units)")</f>
        <v>-2</v>
      </c>
      <c r="D280" s="8" t="n">
        <f aca="false">SUMIFS('Source 2026'!$I:$I,'Source 2026'!$B:$B,$A280,'Source 2026'!$A:$A,"Quantity (units)")</f>
        <v>0</v>
      </c>
      <c r="E280" s="8" t="n">
        <f aca="false">D280*$J$5</f>
        <v>0</v>
      </c>
      <c r="F280" s="8" t="n">
        <f aca="false">E280-C280</f>
        <v>2</v>
      </c>
      <c r="G280" s="9" t="n">
        <f aca="false">IF(AND(C280=0,E280=0),0,IF(C280=0,"New",(E280-C280)/C280))</f>
        <v>-1</v>
      </c>
      <c r="H280" s="8" t="n">
        <f aca="false">SUMIFS('Source 2025'!$I:$I,'Source 2025'!$B:$B,$A280,'Source 2025'!$A:$A,"Amount (NIS)")</f>
        <v>-131.5</v>
      </c>
      <c r="I280" s="8" t="n">
        <f aca="false">SUMIFS('Source 2026'!$I:$I,'Source 2026'!$B:$B,$A280,'Source 2026'!$A:$A,"Amount (NIS)")</f>
        <v>0</v>
      </c>
      <c r="J280" s="8" t="n">
        <f aca="false">I280*$J$5</f>
        <v>0</v>
      </c>
      <c r="K280" s="8" t="n">
        <f aca="false">J280-H280</f>
        <v>131.5</v>
      </c>
      <c r="L280" s="9" t="n">
        <f aca="false">IF(AND(H280=0,J280=0),0,IF(H280=0,"New",(J280-H280)/H280))</f>
        <v>-1</v>
      </c>
    </row>
    <row r="281" customFormat="false" ht="15" hidden="false" customHeight="false" outlineLevel="0" collapsed="false">
      <c r="A281" s="7" t="n">
        <v>4418002</v>
      </c>
      <c r="B281" s="7" t="str">
        <f aca="false">IFERROR(INDEX('Source 2026'!$C:$C,MATCH($A281,'Source 2026'!$B:$B,0)),IFERROR(INDEX('Source 2025'!$C:$C,MATCH($A281,'Source 2025'!$B:$B,0)),""))</f>
        <v>60 S צוארון ספוגי</v>
      </c>
      <c r="C281" s="8" t="n">
        <f aca="false">SUMIFS('Source 2025'!$I:$I,'Source 2025'!$B:$B,$A281,'Source 2025'!$A:$A,"Quantity (units)")</f>
        <v>52</v>
      </c>
      <c r="D281" s="8" t="n">
        <f aca="false">SUMIFS('Source 2026'!$I:$I,'Source 2026'!$B:$B,$A281,'Source 2026'!$A:$A,"Quantity (units)")</f>
        <v>48</v>
      </c>
      <c r="E281" s="8" t="n">
        <f aca="false">D281*$J$5</f>
        <v>65.8285714285714</v>
      </c>
      <c r="F281" s="8" t="n">
        <f aca="false">E281-C281</f>
        <v>13.8285714285714</v>
      </c>
      <c r="G281" s="9" t="n">
        <f aca="false">IF(AND(C281=0,E281=0),0,IF(C281=0,"New",(E281-C281)/C281))</f>
        <v>0.265934065934066</v>
      </c>
      <c r="H281" s="8" t="n">
        <f aca="false">SUMIFS('Source 2025'!$I:$I,'Source 2025'!$B:$B,$A281,'Source 2025'!$A:$A,"Amount (NIS)")</f>
        <v>1680.1</v>
      </c>
      <c r="I281" s="8" t="n">
        <f aca="false">SUMIFS('Source 2026'!$I:$I,'Source 2026'!$B:$B,$A281,'Source 2026'!$A:$A,"Amount (NIS)")</f>
        <v>1550.9</v>
      </c>
      <c r="J281" s="8" t="n">
        <f aca="false">I281*$J$5</f>
        <v>2126.94857142857</v>
      </c>
      <c r="K281" s="8" t="n">
        <f aca="false">J281-H281</f>
        <v>446.848571428572</v>
      </c>
      <c r="L281" s="9" t="n">
        <f aca="false">IF(AND(H281=0,J281=0),0,IF(H281=0,"New",(J281-H281)/H281))</f>
        <v>0.265965461239552</v>
      </c>
    </row>
    <row r="282" customFormat="false" ht="15" hidden="false" customHeight="false" outlineLevel="0" collapsed="false">
      <c r="A282" s="7" t="n">
        <v>4420023</v>
      </c>
      <c r="B282" s="7" t="str">
        <f aca="false">IFERROR(INDEX('Source 2026'!$C:$C,MATCH($A282,'Source 2026'!$B:$B,0)),IFERROR(INDEX('Source 2025'!$C:$C,MATCH($A282,'Source 2025'!$B:$B,0)),""))</f>
        <v>LF371 ריפוד סיליקון לנעלי אצבע</v>
      </c>
      <c r="C282" s="8" t="n">
        <f aca="false">SUMIFS('Source 2025'!$I:$I,'Source 2025'!$B:$B,$A282,'Source 2025'!$A:$A,"Quantity (units)")</f>
        <v>4</v>
      </c>
      <c r="D282" s="8" t="n">
        <f aca="false">SUMIFS('Source 2026'!$I:$I,'Source 2026'!$B:$B,$A282,'Source 2026'!$A:$A,"Quantity (units)")</f>
        <v>7</v>
      </c>
      <c r="E282" s="8" t="n">
        <f aca="false">D282*$J$5</f>
        <v>9.6</v>
      </c>
      <c r="F282" s="8" t="n">
        <f aca="false">E282-C282</f>
        <v>5.6</v>
      </c>
      <c r="G282" s="9" t="n">
        <f aca="false">IF(AND(C282=0,E282=0),0,IF(C282=0,"New",(E282-C282)/C282))</f>
        <v>1.4</v>
      </c>
      <c r="H282" s="8" t="n">
        <f aca="false">SUMIFS('Source 2025'!$I:$I,'Source 2025'!$B:$B,$A282,'Source 2025'!$A:$A,"Amount (NIS)")</f>
        <v>43.8</v>
      </c>
      <c r="I282" s="8" t="n">
        <f aca="false">SUMIFS('Source 2026'!$I:$I,'Source 2026'!$B:$B,$A282,'Source 2026'!$A:$A,"Amount (NIS)")</f>
        <v>171.6</v>
      </c>
      <c r="J282" s="8" t="n">
        <f aca="false">I282*$J$5</f>
        <v>235.337142857143</v>
      </c>
      <c r="K282" s="8" t="n">
        <f aca="false">J282-H282</f>
        <v>191.537142857143</v>
      </c>
      <c r="L282" s="9" t="n">
        <f aca="false">IF(AND(H282=0,J282=0),0,IF(H282=0,"New",(J282-H282)/H282))</f>
        <v>4.37299412915851</v>
      </c>
    </row>
    <row r="283" customFormat="false" ht="15" hidden="false" customHeight="false" outlineLevel="0" collapsed="false">
      <c r="A283" s="7" t="n">
        <v>4403000</v>
      </c>
      <c r="B283" s="7" t="str">
        <f aca="false">IFERROR(INDEX('Source 2026'!$C:$C,MATCH($A283,'Source 2026'!$B:$B,0)),IFERROR(INDEX('Source 2025'!$C:$C,MATCH($A283,'Source 2025'!$B:$B,0)),""))</f>
        <v>390B גרב.כסף לסכרתים שחור35-38</v>
      </c>
      <c r="C283" s="8" t="n">
        <f aca="false">SUMIFS('Source 2025'!$I:$I,'Source 2025'!$B:$B,$A283,'Source 2025'!$A:$A,"Quantity (units)")</f>
        <v>0</v>
      </c>
      <c r="D283" s="8" t="n">
        <f aca="false">SUMIFS('Source 2026'!$I:$I,'Source 2026'!$B:$B,$A283,'Source 2026'!$A:$A,"Quantity (units)")</f>
        <v>4</v>
      </c>
      <c r="E283" s="8" t="n">
        <f aca="false">D283*$J$5</f>
        <v>5.48571428571429</v>
      </c>
      <c r="F283" s="8" t="n">
        <f aca="false">E283-C283</f>
        <v>5.48571428571429</v>
      </c>
      <c r="G283" s="9" t="str">
        <f aca="false">IF(AND(C283=0,E283=0),0,IF(C283=0,"New",(E283-C283)/C283))</f>
        <v>New</v>
      </c>
      <c r="H283" s="8" t="n">
        <f aca="false">SUMIFS('Source 2025'!$I:$I,'Source 2025'!$B:$B,$A283,'Source 2025'!$A:$A,"Amount (NIS)")</f>
        <v>0</v>
      </c>
      <c r="I283" s="8" t="n">
        <f aca="false">SUMIFS('Source 2026'!$I:$I,'Source 2026'!$B:$B,$A283,'Source 2026'!$A:$A,"Amount (NIS)")</f>
        <v>125.8</v>
      </c>
      <c r="J283" s="8" t="n">
        <f aca="false">I283*$J$5</f>
        <v>172.525714285714</v>
      </c>
      <c r="K283" s="8" t="n">
        <f aca="false">J283-H283</f>
        <v>172.525714285714</v>
      </c>
      <c r="L283" s="9" t="str">
        <f aca="false">IF(AND(H283=0,J283=0),0,IF(H283=0,"New",(J283-H283)/H283))</f>
        <v>New</v>
      </c>
    </row>
    <row r="284" customFormat="false" ht="15" hidden="false" customHeight="false" outlineLevel="0" collapsed="false">
      <c r="A284" s="7" t="n">
        <v>4413078</v>
      </c>
      <c r="B284" s="7" t="str">
        <f aca="false">IFERROR(INDEX('Source 2026'!$C:$C,MATCH($A284,'Source 2026'!$B:$B,0)),IFERROR(INDEX('Source 2025'!$C:$C,MATCH($A284,'Source 2025'!$B:$B,0)),""))</f>
        <v>41X S מגן ברך מוצלב+מוט</v>
      </c>
      <c r="C284" s="8" t="n">
        <f aca="false">SUMIFS('Source 2025'!$I:$I,'Source 2025'!$B:$B,$A284,'Source 2025'!$A:$A,"Quantity (units)")</f>
        <v>1</v>
      </c>
      <c r="D284" s="8" t="n">
        <f aca="false">SUMIFS('Source 2026'!$I:$I,'Source 2026'!$B:$B,$A284,'Source 2026'!$A:$A,"Quantity (units)")</f>
        <v>0</v>
      </c>
      <c r="E284" s="8" t="n">
        <f aca="false">D284*$J$5</f>
        <v>0</v>
      </c>
      <c r="F284" s="8" t="n">
        <f aca="false">E284-C284</f>
        <v>-1</v>
      </c>
      <c r="G284" s="9" t="n">
        <f aca="false">IF(AND(C284=0,E284=0),0,IF(C284=0,"New",(E284-C284)/C284))</f>
        <v>-1</v>
      </c>
      <c r="H284" s="8" t="n">
        <f aca="false">SUMIFS('Source 2025'!$I:$I,'Source 2025'!$B:$B,$A284,'Source 2025'!$A:$A,"Amount (NIS)")</f>
        <v>125.7</v>
      </c>
      <c r="I284" s="8" t="n">
        <f aca="false">SUMIFS('Source 2026'!$I:$I,'Source 2026'!$B:$B,$A284,'Source 2026'!$A:$A,"Amount (NIS)")</f>
        <v>0</v>
      </c>
      <c r="J284" s="8" t="n">
        <f aca="false">I284*$J$5</f>
        <v>0</v>
      </c>
      <c r="K284" s="8" t="n">
        <f aca="false">J284-H284</f>
        <v>-125.7</v>
      </c>
      <c r="L284" s="9" t="n">
        <f aca="false">IF(AND(H284=0,J284=0),0,IF(H284=0,"New",(J284-H284)/H284))</f>
        <v>-1</v>
      </c>
    </row>
    <row r="285" customFormat="false" ht="15" hidden="false" customHeight="false" outlineLevel="0" collapsed="false">
      <c r="A285" s="7" t="n">
        <v>4413153</v>
      </c>
      <c r="B285" s="7" t="str">
        <f aca="false">IFERROR(INDEX('Source 2026'!$C:$C,MATCH($A285,'Source 2026'!$B:$B,0)),IFERROR(INDEX('Source 2025'!$C:$C,MATCH($A285,'Source 2025'!$B:$B,0)),""))</f>
        <v>305GA מדרס אורטופ.מתכוון35-36</v>
      </c>
      <c r="C285" s="8" t="n">
        <f aca="false">SUMIFS('Source 2025'!$I:$I,'Source 2025'!$B:$B,$A285,'Source 2025'!$A:$A,"Quantity (units)")</f>
        <v>3</v>
      </c>
      <c r="D285" s="8" t="n">
        <f aca="false">SUMIFS('Source 2026'!$I:$I,'Source 2026'!$B:$B,$A285,'Source 2026'!$A:$A,"Quantity (units)")</f>
        <v>2</v>
      </c>
      <c r="E285" s="8" t="n">
        <f aca="false">D285*$J$5</f>
        <v>2.74285714285714</v>
      </c>
      <c r="F285" s="8" t="n">
        <f aca="false">E285-C285</f>
        <v>-0.257142857142857</v>
      </c>
      <c r="G285" s="9" t="n">
        <f aca="false">IF(AND(C285=0,E285=0),0,IF(C285=0,"New",(E285-C285)/C285))</f>
        <v>-0.0857142857142857</v>
      </c>
      <c r="H285" s="8" t="n">
        <f aca="false">SUMIFS('Source 2025'!$I:$I,'Source 2025'!$B:$B,$A285,'Source 2025'!$A:$A,"Amount (NIS)")</f>
        <v>209.9</v>
      </c>
      <c r="I285" s="8" t="n">
        <f aca="false">SUMIFS('Source 2026'!$I:$I,'Source 2026'!$B:$B,$A285,'Source 2026'!$A:$A,"Amount (NIS)")</f>
        <v>84.9</v>
      </c>
      <c r="J285" s="8" t="n">
        <f aca="false">I285*$J$5</f>
        <v>116.434285714286</v>
      </c>
      <c r="K285" s="8" t="n">
        <f aca="false">J285-H285</f>
        <v>-93.4657142857143</v>
      </c>
      <c r="L285" s="9" t="n">
        <f aca="false">IF(AND(H285=0,J285=0),0,IF(H285=0,"New",(J285-H285)/H285))</f>
        <v>-0.445286871299258</v>
      </c>
    </row>
    <row r="286" customFormat="false" ht="15" hidden="false" customHeight="false" outlineLevel="0" collapsed="false">
      <c r="A286" s="7" t="n">
        <v>4413005</v>
      </c>
      <c r="B286" s="7" t="str">
        <f aca="false">IFERROR(INDEX('Source 2026'!$C:$C,MATCH($A286,'Source 2026'!$B:$B,0)),IFERROR(INDEX('Source 2025'!$C:$C,MATCH($A286,'Source 2025'!$B:$B,0)),""))</f>
        <v>30 XXL מגן קרסול מתכוון+סקוטש</v>
      </c>
      <c r="C286" s="8" t="n">
        <f aca="false">SUMIFS('Source 2025'!$I:$I,'Source 2025'!$B:$B,$A286,'Source 2025'!$A:$A,"Quantity (units)")</f>
        <v>1</v>
      </c>
      <c r="D286" s="8" t="n">
        <f aca="false">SUMIFS('Source 2026'!$I:$I,'Source 2026'!$B:$B,$A286,'Source 2026'!$A:$A,"Quantity (units)")</f>
        <v>-1</v>
      </c>
      <c r="E286" s="8" t="n">
        <f aca="false">D286*$J$5</f>
        <v>-1.37142857142857</v>
      </c>
      <c r="F286" s="8" t="n">
        <f aca="false">E286-C286</f>
        <v>-2.37142857142857</v>
      </c>
      <c r="G286" s="9" t="n">
        <f aca="false">IF(AND(C286=0,E286=0),0,IF(C286=0,"New",(E286-C286)/C286))</f>
        <v>-2.37142857142857</v>
      </c>
      <c r="H286" s="8" t="n">
        <f aca="false">SUMIFS('Source 2025'!$I:$I,'Source 2025'!$B:$B,$A286,'Source 2025'!$A:$A,"Amount (NIS)")</f>
        <v>61.7</v>
      </c>
      <c r="I286" s="8" t="n">
        <f aca="false">SUMIFS('Source 2026'!$I:$I,'Source 2026'!$B:$B,$A286,'Source 2026'!$A:$A,"Amount (NIS)")</f>
        <v>-61.7</v>
      </c>
      <c r="J286" s="8" t="n">
        <f aca="false">I286*$J$5</f>
        <v>-84.6171428571429</v>
      </c>
      <c r="K286" s="8" t="n">
        <f aca="false">J286-H286</f>
        <v>-146.317142857143</v>
      </c>
      <c r="L286" s="9" t="n">
        <f aca="false">IF(AND(H286=0,J286=0),0,IF(H286=0,"New",(J286-H286)/H286))</f>
        <v>-2.37142857142857</v>
      </c>
    </row>
    <row r="287" customFormat="false" ht="15" hidden="false" customHeight="false" outlineLevel="0" collapsed="false">
      <c r="A287" s="7" t="n">
        <v>4408252</v>
      </c>
      <c r="B287" s="7" t="str">
        <f aca="false">IFERROR(INDEX('Source 2026'!$C:$C,MATCH($A287,'Source 2026'!$B:$B,0)),IFERROR(INDEX('Source 2025'!$C:$C,MATCH($A287,'Source 2025'!$B:$B,0)),""))</f>
        <v>L-XL 099 חגורת גב שרוכים</v>
      </c>
      <c r="C287" s="8" t="n">
        <f aca="false">SUMIFS('Source 2025'!$I:$I,'Source 2025'!$B:$B,$A287,'Source 2025'!$A:$A,"Quantity (units)")</f>
        <v>0</v>
      </c>
      <c r="D287" s="8" t="n">
        <f aca="false">SUMIFS('Source 2026'!$I:$I,'Source 2026'!$B:$B,$A287,'Source 2026'!$A:$A,"Quantity (units)")</f>
        <v>-1</v>
      </c>
      <c r="E287" s="8" t="n">
        <f aca="false">D287*$J$5</f>
        <v>-1.37142857142857</v>
      </c>
      <c r="F287" s="8" t="n">
        <f aca="false">E287-C287</f>
        <v>-1.37142857142857</v>
      </c>
      <c r="G287" s="9" t="str">
        <f aca="false">IF(AND(C287=0,E287=0),0,IF(C287=0,"New",(E287-C287)/C287))</f>
        <v>New</v>
      </c>
      <c r="H287" s="8" t="n">
        <f aca="false">SUMIFS('Source 2025'!$I:$I,'Source 2025'!$B:$B,$A287,'Source 2025'!$A:$A,"Amount (NIS)")</f>
        <v>0</v>
      </c>
      <c r="I287" s="8" t="n">
        <f aca="false">SUMIFS('Source 2026'!$I:$I,'Source 2026'!$B:$B,$A287,'Source 2026'!$A:$A,"Amount (NIS)")</f>
        <v>-121.5</v>
      </c>
      <c r="J287" s="8" t="n">
        <f aca="false">I287*$J$5</f>
        <v>-166.628571428571</v>
      </c>
      <c r="K287" s="8" t="n">
        <f aca="false">J287-H287</f>
        <v>-166.628571428571</v>
      </c>
      <c r="L287" s="9" t="str">
        <f aca="false">IF(AND(H287=0,J287=0),0,IF(H287=0,"New",(J287-H287)/H287))</f>
        <v>New</v>
      </c>
    </row>
    <row r="288" customFormat="false" ht="15" hidden="false" customHeight="false" outlineLevel="0" collapsed="false">
      <c r="A288" s="7" t="n">
        <v>4403022</v>
      </c>
      <c r="B288" s="7" t="str">
        <f aca="false">IFERROR(INDEX('Source 2026'!$C:$C,MATCH($A288,'Source 2026'!$B:$B,0)),IFERROR(INDEX('Source 2025'!$C:$C,MATCH($A288,'Source 2025'!$B:$B,0)),""))</f>
        <v>394G גרב.כסף לסכרתים אפור43-46</v>
      </c>
      <c r="C288" s="8" t="n">
        <f aca="false">SUMIFS('Source 2025'!$I:$I,'Source 2025'!$B:$B,$A288,'Source 2025'!$A:$A,"Quantity (units)")</f>
        <v>4</v>
      </c>
      <c r="D288" s="8" t="n">
        <f aca="false">SUMIFS('Source 2026'!$I:$I,'Source 2026'!$B:$B,$A288,'Source 2026'!$A:$A,"Quantity (units)")</f>
        <v>-1</v>
      </c>
      <c r="E288" s="8" t="n">
        <f aca="false">D288*$J$5</f>
        <v>-1.37142857142857</v>
      </c>
      <c r="F288" s="8" t="n">
        <f aca="false">E288-C288</f>
        <v>-5.37142857142857</v>
      </c>
      <c r="G288" s="9" t="n">
        <f aca="false">IF(AND(C288=0,E288=0),0,IF(C288=0,"New",(E288-C288)/C288))</f>
        <v>-1.34285714285714</v>
      </c>
      <c r="H288" s="8" t="n">
        <f aca="false">SUMIFS('Source 2025'!$I:$I,'Source 2025'!$B:$B,$A288,'Source 2025'!$A:$A,"Amount (NIS)")</f>
        <v>96.1</v>
      </c>
      <c r="I288" s="8" t="n">
        <f aca="false">SUMIFS('Source 2026'!$I:$I,'Source 2026'!$B:$B,$A288,'Source 2026'!$A:$A,"Amount (NIS)")</f>
        <v>-24</v>
      </c>
      <c r="J288" s="8" t="n">
        <f aca="false">I288*$J$5</f>
        <v>-32.9142857142857</v>
      </c>
      <c r="K288" s="8" t="n">
        <f aca="false">J288-H288</f>
        <v>-129.014285714286</v>
      </c>
      <c r="L288" s="9" t="n">
        <f aca="false">IF(AND(H288=0,J288=0),0,IF(H288=0,"New",(J288-H288)/H288))</f>
        <v>-1.34250037163669</v>
      </c>
    </row>
    <row r="289" customFormat="false" ht="15" hidden="false" customHeight="false" outlineLevel="0" collapsed="false">
      <c r="A289" s="7" t="n">
        <v>4408145</v>
      </c>
      <c r="B289" s="7" t="str">
        <f aca="false">IFERROR(INDEX('Source 2026'!$C:$C,MATCH($A289,'Source 2026'!$B:$B,0)),IFERROR(INDEX('Source 2025'!$C:$C,MATCH($A289,'Source 2025'!$B:$B,0)),""))</f>
        <v>11PS Sחגורה למנותחי בטן</v>
      </c>
      <c r="C289" s="8" t="n">
        <f aca="false">SUMIFS('Source 2025'!$I:$I,'Source 2025'!$B:$B,$A289,'Source 2025'!$A:$A,"Quantity (units)")</f>
        <v>-1</v>
      </c>
      <c r="D289" s="8" t="n">
        <f aca="false">SUMIFS('Source 2026'!$I:$I,'Source 2026'!$B:$B,$A289,'Source 2026'!$A:$A,"Quantity (units)")</f>
        <v>0</v>
      </c>
      <c r="E289" s="8" t="n">
        <f aca="false">D289*$J$5</f>
        <v>0</v>
      </c>
      <c r="F289" s="8" t="n">
        <f aca="false">E289-C289</f>
        <v>1</v>
      </c>
      <c r="G289" s="9" t="n">
        <f aca="false">IF(AND(C289=0,E289=0),0,IF(C289=0,"New",(E289-C289)/C289))</f>
        <v>-1</v>
      </c>
      <c r="H289" s="8" t="n">
        <f aca="false">SUMIFS('Source 2025'!$I:$I,'Source 2025'!$B:$B,$A289,'Source 2025'!$A:$A,"Amount (NIS)")</f>
        <v>-118.6</v>
      </c>
      <c r="I289" s="8" t="n">
        <f aca="false">SUMIFS('Source 2026'!$I:$I,'Source 2026'!$B:$B,$A289,'Source 2026'!$A:$A,"Amount (NIS)")</f>
        <v>0</v>
      </c>
      <c r="J289" s="8" t="n">
        <f aca="false">I289*$J$5</f>
        <v>0</v>
      </c>
      <c r="K289" s="8" t="n">
        <f aca="false">J289-H289</f>
        <v>118.6</v>
      </c>
      <c r="L289" s="9" t="n">
        <f aca="false">IF(AND(H289=0,J289=0),0,IF(H289=0,"New",(J289-H289)/H289))</f>
        <v>-1</v>
      </c>
    </row>
    <row r="290" customFormat="false" ht="15" hidden="false" customHeight="false" outlineLevel="0" collapsed="false">
      <c r="A290" s="7" t="n">
        <v>4408146</v>
      </c>
      <c r="B290" s="7" t="str">
        <f aca="false">IFERROR(INDEX('Source 2026'!$C:$C,MATCH($A290,'Source 2026'!$B:$B,0)),IFERROR(INDEX('Source 2025'!$C:$C,MATCH($A290,'Source 2025'!$B:$B,0)),""))</f>
        <v>11PS Mחגורה למנותחי בטן</v>
      </c>
      <c r="C290" s="8" t="n">
        <f aca="false">SUMIFS('Source 2025'!$I:$I,'Source 2025'!$B:$B,$A290,'Source 2025'!$A:$A,"Quantity (units)")</f>
        <v>1</v>
      </c>
      <c r="D290" s="8" t="n">
        <f aca="false">SUMIFS('Source 2026'!$I:$I,'Source 2026'!$B:$B,$A290,'Source 2026'!$A:$A,"Quantity (units)")</f>
        <v>0</v>
      </c>
      <c r="E290" s="8" t="n">
        <f aca="false">D290*$J$5</f>
        <v>0</v>
      </c>
      <c r="F290" s="8" t="n">
        <f aca="false">E290-C290</f>
        <v>-1</v>
      </c>
      <c r="G290" s="9" t="n">
        <f aca="false">IF(AND(C290=0,E290=0),0,IF(C290=0,"New",(E290-C290)/C290))</f>
        <v>-1</v>
      </c>
      <c r="H290" s="8" t="n">
        <f aca="false">SUMIFS('Source 2025'!$I:$I,'Source 2025'!$B:$B,$A290,'Source 2025'!$A:$A,"Amount (NIS)")</f>
        <v>118.6</v>
      </c>
      <c r="I290" s="8" t="n">
        <f aca="false">SUMIFS('Source 2026'!$I:$I,'Source 2026'!$B:$B,$A290,'Source 2026'!$A:$A,"Amount (NIS)")</f>
        <v>0</v>
      </c>
      <c r="J290" s="8" t="n">
        <f aca="false">I290*$J$5</f>
        <v>0</v>
      </c>
      <c r="K290" s="8" t="n">
        <f aca="false">J290-H290</f>
        <v>-118.6</v>
      </c>
      <c r="L290" s="9" t="n">
        <f aca="false">IF(AND(H290=0,J290=0),0,IF(H290=0,"New",(J290-H290)/H290))</f>
        <v>-1</v>
      </c>
    </row>
    <row r="291" customFormat="false" ht="15" hidden="false" customHeight="false" outlineLevel="0" collapsed="false">
      <c r="A291" s="7" t="n">
        <v>4403021</v>
      </c>
      <c r="B291" s="7" t="str">
        <f aca="false">IFERROR(INDEX('Source 2026'!$C:$C,MATCH($A291,'Source 2026'!$B:$B,0)),IFERROR(INDEX('Source 2025'!$C:$C,MATCH($A291,'Source 2025'!$B:$B,0)),""))</f>
        <v>394G גרב.כסף לסכרתים אפור39-42</v>
      </c>
      <c r="C291" s="8" t="n">
        <f aca="false">SUMIFS('Source 2025'!$I:$I,'Source 2025'!$B:$B,$A291,'Source 2025'!$A:$A,"Quantity (units)")</f>
        <v>0</v>
      </c>
      <c r="D291" s="8" t="n">
        <f aca="false">SUMIFS('Source 2026'!$I:$I,'Source 2026'!$B:$B,$A291,'Source 2026'!$A:$A,"Quantity (units)")</f>
        <v>-3</v>
      </c>
      <c r="E291" s="8" t="n">
        <f aca="false">D291*$J$5</f>
        <v>-4.11428571428571</v>
      </c>
      <c r="F291" s="8" t="n">
        <f aca="false">E291-C291</f>
        <v>-4.11428571428571</v>
      </c>
      <c r="G291" s="9" t="str">
        <f aca="false">IF(AND(C291=0,E291=0),0,IF(C291=0,"New",(E291-C291)/C291))</f>
        <v>New</v>
      </c>
      <c r="H291" s="8" t="n">
        <f aca="false">SUMIFS('Source 2025'!$I:$I,'Source 2025'!$B:$B,$A291,'Source 2025'!$A:$A,"Amount (NIS)")</f>
        <v>0</v>
      </c>
      <c r="I291" s="8" t="n">
        <f aca="false">SUMIFS('Source 2026'!$I:$I,'Source 2026'!$B:$B,$A291,'Source 2026'!$A:$A,"Amount (NIS)")</f>
        <v>-112.3</v>
      </c>
      <c r="J291" s="8" t="n">
        <f aca="false">I291*$J$5</f>
        <v>-154.011428571429</v>
      </c>
      <c r="K291" s="8" t="n">
        <f aca="false">J291-H291</f>
        <v>-154.011428571429</v>
      </c>
      <c r="L291" s="9" t="str">
        <f aca="false">IF(AND(H291=0,J291=0),0,IF(H291=0,"New",(J291-H291)/H291))</f>
        <v>New</v>
      </c>
    </row>
    <row r="292" customFormat="false" ht="15" hidden="false" customHeight="false" outlineLevel="0" collapsed="false">
      <c r="A292" s="7" t="n">
        <v>4413021</v>
      </c>
      <c r="B292" s="7" t="str">
        <f aca="false">IFERROR(INDEX('Source 2026'!$C:$C,MATCH($A292,'Source 2026'!$B:$B,0)),IFERROR(INDEX('Source 2025'!$C:$C,MATCH($A292,'Source 2025'!$B:$B,0)),""))</f>
        <v>303 43-44 מדרסי סיליק.לח.סכרת</v>
      </c>
      <c r="C292" s="8" t="n">
        <f aca="false">SUMIFS('Source 2025'!$I:$I,'Source 2025'!$B:$B,$A292,'Source 2025'!$A:$A,"Quantity (units)")</f>
        <v>1</v>
      </c>
      <c r="D292" s="8" t="n">
        <f aca="false">SUMIFS('Source 2026'!$I:$I,'Source 2026'!$B:$B,$A292,'Source 2026'!$A:$A,"Quantity (units)")</f>
        <v>0</v>
      </c>
      <c r="E292" s="8" t="n">
        <f aca="false">D292*$J$5</f>
        <v>0</v>
      </c>
      <c r="F292" s="8" t="n">
        <f aca="false">E292-C292</f>
        <v>-1</v>
      </c>
      <c r="G292" s="9" t="n">
        <f aca="false">IF(AND(C292=0,E292=0),0,IF(C292=0,"New",(E292-C292)/C292))</f>
        <v>-1</v>
      </c>
      <c r="H292" s="8" t="n">
        <f aca="false">SUMIFS('Source 2025'!$I:$I,'Source 2025'!$B:$B,$A292,'Source 2025'!$A:$A,"Amount (NIS)")</f>
        <v>110.5</v>
      </c>
      <c r="I292" s="8" t="n">
        <f aca="false">SUMIFS('Source 2026'!$I:$I,'Source 2026'!$B:$B,$A292,'Source 2026'!$A:$A,"Amount (NIS)")</f>
        <v>0</v>
      </c>
      <c r="J292" s="8" t="n">
        <f aca="false">I292*$J$5</f>
        <v>0</v>
      </c>
      <c r="K292" s="8" t="n">
        <f aca="false">J292-H292</f>
        <v>-110.5</v>
      </c>
      <c r="L292" s="9" t="n">
        <f aca="false">IF(AND(H292=0,J292=0),0,IF(H292=0,"New",(J292-H292)/H292))</f>
        <v>-1</v>
      </c>
    </row>
    <row r="293" customFormat="false" ht="15" hidden="false" customHeight="false" outlineLevel="0" collapsed="false">
      <c r="A293" s="7" t="n">
        <v>4413367</v>
      </c>
      <c r="B293" s="7" t="str">
        <f aca="false">IFERROR(INDEX('Source 2026'!$C:$C,MATCH($A293,'Source 2026'!$B:$B,0)),IFERROR(INDEX('Source 2025'!$C:$C,MATCH($A293,'Source 2025'!$B:$B,0)),""))</f>
        <v>95C XL'מגן מרפק בז</v>
      </c>
      <c r="C293" s="8" t="n">
        <f aca="false">SUMIFS('Source 2025'!$I:$I,'Source 2025'!$B:$B,$A293,'Source 2025'!$A:$A,"Quantity (units)")</f>
        <v>47</v>
      </c>
      <c r="D293" s="8" t="n">
        <f aca="false">SUMIFS('Source 2026'!$I:$I,'Source 2026'!$B:$B,$A293,'Source 2026'!$A:$A,"Quantity (units)")</f>
        <v>43</v>
      </c>
      <c r="E293" s="8" t="n">
        <f aca="false">D293*$J$5</f>
        <v>58.9714285714286</v>
      </c>
      <c r="F293" s="8" t="n">
        <f aca="false">E293-C293</f>
        <v>11.9714285714286</v>
      </c>
      <c r="G293" s="9" t="n">
        <f aca="false">IF(AND(C293=0,E293=0),0,IF(C293=0,"New",(E293-C293)/C293))</f>
        <v>0.254711246200608</v>
      </c>
      <c r="H293" s="8" t="n">
        <f aca="false">SUMIFS('Source 2025'!$I:$I,'Source 2025'!$B:$B,$A293,'Source 2025'!$A:$A,"Amount (NIS)")</f>
        <v>1302.8</v>
      </c>
      <c r="I293" s="8" t="n">
        <f aca="false">SUMIFS('Source 2026'!$I:$I,'Source 2026'!$B:$B,$A293,'Source 2026'!$A:$A,"Amount (NIS)")</f>
        <v>1193.7</v>
      </c>
      <c r="J293" s="8" t="n">
        <f aca="false">I293*$J$5</f>
        <v>1637.07428571429</v>
      </c>
      <c r="K293" s="8" t="n">
        <f aca="false">J293-H293</f>
        <v>334.274285714286</v>
      </c>
      <c r="L293" s="9" t="n">
        <f aca="false">IF(AND(H293=0,J293=0),0,IF(H293=0,"New",(J293-H293)/H293))</f>
        <v>0.256581429010044</v>
      </c>
    </row>
    <row r="294" customFormat="false" ht="15" hidden="false" customHeight="false" outlineLevel="0" collapsed="false">
      <c r="A294" s="7" t="n">
        <v>4416006</v>
      </c>
      <c r="B294" s="7" t="str">
        <f aca="false">IFERROR(INDEX('Source 2026'!$C:$C,MATCH($A294,'Source 2026'!$B:$B,0)),IFERROR(INDEX('Source 2025'!$C:$C,MATCH($A294,'Source 2025'!$B:$B,0)),""))</f>
        <v>308 Sעקבים סיליק.כחול לדורבן</v>
      </c>
      <c r="C294" s="8" t="n">
        <f aca="false">SUMIFS('Source 2025'!$I:$I,'Source 2025'!$B:$B,$A294,'Source 2025'!$A:$A,"Quantity (units)")</f>
        <v>0</v>
      </c>
      <c r="D294" s="8" t="n">
        <f aca="false">SUMIFS('Source 2026'!$I:$I,'Source 2026'!$B:$B,$A294,'Source 2026'!$A:$A,"Quantity (units)")</f>
        <v>-2</v>
      </c>
      <c r="E294" s="8" t="n">
        <f aca="false">D294*$J$5</f>
        <v>-2.74285714285714</v>
      </c>
      <c r="F294" s="8" t="n">
        <f aca="false">E294-C294</f>
        <v>-2.74285714285714</v>
      </c>
      <c r="G294" s="9" t="str">
        <f aca="false">IF(AND(C294=0,E294=0),0,IF(C294=0,"New",(E294-C294)/C294))</f>
        <v>New</v>
      </c>
      <c r="H294" s="8" t="n">
        <f aca="false">SUMIFS('Source 2025'!$I:$I,'Source 2025'!$B:$B,$A294,'Source 2025'!$A:$A,"Amount (NIS)")</f>
        <v>0</v>
      </c>
      <c r="I294" s="8" t="n">
        <f aca="false">SUMIFS('Source 2026'!$I:$I,'Source 2026'!$B:$B,$A294,'Source 2026'!$A:$A,"Amount (NIS)")</f>
        <v>-109</v>
      </c>
      <c r="J294" s="8" t="n">
        <f aca="false">I294*$J$5</f>
        <v>-149.485714285714</v>
      </c>
      <c r="K294" s="8" t="n">
        <f aca="false">J294-H294</f>
        <v>-149.485714285714</v>
      </c>
      <c r="L294" s="9" t="str">
        <f aca="false">IF(AND(H294=0,J294=0),0,IF(H294=0,"New",(J294-H294)/H294))</f>
        <v>New</v>
      </c>
    </row>
    <row r="295" customFormat="false" ht="15" hidden="false" customHeight="false" outlineLevel="0" collapsed="false">
      <c r="A295" s="7" t="n">
        <v>4420018</v>
      </c>
      <c r="B295" s="7" t="str">
        <f aca="false">IFERROR(INDEX('Source 2026'!$C:$C,MATCH($A295,'Source 2026'!$B:$B,0)),IFERROR(INDEX('Source 2025'!$C:$C,MATCH($A295,'Source 2025'!$B:$B,0)),""))</f>
        <v>T90 רצועת טניס אלבו עם פלסטיק</v>
      </c>
      <c r="C295" s="8" t="n">
        <f aca="false">SUMIFS('Source 2025'!$I:$I,'Source 2025'!$B:$B,$A295,'Source 2025'!$A:$A,"Quantity (units)")</f>
        <v>1</v>
      </c>
      <c r="D295" s="8" t="n">
        <f aca="false">SUMIFS('Source 2026'!$I:$I,'Source 2026'!$B:$B,$A295,'Source 2026'!$A:$A,"Quantity (units)")</f>
        <v>0</v>
      </c>
      <c r="E295" s="8" t="n">
        <f aca="false">D295*$J$5</f>
        <v>0</v>
      </c>
      <c r="F295" s="8" t="n">
        <f aca="false">E295-C295</f>
        <v>-1</v>
      </c>
      <c r="G295" s="9" t="n">
        <f aca="false">IF(AND(C295=0,E295=0),0,IF(C295=0,"New",(E295-C295)/C295))</f>
        <v>-1</v>
      </c>
      <c r="H295" s="8" t="n">
        <f aca="false">SUMIFS('Source 2025'!$I:$I,'Source 2025'!$B:$B,$A295,'Source 2025'!$A:$A,"Amount (NIS)")</f>
        <v>105.9</v>
      </c>
      <c r="I295" s="8" t="n">
        <f aca="false">SUMIFS('Source 2026'!$I:$I,'Source 2026'!$B:$B,$A295,'Source 2026'!$A:$A,"Amount (NIS)")</f>
        <v>0</v>
      </c>
      <c r="J295" s="8" t="n">
        <f aca="false">I295*$J$5</f>
        <v>0</v>
      </c>
      <c r="K295" s="8" t="n">
        <f aca="false">J295-H295</f>
        <v>-105.9</v>
      </c>
      <c r="L295" s="9" t="n">
        <f aca="false">IF(AND(H295=0,J295=0),0,IF(H295=0,"New",(J295-H295)/H295))</f>
        <v>-1</v>
      </c>
    </row>
    <row r="296" customFormat="false" ht="15" hidden="false" customHeight="false" outlineLevel="0" collapsed="false">
      <c r="A296" s="7" t="n">
        <v>4413117</v>
      </c>
      <c r="B296" s="7" t="str">
        <f aca="false">IFERROR(INDEX('Source 2026'!$C:$C,MATCH($A296,'Source 2026'!$B:$B,0)),IFERROR(INDEX('Source 2025'!$C:$C,MATCH($A296,'Source 2025'!$B:$B,0)),""))</f>
        <v>50 L מתלה אשכים לאחר ניתוח</v>
      </c>
      <c r="C296" s="8" t="n">
        <f aca="false">SUMIFS('Source 2025'!$I:$I,'Source 2025'!$B:$B,$A296,'Source 2025'!$A:$A,"Quantity (units)")</f>
        <v>0</v>
      </c>
      <c r="D296" s="8" t="n">
        <f aca="false">SUMIFS('Source 2026'!$I:$I,'Source 2026'!$B:$B,$A296,'Source 2026'!$A:$A,"Quantity (units)")</f>
        <v>-1</v>
      </c>
      <c r="E296" s="8" t="n">
        <f aca="false">D296*$J$5</f>
        <v>-1.37142857142857</v>
      </c>
      <c r="F296" s="8" t="n">
        <f aca="false">E296-C296</f>
        <v>-1.37142857142857</v>
      </c>
      <c r="G296" s="9" t="str">
        <f aca="false">IF(AND(C296=0,E296=0),0,IF(C296=0,"New",(E296-C296)/C296))</f>
        <v>New</v>
      </c>
      <c r="H296" s="8" t="n">
        <f aca="false">SUMIFS('Source 2025'!$I:$I,'Source 2025'!$B:$B,$A296,'Source 2025'!$A:$A,"Amount (NIS)")</f>
        <v>0</v>
      </c>
      <c r="I296" s="8" t="n">
        <f aca="false">SUMIFS('Source 2026'!$I:$I,'Source 2026'!$B:$B,$A296,'Source 2026'!$A:$A,"Amount (NIS)")</f>
        <v>-104.2</v>
      </c>
      <c r="J296" s="8" t="n">
        <f aca="false">I296*$J$5</f>
        <v>-142.902857142857</v>
      </c>
      <c r="K296" s="8" t="n">
        <f aca="false">J296-H296</f>
        <v>-142.902857142857</v>
      </c>
      <c r="L296" s="9" t="str">
        <f aca="false">IF(AND(H296=0,J296=0),0,IF(H296=0,"New",(J296-H296)/H296))</f>
        <v>New</v>
      </c>
    </row>
    <row r="297" customFormat="false" ht="15" hidden="false" customHeight="false" outlineLevel="0" collapsed="false">
      <c r="A297" s="7" t="n">
        <v>4413421</v>
      </c>
      <c r="B297" s="7" t="str">
        <f aca="false">IFERROR(INDEX('Source 2026'!$C:$C,MATCH($A297,'Source 2026'!$B:$B,0)),IFERROR(INDEX('Source 2025'!$C:$C,MATCH($A297,'Source 2025'!$B:$B,0)),""))</f>
        <v>SC35L  M מגן קרסול שמאל</v>
      </c>
      <c r="C297" s="8" t="n">
        <f aca="false">SUMIFS('Source 2025'!$I:$I,'Source 2025'!$B:$B,$A297,'Source 2025'!$A:$A,"Quantity (units)")</f>
        <v>7</v>
      </c>
      <c r="D297" s="8" t="n">
        <f aca="false">SUMIFS('Source 2026'!$I:$I,'Source 2026'!$B:$B,$A297,'Source 2026'!$A:$A,"Quantity (units)")</f>
        <v>8</v>
      </c>
      <c r="E297" s="8" t="n">
        <f aca="false">D297*$J$5</f>
        <v>10.9714285714286</v>
      </c>
      <c r="F297" s="8" t="n">
        <f aca="false">E297-C297</f>
        <v>3.97142857142857</v>
      </c>
      <c r="G297" s="9" t="n">
        <f aca="false">IF(AND(C297=0,E297=0),0,IF(C297=0,"New",(E297-C297)/C297))</f>
        <v>0.56734693877551</v>
      </c>
      <c r="H297" s="8" t="n">
        <f aca="false">SUMIFS('Source 2025'!$I:$I,'Source 2025'!$B:$B,$A297,'Source 2025'!$A:$A,"Amount (NIS)")</f>
        <v>495.1</v>
      </c>
      <c r="I297" s="8" t="n">
        <f aca="false">SUMIFS('Source 2026'!$I:$I,'Source 2026'!$B:$B,$A297,'Source 2026'!$A:$A,"Amount (NIS)")</f>
        <v>595.9</v>
      </c>
      <c r="J297" s="8" t="n">
        <f aca="false">I297*$J$5</f>
        <v>817.234285714286</v>
      </c>
      <c r="K297" s="8" t="n">
        <f aca="false">J297-H297</f>
        <v>322.134285714286</v>
      </c>
      <c r="L297" s="9" t="n">
        <f aca="false">IF(AND(H297=0,J297=0),0,IF(H297=0,"New",(J297-H297)/H297))</f>
        <v>0.650644891363938</v>
      </c>
    </row>
    <row r="298" customFormat="false" ht="15" hidden="false" customHeight="false" outlineLevel="0" collapsed="false">
      <c r="A298" s="7" t="n">
        <v>4420022</v>
      </c>
      <c r="B298" s="7" t="str">
        <f aca="false">IFERROR(INDEX('Source 2026'!$C:$C,MATCH($A298,'Source 2026'!$B:$B,0)),IFERROR(INDEX('Source 2025'!$C:$C,MATCH($A298,'Source 2025'!$B:$B,0)),""))</f>
        <v>LF370 ריפוד סיליקון לעקב אחורי</v>
      </c>
      <c r="C298" s="8" t="n">
        <f aca="false">SUMIFS('Source 2025'!$I:$I,'Source 2025'!$B:$B,$A298,'Source 2025'!$A:$A,"Quantity (units)")</f>
        <v>87</v>
      </c>
      <c r="D298" s="8" t="n">
        <f aca="false">SUMIFS('Source 2026'!$I:$I,'Source 2026'!$B:$B,$A298,'Source 2026'!$A:$A,"Quantity (units)")</f>
        <v>91</v>
      </c>
      <c r="E298" s="8" t="n">
        <f aca="false">D298*$J$5</f>
        <v>124.8</v>
      </c>
      <c r="F298" s="8" t="n">
        <f aca="false">E298-C298</f>
        <v>37.8</v>
      </c>
      <c r="G298" s="9" t="n">
        <f aca="false">IF(AND(C298=0,E298=0),0,IF(C298=0,"New",(E298-C298)/C298))</f>
        <v>0.43448275862069</v>
      </c>
      <c r="H298" s="8" t="n">
        <f aca="false">SUMIFS('Source 2025'!$I:$I,'Source 2025'!$B:$B,$A298,'Source 2025'!$A:$A,"Amount (NIS)")</f>
        <v>1870.4</v>
      </c>
      <c r="I298" s="8" t="n">
        <f aca="false">SUMIFS('Source 2026'!$I:$I,'Source 2026'!$B:$B,$A298,'Source 2026'!$A:$A,"Amount (NIS)")</f>
        <v>1968.5</v>
      </c>
      <c r="J298" s="8" t="n">
        <f aca="false">I298*$J$5</f>
        <v>2699.65714285714</v>
      </c>
      <c r="K298" s="8" t="n">
        <f aca="false">J298-H298</f>
        <v>829.257142857143</v>
      </c>
      <c r="L298" s="9" t="n">
        <f aca="false">IF(AND(H298=0,J298=0),0,IF(H298=0,"New",(J298-H298)/H298))</f>
        <v>0.443358181595992</v>
      </c>
    </row>
    <row r="299" customFormat="false" ht="15" hidden="false" customHeight="false" outlineLevel="0" collapsed="false">
      <c r="A299" s="7" t="n">
        <v>4413180</v>
      </c>
      <c r="B299" s="7" t="str">
        <f aca="false">IFERROR(INDEX('Source 2026'!$C:$C,MATCH($A299,'Source 2026'!$B:$B,0)),IFERROR(INDEX('Source 2025'!$C:$C,MATCH($A299,'Source 2025'!$B:$B,0)),""))</f>
        <v>T39  S מגן שוק</v>
      </c>
      <c r="C299" s="8" t="n">
        <f aca="false">SUMIFS('Source 2025'!$I:$I,'Source 2025'!$B:$B,$A299,'Source 2025'!$A:$A,"Quantity (units)")</f>
        <v>2</v>
      </c>
      <c r="D299" s="8" t="n">
        <f aca="false">SUMIFS('Source 2026'!$I:$I,'Source 2026'!$B:$B,$A299,'Source 2026'!$A:$A,"Quantity (units)")</f>
        <v>1</v>
      </c>
      <c r="E299" s="8" t="n">
        <f aca="false">D299*$J$5</f>
        <v>1.37142857142857</v>
      </c>
      <c r="F299" s="8" t="n">
        <f aca="false">E299-C299</f>
        <v>-0.628571428571429</v>
      </c>
      <c r="G299" s="9" t="n">
        <f aca="false">IF(AND(C299=0,E299=0),0,IF(C299=0,"New",(E299-C299)/C299))</f>
        <v>-0.314285714285714</v>
      </c>
      <c r="H299" s="8" t="n">
        <f aca="false">SUMIFS('Source 2025'!$I:$I,'Source 2025'!$B:$B,$A299,'Source 2025'!$A:$A,"Amount (NIS)")</f>
        <v>194.1</v>
      </c>
      <c r="I299" s="8" t="n">
        <f aca="false">SUMIFS('Source 2026'!$I:$I,'Source 2026'!$B:$B,$A299,'Source 2026'!$A:$A,"Amount (NIS)")</f>
        <v>97</v>
      </c>
      <c r="J299" s="8" t="n">
        <f aca="false">I299*$J$5</f>
        <v>133.028571428571</v>
      </c>
      <c r="K299" s="8" t="n">
        <f aca="false">J299-H299</f>
        <v>-61.0714285714286</v>
      </c>
      <c r="L299" s="9" t="n">
        <f aca="false">IF(AND(H299=0,J299=0),0,IF(H299=0,"New",(J299-H299)/H299))</f>
        <v>-0.314638993155222</v>
      </c>
    </row>
    <row r="300" customFormat="false" ht="15" hidden="false" customHeight="false" outlineLevel="0" collapsed="false">
      <c r="A300" s="7" t="n">
        <v>4413008</v>
      </c>
      <c r="B300" s="7" t="str">
        <f aca="false">IFERROR(INDEX('Source 2026'!$C:$C,MATCH($A300,'Source 2026'!$B:$B,0)),IFERROR(INDEX('Source 2025'!$C:$C,MATCH($A300,'Source 2025'!$B:$B,0)),""))</f>
        <v>300M תתמדרס.ציפוי עור גבר זו43</v>
      </c>
      <c r="C300" s="8" t="n">
        <f aca="false">SUMIFS('Source 2025'!$I:$I,'Source 2025'!$B:$B,$A300,'Source 2025'!$A:$A,"Quantity (units)")</f>
        <v>-2</v>
      </c>
      <c r="D300" s="8" t="n">
        <f aca="false">SUMIFS('Source 2026'!$I:$I,'Source 2026'!$B:$B,$A300,'Source 2026'!$A:$A,"Quantity (units)")</f>
        <v>-1</v>
      </c>
      <c r="E300" s="8" t="n">
        <f aca="false">D300*$J$5</f>
        <v>-1.37142857142857</v>
      </c>
      <c r="F300" s="8" t="n">
        <f aca="false">E300-C300</f>
        <v>0.628571428571429</v>
      </c>
      <c r="G300" s="9" t="n">
        <f aca="false">IF(AND(C300=0,E300=0),0,IF(C300=0,"New",(E300-C300)/C300))</f>
        <v>-0.314285714285714</v>
      </c>
      <c r="H300" s="8" t="n">
        <f aca="false">SUMIFS('Source 2025'!$I:$I,'Source 2025'!$B:$B,$A300,'Source 2025'!$A:$A,"Amount (NIS)")</f>
        <v>-193.5</v>
      </c>
      <c r="I300" s="8" t="n">
        <f aca="false">SUMIFS('Source 2026'!$I:$I,'Source 2026'!$B:$B,$A300,'Source 2026'!$A:$A,"Amount (NIS)")</f>
        <v>-96.7</v>
      </c>
      <c r="J300" s="8" t="n">
        <f aca="false">I300*$J$5</f>
        <v>-132.617142857143</v>
      </c>
      <c r="K300" s="8" t="n">
        <f aca="false">J300-H300</f>
        <v>60.8828571428572</v>
      </c>
      <c r="L300" s="9" t="n">
        <f aca="false">IF(AND(H300=0,J300=0),0,IF(H300=0,"New",(J300-H300)/H300))</f>
        <v>-0.314640088593577</v>
      </c>
    </row>
    <row r="301" customFormat="false" ht="15" hidden="false" customHeight="false" outlineLevel="0" collapsed="false">
      <c r="A301" s="7" t="n">
        <v>4413407</v>
      </c>
      <c r="B301" s="7" t="str">
        <f aca="false">IFERROR(INDEX('Source 2026'!$C:$C,MATCH($A301,'Source 2026'!$B:$B,0)),IFERROR(INDEX('Source 2025'!$C:$C,MATCH($A301,'Source 2025'!$B:$B,0)),""))</f>
        <v>SC95 L מגן מרפק</v>
      </c>
      <c r="C301" s="8" t="n">
        <f aca="false">SUMIFS('Source 2025'!$I:$I,'Source 2025'!$B:$B,$A301,'Source 2025'!$A:$A,"Quantity (units)")</f>
        <v>4</v>
      </c>
      <c r="D301" s="8" t="n">
        <f aca="false">SUMIFS('Source 2026'!$I:$I,'Source 2026'!$B:$B,$A301,'Source 2026'!$A:$A,"Quantity (units)")</f>
        <v>2</v>
      </c>
      <c r="E301" s="8" t="n">
        <f aca="false">D301*$J$5</f>
        <v>2.74285714285714</v>
      </c>
      <c r="F301" s="8" t="n">
        <f aca="false">E301-C301</f>
        <v>-1.25714285714286</v>
      </c>
      <c r="G301" s="9" t="n">
        <f aca="false">IF(AND(C301=0,E301=0),0,IF(C301=0,"New",(E301-C301)/C301))</f>
        <v>-0.314285714285714</v>
      </c>
      <c r="H301" s="8" t="n">
        <f aca="false">SUMIFS('Source 2025'!$I:$I,'Source 2025'!$B:$B,$A301,'Source 2025'!$A:$A,"Amount (NIS)")</f>
        <v>245.4</v>
      </c>
      <c r="I301" s="8" t="n">
        <f aca="false">SUMIFS('Source 2026'!$I:$I,'Source 2026'!$B:$B,$A301,'Source 2026'!$A:$A,"Amount (NIS)")</f>
        <v>149</v>
      </c>
      <c r="J301" s="8" t="n">
        <f aca="false">I301*$J$5</f>
        <v>204.342857142857</v>
      </c>
      <c r="K301" s="8" t="n">
        <f aca="false">J301-H301</f>
        <v>-41.0571428571429</v>
      </c>
      <c r="L301" s="9" t="n">
        <f aca="false">IF(AND(H301=0,J301=0),0,IF(H301=0,"New",(J301-H301)/H301))</f>
        <v>-0.167307020607754</v>
      </c>
    </row>
    <row r="302" customFormat="false" ht="15" hidden="false" customHeight="false" outlineLevel="0" collapsed="false">
      <c r="A302" s="7" t="n">
        <v>4408093</v>
      </c>
      <c r="B302" s="7" t="str">
        <f aca="false">IFERROR(INDEX('Source 2026'!$C:$C,MATCH($A302,'Source 2026'!$B:$B,0)),IFERROR(INDEX('Source 2025'!$C:$C,MATCH($A302,'Source 2025'!$B:$B,0)),""))</f>
        <v>T11C XXL חגורת גב פוג'יאמה</v>
      </c>
      <c r="C302" s="8" t="n">
        <f aca="false">SUMIFS('Source 2025'!$I:$I,'Source 2025'!$B:$B,$A302,'Source 2025'!$A:$A,"Quantity (units)")</f>
        <v>0</v>
      </c>
      <c r="D302" s="8" t="n">
        <f aca="false">SUMIFS('Source 2026'!$I:$I,'Source 2026'!$B:$B,$A302,'Source 2026'!$A:$A,"Quantity (units)")</f>
        <v>1</v>
      </c>
      <c r="E302" s="8" t="n">
        <f aca="false">D302*$J$5</f>
        <v>1.37142857142857</v>
      </c>
      <c r="F302" s="8" t="n">
        <f aca="false">E302-C302</f>
        <v>1.37142857142857</v>
      </c>
      <c r="G302" s="9" t="str">
        <f aca="false">IF(AND(C302=0,E302=0),0,IF(C302=0,"New",(E302-C302)/C302))</f>
        <v>New</v>
      </c>
      <c r="H302" s="8" t="n">
        <f aca="false">SUMIFS('Source 2025'!$I:$I,'Source 2025'!$B:$B,$A302,'Source 2025'!$A:$A,"Amount (NIS)")</f>
        <v>0</v>
      </c>
      <c r="I302" s="8" t="n">
        <f aca="false">SUMIFS('Source 2026'!$I:$I,'Source 2026'!$B:$B,$A302,'Source 2026'!$A:$A,"Amount (NIS)")</f>
        <v>88.2</v>
      </c>
      <c r="J302" s="8" t="n">
        <f aca="false">I302*$J$5</f>
        <v>120.96</v>
      </c>
      <c r="K302" s="8" t="n">
        <f aca="false">J302-H302</f>
        <v>120.96</v>
      </c>
      <c r="L302" s="9" t="str">
        <f aca="false">IF(AND(H302=0,J302=0),0,IF(H302=0,"New",(J302-H302)/H302))</f>
        <v>New</v>
      </c>
    </row>
    <row r="303" customFormat="false" ht="15" hidden="false" customHeight="false" outlineLevel="0" collapsed="false">
      <c r="A303" s="7" t="n">
        <v>4415004</v>
      </c>
      <c r="B303" s="7" t="str">
        <f aca="false">IFERROR(INDEX('Source 2026'!$C:$C,MATCH($A303,'Source 2026'!$B:$B,0)),IFERROR(INDEX('Source 2025'!$C:$C,MATCH($A303,'Source 2025'!$B:$B,0)),""))</f>
        <v>26 XXL סד ליד דו צדדי לאחר שבר</v>
      </c>
      <c r="C303" s="8" t="n">
        <f aca="false">SUMIFS('Source 2025'!$I:$I,'Source 2025'!$B:$B,$A303,'Source 2025'!$A:$A,"Quantity (units)")</f>
        <v>-1</v>
      </c>
      <c r="D303" s="8" t="n">
        <f aca="false">SUMIFS('Source 2026'!$I:$I,'Source 2026'!$B:$B,$A303,'Source 2026'!$A:$A,"Quantity (units)")</f>
        <v>0</v>
      </c>
      <c r="E303" s="8" t="n">
        <f aca="false">D303*$J$5</f>
        <v>0</v>
      </c>
      <c r="F303" s="8" t="n">
        <f aca="false">E303-C303</f>
        <v>1</v>
      </c>
      <c r="G303" s="9" t="n">
        <f aca="false">IF(AND(C303=0,E303=0),0,IF(C303=0,"New",(E303-C303)/C303))</f>
        <v>-1</v>
      </c>
      <c r="H303" s="8" t="n">
        <f aca="false">SUMIFS('Source 2025'!$I:$I,'Source 2025'!$B:$B,$A303,'Source 2025'!$A:$A,"Amount (NIS)")</f>
        <v>-88.2</v>
      </c>
      <c r="I303" s="8" t="n">
        <f aca="false">SUMIFS('Source 2026'!$I:$I,'Source 2026'!$B:$B,$A303,'Source 2026'!$A:$A,"Amount (NIS)")</f>
        <v>0</v>
      </c>
      <c r="J303" s="8" t="n">
        <f aca="false">I303*$J$5</f>
        <v>0</v>
      </c>
      <c r="K303" s="8" t="n">
        <f aca="false">J303-H303</f>
        <v>88.2</v>
      </c>
      <c r="L303" s="9" t="n">
        <f aca="false">IF(AND(H303=0,J303=0),0,IF(H303=0,"New",(J303-H303)/H303))</f>
        <v>-1</v>
      </c>
    </row>
    <row r="304" customFormat="false" ht="15" hidden="false" customHeight="false" outlineLevel="0" collapsed="false">
      <c r="A304" s="7" t="n">
        <v>4413171</v>
      </c>
      <c r="B304" s="7" t="str">
        <f aca="false">IFERROR(INDEX('Source 2026'!$C:$C,MATCH($A304,'Source 2026'!$B:$B,0)),IFERROR(INDEX('Source 2025'!$C:$C,MATCH($A304,'Source 2025'!$B:$B,0)),""))</f>
        <v>T402 L מיצב פיקה</v>
      </c>
      <c r="C304" s="8" t="n">
        <f aca="false">SUMIFS('Source 2025'!$I:$I,'Source 2025'!$B:$B,$A304,'Source 2025'!$A:$A,"Quantity (units)")</f>
        <v>-1</v>
      </c>
      <c r="D304" s="8" t="n">
        <f aca="false">SUMIFS('Source 2026'!$I:$I,'Source 2026'!$B:$B,$A304,'Source 2026'!$A:$A,"Quantity (units)")</f>
        <v>0</v>
      </c>
      <c r="E304" s="8" t="n">
        <f aca="false">D304*$J$5</f>
        <v>0</v>
      </c>
      <c r="F304" s="8" t="n">
        <f aca="false">E304-C304</f>
        <v>1</v>
      </c>
      <c r="G304" s="9" t="n">
        <f aca="false">IF(AND(C304=0,E304=0),0,IF(C304=0,"New",(E304-C304)/C304))</f>
        <v>-1</v>
      </c>
      <c r="H304" s="8" t="n">
        <f aca="false">SUMIFS('Source 2025'!$I:$I,'Source 2025'!$B:$B,$A304,'Source 2025'!$A:$A,"Amount (NIS)")</f>
        <v>-88.2</v>
      </c>
      <c r="I304" s="8" t="n">
        <f aca="false">SUMIFS('Source 2026'!$I:$I,'Source 2026'!$B:$B,$A304,'Source 2026'!$A:$A,"Amount (NIS)")</f>
        <v>0</v>
      </c>
      <c r="J304" s="8" t="n">
        <f aca="false">I304*$J$5</f>
        <v>0</v>
      </c>
      <c r="K304" s="8" t="n">
        <f aca="false">J304-H304</f>
        <v>88.2</v>
      </c>
      <c r="L304" s="9" t="n">
        <f aca="false">IF(AND(H304=0,J304=0),0,IF(H304=0,"New",(J304-H304)/H304))</f>
        <v>-1</v>
      </c>
    </row>
    <row r="305" customFormat="false" ht="15" hidden="false" customHeight="false" outlineLevel="0" collapsed="false">
      <c r="A305" s="7" t="n">
        <v>4413210</v>
      </c>
      <c r="B305" s="7" t="str">
        <f aca="false">IFERROR(INDEX('Source 2026'!$C:$C,MATCH($A305,'Source 2026'!$B:$B,0)),IFERROR(INDEX('Source 2025'!$C:$C,MATCH($A305,'Source 2025'!$B:$B,0)),""))</f>
        <v>T95 S מגן מרפק רגיל</v>
      </c>
      <c r="C305" s="8" t="n">
        <f aca="false">SUMIFS('Source 2025'!$I:$I,'Source 2025'!$B:$B,$A305,'Source 2025'!$A:$A,"Quantity (units)")</f>
        <v>-1</v>
      </c>
      <c r="D305" s="8" t="n">
        <f aca="false">SUMIFS('Source 2026'!$I:$I,'Source 2026'!$B:$B,$A305,'Source 2026'!$A:$A,"Quantity (units)")</f>
        <v>0</v>
      </c>
      <c r="E305" s="8" t="n">
        <f aca="false">D305*$J$5</f>
        <v>0</v>
      </c>
      <c r="F305" s="8" t="n">
        <f aca="false">E305-C305</f>
        <v>1</v>
      </c>
      <c r="G305" s="9" t="n">
        <f aca="false">IF(AND(C305=0,E305=0),0,IF(C305=0,"New",(E305-C305)/C305))</f>
        <v>-1</v>
      </c>
      <c r="H305" s="8" t="n">
        <f aca="false">SUMIFS('Source 2025'!$I:$I,'Source 2025'!$B:$B,$A305,'Source 2025'!$A:$A,"Amount (NIS)")</f>
        <v>-88.2</v>
      </c>
      <c r="I305" s="8" t="n">
        <f aca="false">SUMIFS('Source 2026'!$I:$I,'Source 2026'!$B:$B,$A305,'Source 2026'!$A:$A,"Amount (NIS)")</f>
        <v>0</v>
      </c>
      <c r="J305" s="8" t="n">
        <f aca="false">I305*$J$5</f>
        <v>0</v>
      </c>
      <c r="K305" s="8" t="n">
        <f aca="false">J305-H305</f>
        <v>88.2</v>
      </c>
      <c r="L305" s="9" t="n">
        <f aca="false">IF(AND(H305=0,J305=0),0,IF(H305=0,"New",(J305-H305)/H305))</f>
        <v>-1</v>
      </c>
    </row>
    <row r="306" customFormat="false" ht="15" hidden="false" customHeight="false" outlineLevel="0" collapsed="false">
      <c r="A306" s="7" t="n">
        <v>4415027</v>
      </c>
      <c r="B306" s="7" t="str">
        <f aca="false">IFERROR(INDEX('Source 2026'!$C:$C,MATCH($A306,'Source 2026'!$B:$B,0)),IFERROR(INDEX('Source 2025'!$C:$C,MATCH($A306,'Source 2025'!$B:$B,0)),""))</f>
        <v>AC-27R סד לש.כף יד ימין</v>
      </c>
      <c r="C306" s="8" t="n">
        <f aca="false">SUMIFS('Source 2025'!$I:$I,'Source 2025'!$B:$B,$A306,'Source 2025'!$A:$A,"Quantity (units)")</f>
        <v>24</v>
      </c>
      <c r="D306" s="8" t="n">
        <f aca="false">SUMIFS('Source 2026'!$I:$I,'Source 2026'!$B:$B,$A306,'Source 2026'!$A:$A,"Quantity (units)")</f>
        <v>26</v>
      </c>
      <c r="E306" s="8" t="n">
        <f aca="false">D306*$J$5</f>
        <v>35.6571428571429</v>
      </c>
      <c r="F306" s="8" t="n">
        <f aca="false">E306-C306</f>
        <v>11.6571428571429</v>
      </c>
      <c r="G306" s="9" t="n">
        <f aca="false">IF(AND(C306=0,E306=0),0,IF(C306=0,"New",(E306-C306)/C306))</f>
        <v>0.485714285714286</v>
      </c>
      <c r="H306" s="8" t="n">
        <f aca="false">SUMIFS('Source 2025'!$I:$I,'Source 2025'!$B:$B,$A306,'Source 2025'!$A:$A,"Amount (NIS)")</f>
        <v>822.5</v>
      </c>
      <c r="I306" s="8" t="n">
        <f aca="false">SUMIFS('Source 2026'!$I:$I,'Source 2026'!$B:$B,$A306,'Source 2026'!$A:$A,"Amount (NIS)")</f>
        <v>901.9</v>
      </c>
      <c r="J306" s="8" t="n">
        <f aca="false">I306*$J$5</f>
        <v>1236.89142857143</v>
      </c>
      <c r="K306" s="8" t="n">
        <f aca="false">J306-H306</f>
        <v>414.391428571429</v>
      </c>
      <c r="L306" s="9" t="n">
        <f aca="false">IF(AND(H306=0,J306=0),0,IF(H306=0,"New",(J306-H306)/H306))</f>
        <v>0.50381936604429</v>
      </c>
    </row>
    <row r="307" customFormat="false" ht="15" hidden="false" customHeight="false" outlineLevel="0" collapsed="false">
      <c r="A307" s="7" t="n">
        <v>4403005</v>
      </c>
      <c r="B307" s="7" t="str">
        <f aca="false">IFERROR(INDEX('Source 2026'!$C:$C,MATCH($A307,'Source 2026'!$B:$B,0)),IFERROR(INDEX('Source 2025'!$C:$C,MATCH($A307,'Source 2025'!$B:$B,0)),""))</f>
        <v>G390.43-46 גרבי כסף לסכרת מידה</v>
      </c>
      <c r="C307" s="8" t="n">
        <f aca="false">SUMIFS('Source 2025'!$I:$I,'Source 2025'!$B:$B,$A307,'Source 2025'!$A:$A,"Quantity (units)")</f>
        <v>3</v>
      </c>
      <c r="D307" s="8" t="n">
        <f aca="false">SUMIFS('Source 2026'!$I:$I,'Source 2026'!$B:$B,$A307,'Source 2026'!$A:$A,"Quantity (units)")</f>
        <v>0</v>
      </c>
      <c r="E307" s="8" t="n">
        <f aca="false">D307*$J$5</f>
        <v>0</v>
      </c>
      <c r="F307" s="8" t="n">
        <f aca="false">E307-C307</f>
        <v>-3</v>
      </c>
      <c r="G307" s="9" t="n">
        <f aca="false">IF(AND(C307=0,E307=0),0,IF(C307=0,"New",(E307-C307)/C307))</f>
        <v>-1</v>
      </c>
      <c r="H307" s="8" t="n">
        <f aca="false">SUMIFS('Source 2025'!$I:$I,'Source 2025'!$B:$B,$A307,'Source 2025'!$A:$A,"Amount (NIS)")</f>
        <v>79</v>
      </c>
      <c r="I307" s="8" t="n">
        <f aca="false">SUMIFS('Source 2026'!$I:$I,'Source 2026'!$B:$B,$A307,'Source 2026'!$A:$A,"Amount (NIS)")</f>
        <v>0</v>
      </c>
      <c r="J307" s="8" t="n">
        <f aca="false">I307*$J$5</f>
        <v>0</v>
      </c>
      <c r="K307" s="8" t="n">
        <f aca="false">J307-H307</f>
        <v>-79</v>
      </c>
      <c r="L307" s="9" t="n">
        <f aca="false">IF(AND(H307=0,J307=0),0,IF(H307=0,"New",(J307-H307)/H307))</f>
        <v>-1</v>
      </c>
    </row>
    <row r="308" customFormat="false" ht="15" hidden="false" customHeight="false" outlineLevel="0" collapsed="false">
      <c r="A308" s="7" t="n">
        <v>4420010</v>
      </c>
      <c r="B308" s="7" t="str">
        <f aca="false">IFERROR(INDEX('Source 2026'!$C:$C,MATCH($A308,'Source 2026'!$B:$B,0)),IFERROR(INDEX('Source 2025'!$C:$C,MATCH($A308,'Source 2025'!$B:$B,0)),""))</f>
        <v>377  רפידה אורטופ.ספורט זוג41</v>
      </c>
      <c r="C308" s="8" t="n">
        <f aca="false">SUMIFS('Source 2025'!$I:$I,'Source 2025'!$B:$B,$A308,'Source 2025'!$A:$A,"Quantity (units)")</f>
        <v>2</v>
      </c>
      <c r="D308" s="8" t="n">
        <f aca="false">SUMIFS('Source 2026'!$I:$I,'Source 2026'!$B:$B,$A308,'Source 2026'!$A:$A,"Quantity (units)")</f>
        <v>0</v>
      </c>
      <c r="E308" s="8" t="n">
        <f aca="false">D308*$J$5</f>
        <v>0</v>
      </c>
      <c r="F308" s="8" t="n">
        <f aca="false">E308-C308</f>
        <v>-2</v>
      </c>
      <c r="G308" s="9" t="n">
        <f aca="false">IF(AND(C308=0,E308=0),0,IF(C308=0,"New",(E308-C308)/C308))</f>
        <v>-1</v>
      </c>
      <c r="H308" s="8" t="n">
        <f aca="false">SUMIFS('Source 2025'!$I:$I,'Source 2025'!$B:$B,$A308,'Source 2025'!$A:$A,"Amount (NIS)")</f>
        <v>78.7</v>
      </c>
      <c r="I308" s="8" t="n">
        <f aca="false">SUMIFS('Source 2026'!$I:$I,'Source 2026'!$B:$B,$A308,'Source 2026'!$A:$A,"Amount (NIS)")</f>
        <v>0</v>
      </c>
      <c r="J308" s="8" t="n">
        <f aca="false">I308*$J$5</f>
        <v>0</v>
      </c>
      <c r="K308" s="8" t="n">
        <f aca="false">J308-H308</f>
        <v>-78.7</v>
      </c>
      <c r="L308" s="9" t="n">
        <f aca="false">IF(AND(H308=0,J308=0),0,IF(H308=0,"New",(J308-H308)/H308))</f>
        <v>-1</v>
      </c>
    </row>
    <row r="309" customFormat="false" ht="15" hidden="false" customHeight="false" outlineLevel="0" collapsed="false">
      <c r="A309" s="7" t="n">
        <v>4420011</v>
      </c>
      <c r="B309" s="7" t="str">
        <f aca="false">IFERROR(INDEX('Source 2026'!$C:$C,MATCH($A309,'Source 2026'!$B:$B,0)),IFERROR(INDEX('Source 2025'!$C:$C,MATCH($A309,'Source 2025'!$B:$B,0)),""))</f>
        <v>377 רפידה אורטופ.ספורט זוג42</v>
      </c>
      <c r="C309" s="8" t="n">
        <f aca="false">SUMIFS('Source 2025'!$I:$I,'Source 2025'!$B:$B,$A309,'Source 2025'!$A:$A,"Quantity (units)")</f>
        <v>2</v>
      </c>
      <c r="D309" s="8" t="n">
        <f aca="false">SUMIFS('Source 2026'!$I:$I,'Source 2026'!$B:$B,$A309,'Source 2026'!$A:$A,"Quantity (units)")</f>
        <v>0</v>
      </c>
      <c r="E309" s="8" t="n">
        <f aca="false">D309*$J$5</f>
        <v>0</v>
      </c>
      <c r="F309" s="8" t="n">
        <f aca="false">E309-C309</f>
        <v>-2</v>
      </c>
      <c r="G309" s="9" t="n">
        <f aca="false">IF(AND(C309=0,E309=0),0,IF(C309=0,"New",(E309-C309)/C309))</f>
        <v>-1</v>
      </c>
      <c r="H309" s="8" t="n">
        <f aca="false">SUMIFS('Source 2025'!$I:$I,'Source 2025'!$B:$B,$A309,'Source 2025'!$A:$A,"Amount (NIS)")</f>
        <v>78.7</v>
      </c>
      <c r="I309" s="8" t="n">
        <f aca="false">SUMIFS('Source 2026'!$I:$I,'Source 2026'!$B:$B,$A309,'Source 2026'!$A:$A,"Amount (NIS)")</f>
        <v>0</v>
      </c>
      <c r="J309" s="8" t="n">
        <f aca="false">I309*$J$5</f>
        <v>0</v>
      </c>
      <c r="K309" s="8" t="n">
        <f aca="false">J309-H309</f>
        <v>-78.7</v>
      </c>
      <c r="L309" s="9" t="n">
        <f aca="false">IF(AND(H309=0,J309=0),0,IF(H309=0,"New",(J309-H309)/H309))</f>
        <v>-1</v>
      </c>
    </row>
    <row r="310" customFormat="false" ht="15" hidden="false" customHeight="false" outlineLevel="0" collapsed="false">
      <c r="A310" s="7" t="n">
        <v>4404000</v>
      </c>
      <c r="B310" s="7" t="str">
        <f aca="false">IFERROR(INDEX('Source 2026'!$C:$C,MATCH($A310,'Source 2026'!$B:$B,0)),IFERROR(INDEX('Source 2025'!$C:$C,MATCH($A310,'Source 2025'!$B:$B,0)),""))</f>
        <v>FC330Z-תתדאו'אנטי בקט.לנעל120</v>
      </c>
      <c r="C310" s="8" t="n">
        <f aca="false">SUMIFS('Source 2025'!$I:$I,'Source 2025'!$B:$B,$A310,'Source 2025'!$A:$A,"Quantity (units)")</f>
        <v>3</v>
      </c>
      <c r="D310" s="8" t="n">
        <f aca="false">SUMIFS('Source 2026'!$I:$I,'Source 2026'!$B:$B,$A310,'Source 2026'!$A:$A,"Quantity (units)")</f>
        <v>0</v>
      </c>
      <c r="E310" s="8" t="n">
        <f aca="false">D310*$J$5</f>
        <v>0</v>
      </c>
      <c r="F310" s="8" t="n">
        <f aca="false">E310-C310</f>
        <v>-3</v>
      </c>
      <c r="G310" s="9" t="n">
        <f aca="false">IF(AND(C310=0,E310=0),0,IF(C310=0,"New",(E310-C310)/C310))</f>
        <v>-1</v>
      </c>
      <c r="H310" s="8" t="n">
        <f aca="false">SUMIFS('Source 2025'!$I:$I,'Source 2025'!$B:$B,$A310,'Source 2025'!$A:$A,"Amount (NIS)")</f>
        <v>76.1</v>
      </c>
      <c r="I310" s="8" t="n">
        <f aca="false">SUMIFS('Source 2026'!$I:$I,'Source 2026'!$B:$B,$A310,'Source 2026'!$A:$A,"Amount (NIS)")</f>
        <v>0</v>
      </c>
      <c r="J310" s="8" t="n">
        <f aca="false">I310*$J$5</f>
        <v>0</v>
      </c>
      <c r="K310" s="8" t="n">
        <f aca="false">J310-H310</f>
        <v>-76.1</v>
      </c>
      <c r="L310" s="9" t="n">
        <f aca="false">IF(AND(H310=0,J310=0),0,IF(H310=0,"New",(J310-H310)/H310))</f>
        <v>-1</v>
      </c>
    </row>
    <row r="311" customFormat="false" ht="15" hidden="false" customHeight="false" outlineLevel="0" collapsed="false">
      <c r="A311" s="7" t="n">
        <v>4403017</v>
      </c>
      <c r="B311" s="7" t="str">
        <f aca="false">IFERROR(INDEX('Source 2026'!$C:$C,MATCH($A311,'Source 2026'!$B:$B,0)),IFERROR(INDEX('Source 2025'!$C:$C,MATCH($A311,'Source 2025'!$B:$B,0)),""))</f>
        <v>394B גרב.כסף לסכרתים שחור35-38</v>
      </c>
      <c r="C311" s="8" t="n">
        <f aca="false">SUMIFS('Source 2025'!$I:$I,'Source 2025'!$B:$B,$A311,'Source 2025'!$A:$A,"Quantity (units)")</f>
        <v>0</v>
      </c>
      <c r="D311" s="8" t="n">
        <f aca="false">SUMIFS('Source 2026'!$I:$I,'Source 2026'!$B:$B,$A311,'Source 2026'!$A:$A,"Quantity (units)")</f>
        <v>-2</v>
      </c>
      <c r="E311" s="8" t="n">
        <f aca="false">D311*$J$5</f>
        <v>-2.74285714285714</v>
      </c>
      <c r="F311" s="8" t="n">
        <f aca="false">E311-C311</f>
        <v>-2.74285714285714</v>
      </c>
      <c r="G311" s="9" t="str">
        <f aca="false">IF(AND(C311=0,E311=0),0,IF(C311=0,"New",(E311-C311)/C311))</f>
        <v>New</v>
      </c>
      <c r="H311" s="8" t="n">
        <f aca="false">SUMIFS('Source 2025'!$I:$I,'Source 2025'!$B:$B,$A311,'Source 2025'!$A:$A,"Amount (NIS)")</f>
        <v>0</v>
      </c>
      <c r="I311" s="8" t="n">
        <f aca="false">SUMIFS('Source 2026'!$I:$I,'Source 2026'!$B:$B,$A311,'Source 2026'!$A:$A,"Amount (NIS)")</f>
        <v>-74.9</v>
      </c>
      <c r="J311" s="8" t="n">
        <f aca="false">I311*$J$5</f>
        <v>-102.72</v>
      </c>
      <c r="K311" s="8" t="n">
        <f aca="false">J311-H311</f>
        <v>-102.72</v>
      </c>
      <c r="L311" s="9" t="str">
        <f aca="false">IF(AND(H311=0,J311=0),0,IF(H311=0,"New",(J311-H311)/H311))</f>
        <v>New</v>
      </c>
    </row>
    <row r="312" customFormat="false" ht="15" hidden="false" customHeight="false" outlineLevel="0" collapsed="false">
      <c r="A312" s="7" t="n">
        <v>4403024</v>
      </c>
      <c r="B312" s="7" t="str">
        <f aca="false">IFERROR(INDEX('Source 2026'!$C:$C,MATCH($A312,'Source 2026'!$B:$B,0)),IFERROR(INDEX('Source 2025'!$C:$C,MATCH($A312,'Source 2025'!$B:$B,0)),""))</f>
        <v>394W 39-42 גרב.כסף לסכרתים לבן</v>
      </c>
      <c r="C312" s="8" t="n">
        <f aca="false">SUMIFS('Source 2025'!$I:$I,'Source 2025'!$B:$B,$A312,'Source 2025'!$A:$A,"Quantity (units)")</f>
        <v>10</v>
      </c>
      <c r="D312" s="8" t="n">
        <f aca="false">SUMIFS('Source 2026'!$I:$I,'Source 2026'!$B:$B,$A312,'Source 2026'!$A:$A,"Quantity (units)")</f>
        <v>7</v>
      </c>
      <c r="E312" s="8" t="n">
        <f aca="false">D312*$J$5</f>
        <v>9.6</v>
      </c>
      <c r="F312" s="8" t="n">
        <f aca="false">E312-C312</f>
        <v>-0.4</v>
      </c>
      <c r="G312" s="9" t="n">
        <f aca="false">IF(AND(C312=0,E312=0),0,IF(C312=0,"New",(E312-C312)/C312))</f>
        <v>-0.04</v>
      </c>
      <c r="H312" s="8" t="n">
        <f aca="false">SUMIFS('Source 2025'!$I:$I,'Source 2025'!$B:$B,$A312,'Source 2025'!$A:$A,"Amount (NIS)")</f>
        <v>226.8</v>
      </c>
      <c r="I312" s="8" t="n">
        <f aca="false">SUMIFS('Source 2026'!$I:$I,'Source 2026'!$B:$B,$A312,'Source 2026'!$A:$A,"Amount (NIS)")</f>
        <v>154.7</v>
      </c>
      <c r="J312" s="8" t="n">
        <f aca="false">I312*$J$5</f>
        <v>212.16</v>
      </c>
      <c r="K312" s="8" t="n">
        <f aca="false">J312-H312</f>
        <v>-14.64</v>
      </c>
      <c r="L312" s="9" t="n">
        <f aca="false">IF(AND(H312=0,J312=0),0,IF(H312=0,"New",(J312-H312)/H312))</f>
        <v>-0.0645502645502646</v>
      </c>
    </row>
    <row r="313" customFormat="false" ht="15" hidden="false" customHeight="false" outlineLevel="0" collapsed="false">
      <c r="A313" s="7" t="n">
        <v>4403023</v>
      </c>
      <c r="B313" s="7" t="str">
        <f aca="false">IFERROR(INDEX('Source 2026'!$C:$C,MATCH($A313,'Source 2026'!$B:$B,0)),IFERROR(INDEX('Source 2025'!$C:$C,MATCH($A313,'Source 2025'!$B:$B,0)),""))</f>
        <v>394W 35-38 גרב.כסף לסכרתים לבן</v>
      </c>
      <c r="C313" s="8" t="n">
        <f aca="false">SUMIFS('Source 2025'!$I:$I,'Source 2025'!$B:$B,$A313,'Source 2025'!$A:$A,"Quantity (units)")</f>
        <v>4</v>
      </c>
      <c r="D313" s="8" t="n">
        <f aca="false">SUMIFS('Source 2026'!$I:$I,'Source 2026'!$B:$B,$A313,'Source 2026'!$A:$A,"Quantity (units)")</f>
        <v>7</v>
      </c>
      <c r="E313" s="8" t="n">
        <f aca="false">D313*$J$5</f>
        <v>9.6</v>
      </c>
      <c r="F313" s="8" t="n">
        <f aca="false">E313-C313</f>
        <v>5.6</v>
      </c>
      <c r="G313" s="9" t="n">
        <f aca="false">IF(AND(C313=0,E313=0),0,IF(C313=0,"New",(E313-C313)/C313))</f>
        <v>1.4</v>
      </c>
      <c r="H313" s="8" t="n">
        <f aca="false">SUMIFS('Source 2025'!$I:$I,'Source 2025'!$B:$B,$A313,'Source 2025'!$A:$A,"Amount (NIS)")</f>
        <v>96.1</v>
      </c>
      <c r="I313" s="8" t="n">
        <f aca="false">SUMIFS('Source 2026'!$I:$I,'Source 2026'!$B:$B,$A313,'Source 2026'!$A:$A,"Amount (NIS)")</f>
        <v>168.1</v>
      </c>
      <c r="J313" s="8" t="n">
        <f aca="false">I313*$J$5</f>
        <v>230.537142857143</v>
      </c>
      <c r="K313" s="8" t="n">
        <f aca="false">J313-H313</f>
        <v>134.437142857143</v>
      </c>
      <c r="L313" s="9" t="n">
        <f aca="false">IF(AND(H313=0,J313=0),0,IF(H313=0,"New",(J313-H313)/H313))</f>
        <v>1.39892968633864</v>
      </c>
    </row>
    <row r="314" customFormat="false" ht="15" hidden="false" customHeight="false" outlineLevel="0" collapsed="false">
      <c r="A314" s="7" t="n">
        <v>4420025</v>
      </c>
      <c r="B314" s="7" t="str">
        <f aca="false">IFERROR(INDEX('Source 2026'!$C:$C,MATCH($A314,'Source 2026'!$B:$B,0)),IFERROR(INDEX('Source 2025'!$C:$C,MATCH($A314,'Source 2025'!$B:$B,0)),""))</f>
        <v>LF374 ריפוד סיליק.לעקב תחתון</v>
      </c>
      <c r="C314" s="8" t="n">
        <f aca="false">SUMIFS('Source 2025'!$I:$I,'Source 2025'!$B:$B,$A314,'Source 2025'!$A:$A,"Quantity (units)")</f>
        <v>41</v>
      </c>
      <c r="D314" s="8" t="n">
        <f aca="false">SUMIFS('Source 2026'!$I:$I,'Source 2026'!$B:$B,$A314,'Source 2026'!$A:$A,"Quantity (units)")</f>
        <v>44</v>
      </c>
      <c r="E314" s="8" t="n">
        <f aca="false">D314*$J$5</f>
        <v>60.3428571428571</v>
      </c>
      <c r="F314" s="8" t="n">
        <f aca="false">E314-C314</f>
        <v>19.3428571428571</v>
      </c>
      <c r="G314" s="9" t="n">
        <f aca="false">IF(AND(C314=0,E314=0),0,IF(C314=0,"New",(E314-C314)/C314))</f>
        <v>0.471777003484321</v>
      </c>
      <c r="H314" s="8" t="n">
        <f aca="false">SUMIFS('Source 2025'!$I:$I,'Source 2025'!$B:$B,$A314,'Source 2025'!$A:$A,"Amount (NIS)")</f>
        <v>869.5</v>
      </c>
      <c r="I314" s="8" t="n">
        <f aca="false">SUMIFS('Source 2026'!$I:$I,'Source 2026'!$B:$B,$A314,'Source 2026'!$A:$A,"Amount (NIS)")</f>
        <v>940.6</v>
      </c>
      <c r="J314" s="8" t="n">
        <f aca="false">I314*$J$5</f>
        <v>1289.96571428571</v>
      </c>
      <c r="K314" s="8" t="n">
        <f aca="false">J314-H314</f>
        <v>420.465714285714</v>
      </c>
      <c r="L314" s="9" t="n">
        <f aca="false">IF(AND(H314=0,J314=0),0,IF(H314=0,"New",(J314-H314)/H314))</f>
        <v>0.48357183931652</v>
      </c>
    </row>
    <row r="315" customFormat="false" ht="15" hidden="false" customHeight="false" outlineLevel="0" collapsed="false">
      <c r="A315" s="7" t="n">
        <v>4408247</v>
      </c>
      <c r="B315" s="7" t="str">
        <f aca="false">IFERROR(INDEX('Source 2026'!$C:$C,MATCH($A315,'Source 2026'!$B:$B,0)),IFERROR(INDEX('Source 2025'!$C:$C,MATCH($A315,'Source 2025'!$B:$B,0)),""))</f>
        <v>SC25  S חבק יד</v>
      </c>
      <c r="C315" s="8" t="n">
        <f aca="false">SUMIFS('Source 2025'!$I:$I,'Source 2025'!$B:$B,$A315,'Source 2025'!$A:$A,"Quantity (units)")</f>
        <v>1</v>
      </c>
      <c r="D315" s="8" t="n">
        <f aca="false">SUMIFS('Source 2026'!$I:$I,'Source 2026'!$B:$B,$A315,'Source 2026'!$A:$A,"Quantity (units)")</f>
        <v>2</v>
      </c>
      <c r="E315" s="8" t="n">
        <f aca="false">D315*$J$5</f>
        <v>2.74285714285714</v>
      </c>
      <c r="F315" s="8" t="n">
        <f aca="false">E315-C315</f>
        <v>1.74285714285714</v>
      </c>
      <c r="G315" s="9" t="n">
        <f aca="false">IF(AND(C315=0,E315=0),0,IF(C315=0,"New",(E315-C315)/C315))</f>
        <v>1.74285714285714</v>
      </c>
      <c r="H315" s="8" t="n">
        <f aca="false">SUMIFS('Source 2025'!$I:$I,'Source 2025'!$B:$B,$A315,'Source 2025'!$A:$A,"Amount (NIS)")</f>
        <v>70.6</v>
      </c>
      <c r="I315" s="8" t="n">
        <f aca="false">SUMIFS('Source 2026'!$I:$I,'Source 2026'!$B:$B,$A315,'Source 2026'!$A:$A,"Amount (NIS)")</f>
        <v>141.1</v>
      </c>
      <c r="J315" s="8" t="n">
        <f aca="false">I315*$J$5</f>
        <v>193.508571428571</v>
      </c>
      <c r="K315" s="8" t="n">
        <f aca="false">J315-H315</f>
        <v>122.908571428571</v>
      </c>
      <c r="L315" s="9" t="n">
        <f aca="false">IF(AND(H315=0,J315=0),0,IF(H315=0,"New",(J315-H315)/H315))</f>
        <v>1.74091460946985</v>
      </c>
    </row>
    <row r="316" customFormat="false" ht="15" hidden="false" customHeight="false" outlineLevel="0" collapsed="false">
      <c r="A316" s="7" t="n">
        <v>4413285</v>
      </c>
      <c r="B316" s="7" t="str">
        <f aca="false">IFERROR(INDEX('Source 2026'!$C:$C,MATCH($A316,'Source 2026'!$B:$B,0)),IFERROR(INDEX('Source 2025'!$C:$C,MATCH($A316,'Source 2025'!$B:$B,0)),""))</f>
        <v>305GA מדרס מתכוונן47-48</v>
      </c>
      <c r="C316" s="8" t="n">
        <f aca="false">SUMIFS('Source 2025'!$I:$I,'Source 2025'!$B:$B,$A316,'Source 2025'!$A:$A,"Quantity (units)")</f>
        <v>0</v>
      </c>
      <c r="D316" s="8" t="n">
        <f aca="false">SUMIFS('Source 2026'!$I:$I,'Source 2026'!$B:$B,$A316,'Source 2026'!$A:$A,"Quantity (units)")</f>
        <v>-1</v>
      </c>
      <c r="E316" s="8" t="n">
        <f aca="false">D316*$J$5</f>
        <v>-1.37142857142857</v>
      </c>
      <c r="F316" s="8" t="n">
        <f aca="false">E316-C316</f>
        <v>-1.37142857142857</v>
      </c>
      <c r="G316" s="9" t="str">
        <f aca="false">IF(AND(C316=0,E316=0),0,IF(C316=0,"New",(E316-C316)/C316))</f>
        <v>New</v>
      </c>
      <c r="H316" s="8" t="n">
        <f aca="false">SUMIFS('Source 2025'!$I:$I,'Source 2025'!$B:$B,$A316,'Source 2025'!$A:$A,"Amount (NIS)")</f>
        <v>0</v>
      </c>
      <c r="I316" s="8" t="n">
        <f aca="false">SUMIFS('Source 2026'!$I:$I,'Source 2026'!$B:$B,$A316,'Source 2026'!$A:$A,"Amount (NIS)")</f>
        <v>-70</v>
      </c>
      <c r="J316" s="8" t="n">
        <f aca="false">I316*$J$5</f>
        <v>-96</v>
      </c>
      <c r="K316" s="8" t="n">
        <f aca="false">J316-H316</f>
        <v>-96</v>
      </c>
      <c r="L316" s="9" t="str">
        <f aca="false">IF(AND(H316=0,J316=0),0,IF(H316=0,"New",(J316-H316)/H316))</f>
        <v>New</v>
      </c>
    </row>
    <row r="317" customFormat="false" ht="15" hidden="false" customHeight="false" outlineLevel="0" collapsed="false">
      <c r="A317" s="7" t="n">
        <v>4413216</v>
      </c>
      <c r="B317" s="7" t="str">
        <f aca="false">IFERROR(INDEX('Source 2026'!$C:$C,MATCH($A317,'Source 2026'!$B:$B,0)),IFERROR(INDEX('Source 2025'!$C:$C,MATCH($A317,'Source 2025'!$B:$B,0)),""))</f>
        <v>T35 Mמגן קרסול+ צמדן</v>
      </c>
      <c r="C317" s="8" t="n">
        <f aca="false">SUMIFS('Source 2025'!$I:$I,'Source 2025'!$B:$B,$A317,'Source 2025'!$A:$A,"Quantity (units)")</f>
        <v>-1</v>
      </c>
      <c r="D317" s="8" t="n">
        <f aca="false">SUMIFS('Source 2026'!$I:$I,'Source 2026'!$B:$B,$A317,'Source 2026'!$A:$A,"Quantity (units)")</f>
        <v>0</v>
      </c>
      <c r="E317" s="8" t="n">
        <f aca="false">D317*$J$5</f>
        <v>0</v>
      </c>
      <c r="F317" s="8" t="n">
        <f aca="false">E317-C317</f>
        <v>1</v>
      </c>
      <c r="G317" s="9" t="n">
        <f aca="false">IF(AND(C317=0,E317=0),0,IF(C317=0,"New",(E317-C317)/C317))</f>
        <v>-1</v>
      </c>
      <c r="H317" s="8" t="n">
        <f aca="false">SUMIFS('Source 2025'!$I:$I,'Source 2025'!$B:$B,$A317,'Source 2025'!$A:$A,"Amount (NIS)")</f>
        <v>-69.7</v>
      </c>
      <c r="I317" s="8" t="n">
        <f aca="false">SUMIFS('Source 2026'!$I:$I,'Source 2026'!$B:$B,$A317,'Source 2026'!$A:$A,"Amount (NIS)")</f>
        <v>0</v>
      </c>
      <c r="J317" s="8" t="n">
        <f aca="false">I317*$J$5</f>
        <v>0</v>
      </c>
      <c r="K317" s="8" t="n">
        <f aca="false">J317-H317</f>
        <v>69.7</v>
      </c>
      <c r="L317" s="9" t="n">
        <f aca="false">IF(AND(H317=0,J317=0),0,IF(H317=0,"New",(J317-H317)/H317))</f>
        <v>-1</v>
      </c>
    </row>
    <row r="318" customFormat="false" ht="15" hidden="false" customHeight="false" outlineLevel="0" collapsed="false">
      <c r="A318" s="7" t="n">
        <v>4413139</v>
      </c>
      <c r="B318" s="7" t="str">
        <f aca="false">IFERROR(INDEX('Source 2026'!$C:$C,MATCH($A318,'Source 2026'!$B:$B,0)),IFERROR(INDEX('Source 2025'!$C:$C,MATCH($A318,'Source 2025'!$B:$B,0)),""))</f>
        <v>95 L מגן מרפק רגיל לבן</v>
      </c>
      <c r="C318" s="8" t="n">
        <f aca="false">SUMIFS('Source 2025'!$I:$I,'Source 2025'!$B:$B,$A318,'Source 2025'!$A:$A,"Quantity (units)")</f>
        <v>83</v>
      </c>
      <c r="D318" s="8" t="n">
        <f aca="false">SUMIFS('Source 2026'!$I:$I,'Source 2026'!$B:$B,$A318,'Source 2026'!$A:$A,"Quantity (units)")</f>
        <v>81</v>
      </c>
      <c r="E318" s="8" t="n">
        <f aca="false">D318*$J$5</f>
        <v>111.085714285714</v>
      </c>
      <c r="F318" s="8" t="n">
        <f aca="false">E318-C318</f>
        <v>28.0857142857143</v>
      </c>
      <c r="G318" s="9" t="n">
        <f aca="false">IF(AND(C318=0,E318=0),0,IF(C318=0,"New",(E318-C318)/C318))</f>
        <v>0.338382099827883</v>
      </c>
      <c r="H318" s="8" t="n">
        <f aca="false">SUMIFS('Source 2025'!$I:$I,'Source 2025'!$B:$B,$A318,'Source 2025'!$A:$A,"Amount (NIS)")</f>
        <v>2315.9</v>
      </c>
      <c r="I318" s="8" t="n">
        <f aca="false">SUMIFS('Source 2026'!$I:$I,'Source 2026'!$B:$B,$A318,'Source 2026'!$A:$A,"Amount (NIS)")</f>
        <v>2250.5</v>
      </c>
      <c r="J318" s="8" t="n">
        <f aca="false">I318*$J$5</f>
        <v>3086.4</v>
      </c>
      <c r="K318" s="8" t="n">
        <f aca="false">J318-H318</f>
        <v>770.5</v>
      </c>
      <c r="L318" s="9" t="n">
        <f aca="false">IF(AND(H318=0,J318=0),0,IF(H318=0,"New",(J318-H318)/H318))</f>
        <v>0.33270003022583</v>
      </c>
    </row>
    <row r="319" customFormat="false" ht="15" hidden="false" customHeight="false" outlineLevel="0" collapsed="false">
      <c r="A319" s="7" t="n">
        <v>4409016</v>
      </c>
      <c r="B319" s="7" t="str">
        <f aca="false">IFERROR(INDEX('Source 2026'!$C:$C,MATCH($A319,'Source 2026'!$B:$B,0)),IFERROR(INDEX('Source 2025'!$C:$C,MATCH($A319,'Source 2025'!$B:$B,0)),""))</f>
        <v>808KT-C        טייפ קינזיולוגי</v>
      </c>
      <c r="C319" s="8" t="n">
        <f aca="false">SUMIFS('Source 2025'!$I:$I,'Source 2025'!$B:$B,$A319,'Source 2025'!$A:$A,"Quantity (units)")</f>
        <v>-1</v>
      </c>
      <c r="D319" s="8" t="n">
        <f aca="false">SUMIFS('Source 2026'!$I:$I,'Source 2026'!$B:$B,$A319,'Source 2026'!$A:$A,"Quantity (units)")</f>
        <v>0</v>
      </c>
      <c r="E319" s="8" t="n">
        <f aca="false">D319*$J$5</f>
        <v>0</v>
      </c>
      <c r="F319" s="8" t="n">
        <f aca="false">E319-C319</f>
        <v>1</v>
      </c>
      <c r="G319" s="9" t="n">
        <f aca="false">IF(AND(C319=0,E319=0),0,IF(C319=0,"New",(E319-C319)/C319))</f>
        <v>-1</v>
      </c>
      <c r="H319" s="8" t="n">
        <f aca="false">SUMIFS('Source 2025'!$I:$I,'Source 2025'!$B:$B,$A319,'Source 2025'!$A:$A,"Amount (NIS)")</f>
        <v>-63.1</v>
      </c>
      <c r="I319" s="8" t="n">
        <f aca="false">SUMIFS('Source 2026'!$I:$I,'Source 2026'!$B:$B,$A319,'Source 2026'!$A:$A,"Amount (NIS)")</f>
        <v>0</v>
      </c>
      <c r="J319" s="8" t="n">
        <f aca="false">I319*$J$5</f>
        <v>0</v>
      </c>
      <c r="K319" s="8" t="n">
        <f aca="false">J319-H319</f>
        <v>63.1</v>
      </c>
      <c r="L319" s="9" t="n">
        <f aca="false">IF(AND(H319=0,J319=0),0,IF(H319=0,"New",(J319-H319)/H319))</f>
        <v>-1</v>
      </c>
    </row>
    <row r="320" customFormat="false" ht="15" hidden="false" customHeight="false" outlineLevel="0" collapsed="false">
      <c r="A320" s="7" t="n">
        <v>4403003</v>
      </c>
      <c r="B320" s="7" t="str">
        <f aca="false">IFERROR(INDEX('Source 2026'!$C:$C,MATCH($A320,'Source 2026'!$B:$B,0)),IFERROR(INDEX('Source 2025'!$C:$C,MATCH($A320,'Source 2025'!$B:$B,0)),""))</f>
        <v>390G ג.כסף לסכרתיים אפור35-38</v>
      </c>
      <c r="C320" s="8" t="n">
        <f aca="false">SUMIFS('Source 2025'!$I:$I,'Source 2025'!$B:$B,$A320,'Source 2025'!$A:$A,"Quantity (units)")</f>
        <v>2</v>
      </c>
      <c r="D320" s="8" t="n">
        <f aca="false">SUMIFS('Source 2026'!$I:$I,'Source 2026'!$B:$B,$A320,'Source 2026'!$A:$A,"Quantity (units)")</f>
        <v>0</v>
      </c>
      <c r="E320" s="8" t="n">
        <f aca="false">D320*$J$5</f>
        <v>0</v>
      </c>
      <c r="F320" s="8" t="n">
        <f aca="false">E320-C320</f>
        <v>-2</v>
      </c>
      <c r="G320" s="9" t="n">
        <f aca="false">IF(AND(C320=0,E320=0),0,IF(C320=0,"New",(E320-C320)/C320))</f>
        <v>-1</v>
      </c>
      <c r="H320" s="8" t="n">
        <f aca="false">SUMIFS('Source 2025'!$I:$I,'Source 2025'!$B:$B,$A320,'Source 2025'!$A:$A,"Amount (NIS)")</f>
        <v>62.9</v>
      </c>
      <c r="I320" s="8" t="n">
        <f aca="false">SUMIFS('Source 2026'!$I:$I,'Source 2026'!$B:$B,$A320,'Source 2026'!$A:$A,"Amount (NIS)")</f>
        <v>0</v>
      </c>
      <c r="J320" s="8" t="n">
        <f aca="false">I320*$J$5</f>
        <v>0</v>
      </c>
      <c r="K320" s="8" t="n">
        <f aca="false">J320-H320</f>
        <v>-62.9</v>
      </c>
      <c r="L320" s="9" t="n">
        <f aca="false">IF(AND(H320=0,J320=0),0,IF(H320=0,"New",(J320-H320)/H320))</f>
        <v>-1</v>
      </c>
    </row>
    <row r="321" customFormat="false" ht="15" hidden="false" customHeight="false" outlineLevel="0" collapsed="false">
      <c r="A321" s="7" t="n">
        <v>4403004</v>
      </c>
      <c r="B321" s="7" t="str">
        <f aca="false">IFERROR(INDEX('Source 2026'!$C:$C,MATCH($A321,'Source 2026'!$B:$B,0)),IFERROR(INDEX('Source 2025'!$C:$C,MATCH($A321,'Source 2025'!$B:$B,0)),""))</f>
        <v>390G 39-42.גרב.כסף לסכרתיים אפ</v>
      </c>
      <c r="C321" s="8" t="n">
        <f aca="false">SUMIFS('Source 2025'!$I:$I,'Source 2025'!$B:$B,$A321,'Source 2025'!$A:$A,"Quantity (units)")</f>
        <v>2</v>
      </c>
      <c r="D321" s="8" t="n">
        <f aca="false">SUMIFS('Source 2026'!$I:$I,'Source 2026'!$B:$B,$A321,'Source 2026'!$A:$A,"Quantity (units)")</f>
        <v>0</v>
      </c>
      <c r="E321" s="8" t="n">
        <f aca="false">D321*$J$5</f>
        <v>0</v>
      </c>
      <c r="F321" s="8" t="n">
        <f aca="false">E321-C321</f>
        <v>-2</v>
      </c>
      <c r="G321" s="9" t="n">
        <f aca="false">IF(AND(C321=0,E321=0),0,IF(C321=0,"New",(E321-C321)/C321))</f>
        <v>-1</v>
      </c>
      <c r="H321" s="8" t="n">
        <f aca="false">SUMIFS('Source 2025'!$I:$I,'Source 2025'!$B:$B,$A321,'Source 2025'!$A:$A,"Amount (NIS)")</f>
        <v>62.9</v>
      </c>
      <c r="I321" s="8" t="n">
        <f aca="false">SUMIFS('Source 2026'!$I:$I,'Source 2026'!$B:$B,$A321,'Source 2026'!$A:$A,"Amount (NIS)")</f>
        <v>0</v>
      </c>
      <c r="J321" s="8" t="n">
        <f aca="false">I321*$J$5</f>
        <v>0</v>
      </c>
      <c r="K321" s="8" t="n">
        <f aca="false">J321-H321</f>
        <v>-62.9</v>
      </c>
      <c r="L321" s="9" t="n">
        <f aca="false">IF(AND(H321=0,J321=0),0,IF(H321=0,"New",(J321-H321)/H321))</f>
        <v>-1</v>
      </c>
    </row>
    <row r="322" customFormat="false" ht="15" hidden="false" customHeight="false" outlineLevel="0" collapsed="false">
      <c r="A322" s="7" t="n">
        <v>4413499</v>
      </c>
      <c r="B322" s="7" t="str">
        <f aca="false">IFERROR(INDEX('Source 2026'!$C:$C,MATCH($A322,'Source 2026'!$B:$B,0)),IFERROR(INDEX('Source 2025'!$C:$C,MATCH($A322,'Source 2025'!$B:$B,0)),""))</f>
        <v>45B XXLמגן ברך שחור</v>
      </c>
      <c r="C322" s="8" t="n">
        <f aca="false">SUMIFS('Source 2025'!$I:$I,'Source 2025'!$B:$B,$A322,'Source 2025'!$A:$A,"Quantity (units)")</f>
        <v>20</v>
      </c>
      <c r="D322" s="8" t="n">
        <f aca="false">SUMIFS('Source 2026'!$I:$I,'Source 2026'!$B:$B,$A322,'Source 2026'!$A:$A,"Quantity (units)")</f>
        <v>18</v>
      </c>
      <c r="E322" s="8" t="n">
        <f aca="false">D322*$J$5</f>
        <v>24.6857142857143</v>
      </c>
      <c r="F322" s="8" t="n">
        <f aca="false">E322-C322</f>
        <v>4.68571428571429</v>
      </c>
      <c r="G322" s="9" t="n">
        <f aca="false">IF(AND(C322=0,E322=0),0,IF(C322=0,"New",(E322-C322)/C322))</f>
        <v>0.234285714285714</v>
      </c>
      <c r="H322" s="8" t="n">
        <f aca="false">SUMIFS('Source 2025'!$I:$I,'Source 2025'!$B:$B,$A322,'Source 2025'!$A:$A,"Amount (NIS)")</f>
        <v>555</v>
      </c>
      <c r="I322" s="8" t="n">
        <f aca="false">SUMIFS('Source 2026'!$I:$I,'Source 2026'!$B:$B,$A322,'Source 2026'!$A:$A,"Amount (NIS)")</f>
        <v>499.5</v>
      </c>
      <c r="J322" s="8" t="n">
        <f aca="false">I322*$J$5</f>
        <v>685.028571428572</v>
      </c>
      <c r="K322" s="8" t="n">
        <f aca="false">J322-H322</f>
        <v>130.028571428571</v>
      </c>
      <c r="L322" s="9" t="n">
        <f aca="false">IF(AND(H322=0,J322=0),0,IF(H322=0,"New",(J322-H322)/H322))</f>
        <v>0.234285714285714</v>
      </c>
    </row>
    <row r="323" customFormat="false" ht="15" hidden="false" customHeight="false" outlineLevel="0" collapsed="false">
      <c r="A323" s="7" t="n">
        <v>4420012</v>
      </c>
      <c r="B323" s="7" t="str">
        <f aca="false">IFERROR(INDEX('Source 2026'!$C:$C,MATCH($A323,'Source 2026'!$B:$B,0)),IFERROR(INDEX('Source 2025'!$C:$C,MATCH($A323,'Source 2025'!$B:$B,0)),""))</f>
        <v>377   רפידה אורט.ספורט זוג43</v>
      </c>
      <c r="C323" s="8" t="n">
        <f aca="false">SUMIFS('Source 2025'!$I:$I,'Source 2025'!$B:$B,$A323,'Source 2025'!$A:$A,"Quantity (units)")</f>
        <v>-1</v>
      </c>
      <c r="D323" s="8" t="n">
        <f aca="false">SUMIFS('Source 2026'!$I:$I,'Source 2026'!$B:$B,$A323,'Source 2026'!$A:$A,"Quantity (units)")</f>
        <v>0</v>
      </c>
      <c r="E323" s="8" t="n">
        <f aca="false">D323*$J$5</f>
        <v>0</v>
      </c>
      <c r="F323" s="8" t="n">
        <f aca="false">E323-C323</f>
        <v>1</v>
      </c>
      <c r="G323" s="9" t="n">
        <f aca="false">IF(AND(C323=0,E323=0),0,IF(C323=0,"New",(E323-C323)/C323))</f>
        <v>-1</v>
      </c>
      <c r="H323" s="8" t="n">
        <f aca="false">SUMIFS('Source 2025'!$I:$I,'Source 2025'!$B:$B,$A323,'Source 2025'!$A:$A,"Amount (NIS)")</f>
        <v>-55.2</v>
      </c>
      <c r="I323" s="8" t="n">
        <f aca="false">SUMIFS('Source 2026'!$I:$I,'Source 2026'!$B:$B,$A323,'Source 2026'!$A:$A,"Amount (NIS)")</f>
        <v>0</v>
      </c>
      <c r="J323" s="8" t="n">
        <f aca="false">I323*$J$5</f>
        <v>0</v>
      </c>
      <c r="K323" s="8" t="n">
        <f aca="false">J323-H323</f>
        <v>55.2</v>
      </c>
      <c r="L323" s="9" t="n">
        <f aca="false">IF(AND(H323=0,J323=0),0,IF(H323=0,"New",(J323-H323)/H323))</f>
        <v>-1</v>
      </c>
    </row>
    <row r="324" customFormat="false" ht="15" hidden="false" customHeight="false" outlineLevel="0" collapsed="false">
      <c r="A324" s="7" t="n">
        <v>4413154</v>
      </c>
      <c r="B324" s="7" t="str">
        <f aca="false">IFERROR(INDEX('Source 2026'!$C:$C,MATCH($A324,'Source 2026'!$B:$B,0)),IFERROR(INDEX('Source 2025'!$C:$C,MATCH($A324,'Source 2025'!$B:$B,0)),""))</f>
        <v>305GA מדרס אורטופ.מתכוון37-38</v>
      </c>
      <c r="C324" s="8" t="n">
        <f aca="false">SUMIFS('Source 2025'!$I:$I,'Source 2025'!$B:$B,$A324,'Source 2025'!$A:$A,"Quantity (units)")</f>
        <v>5</v>
      </c>
      <c r="D324" s="8" t="n">
        <f aca="false">SUMIFS('Source 2026'!$I:$I,'Source 2026'!$B:$B,$A324,'Source 2026'!$A:$A,"Quantity (units)")</f>
        <v>5</v>
      </c>
      <c r="E324" s="8" t="n">
        <f aca="false">D324*$J$5</f>
        <v>6.85714285714286</v>
      </c>
      <c r="F324" s="8" t="n">
        <f aca="false">E324-C324</f>
        <v>1.85714285714286</v>
      </c>
      <c r="G324" s="9" t="n">
        <f aca="false">IF(AND(C324=0,E324=0),0,IF(C324=0,"New",(E324-C324)/C324))</f>
        <v>0.371428571428572</v>
      </c>
      <c r="H324" s="8" t="n">
        <f aca="false">SUMIFS('Source 2025'!$I:$I,'Source 2025'!$B:$B,$A324,'Source 2025'!$A:$A,"Amount (NIS)")</f>
        <v>294.8</v>
      </c>
      <c r="I324" s="8" t="n">
        <f aca="false">SUMIFS('Source 2026'!$I:$I,'Source 2026'!$B:$B,$A324,'Source 2026'!$A:$A,"Amount (NIS)")</f>
        <v>349.8</v>
      </c>
      <c r="J324" s="8" t="n">
        <f aca="false">I324*$J$5</f>
        <v>479.725714285714</v>
      </c>
      <c r="K324" s="8" t="n">
        <f aca="false">J324-H324</f>
        <v>184.925714285714</v>
      </c>
      <c r="L324" s="9" t="n">
        <f aca="false">IF(AND(H324=0,J324=0),0,IF(H324=0,"New",(J324-H324)/H324))</f>
        <v>0.627292110874201</v>
      </c>
    </row>
    <row r="325" customFormat="false" ht="15" hidden="false" customHeight="false" outlineLevel="0" collapsed="false">
      <c r="A325" s="7" t="n">
        <v>4416003</v>
      </c>
      <c r="B325" s="7" t="str">
        <f aca="false">IFERROR(INDEX('Source 2026'!$C:$C,MATCH($A325,'Source 2026'!$B:$B,0)),IFERROR(INDEX('Source 2025'!$C:$C,MATCH($A325,'Source 2025'!$B:$B,0)),""))</f>
        <v>308 Lעקבים סיליקון כחול לדורבן</v>
      </c>
      <c r="C325" s="8" t="n">
        <f aca="false">SUMIFS('Source 2025'!$I:$I,'Source 2025'!$B:$B,$A325,'Source 2025'!$A:$A,"Quantity (units)")</f>
        <v>94</v>
      </c>
      <c r="D325" s="8" t="n">
        <f aca="false">SUMIFS('Source 2026'!$I:$I,'Source 2026'!$B:$B,$A325,'Source 2026'!$A:$A,"Quantity (units)")</f>
        <v>93</v>
      </c>
      <c r="E325" s="8" t="n">
        <f aca="false">D325*$J$5</f>
        <v>127.542857142857</v>
      </c>
      <c r="F325" s="8" t="n">
        <f aca="false">E325-C325</f>
        <v>33.5428571428571</v>
      </c>
      <c r="G325" s="9" t="n">
        <f aca="false">IF(AND(C325=0,E325=0),0,IF(C325=0,"New",(E325-C325)/C325))</f>
        <v>0.356838905775076</v>
      </c>
      <c r="H325" s="8" t="n">
        <f aca="false">SUMIFS('Source 2025'!$I:$I,'Source 2025'!$B:$B,$A325,'Source 2025'!$A:$A,"Amount (NIS)")</f>
        <v>5124.9</v>
      </c>
      <c r="I325" s="8" t="n">
        <f aca="false">SUMIFS('Source 2026'!$I:$I,'Source 2026'!$B:$B,$A325,'Source 2026'!$A:$A,"Amount (NIS)")</f>
        <v>5070.4</v>
      </c>
      <c r="J325" s="8" t="n">
        <f aca="false">I325*$J$5</f>
        <v>6953.69142857143</v>
      </c>
      <c r="K325" s="8" t="n">
        <f aca="false">J325-H325</f>
        <v>1828.79142857143</v>
      </c>
      <c r="L325" s="9" t="n">
        <f aca="false">IF(AND(H325=0,J325=0),0,IF(H325=0,"New",(J325-H325)/H325))</f>
        <v>0.356844314732274</v>
      </c>
    </row>
    <row r="326" customFormat="false" ht="15" hidden="false" customHeight="false" outlineLevel="0" collapsed="false">
      <c r="A326" s="7" t="n">
        <v>4413455</v>
      </c>
      <c r="B326" s="7" t="str">
        <f aca="false">IFERROR(INDEX('Source 2026'!$C:$C,MATCH($A326,'Source 2026'!$B:$B,0)),IFERROR(INDEX('Source 2025'!$C:$C,MATCH($A326,'Source 2025'!$B:$B,0)),""))</f>
        <v>85K מתלה ליד לילדים</v>
      </c>
      <c r="C326" s="8" t="n">
        <f aca="false">SUMIFS('Source 2025'!$I:$I,'Source 2025'!$B:$B,$A326,'Source 2025'!$A:$A,"Quantity (units)")</f>
        <v>15</v>
      </c>
      <c r="D326" s="8" t="n">
        <f aca="false">SUMIFS('Source 2026'!$I:$I,'Source 2026'!$B:$B,$A326,'Source 2026'!$A:$A,"Quantity (units)")</f>
        <v>16</v>
      </c>
      <c r="E326" s="8" t="n">
        <f aca="false">D326*$J$5</f>
        <v>21.9428571428571</v>
      </c>
      <c r="F326" s="8" t="n">
        <f aca="false">E326-C326</f>
        <v>6.94285714285714</v>
      </c>
      <c r="G326" s="9" t="n">
        <f aca="false">IF(AND(C326=0,E326=0),0,IF(C326=0,"New",(E326-C326)/C326))</f>
        <v>0.462857142857143</v>
      </c>
      <c r="H326" s="8" t="n">
        <f aca="false">SUMIFS('Source 2025'!$I:$I,'Source 2025'!$B:$B,$A326,'Source 2025'!$A:$A,"Amount (NIS)")</f>
        <v>727.4</v>
      </c>
      <c r="I326" s="8" t="n">
        <f aca="false">SUMIFS('Source 2026'!$I:$I,'Source 2026'!$B:$B,$A326,'Source 2026'!$A:$A,"Amount (NIS)")</f>
        <v>775.8</v>
      </c>
      <c r="J326" s="8" t="n">
        <f aca="false">I326*$J$5</f>
        <v>1063.95428571429</v>
      </c>
      <c r="K326" s="8" t="n">
        <f aca="false">J326-H326</f>
        <v>336.554285714286</v>
      </c>
      <c r="L326" s="9" t="n">
        <f aca="false">IF(AND(H326=0,J326=0),0,IF(H326=0,"New",(J326-H326)/H326))</f>
        <v>0.462681173651754</v>
      </c>
    </row>
    <row r="327" customFormat="false" ht="15" hidden="false" customHeight="false" outlineLevel="0" collapsed="false">
      <c r="A327" s="7" t="n">
        <v>4413406</v>
      </c>
      <c r="B327" s="7" t="str">
        <f aca="false">IFERROR(INDEX('Source 2026'!$C:$C,MATCH($A327,'Source 2026'!$B:$B,0)),IFERROR(INDEX('Source 2025'!$C:$C,MATCH($A327,'Source 2025'!$B:$B,0)),""))</f>
        <v>SC95 M מגן מרפק</v>
      </c>
      <c r="C327" s="8" t="n">
        <f aca="false">SUMIFS('Source 2025'!$I:$I,'Source 2025'!$B:$B,$A327,'Source 2025'!$A:$A,"Quantity (units)")</f>
        <v>2</v>
      </c>
      <c r="D327" s="8" t="n">
        <f aca="false">SUMIFS('Source 2026'!$I:$I,'Source 2026'!$B:$B,$A327,'Source 2026'!$A:$A,"Quantity (units)")</f>
        <v>1</v>
      </c>
      <c r="E327" s="8" t="n">
        <f aca="false">D327*$J$5</f>
        <v>1.37142857142857</v>
      </c>
      <c r="F327" s="8" t="n">
        <f aca="false">E327-C327</f>
        <v>-0.628571428571429</v>
      </c>
      <c r="G327" s="9" t="n">
        <f aca="false">IF(AND(C327=0,E327=0),0,IF(C327=0,"New",(E327-C327)/C327))</f>
        <v>-0.314285714285714</v>
      </c>
      <c r="H327" s="8" t="n">
        <f aca="false">SUMIFS('Source 2025'!$I:$I,'Source 2025'!$B:$B,$A327,'Source 2025'!$A:$A,"Amount (NIS)")</f>
        <v>122.7</v>
      </c>
      <c r="I327" s="8" t="n">
        <f aca="false">SUMIFS('Source 2026'!$I:$I,'Source 2026'!$B:$B,$A327,'Source 2026'!$A:$A,"Amount (NIS)")</f>
        <v>74.5</v>
      </c>
      <c r="J327" s="8" t="n">
        <f aca="false">I327*$J$5</f>
        <v>102.171428571429</v>
      </c>
      <c r="K327" s="8" t="n">
        <f aca="false">J327-H327</f>
        <v>-20.5285714285714</v>
      </c>
      <c r="L327" s="9" t="n">
        <f aca="false">IF(AND(H327=0,J327=0),0,IF(H327=0,"New",(J327-H327)/H327))</f>
        <v>-0.167307020607754</v>
      </c>
    </row>
    <row r="328" customFormat="false" ht="15" hidden="false" customHeight="false" outlineLevel="0" collapsed="false">
      <c r="A328" s="7" t="n">
        <v>4415028</v>
      </c>
      <c r="B328" s="7" t="str">
        <f aca="false">IFERROR(INDEX('Source 2026'!$C:$C,MATCH($A328,'Source 2026'!$B:$B,0)),IFERROR(INDEX('Source 2025'!$C:$C,MATCH($A328,'Source 2025'!$B:$B,0)),""))</f>
        <v>AC-28 סד לאגודל</v>
      </c>
      <c r="C328" s="8" t="n">
        <f aca="false">SUMIFS('Source 2025'!$I:$I,'Source 2025'!$B:$B,$A328,'Source 2025'!$A:$A,"Quantity (units)")</f>
        <v>47</v>
      </c>
      <c r="D328" s="8" t="n">
        <f aca="false">SUMIFS('Source 2026'!$I:$I,'Source 2026'!$B:$B,$A328,'Source 2026'!$A:$A,"Quantity (units)")</f>
        <v>45</v>
      </c>
      <c r="E328" s="8" t="n">
        <f aca="false">D328*$J$5</f>
        <v>61.7142857142857</v>
      </c>
      <c r="F328" s="8" t="n">
        <f aca="false">E328-C328</f>
        <v>14.7142857142857</v>
      </c>
      <c r="G328" s="9" t="n">
        <f aca="false">IF(AND(C328=0,E328=0),0,IF(C328=0,"New",(E328-C328)/C328))</f>
        <v>0.31306990881459</v>
      </c>
      <c r="H328" s="8" t="n">
        <f aca="false">SUMIFS('Source 2025'!$I:$I,'Source 2025'!$B:$B,$A328,'Source 2025'!$A:$A,"Amount (NIS)")</f>
        <v>1130.8</v>
      </c>
      <c r="I328" s="8" t="n">
        <f aca="false">SUMIFS('Source 2026'!$I:$I,'Source 2026'!$B:$B,$A328,'Source 2026'!$A:$A,"Amount (NIS)")</f>
        <v>1082.7</v>
      </c>
      <c r="J328" s="8" t="n">
        <f aca="false">I328*$J$5</f>
        <v>1484.84571428571</v>
      </c>
      <c r="K328" s="8" t="n">
        <f aca="false">J328-H328</f>
        <v>354.045714285714</v>
      </c>
      <c r="L328" s="9" t="n">
        <f aca="false">IF(AND(H328=0,J328=0),0,IF(H328=0,"New",(J328-H328)/H328))</f>
        <v>0.313093132548386</v>
      </c>
    </row>
    <row r="329" customFormat="false" ht="15" hidden="false" customHeight="false" outlineLevel="0" collapsed="false">
      <c r="A329" s="7" t="n">
        <v>4402020</v>
      </c>
      <c r="B329" s="7" t="str">
        <f aca="false">IFERROR(INDEX('Source 2026'!$C:$C,MATCH($A329,'Source 2026'!$B:$B,0)),IFERROR(INDEX('Source 2025'!$C:$C,MATCH($A329,'Source 2025'!$B:$B,0)),""))</f>
        <v>BE CARE KT BLACK</v>
      </c>
      <c r="C329" s="8" t="n">
        <f aca="false">SUMIFS('Source 2025'!$I:$I,'Source 2025'!$B:$B,$A329,'Source 2025'!$A:$A,"Quantity (units)")</f>
        <v>-2</v>
      </c>
      <c r="D329" s="8" t="n">
        <f aca="false">SUMIFS('Source 2026'!$I:$I,'Source 2026'!$B:$B,$A329,'Source 2026'!$A:$A,"Quantity (units)")</f>
        <v>0</v>
      </c>
      <c r="E329" s="8" t="n">
        <f aca="false">D329*$J$5</f>
        <v>0</v>
      </c>
      <c r="F329" s="8" t="n">
        <f aca="false">E329-C329</f>
        <v>2</v>
      </c>
      <c r="G329" s="9" t="n">
        <f aca="false">IF(AND(C329=0,E329=0),0,IF(C329=0,"New",(E329-C329)/C329))</f>
        <v>-1</v>
      </c>
      <c r="H329" s="8" t="n">
        <f aca="false">SUMIFS('Source 2025'!$I:$I,'Source 2025'!$B:$B,$A329,'Source 2025'!$A:$A,"Amount (NIS)")</f>
        <v>-48</v>
      </c>
      <c r="I329" s="8" t="n">
        <f aca="false">SUMIFS('Source 2026'!$I:$I,'Source 2026'!$B:$B,$A329,'Source 2026'!$A:$A,"Amount (NIS)")</f>
        <v>0</v>
      </c>
      <c r="J329" s="8" t="n">
        <f aca="false">I329*$J$5</f>
        <v>0</v>
      </c>
      <c r="K329" s="8" t="n">
        <f aca="false">J329-H329</f>
        <v>48</v>
      </c>
      <c r="L329" s="9" t="n">
        <f aca="false">IF(AND(H329=0,J329=0),0,IF(H329=0,"New",(J329-H329)/H329))</f>
        <v>-1</v>
      </c>
    </row>
    <row r="330" customFormat="false" ht="15" hidden="false" customHeight="false" outlineLevel="0" collapsed="false">
      <c r="A330" s="7" t="n">
        <v>4420007</v>
      </c>
      <c r="B330" s="7" t="str">
        <f aca="false">IFERROR(INDEX('Source 2026'!$C:$C,MATCH($A330,'Source 2026'!$B:$B,0)),IFERROR(INDEX('Source 2025'!$C:$C,MATCH($A330,'Source 2025'!$B:$B,0)),""))</f>
        <v>377   רפ.ורטופדית ספורט זוג38</v>
      </c>
      <c r="C330" s="8" t="n">
        <f aca="false">SUMIFS('Source 2025'!$I:$I,'Source 2025'!$B:$B,$A330,'Source 2025'!$A:$A,"Quantity (units)")</f>
        <v>-1</v>
      </c>
      <c r="D330" s="8" t="n">
        <f aca="false">SUMIFS('Source 2026'!$I:$I,'Source 2026'!$B:$B,$A330,'Source 2026'!$A:$A,"Quantity (units)")</f>
        <v>0</v>
      </c>
      <c r="E330" s="8" t="n">
        <f aca="false">D330*$J$5</f>
        <v>0</v>
      </c>
      <c r="F330" s="8" t="n">
        <f aca="false">E330-C330</f>
        <v>1</v>
      </c>
      <c r="G330" s="9" t="n">
        <f aca="false">IF(AND(C330=0,E330=0),0,IF(C330=0,"New",(E330-C330)/C330))</f>
        <v>-1</v>
      </c>
      <c r="H330" s="8" t="n">
        <f aca="false">SUMIFS('Source 2025'!$I:$I,'Source 2025'!$B:$B,$A330,'Source 2025'!$A:$A,"Amount (NIS)")</f>
        <v>-47.3</v>
      </c>
      <c r="I330" s="8" t="n">
        <f aca="false">SUMIFS('Source 2026'!$I:$I,'Source 2026'!$B:$B,$A330,'Source 2026'!$A:$A,"Amount (NIS)")</f>
        <v>0</v>
      </c>
      <c r="J330" s="8" t="n">
        <f aca="false">I330*$J$5</f>
        <v>0</v>
      </c>
      <c r="K330" s="8" t="n">
        <f aca="false">J330-H330</f>
        <v>47.3</v>
      </c>
      <c r="L330" s="9" t="n">
        <f aca="false">IF(AND(H330=0,J330=0),0,IF(H330=0,"New",(J330-H330)/H330))</f>
        <v>-1</v>
      </c>
    </row>
    <row r="331" customFormat="false" ht="15" hidden="false" customHeight="false" outlineLevel="0" collapsed="false">
      <c r="A331" s="7" t="n">
        <v>4409017</v>
      </c>
      <c r="B331" s="7" t="str">
        <f aca="false">IFERROR(INDEX('Source 2026'!$C:$C,MATCH($A331,'Source 2026'!$B:$B,0)),IFERROR(INDEX('Source 2025'!$C:$C,MATCH($A331,'Source 2025'!$B:$B,0)),""))</f>
        <v>808KT-B        טייפ קינזיולוגי</v>
      </c>
      <c r="C331" s="8" t="n">
        <f aca="false">SUMIFS('Source 2025'!$I:$I,'Source 2025'!$B:$B,$A331,'Source 2025'!$A:$A,"Quantity (units)")</f>
        <v>0</v>
      </c>
      <c r="D331" s="8" t="n">
        <f aca="false">SUMIFS('Source 2026'!$I:$I,'Source 2026'!$B:$B,$A331,'Source 2026'!$A:$A,"Quantity (units)")</f>
        <v>-1</v>
      </c>
      <c r="E331" s="8" t="n">
        <f aca="false">D331*$J$5</f>
        <v>-1.37142857142857</v>
      </c>
      <c r="F331" s="8" t="n">
        <f aca="false">E331-C331</f>
        <v>-1.37142857142857</v>
      </c>
      <c r="G331" s="9" t="str">
        <f aca="false">IF(AND(C331=0,E331=0),0,IF(C331=0,"New",(E331-C331)/C331))</f>
        <v>New</v>
      </c>
      <c r="H331" s="8" t="n">
        <f aca="false">SUMIFS('Source 2025'!$I:$I,'Source 2025'!$B:$B,$A331,'Source 2025'!$A:$A,"Amount (NIS)")</f>
        <v>0</v>
      </c>
      <c r="I331" s="8" t="n">
        <f aca="false">SUMIFS('Source 2026'!$I:$I,'Source 2026'!$B:$B,$A331,'Source 2026'!$A:$A,"Amount (NIS)")</f>
        <v>-44.1</v>
      </c>
      <c r="J331" s="8" t="n">
        <f aca="false">I331*$J$5</f>
        <v>-60.48</v>
      </c>
      <c r="K331" s="8" t="n">
        <f aca="false">J331-H331</f>
        <v>-60.48</v>
      </c>
      <c r="L331" s="9" t="str">
        <f aca="false">IF(AND(H331=0,J331=0),0,IF(H331=0,"New",(J331-H331)/H331))</f>
        <v>New</v>
      </c>
    </row>
    <row r="332" customFormat="false" ht="15" hidden="false" customHeight="false" outlineLevel="0" collapsed="false">
      <c r="A332" s="7" t="n">
        <v>4413452</v>
      </c>
      <c r="B332" s="7" t="str">
        <f aca="false">IFERROR(INDEX('Source 2026'!$C:$C,MATCH($A332,'Source 2026'!$B:$B,0)),IFERROR(INDEX('Source 2025'!$C:$C,MATCH($A332,'Source 2025'!$B:$B,0)),""))</f>
        <v>386  מיישר בוניון-האלוקס ולגוס</v>
      </c>
      <c r="C332" s="8" t="n">
        <f aca="false">SUMIFS('Source 2025'!$I:$I,'Source 2025'!$B:$B,$A332,'Source 2025'!$A:$A,"Quantity (units)")</f>
        <v>28</v>
      </c>
      <c r="D332" s="8" t="n">
        <f aca="false">SUMIFS('Source 2026'!$I:$I,'Source 2026'!$B:$B,$A332,'Source 2026'!$A:$A,"Quantity (units)")</f>
        <v>27</v>
      </c>
      <c r="E332" s="8" t="n">
        <f aca="false">D332*$J$5</f>
        <v>37.0285714285714</v>
      </c>
      <c r="F332" s="8" t="n">
        <f aca="false">E332-C332</f>
        <v>9.02857142857143</v>
      </c>
      <c r="G332" s="9" t="n">
        <f aca="false">IF(AND(C332=0,E332=0),0,IF(C332=0,"New",(E332-C332)/C332))</f>
        <v>0.322448979591837</v>
      </c>
      <c r="H332" s="8" t="n">
        <f aca="false">SUMIFS('Source 2025'!$I:$I,'Source 2025'!$B:$B,$A332,'Source 2025'!$A:$A,"Amount (NIS)")</f>
        <v>1234.2</v>
      </c>
      <c r="I332" s="8" t="n">
        <f aca="false">SUMIFS('Source 2026'!$I:$I,'Source 2026'!$B:$B,$A332,'Source 2026'!$A:$A,"Amount (NIS)")</f>
        <v>1190.2</v>
      </c>
      <c r="J332" s="8" t="n">
        <f aca="false">I332*$J$5</f>
        <v>1632.27428571429</v>
      </c>
      <c r="K332" s="8" t="n">
        <f aca="false">J332-H332</f>
        <v>398.074285714286</v>
      </c>
      <c r="L332" s="9" t="n">
        <f aca="false">IF(AND(H332=0,J332=0),0,IF(H332=0,"New",(J332-H332)/H332))</f>
        <v>0.32253628724217</v>
      </c>
    </row>
    <row r="333" customFormat="false" ht="15" hidden="false" customHeight="false" outlineLevel="0" collapsed="false">
      <c r="A333" s="7" t="n">
        <v>4413277</v>
      </c>
      <c r="B333" s="7" t="str">
        <f aca="false">IFERROR(INDEX('Source 2026'!$C:$C,MATCH($A333,'Source 2026'!$B:$B,0)),IFERROR(INDEX('Source 2025'!$C:$C,MATCH($A333,'Source 2025'!$B:$B,0)),""))</f>
        <v>LF377 M-מדרס סיליקון לנעלי עקב</v>
      </c>
      <c r="C333" s="8" t="n">
        <f aca="false">SUMIFS('Source 2025'!$I:$I,'Source 2025'!$B:$B,$A333,'Source 2025'!$A:$A,"Quantity (units)")</f>
        <v>5</v>
      </c>
      <c r="D333" s="8" t="n">
        <f aca="false">SUMIFS('Source 2026'!$I:$I,'Source 2026'!$B:$B,$A333,'Source 2026'!$A:$A,"Quantity (units)")</f>
        <v>4</v>
      </c>
      <c r="E333" s="8" t="n">
        <f aca="false">D333*$J$5</f>
        <v>5.48571428571429</v>
      </c>
      <c r="F333" s="8" t="n">
        <f aca="false">E333-C333</f>
        <v>0.485714285714286</v>
      </c>
      <c r="G333" s="9" t="n">
        <f aca="false">IF(AND(C333=0,E333=0),0,IF(C333=0,"New",(E333-C333)/C333))</f>
        <v>0.0971428571428572</v>
      </c>
      <c r="H333" s="8" t="n">
        <f aca="false">SUMIFS('Source 2025'!$I:$I,'Source 2025'!$B:$B,$A333,'Source 2025'!$A:$A,"Amount (NIS)")</f>
        <v>218.5</v>
      </c>
      <c r="I333" s="8" t="n">
        <f aca="false">SUMIFS('Source 2026'!$I:$I,'Source 2026'!$B:$B,$A333,'Source 2026'!$A:$A,"Amount (NIS)")</f>
        <v>174.8</v>
      </c>
      <c r="J333" s="8" t="n">
        <f aca="false">I333*$J$5</f>
        <v>239.725714285714</v>
      </c>
      <c r="K333" s="8" t="n">
        <f aca="false">J333-H333</f>
        <v>21.2257142857143</v>
      </c>
      <c r="L333" s="9" t="n">
        <f aca="false">IF(AND(H333=0,J333=0),0,IF(H333=0,"New",(J333-H333)/H333))</f>
        <v>0.0971428571428572</v>
      </c>
    </row>
    <row r="334" customFormat="false" ht="15" hidden="false" customHeight="false" outlineLevel="0" collapsed="false">
      <c r="A334" s="7" t="n">
        <v>4413056</v>
      </c>
      <c r="B334" s="7" t="str">
        <f aca="false">IFERROR(INDEX('Source 2026'!$C:$C,MATCH($A334,'Source 2026'!$B:$B,0)),IFERROR(INDEX('Source 2025'!$C:$C,MATCH($A334,'Source 2025'!$B:$B,0)),""))</f>
        <v>LF360 מדרס מטטרזלי לנעלי עקב</v>
      </c>
      <c r="C334" s="8" t="n">
        <f aca="false">SUMIFS('Source 2025'!$I:$I,'Source 2025'!$B:$B,$A334,'Source 2025'!$A:$A,"Quantity (units)")</f>
        <v>22</v>
      </c>
      <c r="D334" s="8" t="n">
        <f aca="false">SUMIFS('Source 2026'!$I:$I,'Source 2026'!$B:$B,$A334,'Source 2026'!$A:$A,"Quantity (units)")</f>
        <v>24</v>
      </c>
      <c r="E334" s="8" t="n">
        <f aca="false">D334*$J$5</f>
        <v>32.9142857142857</v>
      </c>
      <c r="F334" s="8" t="n">
        <f aca="false">E334-C334</f>
        <v>10.9142857142857</v>
      </c>
      <c r="G334" s="9" t="n">
        <f aca="false">IF(AND(C334=0,E334=0),0,IF(C334=0,"New",(E334-C334)/C334))</f>
        <v>0.496103896103896</v>
      </c>
      <c r="H334" s="8" t="n">
        <f aca="false">SUMIFS('Source 2025'!$I:$I,'Source 2025'!$B:$B,$A334,'Source 2025'!$A:$A,"Amount (NIS)")</f>
        <v>480.3</v>
      </c>
      <c r="I334" s="8" t="n">
        <f aca="false">SUMIFS('Source 2026'!$I:$I,'Source 2026'!$B:$B,$A334,'Source 2026'!$A:$A,"Amount (NIS)")</f>
        <v>523.9</v>
      </c>
      <c r="J334" s="8" t="n">
        <f aca="false">I334*$J$5</f>
        <v>718.491428571429</v>
      </c>
      <c r="K334" s="8" t="n">
        <f aca="false">J334-H334</f>
        <v>238.191428571429</v>
      </c>
      <c r="L334" s="9" t="n">
        <f aca="false">IF(AND(H334=0,J334=0),0,IF(H334=0,"New",(J334-H334)/H334))</f>
        <v>0.495922191487463</v>
      </c>
    </row>
    <row r="335" customFormat="false" ht="15" hidden="false" customHeight="false" outlineLevel="0" collapsed="false">
      <c r="A335" s="7" t="n">
        <v>4408205</v>
      </c>
      <c r="B335" s="7" t="str">
        <f aca="false">IFERROR(INDEX('Source 2026'!$C:$C,MATCH($A335,'Source 2026'!$B:$B,0)),IFERROR(INDEX('Source 2025'!$C:$C,MATCH($A335,'Source 2025'!$B:$B,0)),""))</f>
        <v>AC-07 חגורת גב עם תמיכות</v>
      </c>
      <c r="C335" s="8" t="n">
        <f aca="false">SUMIFS('Source 2025'!$I:$I,'Source 2025'!$B:$B,$A335,'Source 2025'!$A:$A,"Quantity (units)")</f>
        <v>22</v>
      </c>
      <c r="D335" s="8" t="n">
        <f aca="false">SUMIFS('Source 2026'!$I:$I,'Source 2026'!$B:$B,$A335,'Source 2026'!$A:$A,"Quantity (units)")</f>
        <v>22</v>
      </c>
      <c r="E335" s="8" t="n">
        <f aca="false">D335*$J$5</f>
        <v>30.1714285714286</v>
      </c>
      <c r="F335" s="8" t="n">
        <f aca="false">E335-C335</f>
        <v>8.17142857142857</v>
      </c>
      <c r="G335" s="9" t="n">
        <f aca="false">IF(AND(C335=0,E335=0),0,IF(C335=0,"New",(E335-C335)/C335))</f>
        <v>0.371428571428571</v>
      </c>
      <c r="H335" s="8" t="n">
        <f aca="false">SUMIFS('Source 2025'!$I:$I,'Source 2025'!$B:$B,$A335,'Source 2025'!$A:$A,"Amount (NIS)")</f>
        <v>1983.7</v>
      </c>
      <c r="I335" s="8" t="n">
        <f aca="false">SUMIFS('Source 2026'!$I:$I,'Source 2026'!$B:$B,$A335,'Source 2026'!$A:$A,"Amount (NIS)")</f>
        <v>1940.2</v>
      </c>
      <c r="J335" s="8" t="n">
        <f aca="false">I335*$J$5</f>
        <v>2660.84571428571</v>
      </c>
      <c r="K335" s="8" t="n">
        <f aca="false">J335-H335</f>
        <v>677.145714285714</v>
      </c>
      <c r="L335" s="9" t="n">
        <f aca="false">IF(AND(H335=0,J335=0),0,IF(H335=0,"New",(J335-H335)/H335))</f>
        <v>0.341354899574388</v>
      </c>
    </row>
    <row r="336" customFormat="false" ht="15" hidden="false" customHeight="false" outlineLevel="0" collapsed="false">
      <c r="A336" s="7" t="n">
        <v>4420006</v>
      </c>
      <c r="B336" s="7" t="str">
        <f aca="false">IFERROR(INDEX('Source 2026'!$C:$C,MATCH($A336,'Source 2026'!$B:$B,0)),IFERROR(INDEX('Source 2025'!$C:$C,MATCH($A336,'Source 2025'!$B:$B,0)),""))</f>
        <v>377  רפ.אורטופדית ספורט זוג37</v>
      </c>
      <c r="C336" s="8" t="n">
        <f aca="false">SUMIFS('Source 2025'!$I:$I,'Source 2025'!$B:$B,$A336,'Source 2025'!$A:$A,"Quantity (units)")</f>
        <v>1</v>
      </c>
      <c r="D336" s="8" t="n">
        <f aca="false">SUMIFS('Source 2026'!$I:$I,'Source 2026'!$B:$B,$A336,'Source 2026'!$A:$A,"Quantity (units)")</f>
        <v>0</v>
      </c>
      <c r="E336" s="8" t="n">
        <f aca="false">D336*$J$5</f>
        <v>0</v>
      </c>
      <c r="F336" s="8" t="n">
        <f aca="false">E336-C336</f>
        <v>-1</v>
      </c>
      <c r="G336" s="9" t="n">
        <f aca="false">IF(AND(C336=0,E336=0),0,IF(C336=0,"New",(E336-C336)/C336))</f>
        <v>-1</v>
      </c>
      <c r="H336" s="8" t="n">
        <f aca="false">SUMIFS('Source 2025'!$I:$I,'Source 2025'!$B:$B,$A336,'Source 2025'!$A:$A,"Amount (NIS)")</f>
        <v>39.3</v>
      </c>
      <c r="I336" s="8" t="n">
        <f aca="false">SUMIFS('Source 2026'!$I:$I,'Source 2026'!$B:$B,$A336,'Source 2026'!$A:$A,"Amount (NIS)")</f>
        <v>0</v>
      </c>
      <c r="J336" s="8" t="n">
        <f aca="false">I336*$J$5</f>
        <v>0</v>
      </c>
      <c r="K336" s="8" t="n">
        <f aca="false">J336-H336</f>
        <v>-39.3</v>
      </c>
      <c r="L336" s="9" t="n">
        <f aca="false">IF(AND(H336=0,J336=0),0,IF(H336=0,"New",(J336-H336)/H336))</f>
        <v>-1</v>
      </c>
    </row>
    <row r="337" customFormat="false" ht="15" hidden="false" customHeight="false" outlineLevel="0" collapsed="false">
      <c r="A337" s="7" t="n">
        <v>4420013</v>
      </c>
      <c r="B337" s="7" t="str">
        <f aca="false">IFERROR(INDEX('Source 2026'!$C:$C,MATCH($A337,'Source 2026'!$B:$B,0)),IFERROR(INDEX('Source 2025'!$C:$C,MATCH($A337,'Source 2025'!$B:$B,0)),""))</f>
        <v>377  רפידה אורט.ספורט זוג44</v>
      </c>
      <c r="C337" s="8" t="n">
        <f aca="false">SUMIFS('Source 2025'!$I:$I,'Source 2025'!$B:$B,$A337,'Source 2025'!$A:$A,"Quantity (units)")</f>
        <v>1</v>
      </c>
      <c r="D337" s="8" t="n">
        <f aca="false">SUMIFS('Source 2026'!$I:$I,'Source 2026'!$B:$B,$A337,'Source 2026'!$A:$A,"Quantity (units)")</f>
        <v>0</v>
      </c>
      <c r="E337" s="8" t="n">
        <f aca="false">D337*$J$5</f>
        <v>0</v>
      </c>
      <c r="F337" s="8" t="n">
        <f aca="false">E337-C337</f>
        <v>-1</v>
      </c>
      <c r="G337" s="9" t="n">
        <f aca="false">IF(AND(C337=0,E337=0),0,IF(C337=0,"New",(E337-C337)/C337))</f>
        <v>-1</v>
      </c>
      <c r="H337" s="8" t="n">
        <f aca="false">SUMIFS('Source 2025'!$I:$I,'Source 2025'!$B:$B,$A337,'Source 2025'!$A:$A,"Amount (NIS)")</f>
        <v>39.3</v>
      </c>
      <c r="I337" s="8" t="n">
        <f aca="false">SUMIFS('Source 2026'!$I:$I,'Source 2026'!$B:$B,$A337,'Source 2026'!$A:$A,"Amount (NIS)")</f>
        <v>0</v>
      </c>
      <c r="J337" s="8" t="n">
        <f aca="false">I337*$J$5</f>
        <v>0</v>
      </c>
      <c r="K337" s="8" t="n">
        <f aca="false">J337-H337</f>
        <v>-39.3</v>
      </c>
      <c r="L337" s="9" t="n">
        <f aca="false">IF(AND(H337=0,J337=0),0,IF(H337=0,"New",(J337-H337)/H337))</f>
        <v>-1</v>
      </c>
    </row>
    <row r="338" customFormat="false" ht="15" hidden="false" customHeight="false" outlineLevel="0" collapsed="false">
      <c r="A338" s="7" t="n">
        <v>4415026</v>
      </c>
      <c r="B338" s="7" t="str">
        <f aca="false">IFERROR(INDEX('Source 2026'!$C:$C,MATCH($A338,'Source 2026'!$B:$B,0)),IFERROR(INDEX('Source 2025'!$C:$C,MATCH($A338,'Source 2025'!$B:$B,0)),""))</f>
        <v>AC-27L סד לש.כף יד שמאל</v>
      </c>
      <c r="C338" s="8" t="n">
        <f aca="false">SUMIFS('Source 2025'!$I:$I,'Source 2025'!$B:$B,$A338,'Source 2025'!$A:$A,"Quantity (units)")</f>
        <v>23</v>
      </c>
      <c r="D338" s="8" t="n">
        <f aca="false">SUMIFS('Source 2026'!$I:$I,'Source 2026'!$B:$B,$A338,'Source 2026'!$A:$A,"Quantity (units)")</f>
        <v>22</v>
      </c>
      <c r="E338" s="8" t="n">
        <f aca="false">D338*$J$5</f>
        <v>30.1714285714286</v>
      </c>
      <c r="F338" s="8" t="n">
        <f aca="false">E338-C338</f>
        <v>7.17142857142857</v>
      </c>
      <c r="G338" s="9" t="n">
        <f aca="false">IF(AND(C338=0,E338=0),0,IF(C338=0,"New",(E338-C338)/C338))</f>
        <v>0.311801242236025</v>
      </c>
      <c r="H338" s="8" t="n">
        <f aca="false">SUMIFS('Source 2025'!$I:$I,'Source 2025'!$B:$B,$A338,'Source 2025'!$A:$A,"Amount (NIS)")</f>
        <v>788.2</v>
      </c>
      <c r="I338" s="8" t="n">
        <f aca="false">SUMIFS('Source 2026'!$I:$I,'Source 2026'!$B:$B,$A338,'Source 2026'!$A:$A,"Amount (NIS)")</f>
        <v>753.9</v>
      </c>
      <c r="J338" s="8" t="n">
        <f aca="false">I338*$J$5</f>
        <v>1033.92</v>
      </c>
      <c r="K338" s="8" t="n">
        <f aca="false">J338-H338</f>
        <v>245.72</v>
      </c>
      <c r="L338" s="9" t="n">
        <f aca="false">IF(AND(H338=0,J338=0),0,IF(H338=0,"New",(J338-H338)/H338))</f>
        <v>0.311748287236742</v>
      </c>
    </row>
    <row r="339" customFormat="false" ht="15" hidden="false" customHeight="false" outlineLevel="0" collapsed="false">
      <c r="A339" s="7" t="n">
        <v>4413051</v>
      </c>
      <c r="B339" s="7" t="str">
        <f aca="false">IFERROR(INDEX('Source 2026'!$C:$C,MATCH($A339,'Source 2026'!$B:$B,0)),IFERROR(INDEX('Source 2025'!$C:$C,MATCH($A339,'Source 2025'!$B:$B,0)),""))</f>
        <v>35 XXL מגן קרסול לבן</v>
      </c>
      <c r="C339" s="8" t="n">
        <f aca="false">SUMIFS('Source 2025'!$I:$I,'Source 2025'!$B:$B,$A339,'Source 2025'!$A:$A,"Quantity (units)")</f>
        <v>77</v>
      </c>
      <c r="D339" s="8" t="n">
        <f aca="false">SUMIFS('Source 2026'!$I:$I,'Source 2026'!$B:$B,$A339,'Source 2026'!$A:$A,"Quantity (units)")</f>
        <v>78</v>
      </c>
      <c r="E339" s="8" t="n">
        <f aca="false">D339*$J$5</f>
        <v>106.971428571429</v>
      </c>
      <c r="F339" s="8" t="n">
        <f aca="false">E339-C339</f>
        <v>29.9714285714286</v>
      </c>
      <c r="G339" s="9" t="n">
        <f aca="false">IF(AND(C339=0,E339=0),0,IF(C339=0,"New",(E339-C339)/C339))</f>
        <v>0.389239332096475</v>
      </c>
      <c r="H339" s="8" t="n">
        <f aca="false">SUMIFS('Source 2025'!$I:$I,'Source 2025'!$B:$B,$A339,'Source 2025'!$A:$A,"Amount (NIS)")</f>
        <v>2137.5</v>
      </c>
      <c r="I339" s="8" t="n">
        <f aca="false">SUMIFS('Source 2026'!$I:$I,'Source 2026'!$B:$B,$A339,'Source 2026'!$A:$A,"Amount (NIS)")</f>
        <v>2165.3</v>
      </c>
      <c r="J339" s="8" t="n">
        <f aca="false">I339*$J$5</f>
        <v>2969.55428571429</v>
      </c>
      <c r="K339" s="8" t="n">
        <f aca="false">J339-H339</f>
        <v>832.054285714286</v>
      </c>
      <c r="L339" s="9" t="n">
        <f aca="false">IF(AND(H339=0,J339=0),0,IF(H339=0,"New",(J339-H339)/H339))</f>
        <v>0.389265162907268</v>
      </c>
    </row>
    <row r="340" customFormat="false" ht="15" hidden="false" customHeight="false" outlineLevel="0" collapsed="false">
      <c r="A340" s="7" t="n">
        <v>4402012</v>
      </c>
      <c r="B340" s="7" t="str">
        <f aca="false">IFERROR(INDEX('Source 2026'!$C:$C,MATCH($A340,'Source 2026'!$B:$B,0)),IFERROR(INDEX('Source 2025'!$C:$C,MATCH($A340,'Source 2025'!$B:$B,0)),""))</f>
        <v>BE CARE  תחבושת אלסטית 5 ס""מ</v>
      </c>
      <c r="C340" s="8" t="n">
        <f aca="false">SUMIFS('Source 2025'!$I:$I,'Source 2025'!$B:$B,$A340,'Source 2025'!$A:$A,"Quantity (units)")</f>
        <v>-8</v>
      </c>
      <c r="D340" s="8" t="n">
        <f aca="false">SUMIFS('Source 2026'!$I:$I,'Source 2026'!$B:$B,$A340,'Source 2026'!$A:$A,"Quantity (units)")</f>
        <v>0</v>
      </c>
      <c r="E340" s="8" t="n">
        <f aca="false">D340*$J$5</f>
        <v>0</v>
      </c>
      <c r="F340" s="8" t="n">
        <f aca="false">E340-C340</f>
        <v>8</v>
      </c>
      <c r="G340" s="9" t="n">
        <f aca="false">IF(AND(C340=0,E340=0),0,IF(C340=0,"New",(E340-C340)/C340))</f>
        <v>-1</v>
      </c>
      <c r="H340" s="8" t="n">
        <f aca="false">SUMIFS('Source 2025'!$I:$I,'Source 2025'!$B:$B,$A340,'Source 2025'!$A:$A,"Amount (NIS)")</f>
        <v>-26.4</v>
      </c>
      <c r="I340" s="8" t="n">
        <f aca="false">SUMIFS('Source 2026'!$I:$I,'Source 2026'!$B:$B,$A340,'Source 2026'!$A:$A,"Amount (NIS)")</f>
        <v>0</v>
      </c>
      <c r="J340" s="8" t="n">
        <f aca="false">I340*$J$5</f>
        <v>0</v>
      </c>
      <c r="K340" s="8" t="n">
        <f aca="false">J340-H340</f>
        <v>26.4</v>
      </c>
      <c r="L340" s="9" t="n">
        <f aca="false">IF(AND(H340=0,J340=0),0,IF(H340=0,"New",(J340-H340)/H340))</f>
        <v>-1</v>
      </c>
    </row>
    <row r="341" customFormat="false" ht="15" hidden="false" customHeight="false" outlineLevel="0" collapsed="false">
      <c r="A341" s="7" t="n">
        <v>4402021</v>
      </c>
      <c r="B341" s="7" t="str">
        <f aca="false">IFERROR(INDEX('Source 2026'!$C:$C,MATCH($A341,'Source 2026'!$B:$B,0)),IFERROR(INDEX('Source 2025'!$C:$C,MATCH($A341,'Source 2025'!$B:$B,0)),""))</f>
        <v>BE CARE KT BLUE</v>
      </c>
      <c r="C341" s="8" t="n">
        <f aca="false">SUMIFS('Source 2025'!$I:$I,'Source 2025'!$B:$B,$A341,'Source 2025'!$A:$A,"Quantity (units)")</f>
        <v>-1</v>
      </c>
      <c r="D341" s="8" t="n">
        <f aca="false">SUMIFS('Source 2026'!$I:$I,'Source 2026'!$B:$B,$A341,'Source 2026'!$A:$A,"Quantity (units)")</f>
        <v>0</v>
      </c>
      <c r="E341" s="8" t="n">
        <f aca="false">D341*$J$5</f>
        <v>0</v>
      </c>
      <c r="F341" s="8" t="n">
        <f aca="false">E341-C341</f>
        <v>1</v>
      </c>
      <c r="G341" s="9" t="n">
        <f aca="false">IF(AND(C341=0,E341=0),0,IF(C341=0,"New",(E341-C341)/C341))</f>
        <v>-1</v>
      </c>
      <c r="H341" s="8" t="n">
        <f aca="false">SUMIFS('Source 2025'!$I:$I,'Source 2025'!$B:$B,$A341,'Source 2025'!$A:$A,"Amount (NIS)")</f>
        <v>-24</v>
      </c>
      <c r="I341" s="8" t="n">
        <f aca="false">SUMIFS('Source 2026'!$I:$I,'Source 2026'!$B:$B,$A341,'Source 2026'!$A:$A,"Amount (NIS)")</f>
        <v>0</v>
      </c>
      <c r="J341" s="8" t="n">
        <f aca="false">I341*$J$5</f>
        <v>0</v>
      </c>
      <c r="K341" s="8" t="n">
        <f aca="false">J341-H341</f>
        <v>24</v>
      </c>
      <c r="L341" s="9" t="n">
        <f aca="false">IF(AND(H341=0,J341=0),0,IF(H341=0,"New",(J341-H341)/H341))</f>
        <v>-1</v>
      </c>
    </row>
    <row r="342" customFormat="false" ht="15" hidden="false" customHeight="false" outlineLevel="0" collapsed="false">
      <c r="A342" s="7" t="n">
        <v>4409003</v>
      </c>
      <c r="B342" s="7" t="str">
        <f aca="false">IFERROR(INDEX('Source 2026'!$C:$C,MATCH($A342,'Source 2026'!$B:$B,0)),IFERROR(INDEX('Source 2025'!$C:$C,MATCH($A342,'Source 2025'!$B:$B,0)),""))</f>
        <v>FC314-תתטלק נוזלי</v>
      </c>
      <c r="C342" s="8" t="n">
        <f aca="false">SUMIFS('Source 2025'!$I:$I,'Source 2025'!$B:$B,$A342,'Source 2025'!$A:$A,"Quantity (units)")</f>
        <v>-1</v>
      </c>
      <c r="D342" s="8" t="n">
        <f aca="false">SUMIFS('Source 2026'!$I:$I,'Source 2026'!$B:$B,$A342,'Source 2026'!$A:$A,"Quantity (units)")</f>
        <v>0</v>
      </c>
      <c r="E342" s="8" t="n">
        <f aca="false">D342*$J$5</f>
        <v>0</v>
      </c>
      <c r="F342" s="8" t="n">
        <f aca="false">E342-C342</f>
        <v>1</v>
      </c>
      <c r="G342" s="9" t="n">
        <f aca="false">IF(AND(C342=0,E342=0),0,IF(C342=0,"New",(E342-C342)/C342))</f>
        <v>-1</v>
      </c>
      <c r="H342" s="8" t="n">
        <f aca="false">SUMIFS('Source 2025'!$I:$I,'Source 2025'!$B:$B,$A342,'Source 2025'!$A:$A,"Amount (NIS)")</f>
        <v>-20.8</v>
      </c>
      <c r="I342" s="8" t="n">
        <f aca="false">SUMIFS('Source 2026'!$I:$I,'Source 2026'!$B:$B,$A342,'Source 2026'!$A:$A,"Amount (NIS)")</f>
        <v>0</v>
      </c>
      <c r="J342" s="8" t="n">
        <f aca="false">I342*$J$5</f>
        <v>0</v>
      </c>
      <c r="K342" s="8" t="n">
        <f aca="false">J342-H342</f>
        <v>20.8</v>
      </c>
      <c r="L342" s="9" t="n">
        <f aca="false">IF(AND(H342=0,J342=0),0,IF(H342=0,"New",(J342-H342)/H342))</f>
        <v>-1</v>
      </c>
    </row>
    <row r="343" customFormat="false" ht="15" hidden="false" customHeight="false" outlineLevel="0" collapsed="false">
      <c r="A343" s="7" t="n">
        <v>4403025</v>
      </c>
      <c r="B343" s="7" t="str">
        <f aca="false">IFERROR(INDEX('Source 2026'!$C:$C,MATCH($A343,'Source 2026'!$B:$B,0)),IFERROR(INDEX('Source 2025'!$C:$C,MATCH($A343,'Source 2025'!$B:$B,0)),""))</f>
        <v>394W 43-46 גרב.כסף לסכרתים לבן</v>
      </c>
      <c r="C343" s="8" t="n">
        <f aca="false">SUMIFS('Source 2025'!$I:$I,'Source 2025'!$B:$B,$A343,'Source 2025'!$A:$A,"Quantity (units)")</f>
        <v>7</v>
      </c>
      <c r="D343" s="8" t="n">
        <f aca="false">SUMIFS('Source 2026'!$I:$I,'Source 2026'!$B:$B,$A343,'Source 2026'!$A:$A,"Quantity (units)")</f>
        <v>7</v>
      </c>
      <c r="E343" s="8" t="n">
        <f aca="false">D343*$J$5</f>
        <v>9.6</v>
      </c>
      <c r="F343" s="8" t="n">
        <f aca="false">E343-C343</f>
        <v>2.6</v>
      </c>
      <c r="G343" s="9" t="n">
        <f aca="false">IF(AND(C343=0,E343=0),0,IF(C343=0,"New",(E343-C343)/C343))</f>
        <v>0.371428571428571</v>
      </c>
      <c r="H343" s="8" t="n">
        <f aca="false">SUMIFS('Source 2025'!$I:$I,'Source 2025'!$B:$B,$A343,'Source 2025'!$A:$A,"Amount (NIS)")</f>
        <v>154.7</v>
      </c>
      <c r="I343" s="8" t="n">
        <f aca="false">SUMIFS('Source 2026'!$I:$I,'Source 2026'!$B:$B,$A343,'Source 2026'!$A:$A,"Amount (NIS)")</f>
        <v>168.1</v>
      </c>
      <c r="J343" s="8" t="n">
        <f aca="false">I343*$J$5</f>
        <v>230.537142857143</v>
      </c>
      <c r="K343" s="8" t="n">
        <f aca="false">J343-H343</f>
        <v>75.8371428571429</v>
      </c>
      <c r="L343" s="9" t="n">
        <f aca="false">IF(AND(H343=0,J343=0),0,IF(H343=0,"New",(J343-H343)/H343))</f>
        <v>0.490220703666082</v>
      </c>
    </row>
    <row r="344" customFormat="false" ht="15" hidden="false" customHeight="false" outlineLevel="0" collapsed="false">
      <c r="A344" s="7" t="n">
        <v>4413055</v>
      </c>
      <c r="B344" s="7" t="str">
        <f aca="false">IFERROR(INDEX('Source 2026'!$C:$C,MATCH($A344,'Source 2026'!$B:$B,0)),IFERROR(INDEX('Source 2025'!$C:$C,MATCH($A344,'Source 2025'!$B:$B,0)),""))</f>
        <v>35C XL מגן קרסול חום</v>
      </c>
      <c r="C344" s="8" t="n">
        <f aca="false">SUMIFS('Source 2025'!$I:$I,'Source 2025'!$B:$B,$A344,'Source 2025'!$A:$A,"Quantity (units)")</f>
        <v>157</v>
      </c>
      <c r="D344" s="8" t="n">
        <f aca="false">SUMIFS('Source 2026'!$I:$I,'Source 2026'!$B:$B,$A344,'Source 2026'!$A:$A,"Quantity (units)")</f>
        <v>157</v>
      </c>
      <c r="E344" s="8" t="n">
        <f aca="false">D344*$J$5</f>
        <v>215.314285714286</v>
      </c>
      <c r="F344" s="8" t="n">
        <f aca="false">E344-C344</f>
        <v>58.3142857142857</v>
      </c>
      <c r="G344" s="9" t="n">
        <f aca="false">IF(AND(C344=0,E344=0),0,IF(C344=0,"New",(E344-C344)/C344))</f>
        <v>0.371428571428571</v>
      </c>
      <c r="H344" s="8" t="n">
        <f aca="false">SUMIFS('Source 2025'!$I:$I,'Source 2025'!$B:$B,$A344,'Source 2025'!$A:$A,"Amount (NIS)")</f>
        <v>4368.2</v>
      </c>
      <c r="I344" s="8" t="n">
        <f aca="false">SUMIFS('Source 2026'!$I:$I,'Source 2026'!$B:$B,$A344,'Source 2026'!$A:$A,"Amount (NIS)")</f>
        <v>4364.2</v>
      </c>
      <c r="J344" s="8" t="n">
        <f aca="false">I344*$J$5</f>
        <v>5985.18857142857</v>
      </c>
      <c r="K344" s="8" t="n">
        <f aca="false">J344-H344</f>
        <v>1616.98857142857</v>
      </c>
      <c r="L344" s="9" t="n">
        <f aca="false">IF(AND(H344=0,J344=0),0,IF(H344=0,"New",(J344-H344)/H344))</f>
        <v>0.370172741959748</v>
      </c>
    </row>
    <row r="345" customFormat="false" ht="15" hidden="false" customHeight="false" outlineLevel="0" collapsed="false">
      <c r="A345" s="7" t="n">
        <v>4413444</v>
      </c>
      <c r="B345" s="7" t="str">
        <f aca="false">IFERROR(INDEX('Source 2026'!$C:$C,MATCH($A345,'Source 2026'!$B:$B,0)),IFERROR(INDEX('Source 2025'!$C:$C,MATCH($A345,'Source 2025'!$B:$B,0)),""))</f>
        <v>302SP M מדרס ג'ל ספורט לגבר</v>
      </c>
      <c r="C345" s="8" t="n">
        <f aca="false">SUMIFS('Source 2025'!$I:$I,'Source 2025'!$B:$B,$A345,'Source 2025'!$A:$A,"Quantity (units)")</f>
        <v>-1</v>
      </c>
      <c r="D345" s="8" t="n">
        <f aca="false">SUMIFS('Source 2026'!$I:$I,'Source 2026'!$B:$B,$A345,'Source 2026'!$A:$A,"Quantity (units)")</f>
        <v>-1</v>
      </c>
      <c r="E345" s="8" t="n">
        <f aca="false">D345*$J$5</f>
        <v>-1.37142857142857</v>
      </c>
      <c r="F345" s="8" t="n">
        <f aca="false">E345-C345</f>
        <v>-0.371428571428571</v>
      </c>
      <c r="G345" s="9" t="n">
        <f aca="false">IF(AND(C345=0,E345=0),0,IF(C345=0,"New",(E345-C345)/C345))</f>
        <v>0.371428571428571</v>
      </c>
      <c r="H345" s="8" t="n">
        <f aca="false">SUMIFS('Source 2025'!$I:$I,'Source 2025'!$B:$B,$A345,'Source 2025'!$A:$A,"Amount (NIS)")</f>
        <v>-65.6</v>
      </c>
      <c r="I345" s="8" t="n">
        <f aca="false">SUMIFS('Source 2026'!$I:$I,'Source 2026'!$B:$B,$A345,'Source 2026'!$A:$A,"Amount (NIS)")</f>
        <v>-65.6</v>
      </c>
      <c r="J345" s="8" t="n">
        <f aca="false">I345*$J$5</f>
        <v>-89.9657142857143</v>
      </c>
      <c r="K345" s="8" t="n">
        <f aca="false">J345-H345</f>
        <v>-24.3657142857143</v>
      </c>
      <c r="L345" s="9" t="n">
        <f aca="false">IF(AND(H345=0,J345=0),0,IF(H345=0,"New",(J345-H345)/H345))</f>
        <v>0.371428571428572</v>
      </c>
    </row>
    <row r="346" customFormat="false" ht="15" hidden="false" customHeight="false" outlineLevel="0" collapsed="false">
      <c r="A346" s="7" t="n">
        <v>4413445</v>
      </c>
      <c r="B346" s="7" t="str">
        <f aca="false">IFERROR(INDEX('Source 2026'!$C:$C,MATCH($A346,'Source 2026'!$B:$B,0)),IFERROR(INDEX('Source 2025'!$C:$C,MATCH($A346,'Source 2025'!$B:$B,0)),""))</f>
        <v>302SP Wמדרס ג'ל ספורט לאישה</v>
      </c>
      <c r="C346" s="8" t="n">
        <f aca="false">SUMIFS('Source 2025'!$I:$I,'Source 2025'!$B:$B,$A346,'Source 2025'!$A:$A,"Quantity (units)")</f>
        <v>3</v>
      </c>
      <c r="D346" s="8" t="n">
        <f aca="false">SUMIFS('Source 2026'!$I:$I,'Source 2026'!$B:$B,$A346,'Source 2026'!$A:$A,"Quantity (units)")</f>
        <v>3</v>
      </c>
      <c r="E346" s="8" t="n">
        <f aca="false">D346*$J$5</f>
        <v>4.11428571428571</v>
      </c>
      <c r="F346" s="8" t="n">
        <f aca="false">E346-C346</f>
        <v>1.11428571428571</v>
      </c>
      <c r="G346" s="9" t="n">
        <f aca="false">IF(AND(C346=0,E346=0),0,IF(C346=0,"New",(E346-C346)/C346))</f>
        <v>0.371428571428571</v>
      </c>
      <c r="H346" s="8" t="n">
        <f aca="false">SUMIFS('Source 2025'!$I:$I,'Source 2025'!$B:$B,$A346,'Source 2025'!$A:$A,"Amount (NIS)")</f>
        <v>196.9</v>
      </c>
      <c r="I346" s="8" t="n">
        <f aca="false">SUMIFS('Source 2026'!$I:$I,'Source 2026'!$B:$B,$A346,'Source 2026'!$A:$A,"Amount (NIS)")</f>
        <v>196.9</v>
      </c>
      <c r="J346" s="8" t="n">
        <f aca="false">I346*$J$5</f>
        <v>270.034285714286</v>
      </c>
      <c r="K346" s="8" t="n">
        <f aca="false">J346-H346</f>
        <v>73.1342857142857</v>
      </c>
      <c r="L346" s="9" t="n">
        <f aca="false">IF(AND(H346=0,J346=0),0,IF(H346=0,"New",(J346-H346)/H346))</f>
        <v>0.371428571428571</v>
      </c>
    </row>
    <row r="347" customFormat="false" ht="15" hidden="false" customHeight="false" outlineLevel="0" collapsed="false">
      <c r="A347" s="7" t="n">
        <v>4422006</v>
      </c>
      <c r="B347" s="7" t="str">
        <f aca="false">IFERROR(INDEX('Source 2026'!$C:$C,MATCH($A347,'Source 2026'!$B:$B,0)),IFERROR(INDEX('Source 2025'!$C:$C,MATCH($A347,'Source 2025'!$B:$B,0)),""))</f>
        <v>T78 L תומך זרוע וכתף</v>
      </c>
      <c r="C347" s="8" t="n">
        <f aca="false">SUMIFS('Source 2025'!$I:$I,'Source 2025'!$B:$B,$A347,'Source 2025'!$A:$A,"Quantity (units)")</f>
        <v>2</v>
      </c>
      <c r="D347" s="8" t="n">
        <f aca="false">SUMIFS('Source 2026'!$I:$I,'Source 2026'!$B:$B,$A347,'Source 2026'!$A:$A,"Quantity (units)")</f>
        <v>2</v>
      </c>
      <c r="E347" s="8" t="n">
        <f aca="false">D347*$J$5</f>
        <v>2.74285714285714</v>
      </c>
      <c r="F347" s="8" t="n">
        <f aca="false">E347-C347</f>
        <v>0.742857142857143</v>
      </c>
      <c r="G347" s="9" t="n">
        <f aca="false">IF(AND(C347=0,E347=0),0,IF(C347=0,"New",(E347-C347)/C347))</f>
        <v>0.371428571428571</v>
      </c>
      <c r="H347" s="8" t="n">
        <f aca="false">SUMIFS('Source 2025'!$I:$I,'Source 2025'!$B:$B,$A347,'Source 2025'!$A:$A,"Amount (NIS)")</f>
        <v>374.6</v>
      </c>
      <c r="I347" s="8" t="n">
        <f aca="false">SUMIFS('Source 2026'!$I:$I,'Source 2026'!$B:$B,$A347,'Source 2026'!$A:$A,"Amount (NIS)")</f>
        <v>374.6</v>
      </c>
      <c r="J347" s="8" t="n">
        <f aca="false">I347*$J$5</f>
        <v>513.737142857143</v>
      </c>
      <c r="K347" s="8" t="n">
        <f aca="false">J347-H347</f>
        <v>139.137142857143</v>
      </c>
      <c r="L347" s="9" t="n">
        <f aca="false">IF(AND(H347=0,J347=0),0,IF(H347=0,"New",(J347-H347)/H347))</f>
        <v>0.371428571428571</v>
      </c>
    </row>
    <row r="348" customFormat="false" ht="15" hidden="false" customHeight="false" outlineLevel="0" collapsed="false">
      <c r="A348" s="7" t="n">
        <v>4408028</v>
      </c>
      <c r="B348" s="7" t="str">
        <f aca="false">IFERROR(INDEX('Source 2026'!$C:$C,MATCH($A348,'Source 2026'!$B:$B,0)),IFERROR(INDEX('Source 2025'!$C:$C,MATCH($A348,'Source 2025'!$B:$B,0)),""))</f>
        <v>10 M ""חגורת גב ""לומבו</v>
      </c>
      <c r="C348" s="8" t="n">
        <f aca="false">SUMIFS('Source 2025'!$I:$I,'Source 2025'!$B:$B,$A348,'Source 2025'!$A:$A,"Quantity (units)")</f>
        <v>3</v>
      </c>
      <c r="D348" s="8" t="n">
        <f aca="false">SUMIFS('Source 2026'!$I:$I,'Source 2026'!$B:$B,$A348,'Source 2026'!$A:$A,"Quantity (units)")</f>
        <v>3</v>
      </c>
      <c r="E348" s="8" t="n">
        <f aca="false">D348*$J$5</f>
        <v>4.11428571428571</v>
      </c>
      <c r="F348" s="8" t="n">
        <f aca="false">E348-C348</f>
        <v>1.11428571428571</v>
      </c>
      <c r="G348" s="9" t="n">
        <f aca="false">IF(AND(C348=0,E348=0),0,IF(C348=0,"New",(E348-C348)/C348))</f>
        <v>0.371428571428571</v>
      </c>
      <c r="H348" s="8" t="n">
        <f aca="false">SUMIFS('Source 2025'!$I:$I,'Source 2025'!$B:$B,$A348,'Source 2025'!$A:$A,"Amount (NIS)")</f>
        <v>423.5</v>
      </c>
      <c r="I348" s="8" t="n">
        <f aca="false">SUMIFS('Source 2026'!$I:$I,'Source 2026'!$B:$B,$A348,'Source 2026'!$A:$A,"Amount (NIS)")</f>
        <v>423.5</v>
      </c>
      <c r="J348" s="8" t="n">
        <f aca="false">I348*$J$5</f>
        <v>580.8</v>
      </c>
      <c r="K348" s="8" t="n">
        <f aca="false">J348-H348</f>
        <v>157.3</v>
      </c>
      <c r="L348" s="9" t="n">
        <f aca="false">IF(AND(H348=0,J348=0),0,IF(H348=0,"New",(J348-H348)/H348))</f>
        <v>0.371428571428571</v>
      </c>
    </row>
    <row r="349" customFormat="false" ht="15" hidden="false" customHeight="false" outlineLevel="0" collapsed="false">
      <c r="A349" s="7" t="n">
        <v>4408031</v>
      </c>
      <c r="B349" s="7" t="str">
        <f aca="false">IFERROR(INDEX('Source 2026'!$C:$C,MATCH($A349,'Source 2026'!$B:$B,0)),IFERROR(INDEX('Source 2025'!$C:$C,MATCH($A349,'Source 2025'!$B:$B,0)),""))</f>
        <v>11 S""חגורת בטן""אורירית</v>
      </c>
      <c r="C349" s="8" t="n">
        <f aca="false">SUMIFS('Source 2025'!$I:$I,'Source 2025'!$B:$B,$A349,'Source 2025'!$A:$A,"Quantity (units)")</f>
        <v>19</v>
      </c>
      <c r="D349" s="8" t="n">
        <f aca="false">SUMIFS('Source 2026'!$I:$I,'Source 2026'!$B:$B,$A349,'Source 2026'!$A:$A,"Quantity (units)")</f>
        <v>19</v>
      </c>
      <c r="E349" s="8" t="n">
        <f aca="false">D349*$J$5</f>
        <v>26.0571428571429</v>
      </c>
      <c r="F349" s="8" t="n">
        <f aca="false">E349-C349</f>
        <v>7.05714285714286</v>
      </c>
      <c r="G349" s="9" t="n">
        <f aca="false">IF(AND(C349=0,E349=0),0,IF(C349=0,"New",(E349-C349)/C349))</f>
        <v>0.371428571428571</v>
      </c>
      <c r="H349" s="8" t="n">
        <f aca="false">SUMIFS('Source 2025'!$I:$I,'Source 2025'!$B:$B,$A349,'Source 2025'!$A:$A,"Amount (NIS)")</f>
        <v>1843.6</v>
      </c>
      <c r="I349" s="8" t="n">
        <f aca="false">SUMIFS('Source 2026'!$I:$I,'Source 2026'!$B:$B,$A349,'Source 2026'!$A:$A,"Amount (NIS)")</f>
        <v>1843.6</v>
      </c>
      <c r="J349" s="8" t="n">
        <f aca="false">I349*$J$5</f>
        <v>2528.36571428571</v>
      </c>
      <c r="K349" s="8" t="n">
        <f aca="false">J349-H349</f>
        <v>684.765714285714</v>
      </c>
      <c r="L349" s="9" t="n">
        <f aca="false">IF(AND(H349=0,J349=0),0,IF(H349=0,"New",(J349-H349)/H349))</f>
        <v>0.371428571428571</v>
      </c>
    </row>
    <row r="350" customFormat="false" ht="15" hidden="false" customHeight="false" outlineLevel="0" collapsed="false">
      <c r="A350" s="7" t="n">
        <v>4408081</v>
      </c>
      <c r="B350" s="7" t="str">
        <f aca="false">IFERROR(INDEX('Source 2026'!$C:$C,MATCH($A350,'Source 2026'!$B:$B,0)),IFERROR(INDEX('Source 2025'!$C:$C,MATCH($A350,'Source 2025'!$B:$B,0)),""))</f>
        <v>59R M חגורת שבר לצד ימין</v>
      </c>
      <c r="C350" s="8" t="n">
        <f aca="false">SUMIFS('Source 2025'!$I:$I,'Source 2025'!$B:$B,$A350,'Source 2025'!$A:$A,"Quantity (units)")</f>
        <v>1</v>
      </c>
      <c r="D350" s="8" t="n">
        <f aca="false">SUMIFS('Source 2026'!$I:$I,'Source 2026'!$B:$B,$A350,'Source 2026'!$A:$A,"Quantity (units)")</f>
        <v>1</v>
      </c>
      <c r="E350" s="8" t="n">
        <f aca="false">D350*$J$5</f>
        <v>1.37142857142857</v>
      </c>
      <c r="F350" s="8" t="n">
        <f aca="false">E350-C350</f>
        <v>0.371428571428571</v>
      </c>
      <c r="G350" s="9" t="n">
        <f aca="false">IF(AND(C350=0,E350=0),0,IF(C350=0,"New",(E350-C350)/C350))</f>
        <v>0.371428571428571</v>
      </c>
      <c r="H350" s="8" t="n">
        <f aca="false">SUMIFS('Source 2025'!$I:$I,'Source 2025'!$B:$B,$A350,'Source 2025'!$A:$A,"Amount (NIS)")</f>
        <v>178.9</v>
      </c>
      <c r="I350" s="8" t="n">
        <f aca="false">SUMIFS('Source 2026'!$I:$I,'Source 2026'!$B:$B,$A350,'Source 2026'!$A:$A,"Amount (NIS)")</f>
        <v>178.9</v>
      </c>
      <c r="J350" s="8" t="n">
        <f aca="false">I350*$J$5</f>
        <v>245.348571428571</v>
      </c>
      <c r="K350" s="8" t="n">
        <f aca="false">J350-H350</f>
        <v>66.4485714285714</v>
      </c>
      <c r="L350" s="9" t="n">
        <f aca="false">IF(AND(H350=0,J350=0),0,IF(H350=0,"New",(J350-H350)/H350))</f>
        <v>0.371428571428571</v>
      </c>
    </row>
    <row r="351" customFormat="false" ht="15" hidden="false" customHeight="false" outlineLevel="0" collapsed="false">
      <c r="A351" s="7" t="n">
        <v>4408221</v>
      </c>
      <c r="B351" s="7" t="str">
        <f aca="false">IFERROR(INDEX('Source 2026'!$C:$C,MATCH($A351,'Source 2026'!$B:$B,0)),IFERROR(INDEX('Source 2025'!$C:$C,MATCH($A351,'Source 2025'!$B:$B,0)),""))</f>
        <v>078G-L חגורת גב אפורה</v>
      </c>
      <c r="C351" s="8" t="n">
        <f aca="false">SUMIFS('Source 2025'!$I:$I,'Source 2025'!$B:$B,$A351,'Source 2025'!$A:$A,"Quantity (units)")</f>
        <v>146</v>
      </c>
      <c r="D351" s="8" t="n">
        <f aca="false">SUMIFS('Source 2026'!$I:$I,'Source 2026'!$B:$B,$A351,'Source 2026'!$A:$A,"Quantity (units)")</f>
        <v>146</v>
      </c>
      <c r="E351" s="8" t="n">
        <f aca="false">D351*$J$5</f>
        <v>200.228571428571</v>
      </c>
      <c r="F351" s="8" t="n">
        <f aca="false">E351-C351</f>
        <v>54.2285714285714</v>
      </c>
      <c r="G351" s="9" t="n">
        <f aca="false">IF(AND(C351=0,E351=0),0,IF(C351=0,"New",(E351-C351)/C351))</f>
        <v>0.371428571428571</v>
      </c>
      <c r="H351" s="8" t="n">
        <f aca="false">SUMIFS('Source 2025'!$I:$I,'Source 2025'!$B:$B,$A351,'Source 2025'!$A:$A,"Amount (NIS)")</f>
        <v>14487.6</v>
      </c>
      <c r="I351" s="8" t="n">
        <f aca="false">SUMIFS('Source 2026'!$I:$I,'Source 2026'!$B:$B,$A351,'Source 2026'!$A:$A,"Amount (NIS)")</f>
        <v>14487.6</v>
      </c>
      <c r="J351" s="8" t="n">
        <f aca="false">I351*$J$5</f>
        <v>19868.7085714286</v>
      </c>
      <c r="K351" s="8" t="n">
        <f aca="false">J351-H351</f>
        <v>5381.10857142857</v>
      </c>
      <c r="L351" s="9" t="n">
        <f aca="false">IF(AND(H351=0,J351=0),0,IF(H351=0,"New",(J351-H351)/H351))</f>
        <v>0.371428571428571</v>
      </c>
    </row>
    <row r="352" customFormat="false" ht="15" hidden="false" customHeight="false" outlineLevel="0" collapsed="false">
      <c r="A352" s="7" t="n">
        <v>4408236</v>
      </c>
      <c r="B352" s="7" t="str">
        <f aca="false">IFERROR(INDEX('Source 2026'!$C:$C,MATCH($A352,'Source 2026'!$B:$B,0)),IFERROR(INDEX('Source 2025'!$C:$C,MATCH($A352,'Source 2025'!$B:$B,0)),""))</f>
        <v>078C XLתתחגורת גב+סגירה כפו בז</v>
      </c>
      <c r="C352" s="8" t="n">
        <f aca="false">SUMIFS('Source 2025'!$I:$I,'Source 2025'!$B:$B,$A352,'Source 2025'!$A:$A,"Quantity (units)")</f>
        <v>-1</v>
      </c>
      <c r="D352" s="8" t="n">
        <f aca="false">SUMIFS('Source 2026'!$I:$I,'Source 2026'!$B:$B,$A352,'Source 2026'!$A:$A,"Quantity (units)")</f>
        <v>-1</v>
      </c>
      <c r="E352" s="8" t="n">
        <f aca="false">D352*$J$5</f>
        <v>-1.37142857142857</v>
      </c>
      <c r="F352" s="8" t="n">
        <f aca="false">E352-C352</f>
        <v>-0.371428571428571</v>
      </c>
      <c r="G352" s="9" t="n">
        <f aca="false">IF(AND(C352=0,E352=0),0,IF(C352=0,"New",(E352-C352)/C352))</f>
        <v>0.371428571428571</v>
      </c>
      <c r="H352" s="8" t="n">
        <f aca="false">SUMIFS('Source 2025'!$I:$I,'Source 2025'!$B:$B,$A352,'Source 2025'!$A:$A,"Amount (NIS)")</f>
        <v>-99.2</v>
      </c>
      <c r="I352" s="8" t="n">
        <f aca="false">SUMIFS('Source 2026'!$I:$I,'Source 2026'!$B:$B,$A352,'Source 2026'!$A:$A,"Amount (NIS)")</f>
        <v>-99.2</v>
      </c>
      <c r="J352" s="8" t="n">
        <f aca="false">I352*$J$5</f>
        <v>-136.045714285714</v>
      </c>
      <c r="K352" s="8" t="n">
        <f aca="false">J352-H352</f>
        <v>-36.8457142857143</v>
      </c>
      <c r="L352" s="9" t="n">
        <f aca="false">IF(AND(H352=0,J352=0),0,IF(H352=0,"New",(J352-H352)/H352))</f>
        <v>0.371428571428572</v>
      </c>
    </row>
    <row r="353" customFormat="false" ht="15" hidden="false" customHeight="false" outlineLevel="0" collapsed="false">
      <c r="A353" s="7" t="n">
        <v>4413195</v>
      </c>
      <c r="B353" s="7" t="str">
        <f aca="false">IFERROR(INDEX('Source 2026'!$C:$C,MATCH($A353,'Source 2026'!$B:$B,0)),IFERROR(INDEX('Source 2025'!$C:$C,MATCH($A353,'Source 2025'!$B:$B,0)),""))</f>
        <v>87 S מקבע כתף ויד</v>
      </c>
      <c r="C353" s="8" t="n">
        <f aca="false">SUMIFS('Source 2025'!$I:$I,'Source 2025'!$B:$B,$A353,'Source 2025'!$A:$A,"Quantity (units)")</f>
        <v>2</v>
      </c>
      <c r="D353" s="8" t="n">
        <f aca="false">SUMIFS('Source 2026'!$I:$I,'Source 2026'!$B:$B,$A353,'Source 2026'!$A:$A,"Quantity (units)")</f>
        <v>2</v>
      </c>
      <c r="E353" s="8" t="n">
        <f aca="false">D353*$J$5</f>
        <v>2.74285714285714</v>
      </c>
      <c r="F353" s="8" t="n">
        <f aca="false">E353-C353</f>
        <v>0.742857142857143</v>
      </c>
      <c r="G353" s="9" t="n">
        <f aca="false">IF(AND(C353=0,E353=0),0,IF(C353=0,"New",(E353-C353)/C353))</f>
        <v>0.371428571428571</v>
      </c>
      <c r="H353" s="8" t="n">
        <f aca="false">SUMIFS('Source 2025'!$I:$I,'Source 2025'!$B:$B,$A353,'Source 2025'!$A:$A,"Amount (NIS)")</f>
        <v>352.9</v>
      </c>
      <c r="I353" s="8" t="n">
        <f aca="false">SUMIFS('Source 2026'!$I:$I,'Source 2026'!$B:$B,$A353,'Source 2026'!$A:$A,"Amount (NIS)")</f>
        <v>352.9</v>
      </c>
      <c r="J353" s="8" t="n">
        <f aca="false">I353*$J$5</f>
        <v>483.977142857143</v>
      </c>
      <c r="K353" s="8" t="n">
        <f aca="false">J353-H353</f>
        <v>131.077142857143</v>
      </c>
      <c r="L353" s="9" t="n">
        <f aca="false">IF(AND(H353=0,J353=0),0,IF(H353=0,"New",(J353-H353)/H353))</f>
        <v>0.371428571428571</v>
      </c>
    </row>
    <row r="354" customFormat="false" ht="15" hidden="false" customHeight="false" outlineLevel="0" collapsed="false">
      <c r="A354" s="7" t="n">
        <v>4413368</v>
      </c>
      <c r="B354" s="7" t="str">
        <f aca="false">IFERROR(INDEX('Source 2026'!$C:$C,MATCH($A354,'Source 2026'!$B:$B,0)),IFERROR(INDEX('Source 2025'!$C:$C,MATCH($A354,'Source 2025'!$B:$B,0)),""))</f>
        <v>95C XS'מגן מרפק בז</v>
      </c>
      <c r="C354" s="8" t="n">
        <f aca="false">SUMIFS('Source 2025'!$I:$I,'Source 2025'!$B:$B,$A354,'Source 2025'!$A:$A,"Quantity (units)")</f>
        <v>44</v>
      </c>
      <c r="D354" s="8" t="n">
        <f aca="false">SUMIFS('Source 2026'!$I:$I,'Source 2026'!$B:$B,$A354,'Source 2026'!$A:$A,"Quantity (units)")</f>
        <v>44</v>
      </c>
      <c r="E354" s="8" t="n">
        <f aca="false">D354*$J$5</f>
        <v>60.3428571428571</v>
      </c>
      <c r="F354" s="8" t="n">
        <f aca="false">E354-C354</f>
        <v>16.3428571428571</v>
      </c>
      <c r="G354" s="9" t="n">
        <f aca="false">IF(AND(C354=0,E354=0),0,IF(C354=0,"New",(E354-C354)/C354))</f>
        <v>0.371428571428571</v>
      </c>
      <c r="H354" s="8" t="n">
        <f aca="false">SUMIFS('Source 2025'!$I:$I,'Source 2025'!$B:$B,$A354,'Source 2025'!$A:$A,"Amount (NIS)")</f>
        <v>1221.4</v>
      </c>
      <c r="I354" s="8" t="n">
        <f aca="false">SUMIFS('Source 2026'!$I:$I,'Source 2026'!$B:$B,$A354,'Source 2026'!$A:$A,"Amount (NIS)")</f>
        <v>1221.4</v>
      </c>
      <c r="J354" s="8" t="n">
        <f aca="false">I354*$J$5</f>
        <v>1675.06285714286</v>
      </c>
      <c r="K354" s="8" t="n">
        <f aca="false">J354-H354</f>
        <v>453.662857142857</v>
      </c>
      <c r="L354" s="9" t="n">
        <f aca="false">IF(AND(H354=0,J354=0),0,IF(H354=0,"New",(J354-H354)/H354))</f>
        <v>0.371428571428571</v>
      </c>
    </row>
    <row r="356" customFormat="false" ht="15" hidden="false" customHeight="false" outlineLevel="0" collapsed="false">
      <c r="A356" s="21"/>
      <c r="B356" s="22" t="s">
        <v>72</v>
      </c>
      <c r="C356" s="23" t="n">
        <f aca="false">SUM(C9:C354)</f>
        <v>27268</v>
      </c>
      <c r="D356" s="23" t="n">
        <f aca="false">SUM(D9:D354)</f>
        <v>19109</v>
      </c>
      <c r="E356" s="23" t="n">
        <f aca="false">SUM(E9:E354)</f>
        <v>26206.6285714286</v>
      </c>
      <c r="F356" s="23" t="n">
        <f aca="false">SUM(F9:F354)</f>
        <v>-1061.37142857143</v>
      </c>
      <c r="G356" s="24" t="n">
        <f aca="false">IF(C356=0,"N/A",F356/C356)</f>
        <v>-0.0389236991554727</v>
      </c>
      <c r="H356" s="23" t="n">
        <f aca="false">SUM(H9:H354)</f>
        <v>889501.5</v>
      </c>
      <c r="I356" s="23" t="n">
        <f aca="false">SUM(I9:I354)</f>
        <v>676264.2</v>
      </c>
      <c r="J356" s="23" t="n">
        <f aca="false">SUM(J9:J354)</f>
        <v>927448.045714286</v>
      </c>
      <c r="K356" s="23" t="n">
        <f aca="false">SUM(K9:K354)</f>
        <v>37946.5457142857</v>
      </c>
      <c r="L356" s="24" t="n">
        <f aca="false">IF(H356=0,"N/A",K356/H356)</f>
        <v>0.0426604628708167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99.75" hidden="false" customHeight="true" outlineLevel="0" collapsed="false">
      <c r="A3" s="4" t="s">
        <v>76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54.75" hidden="false" customHeight="true" outlineLevel="0" collapsed="false">
      <c r="A4" s="4" t="s">
        <v>51</v>
      </c>
      <c r="B4" s="4"/>
      <c r="C4" s="4"/>
      <c r="D4" s="4"/>
      <c r="E4" s="4"/>
      <c r="F4" s="4"/>
      <c r="G4" s="4"/>
      <c r="H4" s="4"/>
      <c r="I4" s="14" t="s">
        <v>52</v>
      </c>
      <c r="J4" s="15" t="n">
        <v>12</v>
      </c>
      <c r="K4" s="16" t="s">
        <v>53</v>
      </c>
      <c r="L4" s="15" t="n">
        <v>8.75</v>
      </c>
    </row>
    <row r="5" customFormat="false" ht="30" hidden="false" customHeight="true" outlineLevel="0" collapsed="false">
      <c r="A5" s="17" t="s">
        <v>54</v>
      </c>
      <c r="B5" s="18" t="n">
        <f aca="false">SUMPRODUCT(--((($C$9:$C$444&lt;&gt;0)+($H$9:$H$444&lt;&gt;0)&gt;0)*(($D$9:$D$444=0)*($I$9:$I$444=0))))</f>
        <v>54</v>
      </c>
      <c r="C5" s="17" t="s">
        <v>55</v>
      </c>
      <c r="D5" s="18" t="n">
        <f aca="false">SUMPRODUCT(--((($D$9:$D$444&lt;&gt;0)+($I$9:$I$444&lt;&gt;0)&gt;0)*(($C$9:$C$444=0)*($H$9:$H$444=0))))</f>
        <v>52</v>
      </c>
      <c r="I5" s="17" t="s">
        <v>56</v>
      </c>
      <c r="J5" s="19" t="n">
        <f aca="false">J4/L4</f>
        <v>1.37142857142857</v>
      </c>
    </row>
    <row r="6" customFormat="false" ht="30" hidden="false" customHeight="true" outlineLevel="0" collapsed="false">
      <c r="A6" s="17" t="s">
        <v>57</v>
      </c>
      <c r="B6" s="18" t="n">
        <f aca="false">SUMPRODUCT(--((($C$9:$C$444&lt;&gt;0)+($H$9:$H$444&lt;&gt;0)&gt;0)*(($D$9:$D$444=0)*($I$9:$I$444=0)))*$C$9:$C$444)</f>
        <v>23</v>
      </c>
      <c r="C6" s="17" t="s">
        <v>58</v>
      </c>
      <c r="D6" s="18" t="n">
        <f aca="false">SUMPRODUCT(--((($C$9:$C$444&lt;&gt;0)+($H$9:$H$444&lt;&gt;0)&gt;0)*(($D$9:$D$444=0)*($I$9:$I$444=0)))*$H$9:$H$444)</f>
        <v>-2700.3</v>
      </c>
      <c r="E6" s="17" t="s">
        <v>59</v>
      </c>
      <c r="F6" s="18" t="n">
        <f aca="false">SUMPRODUCT(--((($D$9:$D$444&lt;&gt;0)+($I$9:$I$444&lt;&gt;0)&gt;0)*(($C$9:$C$444=0)*($H$9:$H$444=0)))*$D$9:$D$444)</f>
        <v>1975</v>
      </c>
      <c r="G6" s="17" t="s">
        <v>60</v>
      </c>
      <c r="H6" s="18" t="n">
        <f aca="false">SUMPRODUCT(--((($D$9:$D$444&lt;&gt;0)+($I$9:$I$444&lt;&gt;0)&gt;0)*(($C$9:$C$444=0)*($H$9:$H$444=0)))*$I$9:$I$444)</f>
        <v>149982</v>
      </c>
      <c r="I6" s="17" t="s">
        <v>61</v>
      </c>
      <c r="J6" s="18" t="n">
        <f aca="false">F6*$J$5</f>
        <v>2708.57142857143</v>
      </c>
      <c r="K6" s="17" t="s">
        <v>62</v>
      </c>
      <c r="L6" s="18" t="n">
        <f aca="false">H6*$J$5</f>
        <v>205689.6</v>
      </c>
    </row>
    <row r="8" customFormat="false" ht="43.5" hidden="false" customHeight="true" outlineLevel="0" collapsed="false">
      <c r="A8" s="5" t="s">
        <v>63</v>
      </c>
      <c r="B8" s="5" t="s">
        <v>64</v>
      </c>
      <c r="C8" s="5" t="s">
        <v>17</v>
      </c>
      <c r="D8" s="20" t="s">
        <v>65</v>
      </c>
      <c r="E8" s="5" t="s">
        <v>66</v>
      </c>
      <c r="F8" s="5" t="s">
        <v>67</v>
      </c>
      <c r="G8" s="5" t="s">
        <v>68</v>
      </c>
      <c r="H8" s="5" t="s">
        <v>21</v>
      </c>
      <c r="I8" s="20" t="s">
        <v>69</v>
      </c>
      <c r="J8" s="5" t="s">
        <v>23</v>
      </c>
      <c r="K8" s="5" t="s">
        <v>70</v>
      </c>
      <c r="L8" s="5" t="s">
        <v>71</v>
      </c>
    </row>
    <row r="9" customFormat="false" ht="15" hidden="false" customHeight="false" outlineLevel="0" collapsed="false">
      <c r="A9" s="7" t="n">
        <v>4413523</v>
      </c>
      <c r="B9" s="7" t="str">
        <f aca="false">IFERROR(INDEX('Source 2026'!$C:$C,MATCH($A9,'Source 2026'!$B:$B,0)),IFERROR(INDEX('Source 2025'!$C:$C,MATCH($A9,'Source 2025'!$B:$B,0)),""))</f>
        <v>35-38 מדרסי אפיק ג'ל נוחות</v>
      </c>
      <c r="C9" s="8" t="n">
        <f aca="false">SUMIFS('Source 2025'!$H:$H,'Source 2025'!$B:$B,$A9,'Source 2025'!$A:$A,"Quantity (units)")</f>
        <v>890</v>
      </c>
      <c r="D9" s="8" t="n">
        <f aca="false">SUMIFS('Source 2026'!$H:$H,'Source 2026'!$B:$B,$A9,'Source 2026'!$A:$A,"Quantity (units)")</f>
        <v>38</v>
      </c>
      <c r="E9" s="8" t="n">
        <f aca="false">D9*$J$5</f>
        <v>52.1142857142857</v>
      </c>
      <c r="F9" s="8" t="n">
        <f aca="false">E9-C9</f>
        <v>-837.885714285714</v>
      </c>
      <c r="G9" s="9" t="n">
        <f aca="false">IF(AND(C9=0,E9=0),0,IF(C9=0,"New",(E9-C9)/C9))</f>
        <v>-0.941444622792937</v>
      </c>
      <c r="H9" s="8" t="n">
        <f aca="false">SUMIFS('Source 2025'!$H:$H,'Source 2025'!$B:$B,$A9,'Source 2025'!$A:$A,"Amount (NIS)")</f>
        <v>82352.3</v>
      </c>
      <c r="I9" s="8" t="n">
        <f aca="false">SUMIFS('Source 2026'!$H:$H,'Source 2026'!$B:$B,$A9,'Source 2026'!$A:$A,"Amount (NIS)")</f>
        <v>3972.8</v>
      </c>
      <c r="J9" s="8" t="n">
        <f aca="false">I9*$J$5</f>
        <v>5448.41142857143</v>
      </c>
      <c r="K9" s="8" t="n">
        <f aca="false">J9-H9</f>
        <v>-76903.8885714286</v>
      </c>
      <c r="L9" s="9" t="n">
        <f aca="false">IF(AND(H9=0,J9=0),0,IF(H9=0,"New",(J9-H9)/H9))</f>
        <v>-0.933840203266072</v>
      </c>
    </row>
    <row r="10" customFormat="false" ht="15" hidden="false" customHeight="false" outlineLevel="0" collapsed="false">
      <c r="A10" s="7" t="n">
        <v>4413520</v>
      </c>
      <c r="B10" s="7" t="str">
        <f aca="false">IFERROR(INDEX('Source 2026'!$C:$C,MATCH($A10,'Source 2026'!$B:$B,0)),IFERROR(INDEX('Source 2025'!$C:$C,MATCH($A10,'Source 2025'!$B:$B,0)),""))</f>
        <v>מדרסי אפיק ג'ל מולט.ספורט35-38</v>
      </c>
      <c r="C10" s="8" t="n">
        <f aca="false">SUMIFS('Source 2025'!$H:$H,'Source 2025'!$B:$B,$A10,'Source 2025'!$A:$A,"Quantity (units)")</f>
        <v>869</v>
      </c>
      <c r="D10" s="8" t="n">
        <f aca="false">SUMIFS('Source 2026'!$H:$H,'Source 2026'!$B:$B,$A10,'Source 2026'!$A:$A,"Quantity (units)")</f>
        <v>37</v>
      </c>
      <c r="E10" s="8" t="n">
        <f aca="false">D10*$J$5</f>
        <v>50.7428571428571</v>
      </c>
      <c r="F10" s="8" t="n">
        <f aca="false">E10-C10</f>
        <v>-818.257142857143</v>
      </c>
      <c r="G10" s="9" t="n">
        <f aca="false">IF(AND(C10=0,E10=0),0,IF(C10=0,"New",(E10-C10)/C10))</f>
        <v>-0.941607759329278</v>
      </c>
      <c r="H10" s="8" t="n">
        <f aca="false">SUMIFS('Source 2025'!$H:$H,'Source 2025'!$B:$B,$A10,'Source 2025'!$A:$A,"Amount (NIS)")</f>
        <v>80570.4</v>
      </c>
      <c r="I10" s="8" t="n">
        <f aca="false">SUMIFS('Source 2026'!$H:$H,'Source 2026'!$B:$B,$A10,'Source 2026'!$A:$A,"Amount (NIS)")</f>
        <v>3938.8</v>
      </c>
      <c r="J10" s="8" t="n">
        <f aca="false">I10*$J$5</f>
        <v>5401.78285714286</v>
      </c>
      <c r="K10" s="8" t="n">
        <f aca="false">J10-H10</f>
        <v>-75168.6171428571</v>
      </c>
      <c r="L10" s="9" t="n">
        <f aca="false">IF(AND(H10=0,J10=0),0,IF(H10=0,"New",(J10-H10)/H10))</f>
        <v>-0.932955739860509</v>
      </c>
    </row>
    <row r="11" customFormat="false" ht="15" hidden="false" customHeight="false" outlineLevel="0" collapsed="false">
      <c r="A11" s="7" t="n">
        <v>4413524</v>
      </c>
      <c r="B11" s="7" t="str">
        <f aca="false">IFERROR(INDEX('Source 2026'!$C:$C,MATCH($A11,'Source 2026'!$B:$B,0)),IFERROR(INDEX('Source 2025'!$C:$C,MATCH($A11,'Source 2025'!$B:$B,0)),""))</f>
        <v>39-42 מדרסי אפיק ג'ל נוחות</v>
      </c>
      <c r="C11" s="8" t="n">
        <f aca="false">SUMIFS('Source 2025'!$H:$H,'Source 2025'!$B:$B,$A11,'Source 2025'!$A:$A,"Quantity (units)")</f>
        <v>969</v>
      </c>
      <c r="D11" s="8" t="n">
        <f aca="false">SUMIFS('Source 2026'!$H:$H,'Source 2026'!$B:$B,$A11,'Source 2026'!$A:$A,"Quantity (units)")</f>
        <v>145</v>
      </c>
      <c r="E11" s="8" t="n">
        <f aca="false">D11*$J$5</f>
        <v>198.857142857143</v>
      </c>
      <c r="F11" s="8" t="n">
        <f aca="false">E11-C11</f>
        <v>-770.142857142857</v>
      </c>
      <c r="G11" s="9" t="n">
        <f aca="false">IF(AND(C11=0,E11=0),0,IF(C11=0,"New",(E11-C11)/C11))</f>
        <v>-0.794781070322866</v>
      </c>
      <c r="H11" s="8" t="n">
        <f aca="false">SUMIFS('Source 2025'!$H:$H,'Source 2025'!$B:$B,$A11,'Source 2025'!$A:$A,"Amount (NIS)")</f>
        <v>90203.7</v>
      </c>
      <c r="I11" s="8" t="n">
        <f aca="false">SUMIFS('Source 2026'!$H:$H,'Source 2026'!$B:$B,$A11,'Source 2026'!$A:$A,"Amount (NIS)")</f>
        <v>14544.7</v>
      </c>
      <c r="J11" s="8" t="n">
        <f aca="false">I11*$J$5</f>
        <v>19947.0171428571</v>
      </c>
      <c r="K11" s="8" t="n">
        <f aca="false">J11-H11</f>
        <v>-70256.6828571429</v>
      </c>
      <c r="L11" s="9" t="n">
        <f aca="false">IF(AND(H11=0,J11=0),0,IF(H11=0,"New",(J11-H11)/H11))</f>
        <v>-0.77886697393946</v>
      </c>
    </row>
    <row r="12" customFormat="false" ht="15" hidden="false" customHeight="false" outlineLevel="0" collapsed="false">
      <c r="A12" s="7" t="n">
        <v>4413527</v>
      </c>
      <c r="B12" s="7" t="str">
        <f aca="false">IFERROR(INDEX('Source 2026'!$C:$C,MATCH($A12,'Source 2026'!$B:$B,0)),IFERROR(INDEX('Source 2025'!$C:$C,MATCH($A12,'Source 2025'!$B:$B,0)),""))</f>
        <v>35-38 מדרסי אפיק ג'ל עבודה</v>
      </c>
      <c r="C12" s="8" t="n">
        <f aca="false">SUMIFS('Source 2025'!$H:$H,'Source 2025'!$B:$B,$A12,'Source 2025'!$A:$A,"Quantity (units)")</f>
        <v>886</v>
      </c>
      <c r="D12" s="8" t="n">
        <f aca="false">SUMIFS('Source 2026'!$H:$H,'Source 2026'!$B:$B,$A12,'Source 2026'!$A:$A,"Quantity (units)")</f>
        <v>74</v>
      </c>
      <c r="E12" s="8" t="n">
        <f aca="false">D12*$J$5</f>
        <v>101.485714285714</v>
      </c>
      <c r="F12" s="8" t="n">
        <f aca="false">E12-C12</f>
        <v>-784.514285714286</v>
      </c>
      <c r="G12" s="9" t="n">
        <f aca="false">IF(AND(C12=0,E12=0),0,IF(C12=0,"New",(E12-C12)/C12))</f>
        <v>-0.88545630441793</v>
      </c>
      <c r="H12" s="8" t="n">
        <f aca="false">SUMIFS('Source 2025'!$H:$H,'Source 2025'!$B:$B,$A12,'Source 2025'!$A:$A,"Amount (NIS)")</f>
        <v>82079.4</v>
      </c>
      <c r="I12" s="8" t="n">
        <f aca="false">SUMIFS('Source 2026'!$H:$H,'Source 2026'!$B:$B,$A12,'Source 2026'!$A:$A,"Amount (NIS)")</f>
        <v>7547.1</v>
      </c>
      <c r="J12" s="8" t="n">
        <f aca="false">I12*$J$5</f>
        <v>10350.3085714286</v>
      </c>
      <c r="K12" s="8" t="n">
        <f aca="false">J12-H12</f>
        <v>-71729.0914285714</v>
      </c>
      <c r="L12" s="9" t="n">
        <f aca="false">IF(AND(H12=0,J12=0),0,IF(H12=0,"New",(J12-H12)/H12))</f>
        <v>-0.873898827581238</v>
      </c>
    </row>
    <row r="13" customFormat="false" ht="15" hidden="false" customHeight="false" outlineLevel="0" collapsed="false">
      <c r="A13" s="7" t="n">
        <v>4413521</v>
      </c>
      <c r="B13" s="7" t="str">
        <f aca="false">IFERROR(INDEX('Source 2026'!$C:$C,MATCH($A13,'Source 2026'!$B:$B,0)),IFERROR(INDEX('Source 2025'!$C:$C,MATCH($A13,'Source 2025'!$B:$B,0)),""))</f>
        <v>מדרסי אפיק ג'ל מולטי ספור39-42</v>
      </c>
      <c r="C13" s="8" t="n">
        <f aca="false">SUMIFS('Source 2025'!$H:$H,'Source 2025'!$B:$B,$A13,'Source 2025'!$A:$A,"Quantity (units)")</f>
        <v>941</v>
      </c>
      <c r="D13" s="8" t="n">
        <f aca="false">SUMIFS('Source 2026'!$H:$H,'Source 2026'!$B:$B,$A13,'Source 2026'!$A:$A,"Quantity (units)")</f>
        <v>134</v>
      </c>
      <c r="E13" s="8" t="n">
        <f aca="false">D13*$J$5</f>
        <v>183.771428571429</v>
      </c>
      <c r="F13" s="8" t="n">
        <f aca="false">E13-C13</f>
        <v>-757.228571428571</v>
      </c>
      <c r="G13" s="9" t="n">
        <f aca="false">IF(AND(C13=0,E13=0),0,IF(C13=0,"New",(E13-C13)/C13))</f>
        <v>-0.804706239562775</v>
      </c>
      <c r="H13" s="8" t="n">
        <f aca="false">SUMIFS('Source 2025'!$H:$H,'Source 2025'!$B:$B,$A13,'Source 2025'!$A:$A,"Amount (NIS)")</f>
        <v>87621.8</v>
      </c>
      <c r="I13" s="8" t="n">
        <f aca="false">SUMIFS('Source 2026'!$H:$H,'Source 2026'!$B:$B,$A13,'Source 2026'!$A:$A,"Amount (NIS)")</f>
        <v>13211.8</v>
      </c>
      <c r="J13" s="8" t="n">
        <f aca="false">I13*$J$5</f>
        <v>18119.04</v>
      </c>
      <c r="K13" s="8" t="n">
        <f aca="false">J13-H13</f>
        <v>-69502.76</v>
      </c>
      <c r="L13" s="9" t="n">
        <f aca="false">IF(AND(H13=0,J13=0),0,IF(H13=0,"New",(J13-H13)/H13))</f>
        <v>-0.793213104501391</v>
      </c>
    </row>
    <row r="14" customFormat="false" ht="15" hidden="false" customHeight="false" outlineLevel="0" collapsed="false">
      <c r="A14" s="7" t="n">
        <v>4413525</v>
      </c>
      <c r="B14" s="7" t="str">
        <f aca="false">IFERROR(INDEX('Source 2026'!$C:$C,MATCH($A14,'Source 2026'!$B:$B,0)),IFERROR(INDEX('Source 2025'!$C:$C,MATCH($A14,'Source 2025'!$B:$B,0)),""))</f>
        <v>43-47 מדרסי אפיק ג'ל נוחות</v>
      </c>
      <c r="C14" s="8" t="n">
        <f aca="false">SUMIFS('Source 2025'!$H:$H,'Source 2025'!$B:$B,$A14,'Source 2025'!$A:$A,"Quantity (units)")</f>
        <v>990</v>
      </c>
      <c r="D14" s="8" t="n">
        <f aca="false">SUMIFS('Source 2026'!$H:$H,'Source 2026'!$B:$B,$A14,'Source 2026'!$A:$A,"Quantity (units)")</f>
        <v>239</v>
      </c>
      <c r="E14" s="8" t="n">
        <f aca="false">D14*$J$5</f>
        <v>327.771428571429</v>
      </c>
      <c r="F14" s="8" t="n">
        <f aca="false">E14-C14</f>
        <v>-662.228571428571</v>
      </c>
      <c r="G14" s="9" t="n">
        <f aca="false">IF(AND(C14=0,E14=0),0,IF(C14=0,"New",(E14-C14)/C14))</f>
        <v>-0.668917748917749</v>
      </c>
      <c r="H14" s="8" t="n">
        <f aca="false">SUMIFS('Source 2025'!$H:$H,'Source 2025'!$B:$B,$A14,'Source 2025'!$A:$A,"Amount (NIS)")</f>
        <v>92093.6</v>
      </c>
      <c r="I14" s="8" t="n">
        <f aca="false">SUMIFS('Source 2026'!$H:$H,'Source 2026'!$B:$B,$A14,'Source 2026'!$A:$A,"Amount (NIS)")</f>
        <v>23875.5</v>
      </c>
      <c r="J14" s="8" t="n">
        <f aca="false">I14*$J$5</f>
        <v>32743.5428571429</v>
      </c>
      <c r="K14" s="8" t="n">
        <f aca="false">J14-H14</f>
        <v>-59350.0571428572</v>
      </c>
      <c r="L14" s="9" t="n">
        <f aca="false">IF(AND(H14=0,J14=0),0,IF(H14=0,"New",(J14-H14)/H14))</f>
        <v>-0.644453655225305</v>
      </c>
    </row>
    <row r="15" customFormat="false" ht="15" hidden="false" customHeight="false" outlineLevel="0" collapsed="false">
      <c r="A15" s="7" t="n">
        <v>4413522</v>
      </c>
      <c r="B15" s="7" t="str">
        <f aca="false">IFERROR(INDEX('Source 2026'!$C:$C,MATCH($A15,'Source 2026'!$B:$B,0)),IFERROR(INDEX('Source 2025'!$C:$C,MATCH($A15,'Source 2025'!$B:$B,0)),""))</f>
        <v>מדרסי אפיק ג'ל מולט.ספורט43-47</v>
      </c>
      <c r="C15" s="8" t="n">
        <f aca="false">SUMIFS('Source 2025'!$H:$H,'Source 2025'!$B:$B,$A15,'Source 2025'!$A:$A,"Quantity (units)")</f>
        <v>1045</v>
      </c>
      <c r="D15" s="8" t="n">
        <f aca="false">SUMIFS('Source 2026'!$H:$H,'Source 2026'!$B:$B,$A15,'Source 2026'!$A:$A,"Quantity (units)")</f>
        <v>318</v>
      </c>
      <c r="E15" s="8" t="n">
        <f aca="false">D15*$J$5</f>
        <v>436.114285714286</v>
      </c>
      <c r="F15" s="8" t="n">
        <f aca="false">E15-C15</f>
        <v>-608.885714285714</v>
      </c>
      <c r="G15" s="9" t="n">
        <f aca="false">IF(AND(C15=0,E15=0),0,IF(C15=0,"New",(E15-C15)/C15))</f>
        <v>-0.582665755297334</v>
      </c>
      <c r="H15" s="8" t="n">
        <f aca="false">SUMIFS('Source 2025'!$H:$H,'Source 2025'!$B:$B,$A15,'Source 2025'!$A:$A,"Amount (NIS)")</f>
        <v>97534</v>
      </c>
      <c r="I15" s="8" t="n">
        <f aca="false">SUMIFS('Source 2026'!$H:$H,'Source 2026'!$B:$B,$A15,'Source 2026'!$A:$A,"Amount (NIS)")</f>
        <v>31295.1</v>
      </c>
      <c r="J15" s="8" t="n">
        <f aca="false">I15*$J$5</f>
        <v>42918.9942857143</v>
      </c>
      <c r="K15" s="8" t="n">
        <f aca="false">J15-H15</f>
        <v>-54615.0057142857</v>
      </c>
      <c r="L15" s="9" t="n">
        <f aca="false">IF(AND(H15=0,J15=0),0,IF(H15=0,"New",(J15-H15)/H15))</f>
        <v>-0.559958637134596</v>
      </c>
    </row>
    <row r="16" customFormat="false" ht="15" hidden="false" customHeight="false" outlineLevel="0" collapsed="false">
      <c r="A16" s="7" t="n">
        <v>4413528</v>
      </c>
      <c r="B16" s="7" t="str">
        <f aca="false">IFERROR(INDEX('Source 2026'!$C:$C,MATCH($A16,'Source 2026'!$B:$B,0)),IFERROR(INDEX('Source 2025'!$C:$C,MATCH($A16,'Source 2025'!$B:$B,0)),""))</f>
        <v>39-42 מדרסי אפיק ג'ל עבודה</v>
      </c>
      <c r="C16" s="8" t="n">
        <f aca="false">SUMIFS('Source 2025'!$H:$H,'Source 2025'!$B:$B,$A16,'Source 2025'!$A:$A,"Quantity (units)")</f>
        <v>1056</v>
      </c>
      <c r="D16" s="8" t="n">
        <f aca="false">SUMIFS('Source 2026'!$H:$H,'Source 2026'!$B:$B,$A16,'Source 2026'!$A:$A,"Quantity (units)")</f>
        <v>381</v>
      </c>
      <c r="E16" s="8" t="n">
        <f aca="false">D16*$J$5</f>
        <v>522.514285714286</v>
      </c>
      <c r="F16" s="8" t="n">
        <f aca="false">E16-C16</f>
        <v>-533.485714285714</v>
      </c>
      <c r="G16" s="9" t="n">
        <f aca="false">IF(AND(C16=0,E16=0),0,IF(C16=0,"New",(E16-C16)/C16))</f>
        <v>-0.505194805194805</v>
      </c>
      <c r="H16" s="8" t="n">
        <f aca="false">SUMIFS('Source 2025'!$H:$H,'Source 2025'!$B:$B,$A16,'Source 2025'!$A:$A,"Amount (NIS)")</f>
        <v>98563.4</v>
      </c>
      <c r="I16" s="8" t="n">
        <f aca="false">SUMIFS('Source 2026'!$H:$H,'Source 2026'!$B:$B,$A16,'Source 2026'!$A:$A,"Amount (NIS)")</f>
        <v>38178.9</v>
      </c>
      <c r="J16" s="8" t="n">
        <f aca="false">I16*$J$5</f>
        <v>52359.6342857143</v>
      </c>
      <c r="K16" s="8" t="n">
        <f aca="false">J16-H16</f>
        <v>-46203.7657142857</v>
      </c>
      <c r="L16" s="9" t="n">
        <f aca="false">IF(AND(H16=0,J16=0),0,IF(H16=0,"New",(J16-H16)/H16))</f>
        <v>-0.468772036215124</v>
      </c>
    </row>
    <row r="17" customFormat="false" ht="15" hidden="false" customHeight="false" outlineLevel="0" collapsed="false">
      <c r="A17" s="7" t="n">
        <v>4415158</v>
      </c>
      <c r="B17" s="7" t="str">
        <f aca="false">IFERROR(INDEX('Source 2026'!$C:$C,MATCH($A17,'Source 2026'!$B:$B,0)),IFERROR(INDEX('Source 2025'!$C:$C,MATCH($A17,'Source 2025'!$B:$B,0)),""))</f>
        <v>266 סד ליד דו צדדי</v>
      </c>
      <c r="C17" s="8" t="n">
        <f aca="false">SUMIFS('Source 2025'!$H:$H,'Source 2025'!$B:$B,$A17,'Source 2025'!$A:$A,"Quantity (units)")</f>
        <v>4521</v>
      </c>
      <c r="D17" s="8" t="n">
        <f aca="false">SUMIFS('Source 2026'!$H:$H,'Source 2026'!$B:$B,$A17,'Source 2026'!$A:$A,"Quantity (units)")</f>
        <v>3673</v>
      </c>
      <c r="E17" s="8" t="n">
        <f aca="false">D17*$J$5</f>
        <v>5037.25714285714</v>
      </c>
      <c r="F17" s="8" t="n">
        <f aca="false">E17-C17</f>
        <v>516.257142857143</v>
      </c>
      <c r="G17" s="9" t="n">
        <f aca="false">IF(AND(C17=0,E17=0),0,IF(C17=0,"New",(E17-C17)/C17))</f>
        <v>0.114190918570481</v>
      </c>
      <c r="H17" s="8" t="n">
        <f aca="false">SUMIFS('Source 2025'!$H:$H,'Source 2025'!$B:$B,$A17,'Source 2025'!$A:$A,"Amount (NIS)")</f>
        <v>304743.2</v>
      </c>
      <c r="I17" s="8" t="n">
        <f aca="false">SUMIFS('Source 2026'!$H:$H,'Source 2026'!$B:$B,$A17,'Source 2026'!$A:$A,"Amount (NIS)")</f>
        <v>248607.4</v>
      </c>
      <c r="J17" s="8" t="n">
        <f aca="false">I17*$J$5</f>
        <v>340947.291428571</v>
      </c>
      <c r="K17" s="8" t="n">
        <f aca="false">J17-H17</f>
        <v>36204.0914285714</v>
      </c>
      <c r="L17" s="9" t="n">
        <f aca="false">IF(AND(H17=0,J17=0),0,IF(H17=0,"New",(J17-H17)/H17))</f>
        <v>0.118801966470692</v>
      </c>
    </row>
    <row r="18" customFormat="false" ht="15" hidden="false" customHeight="false" outlineLevel="0" collapsed="false">
      <c r="A18" s="7" t="n">
        <v>4408222</v>
      </c>
      <c r="B18" s="7" t="str">
        <f aca="false">IFERROR(INDEX('Source 2026'!$C:$C,MATCH($A18,'Source 2026'!$B:$B,0)),IFERROR(INDEX('Source 2025'!$C:$C,MATCH($A18,'Source 2025'!$B:$B,0)),""))</f>
        <v>078G-XLחגורת גב אפורה</v>
      </c>
      <c r="C18" s="8" t="n">
        <f aca="false">SUMIFS('Source 2025'!$H:$H,'Source 2025'!$B:$B,$A18,'Source 2025'!$A:$A,"Quantity (units)")</f>
        <v>1499</v>
      </c>
      <c r="D18" s="8" t="n">
        <f aca="false">SUMIFS('Source 2026'!$H:$H,'Source 2026'!$B:$B,$A18,'Source 2026'!$A:$A,"Quantity (units)")</f>
        <v>904</v>
      </c>
      <c r="E18" s="8" t="n">
        <f aca="false">D18*$J$5</f>
        <v>1239.77142857143</v>
      </c>
      <c r="F18" s="8" t="n">
        <f aca="false">E18-C18</f>
        <v>-259.228571428572</v>
      </c>
      <c r="G18" s="9" t="n">
        <f aca="false">IF(AND(C18=0,E18=0),0,IF(C18=0,"New",(E18-C18)/C18))</f>
        <v>-0.172934337177166</v>
      </c>
      <c r="H18" s="8" t="n">
        <f aca="false">SUMIFS('Source 2025'!$H:$H,'Source 2025'!$B:$B,$A18,'Source 2025'!$A:$A,"Amount (NIS)")</f>
        <v>137916.9</v>
      </c>
      <c r="I18" s="8" t="n">
        <f aca="false">SUMIFS('Source 2026'!$H:$H,'Source 2026'!$B:$B,$A18,'Source 2026'!$A:$A,"Amount (NIS)")</f>
        <v>84771</v>
      </c>
      <c r="J18" s="8" t="n">
        <f aca="false">I18*$J$5</f>
        <v>116257.371428571</v>
      </c>
      <c r="K18" s="8" t="n">
        <f aca="false">J18-H18</f>
        <v>-21659.5285714286</v>
      </c>
      <c r="L18" s="9" t="n">
        <f aca="false">IF(AND(H18=0,J18=0),0,IF(H18=0,"New",(J18-H18)/H18))</f>
        <v>-0.157047675603415</v>
      </c>
    </row>
    <row r="19" customFormat="false" ht="15" hidden="false" customHeight="false" outlineLevel="0" collapsed="false">
      <c r="A19" s="7" t="n">
        <v>4408221</v>
      </c>
      <c r="B19" s="7" t="str">
        <f aca="false">IFERROR(INDEX('Source 2026'!$C:$C,MATCH($A19,'Source 2026'!$B:$B,0)),IFERROR(INDEX('Source 2025'!$C:$C,MATCH($A19,'Source 2025'!$B:$B,0)),""))</f>
        <v>078G-L חגורת גב אפורה</v>
      </c>
      <c r="C19" s="8" t="n">
        <f aca="false">SUMIFS('Source 2025'!$H:$H,'Source 2025'!$B:$B,$A19,'Source 2025'!$A:$A,"Quantity (units)")</f>
        <v>1760</v>
      </c>
      <c r="D19" s="8" t="n">
        <f aca="false">SUMIFS('Source 2026'!$H:$H,'Source 2026'!$B:$B,$A19,'Source 2026'!$A:$A,"Quantity (units)")</f>
        <v>1186</v>
      </c>
      <c r="E19" s="8" t="n">
        <f aca="false">D19*$J$5</f>
        <v>1626.51428571429</v>
      </c>
      <c r="F19" s="8" t="n">
        <f aca="false">E19-C19</f>
        <v>-133.485714285714</v>
      </c>
      <c r="G19" s="9" t="n">
        <f aca="false">IF(AND(C19=0,E19=0),0,IF(C19=0,"New",(E19-C19)/C19))</f>
        <v>-0.0758441558441558</v>
      </c>
      <c r="H19" s="8" t="n">
        <f aca="false">SUMIFS('Source 2025'!$H:$H,'Source 2025'!$B:$B,$A19,'Source 2025'!$A:$A,"Amount (NIS)")</f>
        <v>161994.9</v>
      </c>
      <c r="I19" s="8" t="n">
        <f aca="false">SUMIFS('Source 2026'!$H:$H,'Source 2026'!$B:$B,$A19,'Source 2026'!$A:$A,"Amount (NIS)")</f>
        <v>111046.8</v>
      </c>
      <c r="J19" s="8" t="n">
        <f aca="false">I19*$J$5</f>
        <v>152292.754285714</v>
      </c>
      <c r="K19" s="8" t="n">
        <f aca="false">J19-H19</f>
        <v>-9702.1457142857</v>
      </c>
      <c r="L19" s="9" t="n">
        <f aca="false">IF(AND(H19=0,J19=0),0,IF(H19=0,"New",(J19-H19)/H19))</f>
        <v>-0.0598916738384091</v>
      </c>
    </row>
    <row r="20" customFormat="false" ht="15" hidden="false" customHeight="false" outlineLevel="0" collapsed="false">
      <c r="A20" s="7" t="n">
        <v>4413529</v>
      </c>
      <c r="B20" s="7" t="str">
        <f aca="false">IFERROR(INDEX('Source 2026'!$C:$C,MATCH($A20,'Source 2026'!$B:$B,0)),IFERROR(INDEX('Source 2025'!$C:$C,MATCH($A20,'Source 2025'!$B:$B,0)),""))</f>
        <v>43-47 מדרסי אפיק ג'ל עבודה</v>
      </c>
      <c r="C20" s="8" t="n">
        <f aca="false">SUMIFS('Source 2025'!$H:$H,'Source 2025'!$B:$B,$A20,'Source 2025'!$A:$A,"Quantity (units)")</f>
        <v>1132</v>
      </c>
      <c r="D20" s="8" t="n">
        <f aca="false">SUMIFS('Source 2026'!$H:$H,'Source 2026'!$B:$B,$A20,'Source 2026'!$A:$A,"Quantity (units)")</f>
        <v>554</v>
      </c>
      <c r="E20" s="8" t="n">
        <f aca="false">D20*$J$5</f>
        <v>759.771428571429</v>
      </c>
      <c r="F20" s="8" t="n">
        <f aca="false">E20-C20</f>
        <v>-372.228571428571</v>
      </c>
      <c r="G20" s="9" t="n">
        <f aca="false">IF(AND(C20=0,E20=0),0,IF(C20=0,"New",(E20-C20)/C20))</f>
        <v>-0.328823826350328</v>
      </c>
      <c r="H20" s="8" t="n">
        <f aca="false">SUMIFS('Source 2025'!$H:$H,'Source 2025'!$B:$B,$A20,'Source 2025'!$A:$A,"Amount (NIS)")</f>
        <v>105681.3</v>
      </c>
      <c r="I20" s="8" t="n">
        <f aca="false">SUMIFS('Source 2026'!$H:$H,'Source 2026'!$B:$B,$A20,'Source 2026'!$A:$A,"Amount (NIS)")</f>
        <v>55268.5</v>
      </c>
      <c r="J20" s="8" t="n">
        <f aca="false">I20*$J$5</f>
        <v>75796.8</v>
      </c>
      <c r="K20" s="8" t="n">
        <f aca="false">J20-H20</f>
        <v>-29884.5</v>
      </c>
      <c r="L20" s="9" t="n">
        <f aca="false">IF(AND(H20=0,J20=0),0,IF(H20=0,"New",(J20-H20)/H20))</f>
        <v>-0.282779451047631</v>
      </c>
    </row>
    <row r="21" customFormat="false" ht="15" hidden="false" customHeight="false" outlineLevel="0" collapsed="false">
      <c r="A21" s="7" t="n">
        <v>4413453</v>
      </c>
      <c r="B21" s="7" t="str">
        <f aca="false">IFERROR(INDEX('Source 2026'!$C:$C,MATCH($A21,'Source 2026'!$B:$B,0)),IFERROR(INDEX('Source 2025'!$C:$C,MATCH($A21,'Source 2025'!$B:$B,0)),""))</f>
        <v>AC75 מישר כתפיים אקטיב</v>
      </c>
      <c r="C21" s="8" t="n">
        <f aca="false">SUMIFS('Source 2025'!$H:$H,'Source 2025'!$B:$B,$A21,'Source 2025'!$A:$A,"Quantity (units)")</f>
        <v>561</v>
      </c>
      <c r="D21" s="8" t="n">
        <f aca="false">SUMIFS('Source 2026'!$H:$H,'Source 2026'!$B:$B,$A21,'Source 2026'!$A:$A,"Quantity (units)")</f>
        <v>1297</v>
      </c>
      <c r="E21" s="8" t="n">
        <f aca="false">D21*$J$5</f>
        <v>1778.74285714286</v>
      </c>
      <c r="F21" s="8" t="n">
        <f aca="false">E21-C21</f>
        <v>1217.74285714286</v>
      </c>
      <c r="G21" s="9" t="n">
        <f aca="false">IF(AND(C21=0,E21=0),0,IF(C21=0,"New",(E21-C21)/C21))</f>
        <v>2.17066462948816</v>
      </c>
      <c r="H21" s="8" t="n">
        <f aca="false">SUMIFS('Source 2025'!$H:$H,'Source 2025'!$B:$B,$A21,'Source 2025'!$A:$A,"Amount (NIS)")</f>
        <v>34271.9</v>
      </c>
      <c r="I21" s="8" t="n">
        <f aca="false">SUMIFS('Source 2026'!$H:$H,'Source 2026'!$B:$B,$A21,'Source 2026'!$A:$A,"Amount (NIS)")</f>
        <v>83194.2</v>
      </c>
      <c r="J21" s="8" t="n">
        <f aca="false">I21*$J$5</f>
        <v>114094.902857143</v>
      </c>
      <c r="K21" s="8" t="n">
        <f aca="false">J21-H21</f>
        <v>79823.0028571429</v>
      </c>
      <c r="L21" s="9" t="n">
        <f aca="false">IF(AND(H21=0,J21=0),0,IF(H21=0,"New",(J21-H21)/H21))</f>
        <v>2.32910935364374</v>
      </c>
    </row>
    <row r="22" customFormat="false" ht="15" hidden="false" customHeight="false" outlineLevel="0" collapsed="false">
      <c r="A22" s="7" t="n">
        <v>4408099</v>
      </c>
      <c r="B22" s="7" t="str">
        <f aca="false">IFERROR(INDEX('Source 2026'!$C:$C,MATCH($A22,'Source 2026'!$B:$B,0)),IFERROR(INDEX('Source 2025'!$C:$C,MATCH($A22,'Source 2025'!$B:$B,0)),""))</f>
        <v>T25C-חבק יד אגודלי</v>
      </c>
      <c r="C22" s="8" t="n">
        <f aca="false">SUMIFS('Source 2025'!$H:$H,'Source 2025'!$B:$B,$A22,'Source 2025'!$A:$A,"Quantity (units)")</f>
        <v>5414</v>
      </c>
      <c r="D22" s="8" t="n">
        <f aca="false">SUMIFS('Source 2026'!$H:$H,'Source 2026'!$B:$B,$A22,'Source 2026'!$A:$A,"Quantity (units)")</f>
        <v>4102</v>
      </c>
      <c r="E22" s="8" t="n">
        <f aca="false">D22*$J$5</f>
        <v>5625.6</v>
      </c>
      <c r="F22" s="8" t="n">
        <f aca="false">E22-C22</f>
        <v>211.6</v>
      </c>
      <c r="G22" s="9" t="n">
        <f aca="false">IF(AND(C22=0,E22=0),0,IF(C22=0,"New",(E22-C22)/C22))</f>
        <v>0.0390838566678981</v>
      </c>
      <c r="H22" s="8" t="n">
        <f aca="false">SUMIFS('Source 2025'!$H:$H,'Source 2025'!$B:$B,$A22,'Source 2025'!$A:$A,"Amount (NIS)")</f>
        <v>199054.3</v>
      </c>
      <c r="I22" s="8" t="n">
        <f aca="false">SUMIFS('Source 2026'!$H:$H,'Source 2026'!$B:$B,$A22,'Source 2026'!$A:$A,"Amount (NIS)")</f>
        <v>153089.5</v>
      </c>
      <c r="J22" s="8" t="n">
        <f aca="false">I22*$J$5</f>
        <v>209951.314285714</v>
      </c>
      <c r="K22" s="8" t="n">
        <f aca="false">J22-H22</f>
        <v>10897.0142857143</v>
      </c>
      <c r="L22" s="9" t="n">
        <f aca="false">IF(AND(H22=0,J22=0),0,IF(H22=0,"New",(J22-H22)/H22))</f>
        <v>0.0547439280925572</v>
      </c>
    </row>
    <row r="23" customFormat="false" ht="15" hidden="false" customHeight="false" outlineLevel="0" collapsed="false">
      <c r="A23" s="7" t="n">
        <v>4408098</v>
      </c>
      <c r="B23" s="7" t="str">
        <f aca="false">IFERROR(INDEX('Source 2026'!$C:$C,MATCH($A23,'Source 2026'!$B:$B,0)),IFERROR(INDEX('Source 2025'!$C:$C,MATCH($A23,'Source 2025'!$B:$B,0)),""))</f>
        <v>T25-חבק יד אגודלי</v>
      </c>
      <c r="C23" s="8" t="n">
        <f aca="false">SUMIFS('Source 2025'!$H:$H,'Source 2025'!$B:$B,$A23,'Source 2025'!$A:$A,"Quantity (units)")</f>
        <v>4392</v>
      </c>
      <c r="D23" s="8" t="n">
        <f aca="false">SUMIFS('Source 2026'!$H:$H,'Source 2026'!$B:$B,$A23,'Source 2026'!$A:$A,"Quantity (units)")</f>
        <v>3333</v>
      </c>
      <c r="E23" s="8" t="n">
        <f aca="false">D23*$J$5</f>
        <v>4570.97142857143</v>
      </c>
      <c r="F23" s="8" t="n">
        <f aca="false">E23-C23</f>
        <v>178.971428571429</v>
      </c>
      <c r="G23" s="9" t="n">
        <f aca="false">IF(AND(C23=0,E23=0),0,IF(C23=0,"New",(E23-C23)/C23))</f>
        <v>0.0407494145199064</v>
      </c>
      <c r="H23" s="8" t="n">
        <f aca="false">SUMIFS('Source 2025'!$H:$H,'Source 2025'!$B:$B,$A23,'Source 2025'!$A:$A,"Amount (NIS)")</f>
        <v>161481.4</v>
      </c>
      <c r="I23" s="8" t="n">
        <f aca="false">SUMIFS('Source 2026'!$H:$H,'Source 2026'!$B:$B,$A23,'Source 2026'!$A:$A,"Amount (NIS)")</f>
        <v>124453.3</v>
      </c>
      <c r="J23" s="8" t="n">
        <f aca="false">I23*$J$5</f>
        <v>170678.811428571</v>
      </c>
      <c r="K23" s="8" t="n">
        <f aca="false">J23-H23</f>
        <v>9197.41142857145</v>
      </c>
      <c r="L23" s="9" t="n">
        <f aca="false">IF(AND(H23=0,J23=0),0,IF(H23=0,"New",(J23-H23)/H23))</f>
        <v>0.0569564756595586</v>
      </c>
    </row>
    <row r="24" customFormat="false" ht="15" hidden="false" customHeight="false" outlineLevel="0" collapsed="false">
      <c r="A24" s="7" t="n">
        <v>4403042</v>
      </c>
      <c r="B24" s="7" t="str">
        <f aca="false">IFERROR(INDEX('Source 2026'!$C:$C,MATCH($A24,'Source 2026'!$B:$B,0)),IFERROR(INDEX('Source 2025'!$C:$C,MATCH($A24,'Source 2025'!$B:$B,0)),""))</f>
        <v>397A-גרבי טיסה אנטי בקטרי39-42</v>
      </c>
      <c r="C24" s="8" t="n">
        <f aca="false">SUMIFS('Source 2025'!$H:$H,'Source 2025'!$B:$B,$A24,'Source 2025'!$A:$A,"Quantity (units)")</f>
        <v>0</v>
      </c>
      <c r="D24" s="8" t="n">
        <f aca="false">SUMIFS('Source 2026'!$H:$H,'Source 2026'!$B:$B,$A24,'Source 2026'!$A:$A,"Quantity (units)")</f>
        <v>654</v>
      </c>
      <c r="E24" s="8" t="n">
        <f aca="false">D24*$J$5</f>
        <v>896.914285714286</v>
      </c>
      <c r="F24" s="8" t="n">
        <f aca="false">E24-C24</f>
        <v>896.914285714286</v>
      </c>
      <c r="G24" s="9" t="str">
        <f aca="false">IF(AND(C24=0,E24=0),0,IF(C24=0,"New",(E24-C24)/C24))</f>
        <v>New</v>
      </c>
      <c r="H24" s="8" t="n">
        <f aca="false">SUMIFS('Source 2025'!$H:$H,'Source 2025'!$B:$B,$A24,'Source 2025'!$A:$A,"Amount (NIS)")</f>
        <v>0</v>
      </c>
      <c r="I24" s="8" t="n">
        <f aca="false">SUMIFS('Source 2026'!$H:$H,'Source 2026'!$B:$B,$A24,'Source 2026'!$A:$A,"Amount (NIS)")</f>
        <v>35726</v>
      </c>
      <c r="J24" s="8" t="n">
        <f aca="false">I24*$J$5</f>
        <v>48995.6571428571</v>
      </c>
      <c r="K24" s="8" t="n">
        <f aca="false">J24-H24</f>
        <v>48995.6571428571</v>
      </c>
      <c r="L24" s="9" t="str">
        <f aca="false">IF(AND(H24=0,J24=0),0,IF(H24=0,"New",(J24-H24)/H24))</f>
        <v>New</v>
      </c>
    </row>
    <row r="25" customFormat="false" ht="15" hidden="false" customHeight="false" outlineLevel="0" collapsed="false">
      <c r="A25" s="7" t="n">
        <v>4408220</v>
      </c>
      <c r="B25" s="7" t="str">
        <f aca="false">IFERROR(INDEX('Source 2026'!$C:$C,MATCH($A25,'Source 2026'!$B:$B,0)),IFERROR(INDEX('Source 2025'!$C:$C,MATCH($A25,'Source 2025'!$B:$B,0)),""))</f>
        <v>078G-M חגורת גב אפורה</v>
      </c>
      <c r="C25" s="8" t="n">
        <f aca="false">SUMIFS('Source 2025'!$H:$H,'Source 2025'!$B:$B,$A25,'Source 2025'!$A:$A,"Quantity (units)")</f>
        <v>1204</v>
      </c>
      <c r="D25" s="8" t="n">
        <f aca="false">SUMIFS('Source 2026'!$H:$H,'Source 2026'!$B:$B,$A25,'Source 2026'!$A:$A,"Quantity (units)")</f>
        <v>812</v>
      </c>
      <c r="E25" s="8" t="n">
        <f aca="false">D25*$J$5</f>
        <v>1113.6</v>
      </c>
      <c r="F25" s="8" t="n">
        <f aca="false">E25-C25</f>
        <v>-90.4000000000001</v>
      </c>
      <c r="G25" s="9" t="n">
        <f aca="false">IF(AND(C25=0,E25=0),0,IF(C25=0,"New",(E25-C25)/C25))</f>
        <v>-0.0750830564784054</v>
      </c>
      <c r="H25" s="8" t="n">
        <f aca="false">SUMIFS('Source 2025'!$H:$H,'Source 2025'!$B:$B,$A25,'Source 2025'!$A:$A,"Amount (NIS)")</f>
        <v>110749.4</v>
      </c>
      <c r="I25" s="8" t="n">
        <f aca="false">SUMIFS('Source 2026'!$H:$H,'Source 2026'!$B:$B,$A25,'Source 2026'!$A:$A,"Amount (NIS)")</f>
        <v>76079.9</v>
      </c>
      <c r="J25" s="8" t="n">
        <f aca="false">I25*$J$5</f>
        <v>104338.148571429</v>
      </c>
      <c r="K25" s="8" t="n">
        <f aca="false">J25-H25</f>
        <v>-6411.25142857143</v>
      </c>
      <c r="L25" s="9" t="n">
        <f aca="false">IF(AND(H25=0,J25=0),0,IF(H25=0,"New",(J25-H25)/H25))</f>
        <v>-0.0578897170420014</v>
      </c>
    </row>
    <row r="26" customFormat="false" ht="15" hidden="false" customHeight="false" outlineLevel="0" collapsed="false">
      <c r="A26" s="7" t="n">
        <v>4408053</v>
      </c>
      <c r="B26" s="7" t="str">
        <f aca="false">IFERROR(INDEX('Source 2026'!$C:$C,MATCH($A26,'Source 2026'!$B:$B,0)),IFERROR(INDEX('Source 2025'!$C:$C,MATCH($A26,'Source 2025'!$B:$B,0)),""))</f>
        <v>21 M  חבק יד ארוך</v>
      </c>
      <c r="C26" s="8" t="n">
        <f aca="false">SUMIFS('Source 2025'!$H:$H,'Source 2025'!$B:$B,$A26,'Source 2025'!$A:$A,"Quantity (units)")</f>
        <v>3042</v>
      </c>
      <c r="D26" s="8" t="n">
        <f aca="false">SUMIFS('Source 2026'!$H:$H,'Source 2026'!$B:$B,$A26,'Source 2026'!$A:$A,"Quantity (units)")</f>
        <v>1974</v>
      </c>
      <c r="E26" s="8" t="n">
        <f aca="false">D26*$J$5</f>
        <v>2707.2</v>
      </c>
      <c r="F26" s="8" t="n">
        <f aca="false">E26-C26</f>
        <v>-334.8</v>
      </c>
      <c r="G26" s="9" t="n">
        <f aca="false">IF(AND(C26=0,E26=0),0,IF(C26=0,"New",(E26-C26)/C26))</f>
        <v>-0.110059171597633</v>
      </c>
      <c r="H26" s="8" t="n">
        <f aca="false">SUMIFS('Source 2025'!$H:$H,'Source 2025'!$B:$B,$A26,'Source 2025'!$A:$A,"Amount (NIS)")</f>
        <v>99452.8</v>
      </c>
      <c r="I26" s="8" t="n">
        <f aca="false">SUMIFS('Source 2026'!$H:$H,'Source 2026'!$B:$B,$A26,'Source 2026'!$A:$A,"Amount (NIS)")</f>
        <v>65075.9</v>
      </c>
      <c r="J26" s="8" t="n">
        <f aca="false">I26*$J$5</f>
        <v>89246.9485714286</v>
      </c>
      <c r="K26" s="8" t="n">
        <f aca="false">J26-H26</f>
        <v>-10205.8514285714</v>
      </c>
      <c r="L26" s="9" t="n">
        <f aca="false">IF(AND(H26=0,J26=0),0,IF(H26=0,"New",(J26-H26)/H26))</f>
        <v>-0.102620051205913</v>
      </c>
    </row>
    <row r="27" customFormat="false" ht="15" hidden="false" customHeight="false" outlineLevel="0" collapsed="false">
      <c r="A27" s="7" t="n">
        <v>4415001</v>
      </c>
      <c r="B27" s="7" t="str">
        <f aca="false">IFERROR(INDEX('Source 2026'!$C:$C,MATCH($A27,'Source 2026'!$B:$B,0)),IFERROR(INDEX('Source 2025'!$C:$C,MATCH($A27,'Source 2025'!$B:$B,0)),""))</f>
        <v>26 M סד ליד דו צדדי לאחר שבר</v>
      </c>
      <c r="C27" s="8" t="n">
        <f aca="false">SUMIFS('Source 2025'!$H:$H,'Source 2025'!$B:$B,$A27,'Source 2025'!$A:$A,"Quantity (units)")</f>
        <v>797</v>
      </c>
      <c r="D27" s="8" t="n">
        <f aca="false">SUMIFS('Source 2026'!$H:$H,'Source 2026'!$B:$B,$A27,'Source 2026'!$A:$A,"Quantity (units)")</f>
        <v>385</v>
      </c>
      <c r="E27" s="8" t="n">
        <f aca="false">D27*$J$5</f>
        <v>528</v>
      </c>
      <c r="F27" s="8" t="n">
        <f aca="false">E27-C27</f>
        <v>-269</v>
      </c>
      <c r="G27" s="9" t="n">
        <f aca="false">IF(AND(C27=0,E27=0),0,IF(C27=0,"New",(E27-C27)/C27))</f>
        <v>-0.337515683814304</v>
      </c>
      <c r="H27" s="8" t="n">
        <f aca="false">SUMIFS('Source 2025'!$H:$H,'Source 2025'!$B:$B,$A27,'Source 2025'!$A:$A,"Amount (NIS)")</f>
        <v>65159.7</v>
      </c>
      <c r="I27" s="8" t="n">
        <f aca="false">SUMIFS('Source 2026'!$H:$H,'Source 2026'!$B:$B,$A27,'Source 2026'!$A:$A,"Amount (NIS)")</f>
        <v>32031.2</v>
      </c>
      <c r="J27" s="8" t="n">
        <f aca="false">I27*$J$5</f>
        <v>43928.5028571429</v>
      </c>
      <c r="K27" s="8" t="n">
        <f aca="false">J27-H27</f>
        <v>-21231.1971428571</v>
      </c>
      <c r="L27" s="9" t="n">
        <f aca="false">IF(AND(H27=0,J27=0),0,IF(H27=0,"New",(J27-H27)/H27))</f>
        <v>-0.325833254954476</v>
      </c>
    </row>
    <row r="28" customFormat="false" ht="15" hidden="false" customHeight="false" outlineLevel="0" collapsed="false">
      <c r="A28" s="7" t="n">
        <v>4403029</v>
      </c>
      <c r="B28" s="7" t="str">
        <f aca="false">IFERROR(INDEX('Source 2026'!$C:$C,MATCH($A28,'Source 2026'!$B:$B,0)),IFERROR(INDEX('Source 2025'!$C:$C,MATCH($A28,'Source 2025'!$B:$B,0)),""))</f>
        <v>397 39-42 גרבי טיסה מידה</v>
      </c>
      <c r="C28" s="8" t="n">
        <f aca="false">SUMIFS('Source 2025'!$H:$H,'Source 2025'!$B:$B,$A28,'Source 2025'!$A:$A,"Quantity (units)")</f>
        <v>545</v>
      </c>
      <c r="D28" s="8" t="n">
        <f aca="false">SUMIFS('Source 2026'!$H:$H,'Source 2026'!$B:$B,$A28,'Source 2026'!$A:$A,"Quantity (units)")</f>
        <v>-3</v>
      </c>
      <c r="E28" s="8" t="n">
        <f aca="false">D28*$J$5</f>
        <v>-4.11428571428571</v>
      </c>
      <c r="F28" s="8" t="n">
        <f aca="false">E28-C28</f>
        <v>-549.114285714286</v>
      </c>
      <c r="G28" s="9" t="n">
        <f aca="false">IF(AND(C28=0,E28=0),0,IF(C28=0,"New",(E28-C28)/C28))</f>
        <v>-1.00754914809961</v>
      </c>
      <c r="H28" s="8" t="n">
        <f aca="false">SUMIFS('Source 2025'!$H:$H,'Source 2025'!$B:$B,$A28,'Source 2025'!$A:$A,"Amount (NIS)")</f>
        <v>28632.9</v>
      </c>
      <c r="I28" s="8" t="n">
        <f aca="false">SUMIFS('Source 2026'!$H:$H,'Source 2026'!$B:$B,$A28,'Source 2026'!$A:$A,"Amount (NIS)")</f>
        <v>-153</v>
      </c>
      <c r="J28" s="8" t="n">
        <f aca="false">I28*$J$5</f>
        <v>-209.828571428571</v>
      </c>
      <c r="K28" s="8" t="n">
        <f aca="false">J28-H28</f>
        <v>-28842.7285714286</v>
      </c>
      <c r="L28" s="9" t="n">
        <f aca="false">IF(AND(H28=0,J28=0),0,IF(H28=0,"New",(J28-H28)/H28))</f>
        <v>-1.00732823330604</v>
      </c>
    </row>
    <row r="29" customFormat="false" ht="15" hidden="false" customHeight="false" outlineLevel="0" collapsed="false">
      <c r="A29" s="7" t="n">
        <v>4413053</v>
      </c>
      <c r="B29" s="7" t="str">
        <f aca="false">IFERROR(INDEX('Source 2026'!$C:$C,MATCH($A29,'Source 2026'!$B:$B,0)),IFERROR(INDEX('Source 2025'!$C:$C,MATCH($A29,'Source 2025'!$B:$B,0)),""))</f>
        <v>35C L מגן קרסול חום</v>
      </c>
      <c r="C29" s="8" t="n">
        <f aca="false">SUMIFS('Source 2025'!$H:$H,'Source 2025'!$B:$B,$A29,'Source 2025'!$A:$A,"Quantity (units)")</f>
        <v>3121</v>
      </c>
      <c r="D29" s="8" t="n">
        <f aca="false">SUMIFS('Source 2026'!$H:$H,'Source 2026'!$B:$B,$A29,'Source 2026'!$A:$A,"Quantity (units)")</f>
        <v>1993</v>
      </c>
      <c r="E29" s="8" t="n">
        <f aca="false">D29*$J$5</f>
        <v>2733.25714285714</v>
      </c>
      <c r="F29" s="8" t="n">
        <f aca="false">E29-C29</f>
        <v>-387.742857142857</v>
      </c>
      <c r="G29" s="9" t="n">
        <f aca="false">IF(AND(C29=0,E29=0),0,IF(C29=0,"New",(E29-C29)/C29))</f>
        <v>-0.12423673730947</v>
      </c>
      <c r="H29" s="8" t="n">
        <f aca="false">SUMIFS('Source 2025'!$H:$H,'Source 2025'!$B:$B,$A29,'Source 2025'!$A:$A,"Amount (NIS)")</f>
        <v>80301.8</v>
      </c>
      <c r="I29" s="8" t="n">
        <f aca="false">SUMIFS('Source 2026'!$H:$H,'Source 2026'!$B:$B,$A29,'Source 2026'!$A:$A,"Amount (NIS)")</f>
        <v>52313.2</v>
      </c>
      <c r="J29" s="8" t="n">
        <f aca="false">I29*$J$5</f>
        <v>71743.8171428571</v>
      </c>
      <c r="K29" s="8" t="n">
        <f aca="false">J29-H29</f>
        <v>-8557.98285714287</v>
      </c>
      <c r="L29" s="9" t="n">
        <f aca="false">IF(AND(H29=0,J29=0),0,IF(H29=0,"New",(J29-H29)/H29))</f>
        <v>-0.106572740052438</v>
      </c>
    </row>
    <row r="30" customFormat="false" ht="15" hidden="false" customHeight="false" outlineLevel="0" collapsed="false">
      <c r="A30" s="7" t="n">
        <v>4403030</v>
      </c>
      <c r="B30" s="7" t="str">
        <f aca="false">IFERROR(INDEX('Source 2026'!$C:$C,MATCH($A30,'Source 2026'!$B:$B,0)),IFERROR(INDEX('Source 2025'!$C:$C,MATCH($A30,'Source 2025'!$B:$B,0)),""))</f>
        <v>397 43-46 גרבי טיסה מידה</v>
      </c>
      <c r="C30" s="8" t="n">
        <f aca="false">SUMIFS('Source 2025'!$H:$H,'Source 2025'!$B:$B,$A30,'Source 2025'!$A:$A,"Quantity (units)")</f>
        <v>527</v>
      </c>
      <c r="D30" s="8" t="n">
        <f aca="false">SUMIFS('Source 2026'!$H:$H,'Source 2026'!$B:$B,$A30,'Source 2026'!$A:$A,"Quantity (units)")</f>
        <v>-2</v>
      </c>
      <c r="E30" s="8" t="n">
        <f aca="false">D30*$J$5</f>
        <v>-2.74285714285714</v>
      </c>
      <c r="F30" s="8" t="n">
        <f aca="false">E30-C30</f>
        <v>-529.742857142857</v>
      </c>
      <c r="G30" s="9" t="n">
        <f aca="false">IF(AND(C30=0,E30=0),0,IF(C30=0,"New",(E30-C30)/C30))</f>
        <v>-1.00520466251017</v>
      </c>
      <c r="H30" s="8" t="n">
        <f aca="false">SUMIFS('Source 2025'!$H:$H,'Source 2025'!$B:$B,$A30,'Source 2025'!$A:$A,"Amount (NIS)")</f>
        <v>27725.3</v>
      </c>
      <c r="I30" s="8" t="n">
        <f aca="false">SUMIFS('Source 2026'!$H:$H,'Source 2026'!$B:$B,$A30,'Source 2026'!$A:$A,"Amount (NIS)")</f>
        <v>-102.9</v>
      </c>
      <c r="J30" s="8" t="n">
        <f aca="false">I30*$J$5</f>
        <v>-141.12</v>
      </c>
      <c r="K30" s="8" t="n">
        <f aca="false">J30-H30</f>
        <v>-27866.42</v>
      </c>
      <c r="L30" s="9" t="n">
        <f aca="false">IF(AND(H30=0,J30=0),0,IF(H30=0,"New",(J30-H30)/H30))</f>
        <v>-1.00508993590692</v>
      </c>
    </row>
    <row r="31" customFormat="false" ht="15" hidden="false" customHeight="false" outlineLevel="0" collapsed="false">
      <c r="A31" s="7" t="n">
        <v>4413052</v>
      </c>
      <c r="B31" s="7" t="str">
        <f aca="false">IFERROR(INDEX('Source 2026'!$C:$C,MATCH($A31,'Source 2026'!$B:$B,0)),IFERROR(INDEX('Source 2025'!$C:$C,MATCH($A31,'Source 2025'!$B:$B,0)),""))</f>
        <v>35C S מגן קרסול חום</v>
      </c>
      <c r="C31" s="8" t="n">
        <f aca="false">SUMIFS('Source 2025'!$H:$H,'Source 2025'!$B:$B,$A31,'Source 2025'!$A:$A,"Quantity (units)")</f>
        <v>2476</v>
      </c>
      <c r="D31" s="8" t="n">
        <f aca="false">SUMIFS('Source 2026'!$H:$H,'Source 2026'!$B:$B,$A31,'Source 2026'!$A:$A,"Quantity (units)")</f>
        <v>1383</v>
      </c>
      <c r="E31" s="8" t="n">
        <f aca="false">D31*$J$5</f>
        <v>1896.68571428571</v>
      </c>
      <c r="F31" s="8" t="n">
        <f aca="false">E31-C31</f>
        <v>-579.314285714286</v>
      </c>
      <c r="G31" s="9" t="n">
        <f aca="false">IF(AND(C31=0,E31=0),0,IF(C31=0,"New",(E31-C31)/C31))</f>
        <v>-0.233971843987999</v>
      </c>
      <c r="H31" s="8" t="n">
        <f aca="false">SUMIFS('Source 2025'!$H:$H,'Source 2025'!$B:$B,$A31,'Source 2025'!$A:$A,"Amount (NIS)")</f>
        <v>63730.9</v>
      </c>
      <c r="I31" s="8" t="n">
        <f aca="false">SUMIFS('Source 2026'!$H:$H,'Source 2026'!$B:$B,$A31,'Source 2026'!$A:$A,"Amount (NIS)")</f>
        <v>36153.3</v>
      </c>
      <c r="J31" s="8" t="n">
        <f aca="false">I31*$J$5</f>
        <v>49581.6685714286</v>
      </c>
      <c r="K31" s="8" t="n">
        <f aca="false">J31-H31</f>
        <v>-14149.2314285714</v>
      </c>
      <c r="L31" s="9" t="n">
        <f aca="false">IF(AND(H31=0,J31=0),0,IF(H31=0,"New",(J31-H31)/H31))</f>
        <v>-0.222015245800254</v>
      </c>
    </row>
    <row r="32" customFormat="false" ht="15" hidden="false" customHeight="false" outlineLevel="0" collapsed="false">
      <c r="A32" s="7" t="n">
        <v>4415000</v>
      </c>
      <c r="B32" s="7" t="str">
        <f aca="false">IFERROR(INDEX('Source 2026'!$C:$C,MATCH($A32,'Source 2026'!$B:$B,0)),IFERROR(INDEX('Source 2025'!$C:$C,MATCH($A32,'Source 2025'!$B:$B,0)),""))</f>
        <v>26 L סד ליד דו צדדי לאחר שבר</v>
      </c>
      <c r="C32" s="8" t="n">
        <f aca="false">SUMIFS('Source 2025'!$H:$H,'Source 2025'!$B:$B,$A32,'Source 2025'!$A:$A,"Quantity (units)")</f>
        <v>648</v>
      </c>
      <c r="D32" s="8" t="n">
        <f aca="false">SUMIFS('Source 2026'!$H:$H,'Source 2026'!$B:$B,$A32,'Source 2026'!$A:$A,"Quantity (units)")</f>
        <v>316</v>
      </c>
      <c r="E32" s="8" t="n">
        <f aca="false">D32*$J$5</f>
        <v>433.371428571429</v>
      </c>
      <c r="F32" s="8" t="n">
        <f aca="false">E32-C32</f>
        <v>-214.628571428571</v>
      </c>
      <c r="G32" s="9" t="n">
        <f aca="false">IF(AND(C32=0,E32=0),0,IF(C32=0,"New",(E32-C32)/C32))</f>
        <v>-0.331216931216931</v>
      </c>
      <c r="H32" s="8" t="n">
        <f aca="false">SUMIFS('Source 2025'!$H:$H,'Source 2025'!$B:$B,$A32,'Source 2025'!$A:$A,"Amount (NIS)")</f>
        <v>53009.9</v>
      </c>
      <c r="I32" s="8" t="n">
        <f aca="false">SUMIFS('Source 2026'!$H:$H,'Source 2026'!$B:$B,$A32,'Source 2026'!$A:$A,"Amount (NIS)")</f>
        <v>26095.1</v>
      </c>
      <c r="J32" s="8" t="n">
        <f aca="false">I32*$J$5</f>
        <v>35787.5657142857</v>
      </c>
      <c r="K32" s="8" t="n">
        <f aca="false">J32-H32</f>
        <v>-17222.3342857143</v>
      </c>
      <c r="L32" s="9" t="n">
        <f aca="false">IF(AND(H32=0,J32=0),0,IF(H32=0,"New",(J32-H32)/H32))</f>
        <v>-0.324889016687718</v>
      </c>
    </row>
    <row r="33" customFormat="false" ht="15" hidden="false" customHeight="false" outlineLevel="0" collapsed="false">
      <c r="A33" s="7" t="n">
        <v>4413098</v>
      </c>
      <c r="B33" s="7" t="str">
        <f aca="false">IFERROR(INDEX('Source 2026'!$C:$C,MATCH($A33,'Source 2026'!$B:$B,0)),IFERROR(INDEX('Source 2025'!$C:$C,MATCH($A33,'Source 2025'!$B:$B,0)),""))</f>
        <v>45C L מגן ברך חום</v>
      </c>
      <c r="C33" s="8" t="n">
        <f aca="false">SUMIFS('Source 2025'!$H:$H,'Source 2025'!$B:$B,$A33,'Source 2025'!$A:$A,"Quantity (units)")</f>
        <v>3042</v>
      </c>
      <c r="D33" s="8" t="n">
        <f aca="false">SUMIFS('Source 2026'!$H:$H,'Source 2026'!$B:$B,$A33,'Source 2026'!$A:$A,"Quantity (units)")</f>
        <v>1997</v>
      </c>
      <c r="E33" s="8" t="n">
        <f aca="false">D33*$J$5</f>
        <v>2738.74285714286</v>
      </c>
      <c r="F33" s="8" t="n">
        <f aca="false">E33-C33</f>
        <v>-303.257142857143</v>
      </c>
      <c r="G33" s="9" t="n">
        <f aca="false">IF(AND(C33=0,E33=0),0,IF(C33=0,"New",(E33-C33)/C33))</f>
        <v>-0.0996900535362073</v>
      </c>
      <c r="H33" s="8" t="n">
        <f aca="false">SUMIFS('Source 2025'!$H:$H,'Source 2025'!$B:$B,$A33,'Source 2025'!$A:$A,"Amount (NIS)")</f>
        <v>78269.8</v>
      </c>
      <c r="I33" s="8" t="n">
        <f aca="false">SUMIFS('Source 2026'!$H:$H,'Source 2026'!$B:$B,$A33,'Source 2026'!$A:$A,"Amount (NIS)")</f>
        <v>51837</v>
      </c>
      <c r="J33" s="8" t="n">
        <f aca="false">I33*$J$5</f>
        <v>71090.7428571429</v>
      </c>
      <c r="K33" s="8" t="n">
        <f aca="false">J33-H33</f>
        <v>-7179.05714285714</v>
      </c>
      <c r="L33" s="9" t="n">
        <f aca="false">IF(AND(H33=0,J33=0),0,IF(H33=0,"New",(J33-H33)/H33))</f>
        <v>-0.0917219303340131</v>
      </c>
    </row>
    <row r="34" customFormat="false" ht="15" hidden="false" customHeight="false" outlineLevel="0" collapsed="false">
      <c r="A34" s="7" t="n">
        <v>4403043</v>
      </c>
      <c r="B34" s="7" t="str">
        <f aca="false">IFERROR(INDEX('Source 2026'!$C:$C,MATCH($A34,'Source 2026'!$B:$B,0)),IFERROR(INDEX('Source 2025'!$C:$C,MATCH($A34,'Source 2025'!$B:$B,0)),""))</f>
        <v>397A-גרבי טיסה אנטי בקטרי43-46</v>
      </c>
      <c r="C34" s="8" t="n">
        <f aca="false">SUMIFS('Source 2025'!$H:$H,'Source 2025'!$B:$B,$A34,'Source 2025'!$A:$A,"Quantity (units)")</f>
        <v>0</v>
      </c>
      <c r="D34" s="8" t="n">
        <f aca="false">SUMIFS('Source 2026'!$H:$H,'Source 2026'!$B:$B,$A34,'Source 2026'!$A:$A,"Quantity (units)")</f>
        <v>480</v>
      </c>
      <c r="E34" s="8" t="n">
        <f aca="false">D34*$J$5</f>
        <v>658.285714285714</v>
      </c>
      <c r="F34" s="8" t="n">
        <f aca="false">E34-C34</f>
        <v>658.285714285714</v>
      </c>
      <c r="G34" s="9" t="str">
        <f aca="false">IF(AND(C34=0,E34=0),0,IF(C34=0,"New",(E34-C34)/C34))</f>
        <v>New</v>
      </c>
      <c r="H34" s="8" t="n">
        <f aca="false">SUMIFS('Source 2025'!$H:$H,'Source 2025'!$B:$B,$A34,'Source 2025'!$A:$A,"Amount (NIS)")</f>
        <v>0</v>
      </c>
      <c r="I34" s="8" t="n">
        <f aca="false">SUMIFS('Source 2026'!$H:$H,'Source 2026'!$B:$B,$A34,'Source 2026'!$A:$A,"Amount (NIS)")</f>
        <v>26197.1</v>
      </c>
      <c r="J34" s="8" t="n">
        <f aca="false">I34*$J$5</f>
        <v>35927.4514285714</v>
      </c>
      <c r="K34" s="8" t="n">
        <f aca="false">J34-H34</f>
        <v>35927.4514285714</v>
      </c>
      <c r="L34" s="9" t="str">
        <f aca="false">IF(AND(H34=0,J34=0),0,IF(H34=0,"New",(J34-H34)/H34))</f>
        <v>New</v>
      </c>
    </row>
    <row r="35" customFormat="false" ht="15" hidden="false" customHeight="false" outlineLevel="0" collapsed="false">
      <c r="A35" s="7" t="n">
        <v>4415003</v>
      </c>
      <c r="B35" s="7" t="str">
        <f aca="false">IFERROR(INDEX('Source 2026'!$C:$C,MATCH($A35,'Source 2026'!$B:$B,0)),IFERROR(INDEX('Source 2025'!$C:$C,MATCH($A35,'Source 2025'!$B:$B,0)),""))</f>
        <v>26 XL סד ליד דו צדדי לאחר שבר</v>
      </c>
      <c r="C35" s="8" t="n">
        <f aca="false">SUMIFS('Source 2025'!$H:$H,'Source 2025'!$B:$B,$A35,'Source 2025'!$A:$A,"Quantity (units)")</f>
        <v>514</v>
      </c>
      <c r="D35" s="8" t="n">
        <f aca="false">SUMIFS('Source 2026'!$H:$H,'Source 2026'!$B:$B,$A35,'Source 2026'!$A:$A,"Quantity (units)")</f>
        <v>197</v>
      </c>
      <c r="E35" s="8" t="n">
        <f aca="false">D35*$J$5</f>
        <v>270.171428571429</v>
      </c>
      <c r="F35" s="8" t="n">
        <f aca="false">E35-C35</f>
        <v>-243.828571428571</v>
      </c>
      <c r="G35" s="9" t="n">
        <f aca="false">IF(AND(C35=0,E35=0),0,IF(C35=0,"New",(E35-C35)/C35))</f>
        <v>-0.474374652584769</v>
      </c>
      <c r="H35" s="8" t="n">
        <f aca="false">SUMIFS('Source 2025'!$H:$H,'Source 2025'!$B:$B,$A35,'Source 2025'!$A:$A,"Amount (NIS)")</f>
        <v>42043.4</v>
      </c>
      <c r="I35" s="8" t="n">
        <f aca="false">SUMIFS('Source 2026'!$H:$H,'Source 2026'!$B:$B,$A35,'Source 2026'!$A:$A,"Amount (NIS)")</f>
        <v>16329.4</v>
      </c>
      <c r="J35" s="8" t="n">
        <f aca="false">I35*$J$5</f>
        <v>22394.6057142857</v>
      </c>
      <c r="K35" s="8" t="n">
        <f aca="false">J35-H35</f>
        <v>-19648.7942857143</v>
      </c>
      <c r="L35" s="9" t="n">
        <f aca="false">IF(AND(H35=0,J35=0),0,IF(H35=0,"New",(J35-H35)/H35))</f>
        <v>-0.467345511678748</v>
      </c>
    </row>
    <row r="36" customFormat="false" ht="15" hidden="false" customHeight="false" outlineLevel="0" collapsed="false">
      <c r="A36" s="7" t="n">
        <v>4413329</v>
      </c>
      <c r="B36" s="7" t="str">
        <f aca="false">IFERROR(INDEX('Source 2026'!$C:$C,MATCH($A36,'Source 2026'!$B:$B,0)),IFERROR(INDEX('Source 2025'!$C:$C,MATCH($A36,'Source 2025'!$B:$B,0)),""))</f>
        <v>AC45X מגן ברך עם תמיכות</v>
      </c>
      <c r="C36" s="8" t="n">
        <f aca="false">SUMIFS('Source 2025'!$H:$H,'Source 2025'!$B:$B,$A36,'Source 2025'!$A:$A,"Quantity (units)")</f>
        <v>87</v>
      </c>
      <c r="D36" s="8" t="n">
        <f aca="false">SUMIFS('Source 2026'!$H:$H,'Source 2026'!$B:$B,$A36,'Source 2026'!$A:$A,"Quantity (units)")</f>
        <v>480</v>
      </c>
      <c r="E36" s="8" t="n">
        <f aca="false">D36*$J$5</f>
        <v>658.285714285714</v>
      </c>
      <c r="F36" s="8" t="n">
        <f aca="false">E36-C36</f>
        <v>571.285714285714</v>
      </c>
      <c r="G36" s="9" t="n">
        <f aca="false">IF(AND(C36=0,E36=0),0,IF(C36=0,"New",(E36-C36)/C36))</f>
        <v>6.56650246305419</v>
      </c>
      <c r="H36" s="8" t="n">
        <f aca="false">SUMIFS('Source 2025'!$H:$H,'Source 2025'!$B:$B,$A36,'Source 2025'!$A:$A,"Amount (NIS)")</f>
        <v>5062.6</v>
      </c>
      <c r="I36" s="8" t="n">
        <f aca="false">SUMIFS('Source 2026'!$H:$H,'Source 2026'!$B:$B,$A36,'Source 2026'!$A:$A,"Amount (NIS)")</f>
        <v>30593.7</v>
      </c>
      <c r="J36" s="8" t="n">
        <f aca="false">I36*$J$5</f>
        <v>41957.0742857143</v>
      </c>
      <c r="K36" s="8" t="n">
        <f aca="false">J36-H36</f>
        <v>36894.4742857143</v>
      </c>
      <c r="L36" s="9" t="n">
        <f aca="false">IF(AND(H36=0,J36=0),0,IF(H36=0,"New",(J36-H36)/H36))</f>
        <v>7.2876534361226</v>
      </c>
    </row>
    <row r="37" customFormat="false" ht="15" hidden="false" customHeight="false" outlineLevel="0" collapsed="false">
      <c r="A37" s="7" t="n">
        <v>4415002</v>
      </c>
      <c r="B37" s="7" t="str">
        <f aca="false">IFERROR(INDEX('Source 2026'!$C:$C,MATCH($A37,'Source 2026'!$B:$B,0)),IFERROR(INDEX('Source 2025'!$C:$C,MATCH($A37,'Source 2025'!$B:$B,0)),""))</f>
        <v>26 S סד ליד דו צדדי לאחר שבר</v>
      </c>
      <c r="C37" s="8" t="n">
        <f aca="false">SUMIFS('Source 2025'!$H:$H,'Source 2025'!$B:$B,$A37,'Source 2025'!$A:$A,"Quantity (units)")</f>
        <v>589</v>
      </c>
      <c r="D37" s="8" t="n">
        <f aca="false">SUMIFS('Source 2026'!$H:$H,'Source 2026'!$B:$B,$A37,'Source 2026'!$A:$A,"Quantity (units)")</f>
        <v>278</v>
      </c>
      <c r="E37" s="8" t="n">
        <f aca="false">D37*$J$5</f>
        <v>381.257142857143</v>
      </c>
      <c r="F37" s="8" t="n">
        <f aca="false">E37-C37</f>
        <v>-207.742857142857</v>
      </c>
      <c r="G37" s="9" t="n">
        <f aca="false">IF(AND(C37=0,E37=0),0,IF(C37=0,"New",(E37-C37)/C37))</f>
        <v>-0.352704341498909</v>
      </c>
      <c r="H37" s="8" t="n">
        <f aca="false">SUMIFS('Source 2025'!$H:$H,'Source 2025'!$B:$B,$A37,'Source 2025'!$A:$A,"Amount (NIS)")</f>
        <v>48197.4</v>
      </c>
      <c r="I37" s="8" t="n">
        <f aca="false">SUMIFS('Source 2026'!$H:$H,'Source 2026'!$B:$B,$A37,'Source 2026'!$A:$A,"Amount (NIS)")</f>
        <v>22928.6</v>
      </c>
      <c r="J37" s="8" t="n">
        <f aca="false">I37*$J$5</f>
        <v>31444.9371428571</v>
      </c>
      <c r="K37" s="8" t="n">
        <f aca="false">J37-H37</f>
        <v>-16752.4628571429</v>
      </c>
      <c r="L37" s="9" t="n">
        <f aca="false">IF(AND(H37=0,J37=0),0,IF(H37=0,"New",(J37-H37)/H37))</f>
        <v>-0.34758021920566</v>
      </c>
    </row>
    <row r="38" customFormat="false" ht="15" hidden="false" customHeight="false" outlineLevel="0" collapsed="false">
      <c r="A38" s="7" t="n">
        <v>4408051</v>
      </c>
      <c r="B38" s="7" t="str">
        <f aca="false">IFERROR(INDEX('Source 2026'!$C:$C,MATCH($A38,'Source 2026'!$B:$B,0)),IFERROR(INDEX('Source 2025'!$C:$C,MATCH($A38,'Source 2025'!$B:$B,0)),""))</f>
        <v>21 S  חבק יד ארוך</v>
      </c>
      <c r="C38" s="8" t="n">
        <f aca="false">SUMIFS('Source 2025'!$H:$H,'Source 2025'!$B:$B,$A38,'Source 2025'!$A:$A,"Quantity (units)")</f>
        <v>2255</v>
      </c>
      <c r="D38" s="8" t="n">
        <f aca="false">SUMIFS('Source 2026'!$H:$H,'Source 2026'!$B:$B,$A38,'Source 2026'!$A:$A,"Quantity (units)")</f>
        <v>1482</v>
      </c>
      <c r="E38" s="8" t="n">
        <f aca="false">D38*$J$5</f>
        <v>2032.45714285714</v>
      </c>
      <c r="F38" s="8" t="n">
        <f aca="false">E38-C38</f>
        <v>-222.542857142857</v>
      </c>
      <c r="G38" s="9" t="n">
        <f aca="false">IF(AND(C38=0,E38=0),0,IF(C38=0,"New",(E38-C38)/C38))</f>
        <v>-0.098688628444726</v>
      </c>
      <c r="H38" s="8" t="n">
        <f aca="false">SUMIFS('Source 2025'!$H:$H,'Source 2025'!$B:$B,$A38,'Source 2025'!$A:$A,"Amount (NIS)")</f>
        <v>73733</v>
      </c>
      <c r="I38" s="8" t="n">
        <f aca="false">SUMIFS('Source 2026'!$H:$H,'Source 2026'!$B:$B,$A38,'Source 2026'!$A:$A,"Amount (NIS)")</f>
        <v>48883.5</v>
      </c>
      <c r="J38" s="8" t="n">
        <f aca="false">I38*$J$5</f>
        <v>67040.2285714286</v>
      </c>
      <c r="K38" s="8" t="n">
        <f aca="false">J38-H38</f>
        <v>-6692.77142857143</v>
      </c>
      <c r="L38" s="9" t="n">
        <f aca="false">IF(AND(H38=0,J38=0),0,IF(H38=0,"New",(J38-H38)/H38))</f>
        <v>-0.090770366437978</v>
      </c>
    </row>
    <row r="39" customFormat="false" ht="15" hidden="false" customHeight="false" outlineLevel="0" collapsed="false">
      <c r="A39" s="7" t="n">
        <v>4403041</v>
      </c>
      <c r="B39" s="7" t="str">
        <f aca="false">IFERROR(INDEX('Source 2026'!$C:$C,MATCH($A39,'Source 2026'!$B:$B,0)),IFERROR(INDEX('Source 2025'!$C:$C,MATCH($A39,'Source 2025'!$B:$B,0)),""))</f>
        <v>397A-גרבי טיסה אנטי בקטרי35-38</v>
      </c>
      <c r="C39" s="8" t="n">
        <f aca="false">SUMIFS('Source 2025'!$H:$H,'Source 2025'!$B:$B,$A39,'Source 2025'!$A:$A,"Quantity (units)")</f>
        <v>0</v>
      </c>
      <c r="D39" s="8" t="n">
        <f aca="false">SUMIFS('Source 2026'!$H:$H,'Source 2026'!$B:$B,$A39,'Source 2026'!$A:$A,"Quantity (units)")</f>
        <v>438</v>
      </c>
      <c r="E39" s="8" t="n">
        <f aca="false">D39*$J$5</f>
        <v>600.685714285714</v>
      </c>
      <c r="F39" s="8" t="n">
        <f aca="false">E39-C39</f>
        <v>600.685714285714</v>
      </c>
      <c r="G39" s="9" t="str">
        <f aca="false">IF(AND(C39=0,E39=0),0,IF(C39=0,"New",(E39-C39)/C39))</f>
        <v>New</v>
      </c>
      <c r="H39" s="8" t="n">
        <f aca="false">SUMIFS('Source 2025'!$H:$H,'Source 2025'!$B:$B,$A39,'Source 2025'!$A:$A,"Amount (NIS)")</f>
        <v>0</v>
      </c>
      <c r="I39" s="8" t="n">
        <f aca="false">SUMIFS('Source 2026'!$H:$H,'Source 2026'!$B:$B,$A39,'Source 2026'!$A:$A,"Amount (NIS)")</f>
        <v>23933.9</v>
      </c>
      <c r="J39" s="8" t="n">
        <f aca="false">I39*$J$5</f>
        <v>32823.6342857143</v>
      </c>
      <c r="K39" s="8" t="n">
        <f aca="false">J39-H39</f>
        <v>32823.6342857143</v>
      </c>
      <c r="L39" s="9" t="str">
        <f aca="false">IF(AND(H39=0,J39=0),0,IF(H39=0,"New",(J39-H39)/H39))</f>
        <v>New</v>
      </c>
    </row>
    <row r="40" customFormat="false" ht="15" hidden="false" customHeight="false" outlineLevel="0" collapsed="false">
      <c r="A40" s="7" t="n">
        <v>4421001</v>
      </c>
      <c r="B40" s="7" t="str">
        <f aca="false">IFERROR(INDEX('Source 2026'!$C:$C,MATCH($A40,'Source 2026'!$B:$B,0)),IFERROR(INDEX('Source 2025'!$C:$C,MATCH($A40,'Source 2025'!$B:$B,0)),""))</f>
        <v>3611 שרוול מטטרזלי מסיליקון</v>
      </c>
      <c r="C40" s="8" t="n">
        <f aca="false">SUMIFS('Source 2025'!$H:$H,'Source 2025'!$B:$B,$A40,'Source 2025'!$A:$A,"Quantity (units)")</f>
        <v>1179</v>
      </c>
      <c r="D40" s="8" t="n">
        <f aca="false">SUMIFS('Source 2026'!$H:$H,'Source 2026'!$B:$B,$A40,'Source 2026'!$A:$A,"Quantity (units)")</f>
        <v>727</v>
      </c>
      <c r="E40" s="8" t="n">
        <f aca="false">D40*$J$5</f>
        <v>997.028571428572</v>
      </c>
      <c r="F40" s="8" t="n">
        <f aca="false">E40-C40</f>
        <v>-181.971428571429</v>
      </c>
      <c r="G40" s="9" t="n">
        <f aca="false">IF(AND(C40=0,E40=0),0,IF(C40=0,"New",(E40-C40)/C40))</f>
        <v>-0.154343874954562</v>
      </c>
      <c r="H40" s="8" t="n">
        <f aca="false">SUMIFS('Source 2025'!$H:$H,'Source 2025'!$B:$B,$A40,'Source 2025'!$A:$A,"Amount (NIS)")</f>
        <v>61190.5</v>
      </c>
      <c r="I40" s="8" t="n">
        <f aca="false">SUMIFS('Source 2026'!$H:$H,'Source 2026'!$B:$B,$A40,'Source 2026'!$A:$A,"Amount (NIS)")</f>
        <v>37869.6</v>
      </c>
      <c r="J40" s="8" t="n">
        <f aca="false">I40*$J$5</f>
        <v>51935.4514285714</v>
      </c>
      <c r="K40" s="8" t="n">
        <f aca="false">J40-H40</f>
        <v>-9255.04857142858</v>
      </c>
      <c r="L40" s="9" t="n">
        <f aca="false">IF(AND(H40=0,J40=0),0,IF(H40=0,"New",(J40-H40)/H40))</f>
        <v>-0.151249762159626</v>
      </c>
    </row>
    <row r="41" customFormat="false" ht="15" hidden="false" customHeight="false" outlineLevel="0" collapsed="false">
      <c r="A41" s="7" t="n">
        <v>4413102</v>
      </c>
      <c r="B41" s="7" t="str">
        <f aca="false">IFERROR(INDEX('Source 2026'!$C:$C,MATCH($A41,'Source 2026'!$B:$B,0)),IFERROR(INDEX('Source 2025'!$C:$C,MATCH($A41,'Source 2025'!$B:$B,0)),""))</f>
        <v>45E  L        מגן ברך ארוך לבן</v>
      </c>
      <c r="C41" s="8" t="n">
        <f aca="false">SUMIFS('Source 2025'!$H:$H,'Source 2025'!$B:$B,$A41,'Source 2025'!$A:$A,"Quantity (units)")</f>
        <v>1537</v>
      </c>
      <c r="D41" s="8" t="n">
        <f aca="false">SUMIFS('Source 2026'!$H:$H,'Source 2026'!$B:$B,$A41,'Source 2026'!$A:$A,"Quantity (units)")</f>
        <v>786</v>
      </c>
      <c r="E41" s="8" t="n">
        <f aca="false">D41*$J$5</f>
        <v>1077.94285714286</v>
      </c>
      <c r="F41" s="8" t="n">
        <f aca="false">E41-C41</f>
        <v>-459.057142857143</v>
      </c>
      <c r="G41" s="9" t="n">
        <f aca="false">IF(AND(C41=0,E41=0),0,IF(C41=0,"New",(E41-C41)/C41))</f>
        <v>-0.298670880193327</v>
      </c>
      <c r="H41" s="8" t="n">
        <f aca="false">SUMIFS('Source 2025'!$H:$H,'Source 2025'!$B:$B,$A41,'Source 2025'!$A:$A,"Amount (NIS)")</f>
        <v>47701.2</v>
      </c>
      <c r="I41" s="8" t="n">
        <f aca="false">SUMIFS('Source 2026'!$H:$H,'Source 2026'!$B:$B,$A41,'Source 2026'!$A:$A,"Amount (NIS)")</f>
        <v>24557.9</v>
      </c>
      <c r="J41" s="8" t="n">
        <f aca="false">I41*$J$5</f>
        <v>33679.4057142857</v>
      </c>
      <c r="K41" s="8" t="n">
        <f aca="false">J41-H41</f>
        <v>-14021.7942857143</v>
      </c>
      <c r="L41" s="9" t="n">
        <f aca="false">IF(AND(H41=0,J41=0),0,IF(H41=0,"New",(J41-H41)/H41))</f>
        <v>-0.293950556499926</v>
      </c>
    </row>
    <row r="42" customFormat="false" ht="15" hidden="false" customHeight="false" outlineLevel="0" collapsed="false">
      <c r="A42" s="7" t="n">
        <v>4403028</v>
      </c>
      <c r="B42" s="7" t="str">
        <f aca="false">IFERROR(INDEX('Source 2026'!$C:$C,MATCH($A42,'Source 2026'!$B:$B,0)),IFERROR(INDEX('Source 2025'!$C:$C,MATCH($A42,'Source 2025'!$B:$B,0)),""))</f>
        <v>397 35-38 גרבי טיסה מידה</v>
      </c>
      <c r="C42" s="8" t="n">
        <f aca="false">SUMIFS('Source 2025'!$H:$H,'Source 2025'!$B:$B,$A42,'Source 2025'!$A:$A,"Quantity (units)")</f>
        <v>434</v>
      </c>
      <c r="D42" s="8" t="n">
        <f aca="false">SUMIFS('Source 2026'!$H:$H,'Source 2026'!$B:$B,$A42,'Source 2026'!$A:$A,"Quantity (units)")</f>
        <v>-5</v>
      </c>
      <c r="E42" s="8" t="n">
        <f aca="false">D42*$J$5</f>
        <v>-6.85714285714286</v>
      </c>
      <c r="F42" s="8" t="n">
        <f aca="false">E42-C42</f>
        <v>-440.857142857143</v>
      </c>
      <c r="G42" s="9" t="n">
        <f aca="false">IF(AND(C42=0,E42=0),0,IF(C42=0,"New",(E42-C42)/C42))</f>
        <v>-1.01579986833443</v>
      </c>
      <c r="H42" s="8" t="n">
        <f aca="false">SUMIFS('Source 2025'!$H:$H,'Source 2025'!$B:$B,$A42,'Source 2025'!$A:$A,"Amount (NIS)")</f>
        <v>22846.7</v>
      </c>
      <c r="I42" s="8" t="n">
        <f aca="false">SUMIFS('Source 2026'!$H:$H,'Source 2026'!$B:$B,$A42,'Source 2026'!$A:$A,"Amount (NIS)")</f>
        <v>-258.6</v>
      </c>
      <c r="J42" s="8" t="n">
        <f aca="false">I42*$J$5</f>
        <v>-354.651428571429</v>
      </c>
      <c r="K42" s="8" t="n">
        <f aca="false">J42-H42</f>
        <v>-23201.3514285714</v>
      </c>
      <c r="L42" s="9" t="n">
        <f aca="false">IF(AND(H42=0,J42=0),0,IF(H42=0,"New",(J42-H42)/H42))</f>
        <v>-1.01552309211271</v>
      </c>
    </row>
    <row r="43" customFormat="false" ht="15" hidden="false" customHeight="false" outlineLevel="0" collapsed="false">
      <c r="A43" s="7" t="n">
        <v>4408052</v>
      </c>
      <c r="B43" s="7" t="str">
        <f aca="false">IFERROR(INDEX('Source 2026'!$C:$C,MATCH($A43,'Source 2026'!$B:$B,0)),IFERROR(INDEX('Source 2025'!$C:$C,MATCH($A43,'Source 2025'!$B:$B,0)),""))</f>
        <v>21 L  חבק יד ארוך</v>
      </c>
      <c r="C43" s="8" t="n">
        <f aca="false">SUMIFS('Source 2025'!$H:$H,'Source 2025'!$B:$B,$A43,'Source 2025'!$A:$A,"Quantity (units)")</f>
        <v>2160</v>
      </c>
      <c r="D43" s="8" t="n">
        <f aca="false">SUMIFS('Source 2026'!$H:$H,'Source 2026'!$B:$B,$A43,'Source 2026'!$A:$A,"Quantity (units)")</f>
        <v>1444</v>
      </c>
      <c r="E43" s="8" t="n">
        <f aca="false">D43*$J$5</f>
        <v>1980.34285714286</v>
      </c>
      <c r="F43" s="8" t="n">
        <f aca="false">E43-C43</f>
        <v>-179.657142857143</v>
      </c>
      <c r="G43" s="9" t="n">
        <f aca="false">IF(AND(C43=0,E43=0),0,IF(C43=0,"New",(E43-C43)/C43))</f>
        <v>-0.0831746031746032</v>
      </c>
      <c r="H43" s="8" t="n">
        <f aca="false">SUMIFS('Source 2025'!$H:$H,'Source 2025'!$B:$B,$A43,'Source 2025'!$A:$A,"Amount (NIS)")</f>
        <v>70516.7</v>
      </c>
      <c r="I43" s="8" t="n">
        <f aca="false">SUMIFS('Source 2026'!$H:$H,'Source 2026'!$B:$B,$A43,'Source 2026'!$A:$A,"Amount (NIS)")</f>
        <v>47527.6</v>
      </c>
      <c r="J43" s="8" t="n">
        <f aca="false">I43*$J$5</f>
        <v>65180.7085714286</v>
      </c>
      <c r="K43" s="8" t="n">
        <f aca="false">J43-H43</f>
        <v>-5335.99142857143</v>
      </c>
      <c r="L43" s="9" t="n">
        <f aca="false">IF(AND(H43=0,J43=0),0,IF(H43=0,"New",(J43-H43)/H43))</f>
        <v>-0.0756698970395867</v>
      </c>
    </row>
    <row r="44" customFormat="false" ht="15" hidden="false" customHeight="false" outlineLevel="0" collapsed="false">
      <c r="A44" s="7" t="n">
        <v>4420016</v>
      </c>
      <c r="B44" s="7" t="str">
        <f aca="false">IFERROR(INDEX('Source 2026'!$C:$C,MATCH($A44,'Source 2026'!$B:$B,0)),IFERROR(INDEX('Source 2025'!$C:$C,MATCH($A44,'Source 2025'!$B:$B,0)),""))</f>
        <v>40-רצועת פיקה לברך</v>
      </c>
      <c r="C44" s="8" t="n">
        <f aca="false">SUMIFS('Source 2025'!$H:$H,'Source 2025'!$B:$B,$A44,'Source 2025'!$A:$A,"Quantity (units)")</f>
        <v>965</v>
      </c>
      <c r="D44" s="8" t="n">
        <f aca="false">SUMIFS('Source 2026'!$H:$H,'Source 2026'!$B:$B,$A44,'Source 2026'!$A:$A,"Quantity (units)")</f>
        <v>461</v>
      </c>
      <c r="E44" s="8" t="n">
        <f aca="false">D44*$J$5</f>
        <v>632.228571428571</v>
      </c>
      <c r="F44" s="8" t="n">
        <f aca="false">E44-C44</f>
        <v>-332.771428571429</v>
      </c>
      <c r="G44" s="9" t="n">
        <f aca="false">IF(AND(C44=0,E44=0),0,IF(C44=0,"New",(E44-C44)/C44))</f>
        <v>-0.344840858623242</v>
      </c>
      <c r="H44" s="8" t="n">
        <f aca="false">SUMIFS('Source 2025'!$H:$H,'Source 2025'!$B:$B,$A44,'Source 2025'!$A:$A,"Amount (NIS)")</f>
        <v>43385.1</v>
      </c>
      <c r="I44" s="8" t="n">
        <f aca="false">SUMIFS('Source 2026'!$H:$H,'Source 2026'!$B:$B,$A44,'Source 2026'!$A:$A,"Amount (NIS)")</f>
        <v>20707.1</v>
      </c>
      <c r="J44" s="8" t="n">
        <f aca="false">I44*$J$5</f>
        <v>28398.3085714286</v>
      </c>
      <c r="K44" s="8" t="n">
        <f aca="false">J44-H44</f>
        <v>-14986.7914285714</v>
      </c>
      <c r="L44" s="9" t="n">
        <f aca="false">IF(AND(H44=0,J44=0),0,IF(H44=0,"New",(J44-H44)/H44))</f>
        <v>-0.345436369365783</v>
      </c>
    </row>
    <row r="45" customFormat="false" ht="15" hidden="false" customHeight="false" outlineLevel="0" collapsed="false">
      <c r="A45" s="7" t="n">
        <v>4413041</v>
      </c>
      <c r="B45" s="7" t="str">
        <f aca="false">IFERROR(INDEX('Source 2026'!$C:$C,MATCH($A45,'Source 2026'!$B:$B,0)),IFERROR(INDEX('Source 2025'!$C:$C,MATCH($A45,'Source 2025'!$B:$B,0)),""))</f>
        <v>34  M מגן קרסול עקב סגור</v>
      </c>
      <c r="C45" s="8" t="n">
        <f aca="false">SUMIFS('Source 2025'!$H:$H,'Source 2025'!$B:$B,$A45,'Source 2025'!$A:$A,"Quantity (units)")</f>
        <v>1906</v>
      </c>
      <c r="D45" s="8" t="n">
        <f aca="false">SUMIFS('Source 2026'!$H:$H,'Source 2026'!$B:$B,$A45,'Source 2026'!$A:$A,"Quantity (units)")</f>
        <v>1287</v>
      </c>
      <c r="E45" s="8" t="n">
        <f aca="false">D45*$J$5</f>
        <v>1765.02857142857</v>
      </c>
      <c r="F45" s="8" t="n">
        <f aca="false">E45-C45</f>
        <v>-140.971428571429</v>
      </c>
      <c r="G45" s="9" t="n">
        <f aca="false">IF(AND(C45=0,E45=0),0,IF(C45=0,"New",(E45-C45)/C45))</f>
        <v>-0.0739619247489132</v>
      </c>
      <c r="H45" s="8" t="n">
        <f aca="false">SUMIFS('Source 2025'!$H:$H,'Source 2025'!$B:$B,$A45,'Source 2025'!$A:$A,"Amount (NIS)")</f>
        <v>71558.8</v>
      </c>
      <c r="I45" s="8" t="n">
        <f aca="false">SUMIFS('Source 2026'!$H:$H,'Source 2026'!$B:$B,$A45,'Source 2026'!$A:$A,"Amount (NIS)")</f>
        <v>49029.3</v>
      </c>
      <c r="J45" s="8" t="n">
        <f aca="false">I45*$J$5</f>
        <v>67240.1828571429</v>
      </c>
      <c r="K45" s="8" t="n">
        <f aca="false">J45-H45</f>
        <v>-4318.61714285714</v>
      </c>
      <c r="L45" s="9" t="n">
        <f aca="false">IF(AND(H45=0,J45=0),0,IF(H45=0,"New",(J45-H45)/H45))</f>
        <v>-0.0603506087700903</v>
      </c>
    </row>
    <row r="46" customFormat="false" ht="15" hidden="false" customHeight="false" outlineLevel="0" collapsed="false">
      <c r="A46" s="7" t="n">
        <v>4413054</v>
      </c>
      <c r="B46" s="7" t="str">
        <f aca="false">IFERROR(INDEX('Source 2026'!$C:$C,MATCH($A46,'Source 2026'!$B:$B,0)),IFERROR(INDEX('Source 2025'!$C:$C,MATCH($A46,'Source 2025'!$B:$B,0)),""))</f>
        <v>35C M מגן קרסול חום</v>
      </c>
      <c r="C46" s="8" t="n">
        <f aca="false">SUMIFS('Source 2025'!$H:$H,'Source 2025'!$B:$B,$A46,'Source 2025'!$A:$A,"Quantity (units)")</f>
        <v>3288</v>
      </c>
      <c r="D46" s="8" t="n">
        <f aca="false">SUMIFS('Source 2026'!$H:$H,'Source 2026'!$B:$B,$A46,'Source 2026'!$A:$A,"Quantity (units)")</f>
        <v>2393</v>
      </c>
      <c r="E46" s="8" t="n">
        <f aca="false">D46*$J$5</f>
        <v>3281.82857142857</v>
      </c>
      <c r="F46" s="8" t="n">
        <f aca="false">E46-C46</f>
        <v>-6.17142857142835</v>
      </c>
      <c r="G46" s="9" t="n">
        <f aca="false">IF(AND(C46=0,E46=0),0,IF(C46=0,"New",(E46-C46)/C46))</f>
        <v>-0.00187695516162663</v>
      </c>
      <c r="H46" s="8" t="n">
        <f aca="false">SUMIFS('Source 2025'!$H:$H,'Source 2025'!$B:$B,$A46,'Source 2025'!$A:$A,"Amount (NIS)")</f>
        <v>84599.4</v>
      </c>
      <c r="I46" s="8" t="n">
        <f aca="false">SUMIFS('Source 2026'!$H:$H,'Source 2026'!$B:$B,$A46,'Source 2026'!$A:$A,"Amount (NIS)")</f>
        <v>62436.3</v>
      </c>
      <c r="J46" s="8" t="n">
        <f aca="false">I46*$J$5</f>
        <v>85626.9257142857</v>
      </c>
      <c r="K46" s="8" t="n">
        <f aca="false">J46-H46</f>
        <v>1027.52571428573</v>
      </c>
      <c r="L46" s="9" t="n">
        <f aca="false">IF(AND(H46=0,J46=0),0,IF(H46=0,"New",(J46-H46)/H46))</f>
        <v>0.0121457801625748</v>
      </c>
    </row>
    <row r="47" customFormat="false" ht="15" hidden="false" customHeight="false" outlineLevel="0" collapsed="false">
      <c r="A47" s="7" t="n">
        <v>4413456</v>
      </c>
      <c r="B47" s="7" t="str">
        <f aca="false">IFERROR(INDEX('Source 2026'!$C:$C,MATCH($A47,'Source 2026'!$B:$B,0)),IFERROR(INDEX('Source 2025'!$C:$C,MATCH($A47,'Source 2025'!$B:$B,0)),""))</f>
        <v>AC75 XXL  מיישר כתפיים אקטיב</v>
      </c>
      <c r="C47" s="8" t="n">
        <f aca="false">SUMIFS('Source 2025'!$H:$H,'Source 2025'!$B:$B,$A47,'Source 2025'!$A:$A,"Quantity (units)")</f>
        <v>98</v>
      </c>
      <c r="D47" s="8" t="n">
        <f aca="false">SUMIFS('Source 2026'!$H:$H,'Source 2026'!$B:$B,$A47,'Source 2026'!$A:$A,"Quantity (units)")</f>
        <v>426</v>
      </c>
      <c r="E47" s="8" t="n">
        <f aca="false">D47*$J$5</f>
        <v>584.228571428571</v>
      </c>
      <c r="F47" s="8" t="n">
        <f aca="false">E47-C47</f>
        <v>486.228571428571</v>
      </c>
      <c r="G47" s="9" t="n">
        <f aca="false">IF(AND(C47=0,E47=0),0,IF(C47=0,"New",(E47-C47)/C47))</f>
        <v>4.96151603498542</v>
      </c>
      <c r="H47" s="8" t="n">
        <f aca="false">SUMIFS('Source 2025'!$H:$H,'Source 2025'!$B:$B,$A47,'Source 2025'!$A:$A,"Amount (NIS)")</f>
        <v>5983.3</v>
      </c>
      <c r="I47" s="8" t="n">
        <f aca="false">SUMIFS('Source 2026'!$H:$H,'Source 2026'!$B:$B,$A47,'Source 2026'!$A:$A,"Amount (NIS)")</f>
        <v>27607.7</v>
      </c>
      <c r="J47" s="8" t="n">
        <f aca="false">I47*$J$5</f>
        <v>37861.9885714286</v>
      </c>
      <c r="K47" s="8" t="n">
        <f aca="false">J47-H47</f>
        <v>31878.6885714286</v>
      </c>
      <c r="L47" s="9" t="n">
        <f aca="false">IF(AND(H47=0,J47=0),0,IF(H47=0,"New",(J47-H47)/H47))</f>
        <v>5.32794420661317</v>
      </c>
    </row>
    <row r="48" customFormat="false" ht="15" hidden="false" customHeight="false" outlineLevel="0" collapsed="false">
      <c r="A48" s="7" t="n">
        <v>4414000</v>
      </c>
      <c r="B48" s="7" t="str">
        <f aca="false">IFERROR(INDEX('Source 2026'!$C:$C,MATCH($A48,'Source 2026'!$B:$B,0)),IFERROR(INDEX('Source 2025'!$C:$C,MATCH($A48,'Source 2025'!$B:$B,0)),""))</f>
        <v>FC342-נוזל לציפורן חודרנית</v>
      </c>
      <c r="C48" s="8" t="n">
        <f aca="false">SUMIFS('Source 2025'!$H:$H,'Source 2025'!$B:$B,$A48,'Source 2025'!$A:$A,"Quantity (units)")</f>
        <v>2132</v>
      </c>
      <c r="D48" s="8" t="n">
        <f aca="false">SUMIFS('Source 2026'!$H:$H,'Source 2026'!$B:$B,$A48,'Source 2026'!$A:$A,"Quantity (units)")</f>
        <v>1443</v>
      </c>
      <c r="E48" s="8" t="n">
        <f aca="false">D48*$J$5</f>
        <v>1978.97142857143</v>
      </c>
      <c r="F48" s="8" t="n">
        <f aca="false">E48-C48</f>
        <v>-153.028571428571</v>
      </c>
      <c r="G48" s="9" t="n">
        <f aca="false">IF(AND(C48=0,E48=0),0,IF(C48=0,"New",(E48-C48)/C48))</f>
        <v>-0.0717770034843206</v>
      </c>
      <c r="H48" s="8" t="n">
        <f aca="false">SUMIFS('Source 2025'!$H:$H,'Source 2025'!$B:$B,$A48,'Source 2025'!$A:$A,"Amount (NIS)")</f>
        <v>66609.4</v>
      </c>
      <c r="I48" s="8" t="n">
        <f aca="false">SUMIFS('Source 2026'!$H:$H,'Source 2026'!$B:$B,$A48,'Source 2026'!$A:$A,"Amount (NIS)")</f>
        <v>45100.3</v>
      </c>
      <c r="J48" s="8" t="n">
        <f aca="false">I48*$J$5</f>
        <v>61851.84</v>
      </c>
      <c r="K48" s="8" t="n">
        <f aca="false">J48-H48</f>
        <v>-4757.55999999999</v>
      </c>
      <c r="L48" s="9" t="n">
        <f aca="false">IF(AND(H48=0,J48=0),0,IF(H48=0,"New",(J48-H48)/H48))</f>
        <v>-0.0714247538635687</v>
      </c>
    </row>
    <row r="49" customFormat="false" ht="15" hidden="false" customHeight="false" outlineLevel="0" collapsed="false">
      <c r="A49" s="7" t="n">
        <v>4422023</v>
      </c>
      <c r="B49" s="7" t="str">
        <f aca="false">IFERROR(INDEX('Source 2026'!$C:$C,MATCH($A49,'Source 2026'!$B:$B,0)),IFERROR(INDEX('Source 2025'!$C:$C,MATCH($A49,'Source 2025'!$B:$B,0)),""))</f>
        <v>806CB-BEIGE      תחבושת א.נצמ</v>
      </c>
      <c r="C49" s="8" t="n">
        <f aca="false">SUMIFS('Source 2025'!$H:$H,'Source 2025'!$B:$B,$A49,'Source 2025'!$A:$A,"Quantity (units)")</f>
        <v>3203</v>
      </c>
      <c r="D49" s="8" t="n">
        <f aca="false">SUMIFS('Source 2026'!$H:$H,'Source 2026'!$B:$B,$A49,'Source 2026'!$A:$A,"Quantity (units)")</f>
        <v>1182</v>
      </c>
      <c r="E49" s="8" t="n">
        <f aca="false">D49*$J$5</f>
        <v>1621.02857142857</v>
      </c>
      <c r="F49" s="8" t="n">
        <f aca="false">E49-C49</f>
        <v>-1581.97142857143</v>
      </c>
      <c r="G49" s="9" t="n">
        <f aca="false">IF(AND(C49=0,E49=0),0,IF(C49=0,"New",(E49-C49)/C49))</f>
        <v>-0.493903037331074</v>
      </c>
      <c r="H49" s="8" t="n">
        <f aca="false">SUMIFS('Source 2025'!$H:$H,'Source 2025'!$B:$B,$A49,'Source 2025'!$A:$A,"Amount (NIS)")</f>
        <v>32526.4</v>
      </c>
      <c r="I49" s="8" t="n">
        <f aca="false">SUMIFS('Source 2026'!$H:$H,'Source 2026'!$B:$B,$A49,'Source 2026'!$A:$A,"Amount (NIS)")</f>
        <v>12070.7</v>
      </c>
      <c r="J49" s="8" t="n">
        <f aca="false">I49*$J$5</f>
        <v>16554.1028571429</v>
      </c>
      <c r="K49" s="8" t="n">
        <f aca="false">J49-H49</f>
        <v>-15972.2971428571</v>
      </c>
      <c r="L49" s="9" t="n">
        <f aca="false">IF(AND(H49=0,J49=0),0,IF(H49=0,"New",(J49-H49)/H49))</f>
        <v>-0.491056407805879</v>
      </c>
    </row>
    <row r="50" customFormat="false" ht="15" hidden="false" customHeight="false" outlineLevel="0" collapsed="false">
      <c r="A50" s="7" t="n">
        <v>4415005</v>
      </c>
      <c r="B50" s="7" t="str">
        <f aca="false">IFERROR(INDEX('Source 2026'!$C:$C,MATCH($A50,'Source 2026'!$B:$B,0)),IFERROR(INDEX('Source 2025'!$C:$C,MATCH($A50,'Source 2025'!$B:$B,0)),""))</f>
        <v>28 L סד לאגודל לאחר שבר</v>
      </c>
      <c r="C50" s="8" t="n">
        <f aca="false">SUMIFS('Source 2025'!$H:$H,'Source 2025'!$B:$B,$A50,'Source 2025'!$A:$A,"Quantity (units)")</f>
        <v>545</v>
      </c>
      <c r="D50" s="8" t="n">
        <f aca="false">SUMIFS('Source 2026'!$H:$H,'Source 2026'!$B:$B,$A50,'Source 2026'!$A:$A,"Quantity (units)")</f>
        <v>301</v>
      </c>
      <c r="E50" s="8" t="n">
        <f aca="false">D50*$J$5</f>
        <v>412.8</v>
      </c>
      <c r="F50" s="8" t="n">
        <f aca="false">E50-C50</f>
        <v>-132.2</v>
      </c>
      <c r="G50" s="9" t="n">
        <f aca="false">IF(AND(C50=0,E50=0),0,IF(C50=0,"New",(E50-C50)/C50))</f>
        <v>-0.24256880733945</v>
      </c>
      <c r="H50" s="8" t="n">
        <f aca="false">SUMIFS('Source 2025'!$H:$H,'Source 2025'!$B:$B,$A50,'Source 2025'!$A:$A,"Amount (NIS)")</f>
        <v>44554.5</v>
      </c>
      <c r="I50" s="8" t="n">
        <f aca="false">SUMIFS('Source 2026'!$H:$H,'Source 2026'!$B:$B,$A50,'Source 2026'!$A:$A,"Amount (NIS)")</f>
        <v>24780</v>
      </c>
      <c r="J50" s="8" t="n">
        <f aca="false">I50*$J$5</f>
        <v>33984</v>
      </c>
      <c r="K50" s="8" t="n">
        <f aca="false">J50-H50</f>
        <v>-10570.5</v>
      </c>
      <c r="L50" s="9" t="n">
        <f aca="false">IF(AND(H50=0,J50=0),0,IF(H50=0,"New",(J50-H50)/H50))</f>
        <v>-0.237248762751237</v>
      </c>
    </row>
    <row r="51" customFormat="false" ht="15" hidden="false" customHeight="false" outlineLevel="0" collapsed="false">
      <c r="A51" s="7" t="n">
        <v>4409015</v>
      </c>
      <c r="B51" s="7" t="str">
        <f aca="false">IFERROR(INDEX('Source 2026'!$C:$C,MATCH($A51,'Source 2026'!$B:$B,0)),IFERROR(INDEX('Source 2025'!$C:$C,MATCH($A51,'Source 2025'!$B:$B,0)),""))</f>
        <v>808KT-BL       טייפ קינזיולוגי</v>
      </c>
      <c r="C51" s="8" t="n">
        <f aca="false">SUMIFS('Source 2025'!$H:$H,'Source 2025'!$B:$B,$A51,'Source 2025'!$A:$A,"Quantity (units)")</f>
        <v>1200</v>
      </c>
      <c r="D51" s="8" t="n">
        <f aca="false">SUMIFS('Source 2026'!$H:$H,'Source 2026'!$B:$B,$A51,'Source 2026'!$A:$A,"Quantity (units)")</f>
        <v>718</v>
      </c>
      <c r="E51" s="8" t="n">
        <f aca="false">D51*$J$5</f>
        <v>984.685714285714</v>
      </c>
      <c r="F51" s="8" t="n">
        <f aca="false">E51-C51</f>
        <v>-215.314285714286</v>
      </c>
      <c r="G51" s="9" t="n">
        <f aca="false">IF(AND(C51=0,E51=0),0,IF(C51=0,"New",(E51-C51)/C51))</f>
        <v>-0.179428571428571</v>
      </c>
      <c r="H51" s="8" t="n">
        <f aca="false">SUMIFS('Source 2025'!$H:$H,'Source 2025'!$B:$B,$A51,'Source 2025'!$A:$A,"Amount (NIS)")</f>
        <v>48495.6</v>
      </c>
      <c r="I51" s="8" t="n">
        <f aca="false">SUMIFS('Source 2026'!$H:$H,'Source 2026'!$B:$B,$A51,'Source 2026'!$A:$A,"Amount (NIS)")</f>
        <v>28969.5</v>
      </c>
      <c r="J51" s="8" t="n">
        <f aca="false">I51*$J$5</f>
        <v>39729.6</v>
      </c>
      <c r="K51" s="8" t="n">
        <f aca="false">J51-H51</f>
        <v>-8766</v>
      </c>
      <c r="L51" s="9" t="n">
        <f aca="false">IF(AND(H51=0,J51=0),0,IF(H51=0,"New",(J51-H51)/H51))</f>
        <v>-0.180758666765645</v>
      </c>
    </row>
    <row r="52" customFormat="false" ht="15" hidden="false" customHeight="false" outlineLevel="0" collapsed="false">
      <c r="A52" s="7" t="n">
        <v>4413043</v>
      </c>
      <c r="B52" s="7" t="str">
        <f aca="false">IFERROR(INDEX('Source 2026'!$C:$C,MATCH($A52,'Source 2026'!$B:$B,0)),IFERROR(INDEX('Source 2025'!$C:$C,MATCH($A52,'Source 2025'!$B:$B,0)),""))</f>
        <v>34  L מגן קרסול עקב סגור</v>
      </c>
      <c r="C52" s="8" t="n">
        <f aca="false">SUMIFS('Source 2025'!$H:$H,'Source 2025'!$B:$B,$A52,'Source 2025'!$A:$A,"Quantity (units)")</f>
        <v>1793</v>
      </c>
      <c r="D52" s="8" t="n">
        <f aca="false">SUMIFS('Source 2026'!$H:$H,'Source 2026'!$B:$B,$A52,'Source 2026'!$A:$A,"Quantity (units)")</f>
        <v>1259</v>
      </c>
      <c r="E52" s="8" t="n">
        <f aca="false">D52*$J$5</f>
        <v>1726.62857142857</v>
      </c>
      <c r="F52" s="8" t="n">
        <f aca="false">E52-C52</f>
        <v>-66.3714285714286</v>
      </c>
      <c r="G52" s="9" t="n">
        <f aca="false">IF(AND(C52=0,E52=0),0,IF(C52=0,"New",(E52-C52)/C52))</f>
        <v>-0.0370169707593021</v>
      </c>
      <c r="H52" s="8" t="n">
        <f aca="false">SUMIFS('Source 2025'!$H:$H,'Source 2025'!$B:$B,$A52,'Source 2025'!$A:$A,"Amount (NIS)")</f>
        <v>67283.3</v>
      </c>
      <c r="I52" s="8" t="n">
        <f aca="false">SUMIFS('Source 2026'!$H:$H,'Source 2026'!$B:$B,$A52,'Source 2026'!$A:$A,"Amount (NIS)")</f>
        <v>47925.6</v>
      </c>
      <c r="J52" s="8" t="n">
        <f aca="false">I52*$J$5</f>
        <v>65726.5371428571</v>
      </c>
      <c r="K52" s="8" t="n">
        <f aca="false">J52-H52</f>
        <v>-1556.76285714287</v>
      </c>
      <c r="L52" s="9" t="n">
        <f aca="false">IF(AND(H52=0,J52=0),0,IF(H52=0,"New",(J52-H52)/H52))</f>
        <v>-0.0231374331690459</v>
      </c>
    </row>
    <row r="53" customFormat="false" ht="15" hidden="false" customHeight="false" outlineLevel="0" collapsed="false">
      <c r="A53" s="7" t="n">
        <v>4413049</v>
      </c>
      <c r="B53" s="7" t="str">
        <f aca="false">IFERROR(INDEX('Source 2026'!$C:$C,MATCH($A53,'Source 2026'!$B:$B,0)),IFERROR(INDEX('Source 2025'!$C:$C,MATCH($A53,'Source 2025'!$B:$B,0)),""))</f>
        <v>35 M מגן קרסול לבן</v>
      </c>
      <c r="C53" s="8" t="n">
        <f aca="false">SUMIFS('Source 2025'!$H:$H,'Source 2025'!$B:$B,$A53,'Source 2025'!$A:$A,"Quantity (units)")</f>
        <v>1895</v>
      </c>
      <c r="D53" s="8" t="n">
        <f aca="false">SUMIFS('Source 2026'!$H:$H,'Source 2026'!$B:$B,$A53,'Source 2026'!$A:$A,"Quantity (units)")</f>
        <v>1129</v>
      </c>
      <c r="E53" s="8" t="n">
        <f aca="false">D53*$J$5</f>
        <v>1548.34285714286</v>
      </c>
      <c r="F53" s="8" t="n">
        <f aca="false">E53-C53</f>
        <v>-346.657142857143</v>
      </c>
      <c r="G53" s="9" t="n">
        <f aca="false">IF(AND(C53=0,E53=0),0,IF(C53=0,"New",(E53-C53)/C53))</f>
        <v>-0.182932529212213</v>
      </c>
      <c r="H53" s="8" t="n">
        <f aca="false">SUMIFS('Source 2025'!$H:$H,'Source 2025'!$B:$B,$A53,'Source 2025'!$A:$A,"Amount (NIS)")</f>
        <v>48710.8</v>
      </c>
      <c r="I53" s="8" t="n">
        <f aca="false">SUMIFS('Source 2026'!$H:$H,'Source 2026'!$B:$B,$A53,'Source 2026'!$A:$A,"Amount (NIS)")</f>
        <v>29394.3</v>
      </c>
      <c r="J53" s="8" t="n">
        <f aca="false">I53*$J$5</f>
        <v>40312.1828571429</v>
      </c>
      <c r="K53" s="8" t="n">
        <f aca="false">J53-H53</f>
        <v>-8398.61714285715</v>
      </c>
      <c r="L53" s="9" t="n">
        <f aca="false">IF(AND(H53=0,J53=0),0,IF(H53=0,"New",(J53-H53)/H53))</f>
        <v>-0.172417967737281</v>
      </c>
    </row>
    <row r="54" customFormat="false" ht="15" hidden="false" customHeight="false" outlineLevel="0" collapsed="false">
      <c r="A54" s="7" t="n">
        <v>4413397</v>
      </c>
      <c r="B54" s="7" t="str">
        <f aca="false">IFERROR(INDEX('Source 2026'!$C:$C,MATCH($A54,'Source 2026'!$B:$B,0)),IFERROR(INDEX('Source 2025'!$C:$C,MATCH($A54,'Source 2025'!$B:$B,0)),""))</f>
        <v>45EC XL'מגן ברך ארוך בז</v>
      </c>
      <c r="C54" s="8" t="n">
        <f aca="false">SUMIFS('Source 2025'!$H:$H,'Source 2025'!$B:$B,$A54,'Source 2025'!$A:$A,"Quantity (units)")</f>
        <v>2302</v>
      </c>
      <c r="D54" s="8" t="n">
        <f aca="false">SUMIFS('Source 2026'!$H:$H,'Source 2026'!$B:$B,$A54,'Source 2026'!$A:$A,"Quantity (units)")</f>
        <v>1686</v>
      </c>
      <c r="E54" s="8" t="n">
        <f aca="false">D54*$J$5</f>
        <v>2312.22857142857</v>
      </c>
      <c r="F54" s="8" t="n">
        <f aca="false">E54-C54</f>
        <v>10.2285714285713</v>
      </c>
      <c r="G54" s="9" t="n">
        <f aca="false">IF(AND(C54=0,E54=0),0,IF(C54=0,"New",(E54-C54)/C54))</f>
        <v>0.00444334119399274</v>
      </c>
      <c r="H54" s="8" t="n">
        <f aca="false">SUMIFS('Source 2025'!$H:$H,'Source 2025'!$B:$B,$A54,'Source 2025'!$A:$A,"Amount (NIS)")</f>
        <v>71479.1</v>
      </c>
      <c r="I54" s="8" t="n">
        <f aca="false">SUMIFS('Source 2026'!$H:$H,'Source 2026'!$B:$B,$A54,'Source 2026'!$A:$A,"Amount (NIS)")</f>
        <v>52766.9</v>
      </c>
      <c r="J54" s="8" t="n">
        <f aca="false">I54*$J$5</f>
        <v>72366.0342857143</v>
      </c>
      <c r="K54" s="8" t="n">
        <f aca="false">J54-H54</f>
        <v>886.934285714277</v>
      </c>
      <c r="L54" s="9" t="n">
        <f aca="false">IF(AND(H54=0,J54=0),0,IF(H54=0,"New",(J54-H54)/H54))</f>
        <v>0.0124083023669055</v>
      </c>
    </row>
    <row r="55" customFormat="false" ht="15" hidden="false" customHeight="false" outlineLevel="0" collapsed="false">
      <c r="A55" s="7" t="n">
        <v>4413395</v>
      </c>
      <c r="B55" s="7" t="str">
        <f aca="false">IFERROR(INDEX('Source 2026'!$C:$C,MATCH($A55,'Source 2026'!$B:$B,0)),IFERROR(INDEX('Source 2025'!$C:$C,MATCH($A55,'Source 2025'!$B:$B,0)),""))</f>
        <v>45EC M 'מגן ברך ארוך בז</v>
      </c>
      <c r="C55" s="8" t="n">
        <f aca="false">SUMIFS('Source 2025'!$H:$H,'Source 2025'!$B:$B,$A55,'Source 2025'!$A:$A,"Quantity (units)")</f>
        <v>2788</v>
      </c>
      <c r="D55" s="8" t="n">
        <f aca="false">SUMIFS('Source 2026'!$H:$H,'Source 2026'!$B:$B,$A55,'Source 2026'!$A:$A,"Quantity (units)")</f>
        <v>2172</v>
      </c>
      <c r="E55" s="8" t="n">
        <f aca="false">D55*$J$5</f>
        <v>2978.74285714286</v>
      </c>
      <c r="F55" s="8" t="n">
        <f aca="false">E55-C55</f>
        <v>190.742857142857</v>
      </c>
      <c r="G55" s="9" t="n">
        <f aca="false">IF(AND(C55=0,E55=0),0,IF(C55=0,"New",(E55-C55)/C55))</f>
        <v>0.0684156589465055</v>
      </c>
      <c r="H55" s="8" t="n">
        <f aca="false">SUMIFS('Source 2025'!$H:$H,'Source 2025'!$B:$B,$A55,'Source 2025'!$A:$A,"Amount (NIS)")</f>
        <v>86595.2</v>
      </c>
      <c r="I55" s="8" t="n">
        <f aca="false">SUMIFS('Source 2026'!$H:$H,'Source 2026'!$B:$B,$A55,'Source 2026'!$A:$A,"Amount (NIS)")</f>
        <v>68026.3</v>
      </c>
      <c r="J55" s="8" t="n">
        <f aca="false">I55*$J$5</f>
        <v>93293.2114285714</v>
      </c>
      <c r="K55" s="8" t="n">
        <f aca="false">J55-H55</f>
        <v>6698.01142857144</v>
      </c>
      <c r="L55" s="9" t="n">
        <f aca="false">IF(AND(H55=0,J55=0),0,IF(H55=0,"New",(J55-H55)/H55))</f>
        <v>0.0773485300405962</v>
      </c>
    </row>
    <row r="56" customFormat="false" ht="15" hidden="false" customHeight="false" outlineLevel="0" collapsed="false">
      <c r="A56" s="7" t="n">
        <v>4409016</v>
      </c>
      <c r="B56" s="7" t="str">
        <f aca="false">IFERROR(INDEX('Source 2026'!$C:$C,MATCH($A56,'Source 2026'!$B:$B,0)),IFERROR(INDEX('Source 2025'!$C:$C,MATCH($A56,'Source 2025'!$B:$B,0)),""))</f>
        <v>808KT-C        טייפ קינזיולוגי</v>
      </c>
      <c r="C56" s="8" t="n">
        <f aca="false">SUMIFS('Source 2025'!$H:$H,'Source 2025'!$B:$B,$A56,'Source 2025'!$A:$A,"Quantity (units)")</f>
        <v>1251</v>
      </c>
      <c r="D56" s="8" t="n">
        <f aca="false">SUMIFS('Source 2026'!$H:$H,'Source 2026'!$B:$B,$A56,'Source 2026'!$A:$A,"Quantity (units)")</f>
        <v>783</v>
      </c>
      <c r="E56" s="8" t="n">
        <f aca="false">D56*$J$5</f>
        <v>1073.82857142857</v>
      </c>
      <c r="F56" s="8" t="n">
        <f aca="false">E56-C56</f>
        <v>-177.171428571429</v>
      </c>
      <c r="G56" s="9" t="n">
        <f aca="false">IF(AND(C56=0,E56=0),0,IF(C56=0,"New",(E56-C56)/C56))</f>
        <v>-0.141623843782117</v>
      </c>
      <c r="H56" s="8" t="n">
        <f aca="false">SUMIFS('Source 2025'!$H:$H,'Source 2025'!$B:$B,$A56,'Source 2025'!$A:$A,"Amount (NIS)")</f>
        <v>49688.4</v>
      </c>
      <c r="I56" s="8" t="n">
        <f aca="false">SUMIFS('Source 2026'!$H:$H,'Source 2026'!$B:$B,$A56,'Source 2026'!$A:$A,"Amount (NIS)")</f>
        <v>31325.5</v>
      </c>
      <c r="J56" s="8" t="n">
        <f aca="false">I56*$J$5</f>
        <v>42960.6857142857</v>
      </c>
      <c r="K56" s="8" t="n">
        <f aca="false">J56-H56</f>
        <v>-6727.71428571429</v>
      </c>
      <c r="L56" s="9" t="n">
        <f aca="false">IF(AND(H56=0,J56=0),0,IF(H56=0,"New",(J56-H56)/H56))</f>
        <v>-0.135398086589914</v>
      </c>
    </row>
    <row r="57" customFormat="false" ht="15" hidden="false" customHeight="false" outlineLevel="0" collapsed="false">
      <c r="A57" s="7" t="n">
        <v>4408088</v>
      </c>
      <c r="B57" s="7" t="str">
        <f aca="false">IFERROR(INDEX('Source 2026'!$C:$C,MATCH($A57,'Source 2026'!$B:$B,0)),IFERROR(INDEX('Source 2025'!$C:$C,MATCH($A57,'Source 2025'!$B:$B,0)),""))</f>
        <v>91  חבק ""טניס אלבו רצועה</v>
      </c>
      <c r="C57" s="8" t="n">
        <f aca="false">SUMIFS('Source 2025'!$H:$H,'Source 2025'!$B:$B,$A57,'Source 2025'!$A:$A,"Quantity (units)")</f>
        <v>224</v>
      </c>
      <c r="D57" s="8" t="n">
        <f aca="false">SUMIFS('Source 2026'!$H:$H,'Source 2026'!$B:$B,$A57,'Source 2026'!$A:$A,"Quantity (units)")</f>
        <v>-25</v>
      </c>
      <c r="E57" s="8" t="n">
        <f aca="false">D57*$J$5</f>
        <v>-34.2857142857143</v>
      </c>
      <c r="F57" s="8" t="n">
        <f aca="false">E57-C57</f>
        <v>-258.285714285714</v>
      </c>
      <c r="G57" s="9" t="n">
        <f aca="false">IF(AND(C57=0,E57=0),0,IF(C57=0,"New",(E57-C57)/C57))</f>
        <v>-1.1530612244898</v>
      </c>
      <c r="H57" s="8" t="n">
        <f aca="false">SUMIFS('Source 2025'!$H:$H,'Source 2025'!$B:$B,$A57,'Source 2025'!$A:$A,"Amount (NIS)")</f>
        <v>15661.5</v>
      </c>
      <c r="I57" s="8" t="n">
        <f aca="false">SUMIFS('Source 2026'!$H:$H,'Source 2026'!$B:$B,$A57,'Source 2026'!$A:$A,"Amount (NIS)")</f>
        <v>-1715.2</v>
      </c>
      <c r="J57" s="8" t="n">
        <f aca="false">I57*$J$5</f>
        <v>-2352.27428571429</v>
      </c>
      <c r="K57" s="8" t="n">
        <f aca="false">J57-H57</f>
        <v>-18013.7742857143</v>
      </c>
      <c r="L57" s="9" t="n">
        <f aca="false">IF(AND(H57=0,J57=0),0,IF(H57=0,"New",(J57-H57)/H57))</f>
        <v>-1.15019469946776</v>
      </c>
    </row>
    <row r="58" customFormat="false" ht="15" hidden="false" customHeight="false" outlineLevel="0" collapsed="false">
      <c r="A58" s="7" t="n">
        <v>4409017</v>
      </c>
      <c r="B58" s="7" t="str">
        <f aca="false">IFERROR(INDEX('Source 2026'!$C:$C,MATCH($A58,'Source 2026'!$B:$B,0)),IFERROR(INDEX('Source 2025'!$C:$C,MATCH($A58,'Source 2025'!$B:$B,0)),""))</f>
        <v>808KT-B        טייפ קינזיולוגי</v>
      </c>
      <c r="C58" s="8" t="n">
        <f aca="false">SUMIFS('Source 2025'!$H:$H,'Source 2025'!$B:$B,$A58,'Source 2025'!$A:$A,"Quantity (units)")</f>
        <v>1150</v>
      </c>
      <c r="D58" s="8" t="n">
        <f aca="false">SUMIFS('Source 2026'!$H:$H,'Source 2026'!$B:$B,$A58,'Source 2026'!$A:$A,"Quantity (units)")</f>
        <v>710</v>
      </c>
      <c r="E58" s="8" t="n">
        <f aca="false">D58*$J$5</f>
        <v>973.714285714286</v>
      </c>
      <c r="F58" s="8" t="n">
        <f aca="false">E58-C58</f>
        <v>-176.285714285714</v>
      </c>
      <c r="G58" s="9" t="n">
        <f aca="false">IF(AND(C58=0,E58=0),0,IF(C58=0,"New",(E58-C58)/C58))</f>
        <v>-0.153291925465838</v>
      </c>
      <c r="H58" s="8" t="n">
        <f aca="false">SUMIFS('Source 2025'!$H:$H,'Source 2025'!$B:$B,$A58,'Source 2025'!$A:$A,"Amount (NIS)")</f>
        <v>45598.1</v>
      </c>
      <c r="I58" s="8" t="n">
        <f aca="false">SUMIFS('Source 2026'!$H:$H,'Source 2026'!$B:$B,$A58,'Source 2026'!$A:$A,"Amount (NIS)")</f>
        <v>28458.3</v>
      </c>
      <c r="J58" s="8" t="n">
        <f aca="false">I58*$J$5</f>
        <v>39028.5257142857</v>
      </c>
      <c r="K58" s="8" t="n">
        <f aca="false">J58-H58</f>
        <v>-6569.57428571428</v>
      </c>
      <c r="L58" s="9" t="n">
        <f aca="false">IF(AND(H58=0,J58=0),0,IF(H58=0,"New",(J58-H58)/H58))</f>
        <v>-0.144075614679434</v>
      </c>
    </row>
    <row r="59" customFormat="false" ht="15" hidden="false" customHeight="false" outlineLevel="0" collapsed="false">
      <c r="A59" s="7" t="n">
        <v>4409014</v>
      </c>
      <c r="B59" s="7" t="str">
        <f aca="false">IFERROR(INDEX('Source 2026'!$C:$C,MATCH($A59,'Source 2026'!$B:$B,0)),IFERROR(INDEX('Source 2025'!$C:$C,MATCH($A59,'Source 2025'!$B:$B,0)),""))</f>
        <v>808KT-P        טייפ קינזיולוגי</v>
      </c>
      <c r="C59" s="8" t="n">
        <f aca="false">SUMIFS('Source 2025'!$H:$H,'Source 2025'!$B:$B,$A59,'Source 2025'!$A:$A,"Quantity (units)")</f>
        <v>796</v>
      </c>
      <c r="D59" s="8" t="n">
        <f aca="false">SUMIFS('Source 2026'!$H:$H,'Source 2026'!$B:$B,$A59,'Source 2026'!$A:$A,"Quantity (units)")</f>
        <v>388</v>
      </c>
      <c r="E59" s="8" t="n">
        <f aca="false">D59*$J$5</f>
        <v>532.114285714286</v>
      </c>
      <c r="F59" s="8" t="n">
        <f aca="false">E59-C59</f>
        <v>-263.885714285714</v>
      </c>
      <c r="G59" s="9" t="n">
        <f aca="false">IF(AND(C59=0,E59=0),0,IF(C59=0,"New",(E59-C59)/C59))</f>
        <v>-0.33151471643934</v>
      </c>
      <c r="H59" s="8" t="n">
        <f aca="false">SUMIFS('Source 2025'!$H:$H,'Source 2025'!$B:$B,$A59,'Source 2025'!$A:$A,"Amount (NIS)")</f>
        <v>32148.2</v>
      </c>
      <c r="I59" s="8" t="n">
        <f aca="false">SUMIFS('Source 2026'!$H:$H,'Source 2026'!$B:$B,$A59,'Source 2026'!$A:$A,"Amount (NIS)")</f>
        <v>15665.8</v>
      </c>
      <c r="J59" s="8" t="n">
        <f aca="false">I59*$J$5</f>
        <v>21484.5257142857</v>
      </c>
      <c r="K59" s="8" t="n">
        <f aca="false">J59-H59</f>
        <v>-10663.6742857143</v>
      </c>
      <c r="L59" s="9" t="n">
        <f aca="false">IF(AND(H59=0,J59=0),0,IF(H59=0,"New",(J59-H59)/H59))</f>
        <v>-0.331703619042879</v>
      </c>
    </row>
    <row r="60" customFormat="false" ht="15" hidden="false" customHeight="false" outlineLevel="0" collapsed="false">
      <c r="A60" s="7" t="n">
        <v>4415008</v>
      </c>
      <c r="B60" s="7" t="str">
        <f aca="false">IFERROR(INDEX('Source 2026'!$C:$C,MATCH($A60,'Source 2026'!$B:$B,0)),IFERROR(INDEX('Source 2025'!$C:$C,MATCH($A60,'Source 2025'!$B:$B,0)),""))</f>
        <v>28 XL סד לאגודל לאחר שבר</v>
      </c>
      <c r="C60" s="8" t="n">
        <f aca="false">SUMIFS('Source 2025'!$H:$H,'Source 2025'!$B:$B,$A60,'Source 2025'!$A:$A,"Quantity (units)")</f>
        <v>224</v>
      </c>
      <c r="D60" s="8" t="n">
        <f aca="false">SUMIFS('Source 2026'!$H:$H,'Source 2026'!$B:$B,$A60,'Source 2026'!$A:$A,"Quantity (units)")</f>
        <v>28</v>
      </c>
      <c r="E60" s="8" t="n">
        <f aca="false">D60*$J$5</f>
        <v>38.4</v>
      </c>
      <c r="F60" s="8" t="n">
        <f aca="false">E60-C60</f>
        <v>-185.6</v>
      </c>
      <c r="G60" s="9" t="n">
        <f aca="false">IF(AND(C60=0,E60=0),0,IF(C60=0,"New",(E60-C60)/C60))</f>
        <v>-0.828571428571429</v>
      </c>
      <c r="H60" s="8" t="n">
        <f aca="false">SUMIFS('Source 2025'!$H:$H,'Source 2025'!$B:$B,$A60,'Source 2025'!$A:$A,"Amount (NIS)")</f>
        <v>18345.6</v>
      </c>
      <c r="I60" s="8" t="n">
        <f aca="false">SUMIFS('Source 2026'!$H:$H,'Source 2026'!$B:$B,$A60,'Source 2026'!$A:$A,"Amount (NIS)")</f>
        <v>2568.4</v>
      </c>
      <c r="J60" s="8" t="n">
        <f aca="false">I60*$J$5</f>
        <v>3522.37714285714</v>
      </c>
      <c r="K60" s="8" t="n">
        <f aca="false">J60-H60</f>
        <v>-14823.2228571429</v>
      </c>
      <c r="L60" s="9" t="n">
        <f aca="false">IF(AND(H60=0,J60=0),0,IF(H60=0,"New",(J60-H60)/H60))</f>
        <v>-0.807998803917171</v>
      </c>
    </row>
    <row r="61" customFormat="false" ht="15" hidden="false" customHeight="false" outlineLevel="0" collapsed="false">
      <c r="A61" s="7" t="n">
        <v>4413093</v>
      </c>
      <c r="B61" s="7" t="str">
        <f aca="false">IFERROR(INDEX('Source 2026'!$C:$C,MATCH($A61,'Source 2026'!$B:$B,0)),IFERROR(INDEX('Source 2025'!$C:$C,MATCH($A61,'Source 2025'!$B:$B,0)),""))</f>
        <v>45 M מגן ברך לבן</v>
      </c>
      <c r="C61" s="8" t="n">
        <f aca="false">SUMIFS('Source 2025'!$H:$H,'Source 2025'!$B:$B,$A61,'Source 2025'!$A:$A,"Quantity (units)")</f>
        <v>1665</v>
      </c>
      <c r="D61" s="8" t="n">
        <f aca="false">SUMIFS('Source 2026'!$H:$H,'Source 2026'!$B:$B,$A61,'Source 2026'!$A:$A,"Quantity (units)")</f>
        <v>1041</v>
      </c>
      <c r="E61" s="8" t="n">
        <f aca="false">D61*$J$5</f>
        <v>1427.65714285714</v>
      </c>
      <c r="F61" s="8" t="n">
        <f aca="false">E61-C61</f>
        <v>-237.342857142857</v>
      </c>
      <c r="G61" s="9" t="n">
        <f aca="false">IF(AND(C61=0,E61=0),0,IF(C61=0,"New",(E61-C61)/C61))</f>
        <v>-0.142548262548263</v>
      </c>
      <c r="H61" s="8" t="n">
        <f aca="false">SUMIFS('Source 2025'!$H:$H,'Source 2025'!$B:$B,$A61,'Source 2025'!$A:$A,"Amount (NIS)")</f>
        <v>42810</v>
      </c>
      <c r="I61" s="8" t="n">
        <f aca="false">SUMIFS('Source 2026'!$H:$H,'Source 2026'!$B:$B,$A61,'Source 2026'!$A:$A,"Amount (NIS)")</f>
        <v>27118.9</v>
      </c>
      <c r="J61" s="8" t="n">
        <f aca="false">I61*$J$5</f>
        <v>37191.6342857143</v>
      </c>
      <c r="K61" s="8" t="n">
        <f aca="false">J61-H61</f>
        <v>-5618.36571428571</v>
      </c>
      <c r="L61" s="9" t="n">
        <f aca="false">IF(AND(H61=0,J61=0),0,IF(H61=0,"New",(J61-H61)/H61))</f>
        <v>-0.131239563519872</v>
      </c>
    </row>
    <row r="62" customFormat="false" ht="15" hidden="false" customHeight="false" outlineLevel="0" collapsed="false">
      <c r="A62" s="7" t="n">
        <v>4413044</v>
      </c>
      <c r="B62" s="7" t="str">
        <f aca="false">IFERROR(INDEX('Source 2026'!$C:$C,MATCH($A62,'Source 2026'!$B:$B,0)),IFERROR(INDEX('Source 2025'!$C:$C,MATCH($A62,'Source 2025'!$B:$B,0)),""))</f>
        <v>34 XL מגן קרסול עקב סגור</v>
      </c>
      <c r="C62" s="8" t="n">
        <f aca="false">SUMIFS('Source 2025'!$H:$H,'Source 2025'!$B:$B,$A62,'Source 2025'!$A:$A,"Quantity (units)")</f>
        <v>1232</v>
      </c>
      <c r="D62" s="8" t="n">
        <f aca="false">SUMIFS('Source 2026'!$H:$H,'Source 2026'!$B:$B,$A62,'Source 2026'!$A:$A,"Quantity (units)")</f>
        <v>814</v>
      </c>
      <c r="E62" s="8" t="n">
        <f aca="false">D62*$J$5</f>
        <v>1116.34285714286</v>
      </c>
      <c r="F62" s="8" t="n">
        <f aca="false">E62-C62</f>
        <v>-115.657142857143</v>
      </c>
      <c r="G62" s="9" t="n">
        <f aca="false">IF(AND(C62=0,E62=0),0,IF(C62=0,"New",(E62-C62)/C62))</f>
        <v>-0.0938775510204082</v>
      </c>
      <c r="H62" s="8" t="n">
        <f aca="false">SUMIFS('Source 2025'!$H:$H,'Source 2025'!$B:$B,$A62,'Source 2025'!$A:$A,"Amount (NIS)")</f>
        <v>46241.2</v>
      </c>
      <c r="I62" s="8" t="n">
        <f aca="false">SUMIFS('Source 2026'!$H:$H,'Source 2026'!$B:$B,$A62,'Source 2026'!$A:$A,"Amount (NIS)")</f>
        <v>30996.2</v>
      </c>
      <c r="J62" s="8" t="n">
        <f aca="false">I62*$J$5</f>
        <v>42509.0742857143</v>
      </c>
      <c r="K62" s="8" t="n">
        <f aca="false">J62-H62</f>
        <v>-3732.12571428571</v>
      </c>
      <c r="L62" s="9" t="n">
        <f aca="false">IF(AND(H62=0,J62=0),0,IF(H62=0,"New",(J62-H62)/H62))</f>
        <v>-0.0807099667457961</v>
      </c>
    </row>
    <row r="63" customFormat="false" ht="15" hidden="false" customHeight="false" outlineLevel="0" collapsed="false">
      <c r="A63" s="7" t="n">
        <v>4413103</v>
      </c>
      <c r="B63" s="7" t="str">
        <f aca="false">IFERROR(INDEX('Source 2026'!$C:$C,MATCH($A63,'Source 2026'!$B:$B,0)),IFERROR(INDEX('Source 2025'!$C:$C,MATCH($A63,'Source 2025'!$B:$B,0)),""))</f>
        <v>45E Mמגן ברך ארוך לבן</v>
      </c>
      <c r="C63" s="8" t="n">
        <f aca="false">SUMIFS('Source 2025'!$H:$H,'Source 2025'!$B:$B,$A63,'Source 2025'!$A:$A,"Quantity (units)")</f>
        <v>1338</v>
      </c>
      <c r="D63" s="8" t="n">
        <f aca="false">SUMIFS('Source 2026'!$H:$H,'Source 2026'!$B:$B,$A63,'Source 2026'!$A:$A,"Quantity (units)")</f>
        <v>847</v>
      </c>
      <c r="E63" s="8" t="n">
        <f aca="false">D63*$J$5</f>
        <v>1161.6</v>
      </c>
      <c r="F63" s="8" t="n">
        <f aca="false">E63-C63</f>
        <v>-176.4</v>
      </c>
      <c r="G63" s="9" t="n">
        <f aca="false">IF(AND(C63=0,E63=0),0,IF(C63=0,"New",(E63-C63)/C63))</f>
        <v>-0.131838565022422</v>
      </c>
      <c r="H63" s="8" t="n">
        <f aca="false">SUMIFS('Source 2025'!$H:$H,'Source 2025'!$B:$B,$A63,'Source 2025'!$A:$A,"Amount (NIS)")</f>
        <v>41507.4</v>
      </c>
      <c r="I63" s="8" t="n">
        <f aca="false">SUMIFS('Source 2026'!$H:$H,'Source 2026'!$B:$B,$A63,'Source 2026'!$A:$A,"Amount (NIS)")</f>
        <v>26440.7</v>
      </c>
      <c r="J63" s="8" t="n">
        <f aca="false">I63*$J$5</f>
        <v>36261.5314285714</v>
      </c>
      <c r="K63" s="8" t="n">
        <f aca="false">J63-H63</f>
        <v>-5245.86857142858</v>
      </c>
      <c r="L63" s="9" t="n">
        <f aca="false">IF(AND(H63=0,J63=0),0,IF(H63=0,"New",(J63-H63)/H63))</f>
        <v>-0.126383935669991</v>
      </c>
    </row>
    <row r="64" customFormat="false" ht="15" hidden="false" customHeight="false" outlineLevel="0" collapsed="false">
      <c r="A64" s="7" t="n">
        <v>4413055</v>
      </c>
      <c r="B64" s="7" t="str">
        <f aca="false">IFERROR(INDEX('Source 2026'!$C:$C,MATCH($A64,'Source 2026'!$B:$B,0)),IFERROR(INDEX('Source 2025'!$C:$C,MATCH($A64,'Source 2025'!$B:$B,0)),""))</f>
        <v>35C XL מגן קרסול חום</v>
      </c>
      <c r="C64" s="8" t="n">
        <f aca="false">SUMIFS('Source 2025'!$H:$H,'Source 2025'!$B:$B,$A64,'Source 2025'!$A:$A,"Quantity (units)")</f>
        <v>1866</v>
      </c>
      <c r="D64" s="8" t="n">
        <f aca="false">SUMIFS('Source 2026'!$H:$H,'Source 2026'!$B:$B,$A64,'Source 2026'!$A:$A,"Quantity (units)")</f>
        <v>1275</v>
      </c>
      <c r="E64" s="8" t="n">
        <f aca="false">D64*$J$5</f>
        <v>1748.57142857143</v>
      </c>
      <c r="F64" s="8" t="n">
        <f aca="false">E64-C64</f>
        <v>-117.428571428571</v>
      </c>
      <c r="G64" s="9" t="n">
        <f aca="false">IF(AND(C64=0,E64=0),0,IF(C64=0,"New",(E64-C64)/C64))</f>
        <v>-0.0629306384933394</v>
      </c>
      <c r="H64" s="8" t="n">
        <f aca="false">SUMIFS('Source 2025'!$H:$H,'Source 2025'!$B:$B,$A64,'Source 2025'!$A:$A,"Amount (NIS)")</f>
        <v>47984.9</v>
      </c>
      <c r="I64" s="8" t="n">
        <f aca="false">SUMIFS('Source 2026'!$H:$H,'Source 2026'!$B:$B,$A64,'Source 2026'!$A:$A,"Amount (NIS)")</f>
        <v>33303.3</v>
      </c>
      <c r="J64" s="8" t="n">
        <f aca="false">I64*$J$5</f>
        <v>45673.0971428572</v>
      </c>
      <c r="K64" s="8" t="n">
        <f aca="false">J64-H64</f>
        <v>-2311.80285714285</v>
      </c>
      <c r="L64" s="9" t="n">
        <f aca="false">IF(AND(H64=0,J64=0),0,IF(H64=0,"New",(J64-H64)/H64))</f>
        <v>-0.0481777154301218</v>
      </c>
    </row>
    <row r="65" customFormat="false" ht="15" hidden="false" customHeight="false" outlineLevel="0" collapsed="false">
      <c r="A65" s="7" t="n">
        <v>4408032</v>
      </c>
      <c r="B65" s="7" t="str">
        <f aca="false">IFERROR(INDEX('Source 2026'!$C:$C,MATCH($A65,'Source 2026'!$B:$B,0)),IFERROR(INDEX('Source 2025'!$C:$C,MATCH($A65,'Source 2025'!$B:$B,0)),""))</f>
        <v>11 L""חגורת בטן""אורירית</v>
      </c>
      <c r="C65" s="8" t="n">
        <f aca="false">SUMIFS('Source 2025'!$H:$H,'Source 2025'!$B:$B,$A65,'Source 2025'!$A:$A,"Quantity (units)")</f>
        <v>412</v>
      </c>
      <c r="D65" s="8" t="n">
        <f aca="false">SUMIFS('Source 2026'!$H:$H,'Source 2026'!$B:$B,$A65,'Source 2026'!$A:$A,"Quantity (units)")</f>
        <v>252</v>
      </c>
      <c r="E65" s="8" t="n">
        <f aca="false">D65*$J$5</f>
        <v>345.6</v>
      </c>
      <c r="F65" s="8" t="n">
        <f aca="false">E65-C65</f>
        <v>-66.4</v>
      </c>
      <c r="G65" s="9" t="n">
        <f aca="false">IF(AND(C65=0,E65=0),0,IF(C65=0,"New",(E65-C65)/C65))</f>
        <v>-0.161165048543689</v>
      </c>
      <c r="H65" s="8" t="n">
        <f aca="false">SUMIFS('Source 2025'!$H:$H,'Source 2025'!$B:$B,$A65,'Source 2025'!$A:$A,"Amount (NIS)")</f>
        <v>37050.2</v>
      </c>
      <c r="I65" s="8" t="n">
        <f aca="false">SUMIFS('Source 2026'!$H:$H,'Source 2026'!$B:$B,$A65,'Source 2026'!$A:$A,"Amount (NIS)")</f>
        <v>22844.8</v>
      </c>
      <c r="J65" s="8" t="n">
        <f aca="false">I65*$J$5</f>
        <v>31330.0114285714</v>
      </c>
      <c r="K65" s="8" t="n">
        <f aca="false">J65-H65</f>
        <v>-5720.18857142857</v>
      </c>
      <c r="L65" s="9" t="n">
        <f aca="false">IF(AND(H65=0,J65=0),0,IF(H65=0,"New",(J65-H65)/H65))</f>
        <v>-0.154390221143977</v>
      </c>
    </row>
    <row r="66" customFormat="false" ht="15" hidden="false" customHeight="false" outlineLevel="0" collapsed="false">
      <c r="A66" s="7" t="n">
        <v>4413099</v>
      </c>
      <c r="B66" s="7" t="str">
        <f aca="false">IFERROR(INDEX('Source 2026'!$C:$C,MATCH($A66,'Source 2026'!$B:$B,0)),IFERROR(INDEX('Source 2025'!$C:$C,MATCH($A66,'Source 2025'!$B:$B,0)),""))</f>
        <v>45C M מגן ברך חום</v>
      </c>
      <c r="C66" s="8" t="n">
        <f aca="false">SUMIFS('Source 2025'!$H:$H,'Source 2025'!$B:$B,$A66,'Source 2025'!$A:$A,"Quantity (units)")</f>
        <v>3009</v>
      </c>
      <c r="D66" s="8" t="n">
        <f aca="false">SUMIFS('Source 2026'!$H:$H,'Source 2026'!$B:$B,$A66,'Source 2026'!$A:$A,"Quantity (units)")</f>
        <v>2432</v>
      </c>
      <c r="E66" s="8" t="n">
        <f aca="false">D66*$J$5</f>
        <v>3335.31428571429</v>
      </c>
      <c r="F66" s="8" t="n">
        <f aca="false">E66-C66</f>
        <v>326.314285714286</v>
      </c>
      <c r="G66" s="9" t="n">
        <f aca="false">IF(AND(C66=0,E66=0),0,IF(C66=0,"New",(E66-C66)/C66))</f>
        <v>0.108446090300527</v>
      </c>
      <c r="H66" s="8" t="n">
        <f aca="false">SUMIFS('Source 2025'!$H:$H,'Source 2025'!$B:$B,$A66,'Source 2025'!$A:$A,"Amount (NIS)")</f>
        <v>77434.1</v>
      </c>
      <c r="I66" s="8" t="n">
        <f aca="false">SUMIFS('Source 2026'!$H:$H,'Source 2026'!$B:$B,$A66,'Source 2026'!$A:$A,"Amount (NIS)")</f>
        <v>63316.9</v>
      </c>
      <c r="J66" s="8" t="n">
        <f aca="false">I66*$J$5</f>
        <v>86834.6057142857</v>
      </c>
      <c r="K66" s="8" t="n">
        <f aca="false">J66-H66</f>
        <v>9400.50571428571</v>
      </c>
      <c r="L66" s="9" t="n">
        <f aca="false">IF(AND(H66=0,J66=0),0,IF(H66=0,"New",(J66-H66)/H66))</f>
        <v>0.121400077153163</v>
      </c>
    </row>
    <row r="67" customFormat="false" ht="15" hidden="false" customHeight="false" outlineLevel="0" collapsed="false">
      <c r="A67" s="7" t="n">
        <v>4408034</v>
      </c>
      <c r="B67" s="7" t="str">
        <f aca="false">IFERROR(INDEX('Source 2026'!$C:$C,MATCH($A67,'Source 2026'!$B:$B,0)),IFERROR(INDEX('Source 2025'!$C:$C,MATCH($A67,'Source 2025'!$B:$B,0)),""))</f>
        <v>11 XL""חגורת בטן""אורירית</v>
      </c>
      <c r="C67" s="8" t="n">
        <f aca="false">SUMIFS('Source 2025'!$H:$H,'Source 2025'!$B:$B,$A67,'Source 2025'!$A:$A,"Quantity (units)")</f>
        <v>399</v>
      </c>
      <c r="D67" s="8" t="n">
        <f aca="false">SUMIFS('Source 2026'!$H:$H,'Source 2026'!$B:$B,$A67,'Source 2026'!$A:$A,"Quantity (units)")</f>
        <v>242</v>
      </c>
      <c r="E67" s="8" t="n">
        <f aca="false">D67*$J$5</f>
        <v>331.885714285714</v>
      </c>
      <c r="F67" s="8" t="n">
        <f aca="false">E67-C67</f>
        <v>-67.1142857142857</v>
      </c>
      <c r="G67" s="9" t="n">
        <f aca="false">IF(AND(C67=0,E67=0),0,IF(C67=0,"New",(E67-C67)/C67))</f>
        <v>-0.168206229860365</v>
      </c>
      <c r="H67" s="8" t="n">
        <f aca="false">SUMIFS('Source 2025'!$H:$H,'Source 2025'!$B:$B,$A67,'Source 2025'!$A:$A,"Amount (NIS)")</f>
        <v>35878.9</v>
      </c>
      <c r="I67" s="8" t="n">
        <f aca="false">SUMIFS('Source 2026'!$H:$H,'Source 2026'!$B:$B,$A67,'Source 2026'!$A:$A,"Amount (NIS)")</f>
        <v>21810.8</v>
      </c>
      <c r="J67" s="8" t="n">
        <f aca="false">I67*$J$5</f>
        <v>29911.9542857143</v>
      </c>
      <c r="K67" s="8" t="n">
        <f aca="false">J67-H67</f>
        <v>-5966.94571428572</v>
      </c>
      <c r="L67" s="9" t="n">
        <f aca="false">IF(AND(H67=0,J67=0),0,IF(H67=0,"New",(J67-H67)/H67))</f>
        <v>-0.166307933473036</v>
      </c>
    </row>
    <row r="68" customFormat="false" ht="15" hidden="false" customHeight="false" outlineLevel="0" collapsed="false">
      <c r="A68" s="7" t="n">
        <v>4413100</v>
      </c>
      <c r="B68" s="7" t="str">
        <f aca="false">IFERROR(INDEX('Source 2026'!$C:$C,MATCH($A68,'Source 2026'!$B:$B,0)),IFERROR(INDEX('Source 2025'!$C:$C,MATCH($A68,'Source 2025'!$B:$B,0)),""))</f>
        <v>45C XL מגן ברך חום</v>
      </c>
      <c r="C68" s="8" t="n">
        <f aca="false">SUMIFS('Source 2025'!$H:$H,'Source 2025'!$B:$B,$A68,'Source 2025'!$A:$A,"Quantity (units)")</f>
        <v>2229</v>
      </c>
      <c r="D68" s="8" t="n">
        <f aca="false">SUMIFS('Source 2026'!$H:$H,'Source 2026'!$B:$B,$A68,'Source 2026'!$A:$A,"Quantity (units)")</f>
        <v>1663</v>
      </c>
      <c r="E68" s="8" t="n">
        <f aca="false">D68*$J$5</f>
        <v>2280.68571428571</v>
      </c>
      <c r="F68" s="8" t="n">
        <f aca="false">E68-C68</f>
        <v>51.6857142857143</v>
      </c>
      <c r="G68" s="9" t="n">
        <f aca="false">IF(AND(C68=0,E68=0),0,IF(C68=0,"New",(E68-C68)/C68))</f>
        <v>0.0231878484906749</v>
      </c>
      <c r="H68" s="8" t="n">
        <f aca="false">SUMIFS('Source 2025'!$H:$H,'Source 2025'!$B:$B,$A68,'Source 2025'!$A:$A,"Amount (NIS)")</f>
        <v>57363.1</v>
      </c>
      <c r="I68" s="8" t="n">
        <f aca="false">SUMIFS('Source 2026'!$H:$H,'Source 2026'!$B:$B,$A68,'Source 2026'!$A:$A,"Amount (NIS)")</f>
        <v>43391.3</v>
      </c>
      <c r="J68" s="8" t="n">
        <f aca="false">I68*$J$5</f>
        <v>59508.0685714286</v>
      </c>
      <c r="K68" s="8" t="n">
        <f aca="false">J68-H68</f>
        <v>2144.96857142858</v>
      </c>
      <c r="L68" s="9" t="n">
        <f aca="false">IF(AND(H68=0,J68=0),0,IF(H68=0,"New",(J68-H68)/H68))</f>
        <v>0.0373928286900217</v>
      </c>
    </row>
    <row r="69" customFormat="false" ht="15" hidden="false" customHeight="false" outlineLevel="0" collapsed="false">
      <c r="A69" s="7" t="n">
        <v>4413104</v>
      </c>
      <c r="B69" s="7" t="str">
        <f aca="false">IFERROR(INDEX('Source 2026'!$C:$C,MATCH($A69,'Source 2026'!$B:$B,0)),IFERROR(INDEX('Source 2025'!$C:$C,MATCH($A69,'Source 2025'!$B:$B,0)),""))</f>
        <v>45E XLמגן ברך ארוך לבן</v>
      </c>
      <c r="C69" s="8" t="n">
        <f aca="false">SUMIFS('Source 2025'!$H:$H,'Source 2025'!$B:$B,$A69,'Source 2025'!$A:$A,"Quantity (units)")</f>
        <v>1095</v>
      </c>
      <c r="D69" s="8" t="n">
        <f aca="false">SUMIFS('Source 2026'!$H:$H,'Source 2026'!$B:$B,$A69,'Source 2026'!$A:$A,"Quantity (units)")</f>
        <v>646</v>
      </c>
      <c r="E69" s="8" t="n">
        <f aca="false">D69*$J$5</f>
        <v>885.942857142857</v>
      </c>
      <c r="F69" s="8" t="n">
        <f aca="false">E69-C69</f>
        <v>-209.057142857143</v>
      </c>
      <c r="G69" s="9" t="n">
        <f aca="false">IF(AND(C69=0,E69=0),0,IF(C69=0,"New",(E69-C69)/C69))</f>
        <v>-0.190919765166341</v>
      </c>
      <c r="H69" s="8" t="n">
        <f aca="false">SUMIFS('Source 2025'!$H:$H,'Source 2025'!$B:$B,$A69,'Source 2025'!$A:$A,"Amount (NIS)")</f>
        <v>33971.4</v>
      </c>
      <c r="I69" s="8" t="n">
        <f aca="false">SUMIFS('Source 2026'!$H:$H,'Source 2026'!$B:$B,$A69,'Source 2026'!$A:$A,"Amount (NIS)")</f>
        <v>20143.7</v>
      </c>
      <c r="J69" s="8" t="n">
        <f aca="false">I69*$J$5</f>
        <v>27625.6457142857</v>
      </c>
      <c r="K69" s="8" t="n">
        <f aca="false">J69-H69</f>
        <v>-6345.75428571429</v>
      </c>
      <c r="L69" s="9" t="n">
        <f aca="false">IF(AND(H69=0,J69=0),0,IF(H69=0,"New",(J69-H69)/H69))</f>
        <v>-0.186796961141263</v>
      </c>
    </row>
    <row r="70" customFormat="false" ht="15" hidden="false" customHeight="false" outlineLevel="0" collapsed="false">
      <c r="A70" s="7" t="n">
        <v>4413370</v>
      </c>
      <c r="B70" s="7" t="str">
        <f aca="false">IFERROR(INDEX('Source 2026'!$C:$C,MATCH($A70,'Source 2026'!$B:$B,0)),IFERROR(INDEX('Source 2025'!$C:$C,MATCH($A70,'Source 2025'!$B:$B,0)),""))</f>
        <v>3674 0 מ.בוניון+מפריד אצבע</v>
      </c>
      <c r="C70" s="8" t="n">
        <f aca="false">SUMIFS('Source 2025'!$H:$H,'Source 2025'!$B:$B,$A70,'Source 2025'!$A:$A,"Quantity (units)")</f>
        <v>1818</v>
      </c>
      <c r="D70" s="8" t="n">
        <f aca="false">SUMIFS('Source 2026'!$H:$H,'Source 2026'!$B:$B,$A70,'Source 2026'!$A:$A,"Quantity (units)")</f>
        <v>1424</v>
      </c>
      <c r="E70" s="8" t="n">
        <f aca="false">D70*$J$5</f>
        <v>1952.91428571429</v>
      </c>
      <c r="F70" s="8" t="n">
        <f aca="false">E70-C70</f>
        <v>134.914285714286</v>
      </c>
      <c r="G70" s="9" t="n">
        <f aca="false">IF(AND(C70=0,E70=0),0,IF(C70=0,"New",(E70-C70)/C70))</f>
        <v>0.0742102781706743</v>
      </c>
      <c r="H70" s="8" t="n">
        <f aca="false">SUMIFS('Source 2025'!$H:$H,'Source 2025'!$B:$B,$A70,'Source 2025'!$A:$A,"Amount (NIS)")</f>
        <v>63005.9</v>
      </c>
      <c r="I70" s="8" t="n">
        <f aca="false">SUMIFS('Source 2026'!$H:$H,'Source 2026'!$B:$B,$A70,'Source 2026'!$A:$A,"Amount (NIS)")</f>
        <v>49221.9</v>
      </c>
      <c r="J70" s="8" t="n">
        <f aca="false">I70*$J$5</f>
        <v>67504.32</v>
      </c>
      <c r="K70" s="8" t="n">
        <f aca="false">J70-H70</f>
        <v>4498.42000000001</v>
      </c>
      <c r="L70" s="9" t="n">
        <f aca="false">IF(AND(H70=0,J70=0),0,IF(H70=0,"New",(J70-H70)/H70))</f>
        <v>0.0713968056959746</v>
      </c>
    </row>
    <row r="71" customFormat="false" ht="15" hidden="false" customHeight="false" outlineLevel="0" collapsed="false">
      <c r="A71" s="7" t="n">
        <v>4413197</v>
      </c>
      <c r="B71" s="7" t="str">
        <f aca="false">IFERROR(INDEX('Source 2026'!$C:$C,MATCH($A71,'Source 2026'!$B:$B,0)),IFERROR(INDEX('Source 2025'!$C:$C,MATCH($A71,'Source 2025'!$B:$B,0)),""))</f>
        <v>87 L מקבע כתף ויד</v>
      </c>
      <c r="C71" s="8" t="n">
        <f aca="false">SUMIFS('Source 2025'!$H:$H,'Source 2025'!$B:$B,$A71,'Source 2025'!$A:$A,"Quantity (units)")</f>
        <v>213</v>
      </c>
      <c r="D71" s="8" t="n">
        <f aca="false">SUMIFS('Source 2026'!$H:$H,'Source 2026'!$B:$B,$A71,'Source 2026'!$A:$A,"Quantity (units)")</f>
        <v>128</v>
      </c>
      <c r="E71" s="8" t="n">
        <f aca="false">D71*$J$5</f>
        <v>175.542857142857</v>
      </c>
      <c r="F71" s="8" t="n">
        <f aca="false">E71-C71</f>
        <v>-37.4571428571429</v>
      </c>
      <c r="G71" s="9" t="n">
        <f aca="false">IF(AND(C71=0,E71=0),0,IF(C71=0,"New",(E71-C71)/C71))</f>
        <v>-0.175855130784708</v>
      </c>
      <c r="H71" s="8" t="n">
        <f aca="false">SUMIFS('Source 2025'!$H:$H,'Source 2025'!$B:$B,$A71,'Source 2025'!$A:$A,"Amount (NIS)")</f>
        <v>34398.3</v>
      </c>
      <c r="I71" s="8" t="n">
        <f aca="false">SUMIFS('Source 2026'!$H:$H,'Source 2026'!$B:$B,$A71,'Source 2026'!$A:$A,"Amount (NIS)")</f>
        <v>20666.2</v>
      </c>
      <c r="J71" s="8" t="n">
        <f aca="false">I71*$J$5</f>
        <v>28342.2171428571</v>
      </c>
      <c r="K71" s="8" t="n">
        <f aca="false">J71-H71</f>
        <v>-6056.08285714286</v>
      </c>
      <c r="L71" s="9" t="n">
        <f aca="false">IF(AND(H71=0,J71=0),0,IF(H71=0,"New",(J71-H71)/H71))</f>
        <v>-0.176057620787738</v>
      </c>
    </row>
    <row r="72" customFormat="false" ht="15" hidden="false" customHeight="false" outlineLevel="0" collapsed="false">
      <c r="A72" s="7" t="n">
        <v>4413042</v>
      </c>
      <c r="B72" s="7" t="str">
        <f aca="false">IFERROR(INDEX('Source 2026'!$C:$C,MATCH($A72,'Source 2026'!$B:$B,0)),IFERROR(INDEX('Source 2025'!$C:$C,MATCH($A72,'Source 2025'!$B:$B,0)),""))</f>
        <v>34  S מגן קרסול עקב סגור</v>
      </c>
      <c r="C72" s="8" t="n">
        <f aca="false">SUMIFS('Source 2025'!$H:$H,'Source 2025'!$B:$B,$A72,'Source 2025'!$A:$A,"Quantity (units)")</f>
        <v>1192</v>
      </c>
      <c r="D72" s="8" t="n">
        <f aca="false">SUMIFS('Source 2026'!$H:$H,'Source 2026'!$B:$B,$A72,'Source 2026'!$A:$A,"Quantity (units)")</f>
        <v>821</v>
      </c>
      <c r="E72" s="8" t="n">
        <f aca="false">D72*$J$5</f>
        <v>1125.94285714286</v>
      </c>
      <c r="F72" s="8" t="n">
        <f aca="false">E72-C72</f>
        <v>-66.0571428571429</v>
      </c>
      <c r="G72" s="9" t="n">
        <f aca="false">IF(AND(C72=0,E72=0),0,IF(C72=0,"New",(E72-C72)/C72))</f>
        <v>-0.0554170661553213</v>
      </c>
      <c r="H72" s="8" t="n">
        <f aca="false">SUMIFS('Source 2025'!$H:$H,'Source 2025'!$B:$B,$A72,'Source 2025'!$A:$A,"Amount (NIS)")</f>
        <v>44734.6</v>
      </c>
      <c r="I72" s="8" t="n">
        <f aca="false">SUMIFS('Source 2026'!$H:$H,'Source 2026'!$B:$B,$A72,'Source 2026'!$A:$A,"Amount (NIS)")</f>
        <v>31177</v>
      </c>
      <c r="J72" s="8" t="n">
        <f aca="false">I72*$J$5</f>
        <v>42757.0285714286</v>
      </c>
      <c r="K72" s="8" t="n">
        <f aca="false">J72-H72</f>
        <v>-1977.57142857143</v>
      </c>
      <c r="L72" s="9" t="n">
        <f aca="false">IF(AND(H72=0,J72=0),0,IF(H72=0,"New",(J72-H72)/H72))</f>
        <v>-0.0442067533535882</v>
      </c>
    </row>
    <row r="73" customFormat="false" ht="15" hidden="false" customHeight="false" outlineLevel="0" collapsed="false">
      <c r="A73" s="7" t="n">
        <v>4415007</v>
      </c>
      <c r="B73" s="7" t="str">
        <f aca="false">IFERROR(INDEX('Source 2026'!$C:$C,MATCH($A73,'Source 2026'!$B:$B,0)),IFERROR(INDEX('Source 2025'!$C:$C,MATCH($A73,'Source 2025'!$B:$B,0)),""))</f>
        <v>28 S סד לאגודל לאחר שבר</v>
      </c>
      <c r="C73" s="8" t="n">
        <f aca="false">SUMIFS('Source 2025'!$H:$H,'Source 2025'!$B:$B,$A73,'Source 2025'!$A:$A,"Quantity (units)")</f>
        <v>601</v>
      </c>
      <c r="D73" s="8" t="n">
        <f aca="false">SUMIFS('Source 2026'!$H:$H,'Source 2026'!$B:$B,$A73,'Source 2026'!$A:$A,"Quantity (units)")</f>
        <v>441</v>
      </c>
      <c r="E73" s="8" t="n">
        <f aca="false">D73*$J$5</f>
        <v>604.8</v>
      </c>
      <c r="F73" s="8" t="n">
        <f aca="false">E73-C73</f>
        <v>3.79999999999995</v>
      </c>
      <c r="G73" s="9" t="n">
        <f aca="false">IF(AND(C73=0,E73=0),0,IF(C73=0,"New",(E73-C73)/C73))</f>
        <v>0.00632279534109809</v>
      </c>
      <c r="H73" s="8" t="n">
        <f aca="false">SUMIFS('Source 2025'!$H:$H,'Source 2025'!$B:$B,$A73,'Source 2025'!$A:$A,"Amount (NIS)")</f>
        <v>49181</v>
      </c>
      <c r="I73" s="8" t="n">
        <f aca="false">SUMIFS('Source 2026'!$H:$H,'Source 2026'!$B:$B,$A73,'Source 2026'!$A:$A,"Amount (NIS)")</f>
        <v>36046.1</v>
      </c>
      <c r="J73" s="8" t="n">
        <f aca="false">I73*$J$5</f>
        <v>49434.6514285714</v>
      </c>
      <c r="K73" s="8" t="n">
        <f aca="false">J73-H73</f>
        <v>253.651428571429</v>
      </c>
      <c r="L73" s="9" t="n">
        <f aca="false">IF(AND(H73=0,J73=0),0,IF(H73=0,"New",(J73-H73)/H73))</f>
        <v>0.00515750856166872</v>
      </c>
    </row>
    <row r="74" customFormat="false" ht="15" hidden="false" customHeight="false" outlineLevel="0" collapsed="false">
      <c r="A74" s="7" t="n">
        <v>4413048</v>
      </c>
      <c r="B74" s="7" t="str">
        <f aca="false">IFERROR(INDEX('Source 2026'!$C:$C,MATCH($A74,'Source 2026'!$B:$B,0)),IFERROR(INDEX('Source 2025'!$C:$C,MATCH($A74,'Source 2025'!$B:$B,0)),""))</f>
        <v>35 L מגן קרסול לבן</v>
      </c>
      <c r="C74" s="8" t="n">
        <f aca="false">SUMIFS('Source 2025'!$H:$H,'Source 2025'!$B:$B,$A74,'Source 2025'!$A:$A,"Quantity (units)")</f>
        <v>1656</v>
      </c>
      <c r="D74" s="8" t="n">
        <f aca="false">SUMIFS('Source 2026'!$H:$H,'Source 2026'!$B:$B,$A74,'Source 2026'!$A:$A,"Quantity (units)")</f>
        <v>1131</v>
      </c>
      <c r="E74" s="8" t="n">
        <f aca="false">D74*$J$5</f>
        <v>1551.08571428571</v>
      </c>
      <c r="F74" s="8" t="n">
        <f aca="false">E74-C74</f>
        <v>-104.914285714286</v>
      </c>
      <c r="G74" s="9" t="n">
        <f aca="false">IF(AND(C74=0,E74=0),0,IF(C74=0,"New",(E74-C74)/C74))</f>
        <v>-0.0633540372670807</v>
      </c>
      <c r="H74" s="8" t="n">
        <f aca="false">SUMIFS('Source 2025'!$H:$H,'Source 2025'!$B:$B,$A74,'Source 2025'!$A:$A,"Amount (NIS)")</f>
        <v>42561.6</v>
      </c>
      <c r="I74" s="8" t="n">
        <f aca="false">SUMIFS('Source 2026'!$H:$H,'Source 2026'!$B:$B,$A74,'Source 2026'!$A:$A,"Amount (NIS)")</f>
        <v>29543.5</v>
      </c>
      <c r="J74" s="8" t="n">
        <f aca="false">I74*$J$5</f>
        <v>40516.8</v>
      </c>
      <c r="K74" s="8" t="n">
        <f aca="false">J74-H74</f>
        <v>-2044.8</v>
      </c>
      <c r="L74" s="9" t="n">
        <f aca="false">IF(AND(H74=0,J74=0),0,IF(H74=0,"New",(J74-H74)/H74))</f>
        <v>-0.0480433066426073</v>
      </c>
    </row>
    <row r="75" customFormat="false" ht="15" hidden="false" customHeight="false" outlineLevel="0" collapsed="false">
      <c r="A75" s="7" t="n">
        <v>4413097</v>
      </c>
      <c r="B75" s="7" t="str">
        <f aca="false">IFERROR(INDEX('Source 2026'!$C:$C,MATCH($A75,'Source 2026'!$B:$B,0)),IFERROR(INDEX('Source 2025'!$C:$C,MATCH($A75,'Source 2025'!$B:$B,0)),""))</f>
        <v>45C S מגן ברך חום</v>
      </c>
      <c r="C75" s="8" t="n">
        <f aca="false">SUMIFS('Source 2025'!$H:$H,'Source 2025'!$B:$B,$A75,'Source 2025'!$A:$A,"Quantity (units)")</f>
        <v>1789</v>
      </c>
      <c r="D75" s="8" t="n">
        <f aca="false">SUMIFS('Source 2026'!$H:$H,'Source 2026'!$B:$B,$A75,'Source 2026'!$A:$A,"Quantity (units)")</f>
        <v>1276</v>
      </c>
      <c r="E75" s="8" t="n">
        <f aca="false">D75*$J$5</f>
        <v>1749.94285714286</v>
      </c>
      <c r="F75" s="8" t="n">
        <f aca="false">E75-C75</f>
        <v>-39.0571428571429</v>
      </c>
      <c r="G75" s="9" t="n">
        <f aca="false">IF(AND(C75=0,E75=0),0,IF(C75=0,"New",(E75-C75)/C75))</f>
        <v>-0.0218318294338418</v>
      </c>
      <c r="H75" s="8" t="n">
        <f aca="false">SUMIFS('Source 2025'!$H:$H,'Source 2025'!$B:$B,$A75,'Source 2025'!$A:$A,"Amount (NIS)")</f>
        <v>46049.9</v>
      </c>
      <c r="I75" s="8" t="n">
        <f aca="false">SUMIFS('Source 2026'!$H:$H,'Source 2026'!$B:$B,$A75,'Source 2026'!$A:$A,"Amount (NIS)")</f>
        <v>33245.9</v>
      </c>
      <c r="J75" s="8" t="n">
        <f aca="false">I75*$J$5</f>
        <v>45594.3771428571</v>
      </c>
      <c r="K75" s="8" t="n">
        <f aca="false">J75-H75</f>
        <v>-455.52285714286</v>
      </c>
      <c r="L75" s="9" t="n">
        <f aca="false">IF(AND(H75=0,J75=0),0,IF(H75=0,"New",(J75-H75)/H75))</f>
        <v>-0.00989194020275527</v>
      </c>
    </row>
    <row r="76" customFormat="false" ht="15" hidden="false" customHeight="false" outlineLevel="0" collapsed="false">
      <c r="A76" s="7" t="n">
        <v>4413135</v>
      </c>
      <c r="B76" s="7" t="str">
        <f aca="false">IFERROR(INDEX('Source 2026'!$C:$C,MATCH($A76,'Source 2026'!$B:$B,0)),IFERROR(INDEX('Source 2025'!$C:$C,MATCH($A76,'Source 2025'!$B:$B,0)),""))</f>
        <v>85 L (מתלה ליד )כיס</v>
      </c>
      <c r="C76" s="8" t="n">
        <f aca="false">SUMIFS('Source 2025'!$H:$H,'Source 2025'!$B:$B,$A76,'Source 2025'!$A:$A,"Quantity (units)")</f>
        <v>721</v>
      </c>
      <c r="D76" s="8" t="n">
        <f aca="false">SUMIFS('Source 2026'!$H:$H,'Source 2026'!$B:$B,$A76,'Source 2026'!$A:$A,"Quantity (units)")</f>
        <v>466</v>
      </c>
      <c r="E76" s="8" t="n">
        <f aca="false">D76*$J$5</f>
        <v>639.085714285714</v>
      </c>
      <c r="F76" s="8" t="n">
        <f aca="false">E76-C76</f>
        <v>-81.9142857142857</v>
      </c>
      <c r="G76" s="9" t="n">
        <f aca="false">IF(AND(C76=0,E76=0),0,IF(C76=0,"New",(E76-C76)/C76))</f>
        <v>-0.113612046760452</v>
      </c>
      <c r="H76" s="8" t="n">
        <f aca="false">SUMIFS('Source 2025'!$H:$H,'Source 2025'!$B:$B,$A76,'Source 2025'!$A:$A,"Amount (NIS)")</f>
        <v>35030.1</v>
      </c>
      <c r="I76" s="8" t="n">
        <f aca="false">SUMIFS('Source 2026'!$H:$H,'Source 2026'!$B:$B,$A76,'Source 2026'!$A:$A,"Amount (NIS)")</f>
        <v>22640.9</v>
      </c>
      <c r="J76" s="8" t="n">
        <f aca="false">I76*$J$5</f>
        <v>31050.3771428571</v>
      </c>
      <c r="K76" s="8" t="n">
        <f aca="false">J76-H76</f>
        <v>-3979.72285714285</v>
      </c>
      <c r="L76" s="9" t="n">
        <f aca="false">IF(AND(H76=0,J76=0),0,IF(H76=0,"New",(J76-H76)/H76))</f>
        <v>-0.113608663895988</v>
      </c>
    </row>
    <row r="77" customFormat="false" ht="15" hidden="false" customHeight="false" outlineLevel="0" collapsed="false">
      <c r="A77" s="7" t="n">
        <v>4415006</v>
      </c>
      <c r="B77" s="7" t="str">
        <f aca="false">IFERROR(INDEX('Source 2026'!$C:$C,MATCH($A77,'Source 2026'!$B:$B,0)),IFERROR(INDEX('Source 2025'!$C:$C,MATCH($A77,'Source 2025'!$B:$B,0)),""))</f>
        <v>28 M סד לאגודל לאחר שבר</v>
      </c>
      <c r="C77" s="8" t="n">
        <f aca="false">SUMIFS('Source 2025'!$H:$H,'Source 2025'!$B:$B,$A77,'Source 2025'!$A:$A,"Quantity (units)")</f>
        <v>621</v>
      </c>
      <c r="D77" s="8" t="n">
        <f aca="false">SUMIFS('Source 2026'!$H:$H,'Source 2026'!$B:$B,$A77,'Source 2026'!$A:$A,"Quantity (units)")</f>
        <v>471</v>
      </c>
      <c r="E77" s="8" t="n">
        <f aca="false">D77*$J$5</f>
        <v>645.942857142857</v>
      </c>
      <c r="F77" s="8" t="n">
        <f aca="false">E77-C77</f>
        <v>24.9428571428572</v>
      </c>
      <c r="G77" s="9" t="n">
        <f aca="false">IF(AND(C77=0,E77=0),0,IF(C77=0,"New",(E77-C77)/C77))</f>
        <v>0.0401656314699794</v>
      </c>
      <c r="H77" s="8" t="n">
        <f aca="false">SUMIFS('Source 2025'!$H:$H,'Source 2025'!$B:$B,$A77,'Source 2025'!$A:$A,"Amount (NIS)")</f>
        <v>50799.4</v>
      </c>
      <c r="I77" s="8" t="n">
        <f aca="false">SUMIFS('Source 2026'!$H:$H,'Source 2026'!$B:$B,$A77,'Source 2026'!$A:$A,"Amount (NIS)")</f>
        <v>38572.1</v>
      </c>
      <c r="J77" s="8" t="n">
        <f aca="false">I77*$J$5</f>
        <v>52898.88</v>
      </c>
      <c r="K77" s="8" t="n">
        <f aca="false">J77-H77</f>
        <v>2099.48</v>
      </c>
      <c r="L77" s="9" t="n">
        <f aca="false">IF(AND(H77=0,J77=0),0,IF(H77=0,"New",(J77-H77)/H77))</f>
        <v>0.0413288345925345</v>
      </c>
    </row>
    <row r="78" customFormat="false" ht="15" hidden="false" customHeight="false" outlineLevel="0" collapsed="false">
      <c r="A78" s="7" t="n">
        <v>4422032</v>
      </c>
      <c r="B78" s="7" t="str">
        <f aca="false">IFERROR(INDEX('Source 2026'!$C:$C,MATCH($A78,'Source 2026'!$B:$B,0)),IFERROR(INDEX('Source 2025'!$C:$C,MATCH($A78,'Source 2025'!$B:$B,0)),""))</f>
        <v>807B-Bתחבושת נצמדת שחור 20 מ""מ</v>
      </c>
      <c r="C78" s="8" t="n">
        <f aca="false">SUMIFS('Source 2025'!$H:$H,'Source 2025'!$B:$B,$A78,'Source 2025'!$A:$A,"Quantity (units)")</f>
        <v>1790</v>
      </c>
      <c r="D78" s="8" t="n">
        <f aca="false">SUMIFS('Source 2026'!$H:$H,'Source 2026'!$B:$B,$A78,'Source 2026'!$A:$A,"Quantity (units)")</f>
        <v>581</v>
      </c>
      <c r="E78" s="8" t="n">
        <f aca="false">D78*$J$5</f>
        <v>796.8</v>
      </c>
      <c r="F78" s="8" t="n">
        <f aca="false">E78-C78</f>
        <v>-993.2</v>
      </c>
      <c r="G78" s="9" t="n">
        <f aca="false">IF(AND(C78=0,E78=0),0,IF(C78=0,"New",(E78-C78)/C78))</f>
        <v>-0.554860335195531</v>
      </c>
      <c r="H78" s="8" t="n">
        <f aca="false">SUMIFS('Source 2025'!$H:$H,'Source 2025'!$B:$B,$A78,'Source 2025'!$A:$A,"Amount (NIS)")</f>
        <v>18164.7</v>
      </c>
      <c r="I78" s="8" t="n">
        <f aca="false">SUMIFS('Source 2026'!$H:$H,'Source 2026'!$B:$B,$A78,'Source 2026'!$A:$A,"Amount (NIS)")</f>
        <v>5953.1</v>
      </c>
      <c r="J78" s="8" t="n">
        <f aca="false">I78*$J$5</f>
        <v>8164.25142857143</v>
      </c>
      <c r="K78" s="8" t="n">
        <f aca="false">J78-H78</f>
        <v>-10000.4485714286</v>
      </c>
      <c r="L78" s="9" t="n">
        <f aca="false">IF(AND(H78=0,J78=0),0,IF(H78=0,"New",(J78-H78)/H78))</f>
        <v>-0.550543007670293</v>
      </c>
    </row>
    <row r="79" customFormat="false" ht="15" hidden="false" customHeight="false" outlineLevel="0" collapsed="false">
      <c r="A79" s="7" t="n">
        <v>4413394</v>
      </c>
      <c r="B79" s="7" t="str">
        <f aca="false">IFERROR(INDEX('Source 2026'!$C:$C,MATCH($A79,'Source 2026'!$B:$B,0)),IFERROR(INDEX('Source 2025'!$C:$C,MATCH($A79,'Source 2025'!$B:$B,0)),""))</f>
        <v>45EC S 'מגן ברך ארוך בז</v>
      </c>
      <c r="C79" s="8" t="n">
        <f aca="false">SUMIFS('Source 2025'!$H:$H,'Source 2025'!$B:$B,$A79,'Source 2025'!$A:$A,"Quantity (units)")</f>
        <v>1231</v>
      </c>
      <c r="D79" s="8" t="n">
        <f aca="false">SUMIFS('Source 2026'!$H:$H,'Source 2026'!$B:$B,$A79,'Source 2026'!$A:$A,"Quantity (units)")</f>
        <v>834</v>
      </c>
      <c r="E79" s="8" t="n">
        <f aca="false">D79*$J$5</f>
        <v>1143.77142857143</v>
      </c>
      <c r="F79" s="8" t="n">
        <f aca="false">E79-C79</f>
        <v>-87.2285714285715</v>
      </c>
      <c r="G79" s="9" t="n">
        <f aca="false">IF(AND(C79=0,E79=0),0,IF(C79=0,"New",(E79-C79)/C79))</f>
        <v>-0.0708599280492051</v>
      </c>
      <c r="H79" s="8" t="n">
        <f aca="false">SUMIFS('Source 2025'!$H:$H,'Source 2025'!$B:$B,$A79,'Source 2025'!$A:$A,"Amount (NIS)")</f>
        <v>38220.3</v>
      </c>
      <c r="I79" s="8" t="n">
        <f aca="false">SUMIFS('Source 2026'!$H:$H,'Source 2026'!$B:$B,$A79,'Source 2026'!$A:$A,"Amount (NIS)")</f>
        <v>26044.6</v>
      </c>
      <c r="J79" s="8" t="n">
        <f aca="false">I79*$J$5</f>
        <v>35718.3085714286</v>
      </c>
      <c r="K79" s="8" t="n">
        <f aca="false">J79-H79</f>
        <v>-2501.99142857143</v>
      </c>
      <c r="L79" s="9" t="n">
        <f aca="false">IF(AND(H79=0,J79=0),0,IF(H79=0,"New",(J79-H79)/H79))</f>
        <v>-0.0654623702213597</v>
      </c>
    </row>
    <row r="80" customFormat="false" ht="15" hidden="false" customHeight="false" outlineLevel="0" collapsed="false">
      <c r="A80" s="7" t="n">
        <v>4413092</v>
      </c>
      <c r="B80" s="7" t="str">
        <f aca="false">IFERROR(INDEX('Source 2026'!$C:$C,MATCH($A80,'Source 2026'!$B:$B,0)),IFERROR(INDEX('Source 2025'!$C:$C,MATCH($A80,'Source 2025'!$B:$B,0)),""))</f>
        <v>45 L מגן ברך לבן</v>
      </c>
      <c r="C80" s="8" t="n">
        <f aca="false">SUMIFS('Source 2025'!$H:$H,'Source 2025'!$B:$B,$A80,'Source 2025'!$A:$A,"Quantity (units)")</f>
        <v>1539</v>
      </c>
      <c r="D80" s="8" t="n">
        <f aca="false">SUMIFS('Source 2026'!$H:$H,'Source 2026'!$B:$B,$A80,'Source 2026'!$A:$A,"Quantity (units)")</f>
        <v>1052</v>
      </c>
      <c r="E80" s="8" t="n">
        <f aca="false">D80*$J$5</f>
        <v>1442.74285714286</v>
      </c>
      <c r="F80" s="8" t="n">
        <f aca="false">E80-C80</f>
        <v>-96.2571428571428</v>
      </c>
      <c r="G80" s="9" t="n">
        <f aca="false">IF(AND(C80=0,E80=0),0,IF(C80=0,"New",(E80-C80)/C80))</f>
        <v>-0.0625452520189362</v>
      </c>
      <c r="H80" s="8" t="n">
        <f aca="false">SUMIFS('Source 2025'!$H:$H,'Source 2025'!$B:$B,$A80,'Source 2025'!$A:$A,"Amount (NIS)")</f>
        <v>39564.5</v>
      </c>
      <c r="I80" s="8" t="n">
        <f aca="false">SUMIFS('Source 2026'!$H:$H,'Source 2026'!$B:$B,$A80,'Source 2026'!$A:$A,"Amount (NIS)")</f>
        <v>27429.9</v>
      </c>
      <c r="J80" s="8" t="n">
        <f aca="false">I80*$J$5</f>
        <v>37618.1485714286</v>
      </c>
      <c r="K80" s="8" t="n">
        <f aca="false">J80-H80</f>
        <v>-1946.35142857143</v>
      </c>
      <c r="L80" s="9" t="n">
        <f aca="false">IF(AND(H80=0,J80=0),0,IF(H80=0,"New",(J80-H80)/H80))</f>
        <v>-0.0491943896313975</v>
      </c>
    </row>
    <row r="81" customFormat="false" ht="15" hidden="false" customHeight="false" outlineLevel="0" collapsed="false">
      <c r="A81" s="7" t="n">
        <v>4422033</v>
      </c>
      <c r="B81" s="7" t="str">
        <f aca="false">IFERROR(INDEX('Source 2026'!$C:$C,MATCH($A81,'Source 2026'!$B:$B,0)),IFERROR(INDEX('Source 2025'!$C:$C,MATCH($A81,'Source 2025'!$B:$B,0)),""))</f>
        <v>807CB-BLתחבושת נצמדת כחול20מ""מ</v>
      </c>
      <c r="C81" s="8" t="n">
        <f aca="false">SUMIFS('Source 2025'!$H:$H,'Source 2025'!$B:$B,$A81,'Source 2025'!$A:$A,"Quantity (units)")</f>
        <v>1556</v>
      </c>
      <c r="D81" s="8" t="n">
        <f aca="false">SUMIFS('Source 2026'!$H:$H,'Source 2026'!$B:$B,$A81,'Source 2026'!$A:$A,"Quantity (units)")</f>
        <v>362</v>
      </c>
      <c r="E81" s="8" t="n">
        <f aca="false">D81*$J$5</f>
        <v>496.457142857143</v>
      </c>
      <c r="F81" s="8" t="n">
        <f aca="false">E81-C81</f>
        <v>-1059.54285714286</v>
      </c>
      <c r="G81" s="9" t="n">
        <f aca="false">IF(AND(C81=0,E81=0),0,IF(C81=0,"New",(E81-C81)/C81))</f>
        <v>-0.680940139551965</v>
      </c>
      <c r="H81" s="8" t="n">
        <f aca="false">SUMIFS('Source 2025'!$H:$H,'Source 2025'!$B:$B,$A81,'Source 2025'!$A:$A,"Amount (NIS)")</f>
        <v>15795.7</v>
      </c>
      <c r="I81" s="8" t="n">
        <f aca="false">SUMIFS('Source 2026'!$H:$H,'Source 2026'!$B:$B,$A81,'Source 2026'!$A:$A,"Amount (NIS)")</f>
        <v>3718.5</v>
      </c>
      <c r="J81" s="8" t="n">
        <f aca="false">I81*$J$5</f>
        <v>5099.65714285714</v>
      </c>
      <c r="K81" s="8" t="n">
        <f aca="false">J81-H81</f>
        <v>-10696.0428571429</v>
      </c>
      <c r="L81" s="9" t="n">
        <f aca="false">IF(AND(H81=0,J81=0),0,IF(H81=0,"New",(J81-H81)/H81))</f>
        <v>-0.677149025186782</v>
      </c>
    </row>
    <row r="82" customFormat="false" ht="15" hidden="false" customHeight="false" outlineLevel="0" collapsed="false">
      <c r="A82" s="7" t="n">
        <v>4408033</v>
      </c>
      <c r="B82" s="7" t="str">
        <f aca="false">IFERROR(INDEX('Source 2026'!$C:$C,MATCH($A82,'Source 2026'!$B:$B,0)),IFERROR(INDEX('Source 2025'!$C:$C,MATCH($A82,'Source 2025'!$B:$B,0)),""))</f>
        <v>11 M""חגורת בטן""אורירית</v>
      </c>
      <c r="C82" s="8" t="n">
        <f aca="false">SUMIFS('Source 2025'!$H:$H,'Source 2025'!$B:$B,$A82,'Source 2025'!$A:$A,"Quantity (units)")</f>
        <v>313</v>
      </c>
      <c r="D82" s="8" t="n">
        <f aca="false">SUMIFS('Source 2026'!$H:$H,'Source 2026'!$B:$B,$A82,'Source 2026'!$A:$A,"Quantity (units)")</f>
        <v>178</v>
      </c>
      <c r="E82" s="8" t="n">
        <f aca="false">D82*$J$5</f>
        <v>244.114285714286</v>
      </c>
      <c r="F82" s="8" t="n">
        <f aca="false">E82-C82</f>
        <v>-68.8857142857143</v>
      </c>
      <c r="G82" s="9" t="n">
        <f aca="false">IF(AND(C82=0,E82=0),0,IF(C82=0,"New",(E82-C82)/C82))</f>
        <v>-0.220082154267458</v>
      </c>
      <c r="H82" s="8" t="n">
        <f aca="false">SUMIFS('Source 2025'!$H:$H,'Source 2025'!$B:$B,$A82,'Source 2025'!$A:$A,"Amount (NIS)")</f>
        <v>28070.8</v>
      </c>
      <c r="I82" s="8" t="n">
        <f aca="false">SUMIFS('Source 2026'!$H:$H,'Source 2026'!$B:$B,$A82,'Source 2026'!$A:$A,"Amount (NIS)")</f>
        <v>16109.9</v>
      </c>
      <c r="J82" s="8" t="n">
        <f aca="false">I82*$J$5</f>
        <v>22093.5771428571</v>
      </c>
      <c r="K82" s="8" t="n">
        <f aca="false">J82-H82</f>
        <v>-5977.22285714286</v>
      </c>
      <c r="L82" s="9" t="n">
        <f aca="false">IF(AND(H82=0,J82=0),0,IF(H82=0,"New",(J82-H82)/H82))</f>
        <v>-0.212933826508074</v>
      </c>
    </row>
    <row r="83" customFormat="false" ht="15" hidden="false" customHeight="false" outlineLevel="0" collapsed="false">
      <c r="A83" s="7" t="n">
        <v>4409004</v>
      </c>
      <c r="B83" s="7" t="str">
        <f aca="false">IFERROR(INDEX('Source 2026'!$C:$C,MATCH($A83,'Source 2026'!$B:$B,0)),IFERROR(INDEX('Source 2025'!$C:$C,MATCH($A83,'Source 2025'!$B:$B,0)),""))</f>
        <v>FC335 טלק מעושר באלוורה</v>
      </c>
      <c r="C83" s="8" t="n">
        <f aca="false">SUMIFS('Source 2025'!$H:$H,'Source 2025'!$B:$B,$A83,'Source 2025'!$A:$A,"Quantity (units)")</f>
        <v>1282</v>
      </c>
      <c r="D83" s="8" t="n">
        <f aca="false">SUMIFS('Source 2026'!$H:$H,'Source 2026'!$B:$B,$A83,'Source 2026'!$A:$A,"Quantity (units)")</f>
        <v>562</v>
      </c>
      <c r="E83" s="8" t="n">
        <f aca="false">D83*$J$5</f>
        <v>770.742857142857</v>
      </c>
      <c r="F83" s="8" t="n">
        <f aca="false">E83-C83</f>
        <v>-511.257142857143</v>
      </c>
      <c r="G83" s="9" t="n">
        <f aca="false">IF(AND(C83=0,E83=0),0,IF(C83=0,"New",(E83-C83)/C83))</f>
        <v>-0.398796523289503</v>
      </c>
      <c r="H83" s="8" t="n">
        <f aca="false">SUMIFS('Source 2025'!$H:$H,'Source 2025'!$B:$B,$A83,'Source 2025'!$A:$A,"Amount (NIS)")</f>
        <v>20668.1</v>
      </c>
      <c r="I83" s="8" t="n">
        <f aca="false">SUMIFS('Source 2026'!$H:$H,'Source 2026'!$B:$B,$A83,'Source 2026'!$A:$A,"Amount (NIS)")</f>
        <v>9322</v>
      </c>
      <c r="J83" s="8" t="n">
        <f aca="false">I83*$J$5</f>
        <v>12784.4571428571</v>
      </c>
      <c r="K83" s="8" t="n">
        <f aca="false">J83-H83</f>
        <v>-7883.64285714286</v>
      </c>
      <c r="L83" s="9" t="n">
        <f aca="false">IF(AND(H83=0,J83=0),0,IF(H83=0,"New",(J83-H83)/H83))</f>
        <v>-0.381440135142701</v>
      </c>
    </row>
    <row r="84" customFormat="false" ht="15" hidden="false" customHeight="false" outlineLevel="0" collapsed="false">
      <c r="A84" s="7" t="n">
        <v>4413396</v>
      </c>
      <c r="B84" s="7" t="str">
        <f aca="false">IFERROR(INDEX('Source 2026'!$C:$C,MATCH($A84,'Source 2026'!$B:$B,0)),IFERROR(INDEX('Source 2025'!$C:$C,MATCH($A84,'Source 2025'!$B:$B,0)),""))</f>
        <v>45EC L 'מגן ברך ארוך בז</v>
      </c>
      <c r="C84" s="8" t="n">
        <f aca="false">SUMIFS('Source 2025'!$H:$H,'Source 2025'!$B:$B,$A84,'Source 2025'!$A:$A,"Quantity (units)")</f>
        <v>2670</v>
      </c>
      <c r="D84" s="8" t="n">
        <f aca="false">SUMIFS('Source 2026'!$H:$H,'Source 2026'!$B:$B,$A84,'Source 2026'!$A:$A,"Quantity (units)")</f>
        <v>2295</v>
      </c>
      <c r="E84" s="8" t="n">
        <f aca="false">D84*$J$5</f>
        <v>3147.42857142857</v>
      </c>
      <c r="F84" s="8" t="n">
        <f aca="false">E84-C84</f>
        <v>477.428571428572</v>
      </c>
      <c r="G84" s="9" t="n">
        <f aca="false">IF(AND(C84=0,E84=0),0,IF(C84=0,"New",(E84-C84)/C84))</f>
        <v>0.178812199036918</v>
      </c>
      <c r="H84" s="8" t="n">
        <f aca="false">SUMIFS('Source 2025'!$H:$H,'Source 2025'!$B:$B,$A84,'Source 2025'!$A:$A,"Amount (NIS)")</f>
        <v>82929.1</v>
      </c>
      <c r="I84" s="8" t="n">
        <f aca="false">SUMIFS('Source 2026'!$H:$H,'Source 2026'!$B:$B,$A84,'Source 2026'!$A:$A,"Amount (NIS)")</f>
        <v>71655.7</v>
      </c>
      <c r="J84" s="8" t="n">
        <f aca="false">I84*$J$5</f>
        <v>98270.6742857143</v>
      </c>
      <c r="K84" s="8" t="n">
        <f aca="false">J84-H84</f>
        <v>15341.5742857143</v>
      </c>
      <c r="L84" s="9" t="n">
        <f aca="false">IF(AND(H84=0,J84=0),0,IF(H84=0,"New",(J84-H84)/H84))</f>
        <v>0.184996271341595</v>
      </c>
    </row>
    <row r="85" customFormat="false" ht="15" hidden="false" customHeight="false" outlineLevel="0" collapsed="false">
      <c r="A85" s="7" t="n">
        <v>4413033</v>
      </c>
      <c r="B85" s="7" t="str">
        <f aca="false">IFERROR(INDEX('Source 2026'!$C:$C,MATCH($A85,'Source 2026'!$B:$B,0)),IFERROR(INDEX('Source 2025'!$C:$C,MATCH($A85,'Source 2025'!$B:$B,0)),""))</f>
        <v>311'מדב.ג'ל למניעת שפשוף 5 יח</v>
      </c>
      <c r="C85" s="8" t="n">
        <f aca="false">SUMIFS('Source 2025'!$H:$H,'Source 2025'!$B:$B,$A85,'Source 2025'!$A:$A,"Quantity (units)")</f>
        <v>4057</v>
      </c>
      <c r="D85" s="8" t="n">
        <f aca="false">SUMIFS('Source 2026'!$H:$H,'Source 2026'!$B:$B,$A85,'Source 2026'!$A:$A,"Quantity (units)")</f>
        <v>2921</v>
      </c>
      <c r="E85" s="8" t="n">
        <f aca="false">D85*$J$5</f>
        <v>4005.94285714286</v>
      </c>
      <c r="F85" s="8" t="n">
        <f aca="false">E85-C85</f>
        <v>-51.0571428571429</v>
      </c>
      <c r="G85" s="9" t="n">
        <f aca="false">IF(AND(C85=0,E85=0),0,IF(C85=0,"New",(E85-C85)/C85))</f>
        <v>-0.0125849501743019</v>
      </c>
      <c r="H85" s="8" t="n">
        <f aca="false">SUMIFS('Source 2025'!$H:$H,'Source 2025'!$B:$B,$A85,'Source 2025'!$A:$A,"Amount (NIS)")</f>
        <v>50190</v>
      </c>
      <c r="I85" s="8" t="n">
        <f aca="false">SUMIFS('Source 2026'!$H:$H,'Source 2026'!$B:$B,$A85,'Source 2026'!$A:$A,"Amount (NIS)")</f>
        <v>39494</v>
      </c>
      <c r="J85" s="8" t="n">
        <f aca="false">I85*$J$5</f>
        <v>54163.2</v>
      </c>
      <c r="K85" s="8" t="n">
        <f aca="false">J85-H85</f>
        <v>3973.2</v>
      </c>
      <c r="L85" s="9" t="n">
        <f aca="false">IF(AND(H85=0,J85=0),0,IF(H85=0,"New",(J85-H85)/H85))</f>
        <v>0.0791631799163179</v>
      </c>
    </row>
    <row r="86" customFormat="false" ht="15" hidden="false" customHeight="false" outlineLevel="0" collapsed="false">
      <c r="A86" s="7" t="n">
        <v>4416000</v>
      </c>
      <c r="B86" s="7" t="str">
        <f aca="false">IFERROR(INDEX('Source 2026'!$C:$C,MATCH($A86,'Source 2026'!$B:$B,0)),IFERROR(INDEX('Source 2025'!$C:$C,MATCH($A86,'Source 2025'!$B:$B,0)),""))</f>
        <v>307 L עקבים לדורבן-זוג כריות</v>
      </c>
      <c r="C86" s="8" t="n">
        <f aca="false">SUMIFS('Source 2025'!$H:$H,'Source 2025'!$B:$B,$A86,'Source 2025'!$A:$A,"Quantity (units)")</f>
        <v>423</v>
      </c>
      <c r="D86" s="8" t="n">
        <f aca="false">SUMIFS('Source 2026'!$H:$H,'Source 2026'!$B:$B,$A86,'Source 2026'!$A:$A,"Quantity (units)")</f>
        <v>301</v>
      </c>
      <c r="E86" s="8" t="n">
        <f aca="false">D86*$J$5</f>
        <v>412.8</v>
      </c>
      <c r="F86" s="8" t="n">
        <f aca="false">E86-C86</f>
        <v>-10.2</v>
      </c>
      <c r="G86" s="9" t="n">
        <f aca="false">IF(AND(C86=0,E86=0),0,IF(C86=0,"New",(E86-C86)/C86))</f>
        <v>-0.0241134751773049</v>
      </c>
      <c r="H86" s="8" t="n">
        <f aca="false">SUMIFS('Source 2025'!$H:$H,'Source 2025'!$B:$B,$A86,'Source 2025'!$A:$A,"Amount (NIS)")</f>
        <v>34315.1</v>
      </c>
      <c r="I86" s="8" t="n">
        <f aca="false">SUMIFS('Source 2026'!$H:$H,'Source 2026'!$B:$B,$A86,'Source 2026'!$A:$A,"Amount (NIS)")</f>
        <v>24292.6</v>
      </c>
      <c r="J86" s="8" t="n">
        <f aca="false">I86*$J$5</f>
        <v>33315.5657142857</v>
      </c>
      <c r="K86" s="8" t="n">
        <f aca="false">J86-H86</f>
        <v>-999.53428571429</v>
      </c>
      <c r="L86" s="9" t="n">
        <f aca="false">IF(AND(H86=0,J86=0),0,IF(H86=0,"New",(J86-H86)/H86))</f>
        <v>-0.0291281181087711</v>
      </c>
    </row>
    <row r="87" customFormat="false" ht="15" hidden="false" customHeight="false" outlineLevel="0" collapsed="false">
      <c r="A87" s="7" t="n">
        <v>4413364</v>
      </c>
      <c r="B87" s="7" t="str">
        <f aca="false">IFERROR(INDEX('Source 2026'!$C:$C,MATCH($A87,'Source 2026'!$B:$B,0)),IFERROR(INDEX('Source 2025'!$C:$C,MATCH($A87,'Source 2025'!$B:$B,0)),""))</f>
        <v>95C M 'מגן מרפק בז</v>
      </c>
      <c r="C87" s="8" t="n">
        <f aca="false">SUMIFS('Source 2025'!$H:$H,'Source 2025'!$B:$B,$A87,'Source 2025'!$A:$A,"Quantity (units)")</f>
        <v>1089</v>
      </c>
      <c r="D87" s="8" t="n">
        <f aca="false">SUMIFS('Source 2026'!$H:$H,'Source 2026'!$B:$B,$A87,'Source 2026'!$A:$A,"Quantity (units)")</f>
        <v>692</v>
      </c>
      <c r="E87" s="8" t="n">
        <f aca="false">D87*$J$5</f>
        <v>949.028571428572</v>
      </c>
      <c r="F87" s="8" t="n">
        <f aca="false">E87-C87</f>
        <v>-139.971428571429</v>
      </c>
      <c r="G87" s="9" t="n">
        <f aca="false">IF(AND(C87=0,E87=0),0,IF(C87=0,"New",(E87-C87)/C87))</f>
        <v>-0.128532073986619</v>
      </c>
      <c r="H87" s="8" t="n">
        <f aca="false">SUMIFS('Source 2025'!$H:$H,'Source 2025'!$B:$B,$A87,'Source 2025'!$A:$A,"Amount (NIS)")</f>
        <v>28021.7</v>
      </c>
      <c r="I87" s="8" t="n">
        <f aca="false">SUMIFS('Source 2026'!$H:$H,'Source 2026'!$B:$B,$A87,'Source 2026'!$A:$A,"Amount (NIS)")</f>
        <v>18040.3</v>
      </c>
      <c r="J87" s="8" t="n">
        <f aca="false">I87*$J$5</f>
        <v>24740.9828571429</v>
      </c>
      <c r="K87" s="8" t="n">
        <f aca="false">J87-H87</f>
        <v>-3280.71714285715</v>
      </c>
      <c r="L87" s="9" t="n">
        <f aca="false">IF(AND(H87=0,J87=0),0,IF(H87=0,"New",(J87-H87)/H87))</f>
        <v>-0.117077734143794</v>
      </c>
    </row>
    <row r="88" customFormat="false" ht="15" hidden="false" customHeight="false" outlineLevel="0" collapsed="false">
      <c r="A88" s="7" t="n">
        <v>4402007</v>
      </c>
      <c r="B88" s="7" t="str">
        <f aca="false">IFERROR(INDEX('Source 2026'!$C:$C,MATCH($A88,'Source 2026'!$B:$B,0)),IFERROR(INDEX('Source 2025'!$C:$C,MATCH($A88,'Source 2025'!$B:$B,0)),""))</f>
        <v>320 בליסטר פלסטר</v>
      </c>
      <c r="C88" s="8" t="n">
        <f aca="false">SUMIFS('Source 2025'!$H:$H,'Source 2025'!$B:$B,$A88,'Source 2025'!$A:$A,"Quantity (units)")</f>
        <v>1909</v>
      </c>
      <c r="D88" s="8" t="n">
        <f aca="false">SUMIFS('Source 2026'!$H:$H,'Source 2026'!$B:$B,$A88,'Source 2026'!$A:$A,"Quantity (units)")</f>
        <v>1338</v>
      </c>
      <c r="E88" s="8" t="n">
        <f aca="false">D88*$J$5</f>
        <v>1834.97142857143</v>
      </c>
      <c r="F88" s="8" t="n">
        <f aca="false">E88-C88</f>
        <v>-74.0285714285715</v>
      </c>
      <c r="G88" s="9" t="n">
        <f aca="false">IF(AND(C88=0,E88=0),0,IF(C88=0,"New",(E88-C88)/C88))</f>
        <v>-0.0387787173538876</v>
      </c>
      <c r="H88" s="8" t="n">
        <f aca="false">SUMIFS('Source 2025'!$H:$H,'Source 2025'!$B:$B,$A88,'Source 2025'!$A:$A,"Amount (NIS)")</f>
        <v>33927.9</v>
      </c>
      <c r="I88" s="8" t="n">
        <f aca="false">SUMIFS('Source 2026'!$H:$H,'Source 2026'!$B:$B,$A88,'Source 2026'!$A:$A,"Amount (NIS)")</f>
        <v>24012.8</v>
      </c>
      <c r="J88" s="8" t="n">
        <f aca="false">I88*$J$5</f>
        <v>32931.84</v>
      </c>
      <c r="K88" s="8" t="n">
        <f aca="false">J88-H88</f>
        <v>-996.060000000005</v>
      </c>
      <c r="L88" s="9" t="n">
        <f aca="false">IF(AND(H88=0,J88=0),0,IF(H88=0,"New",(J88-H88)/H88))</f>
        <v>-0.0293581388768537</v>
      </c>
    </row>
    <row r="89" customFormat="false" ht="15" hidden="false" customHeight="false" outlineLevel="0" collapsed="false">
      <c r="A89" s="7" t="n">
        <v>4413136</v>
      </c>
      <c r="B89" s="7" t="str">
        <f aca="false">IFERROR(INDEX('Source 2026'!$C:$C,MATCH($A89,'Source 2026'!$B:$B,0)),IFERROR(INDEX('Source 2025'!$C:$C,MATCH($A89,'Source 2025'!$B:$B,0)),""))</f>
        <v>85 M (מתלה ליד )כיס</v>
      </c>
      <c r="C89" s="8" t="n">
        <f aca="false">SUMIFS('Source 2025'!$H:$H,'Source 2025'!$B:$B,$A89,'Source 2025'!$A:$A,"Quantity (units)")</f>
        <v>650</v>
      </c>
      <c r="D89" s="8" t="n">
        <f aca="false">SUMIFS('Source 2026'!$H:$H,'Source 2026'!$B:$B,$A89,'Source 2026'!$A:$A,"Quantity (units)")</f>
        <v>446</v>
      </c>
      <c r="E89" s="8" t="n">
        <f aca="false">D89*$J$5</f>
        <v>611.657142857143</v>
      </c>
      <c r="F89" s="8" t="n">
        <f aca="false">E89-C89</f>
        <v>-38.3428571428572</v>
      </c>
      <c r="G89" s="9" t="n">
        <f aca="false">IF(AND(C89=0,E89=0),0,IF(C89=0,"New",(E89-C89)/C89))</f>
        <v>-0.058989010989011</v>
      </c>
      <c r="H89" s="8" t="n">
        <f aca="false">SUMIFS('Source 2025'!$H:$H,'Source 2025'!$B:$B,$A89,'Source 2025'!$A:$A,"Amount (NIS)")</f>
        <v>31572.4</v>
      </c>
      <c r="I89" s="8" t="n">
        <f aca="false">SUMIFS('Source 2026'!$H:$H,'Source 2026'!$B:$B,$A89,'Source 2026'!$A:$A,"Amount (NIS)")</f>
        <v>21661.6</v>
      </c>
      <c r="J89" s="8" t="n">
        <f aca="false">I89*$J$5</f>
        <v>29707.3371428571</v>
      </c>
      <c r="K89" s="8" t="n">
        <f aca="false">J89-H89</f>
        <v>-1865.06285714286</v>
      </c>
      <c r="L89" s="9" t="n">
        <f aca="false">IF(AND(H89=0,J89=0),0,IF(H89=0,"New",(J89-H89)/H89))</f>
        <v>-0.0590725715226863</v>
      </c>
    </row>
    <row r="90" customFormat="false" ht="15" hidden="false" customHeight="false" outlineLevel="0" collapsed="false">
      <c r="A90" s="7" t="n">
        <v>4411000</v>
      </c>
      <c r="B90" s="7" t="str">
        <f aca="false">IFERROR(INDEX('Source 2026'!$C:$C,MATCH($A90,'Source 2026'!$B:$B,0)),IFERROR(INDEX('Source 2025'!$C:$C,MATCH($A90,'Source 2025'!$B:$B,0)),""))</f>
        <v>כרית מטטרזלי סיליקון362</v>
      </c>
      <c r="C90" s="8" t="n">
        <f aca="false">SUMIFS('Source 2025'!$H:$H,'Source 2025'!$B:$B,$A90,'Source 2025'!$A:$A,"Quantity (units)")</f>
        <v>2204</v>
      </c>
      <c r="D90" s="8" t="n">
        <f aca="false">SUMIFS('Source 2026'!$H:$H,'Source 2026'!$B:$B,$A90,'Source 2026'!$A:$A,"Quantity (units)")</f>
        <v>1733</v>
      </c>
      <c r="E90" s="8" t="n">
        <f aca="false">D90*$J$5</f>
        <v>2376.68571428571</v>
      </c>
      <c r="F90" s="8" t="n">
        <f aca="false">E90-C90</f>
        <v>172.685714285714</v>
      </c>
      <c r="G90" s="9" t="n">
        <f aca="false">IF(AND(C90=0,E90=0),0,IF(C90=0,"New",(E90-C90)/C90))</f>
        <v>0.0783510500388903</v>
      </c>
      <c r="H90" s="8" t="n">
        <f aca="false">SUMIFS('Source 2025'!$H:$H,'Source 2025'!$B:$B,$A90,'Source 2025'!$A:$A,"Amount (NIS)")</f>
        <v>51118.9</v>
      </c>
      <c r="I90" s="8" t="n">
        <f aca="false">SUMIFS('Source 2026'!$H:$H,'Source 2026'!$B:$B,$A90,'Source 2026'!$A:$A,"Amount (NIS)")</f>
        <v>41228.4</v>
      </c>
      <c r="J90" s="8" t="n">
        <f aca="false">I90*$J$5</f>
        <v>56541.8057142857</v>
      </c>
      <c r="K90" s="8" t="n">
        <f aca="false">J90-H90</f>
        <v>5422.90571428571</v>
      </c>
      <c r="L90" s="9" t="n">
        <f aca="false">IF(AND(H90=0,J90=0),0,IF(H90=0,"New",(J90-H90)/H90))</f>
        <v>0.106084162888593</v>
      </c>
    </row>
    <row r="91" customFormat="false" ht="15" hidden="false" customHeight="false" outlineLevel="0" collapsed="false">
      <c r="A91" s="7" t="n">
        <v>4416001</v>
      </c>
      <c r="B91" s="7" t="str">
        <f aca="false">IFERROR(INDEX('Source 2026'!$C:$C,MATCH($A91,'Source 2026'!$B:$B,0)),IFERROR(INDEX('Source 2025'!$C:$C,MATCH($A91,'Source 2025'!$B:$B,0)),""))</f>
        <v>307 M עקבים לדורבן-זוג כריות</v>
      </c>
      <c r="C91" s="8" t="n">
        <f aca="false">SUMIFS('Source 2025'!$H:$H,'Source 2025'!$B:$B,$A91,'Source 2025'!$A:$A,"Quantity (units)")</f>
        <v>425</v>
      </c>
      <c r="D91" s="8" t="n">
        <f aca="false">SUMIFS('Source 2026'!$H:$H,'Source 2026'!$B:$B,$A91,'Source 2026'!$A:$A,"Quantity (units)")</f>
        <v>305</v>
      </c>
      <c r="E91" s="8" t="n">
        <f aca="false">D91*$J$5</f>
        <v>418.285714285714</v>
      </c>
      <c r="F91" s="8" t="n">
        <f aca="false">E91-C91</f>
        <v>-6.71428571428572</v>
      </c>
      <c r="G91" s="9" t="n">
        <f aca="false">IF(AND(C91=0,E91=0),0,IF(C91=0,"New",(E91-C91)/C91))</f>
        <v>-0.0157983193277311</v>
      </c>
      <c r="H91" s="8" t="n">
        <f aca="false">SUMIFS('Source 2025'!$H:$H,'Source 2025'!$B:$B,$A91,'Source 2025'!$A:$A,"Amount (NIS)")</f>
        <v>34410.1</v>
      </c>
      <c r="I91" s="8" t="n">
        <f aca="false">SUMIFS('Source 2026'!$H:$H,'Source 2026'!$B:$B,$A91,'Source 2026'!$A:$A,"Amount (NIS)")</f>
        <v>24529.5</v>
      </c>
      <c r="J91" s="8" t="n">
        <f aca="false">I91*$J$5</f>
        <v>33640.4571428571</v>
      </c>
      <c r="K91" s="8" t="n">
        <f aca="false">J91-H91</f>
        <v>-769.642857142855</v>
      </c>
      <c r="L91" s="9" t="n">
        <f aca="false">IF(AND(H91=0,J91=0),0,IF(H91=0,"New",(J91-H91)/H91))</f>
        <v>-0.0223667718821757</v>
      </c>
    </row>
    <row r="92" customFormat="false" ht="15" hidden="false" customHeight="false" outlineLevel="0" collapsed="false">
      <c r="A92" s="7" t="n">
        <v>4422025</v>
      </c>
      <c r="B92" s="7" t="str">
        <f aca="false">IFERROR(INDEX('Source 2026'!$C:$C,MATCH($A92,'Source 2026'!$B:$B,0)),IFERROR(INDEX('Source 2025'!$C:$C,MATCH($A92,'Source 2025'!$B:$B,0)),""))</f>
        <v>806CB-GREEN      תחבושת א.נצמ</v>
      </c>
      <c r="C92" s="8" t="n">
        <f aca="false">SUMIFS('Source 2025'!$H:$H,'Source 2025'!$B:$B,$A92,'Source 2025'!$A:$A,"Quantity (units)")</f>
        <v>1749</v>
      </c>
      <c r="D92" s="8" t="n">
        <f aca="false">SUMIFS('Source 2026'!$H:$H,'Source 2026'!$B:$B,$A92,'Source 2026'!$A:$A,"Quantity (units)")</f>
        <v>820</v>
      </c>
      <c r="E92" s="8" t="n">
        <f aca="false">D92*$J$5</f>
        <v>1124.57142857143</v>
      </c>
      <c r="F92" s="8" t="n">
        <f aca="false">E92-C92</f>
        <v>-624.428571428571</v>
      </c>
      <c r="G92" s="9" t="n">
        <f aca="false">IF(AND(C92=0,E92=0),0,IF(C92=0,"New",(E92-C92)/C92))</f>
        <v>-0.357020338152414</v>
      </c>
      <c r="H92" s="8" t="n">
        <f aca="false">SUMIFS('Source 2025'!$H:$H,'Source 2025'!$B:$B,$A92,'Source 2025'!$A:$A,"Amount (NIS)")</f>
        <v>17832.6</v>
      </c>
      <c r="I92" s="8" t="n">
        <f aca="false">SUMIFS('Source 2026'!$H:$H,'Source 2026'!$B:$B,$A92,'Source 2026'!$A:$A,"Amount (NIS)")</f>
        <v>8468.2</v>
      </c>
      <c r="J92" s="8" t="n">
        <f aca="false">I92*$J$5</f>
        <v>11613.5314285714</v>
      </c>
      <c r="K92" s="8" t="n">
        <f aca="false">J92-H92</f>
        <v>-6219.06857142857</v>
      </c>
      <c r="L92" s="9" t="n">
        <f aca="false">IF(AND(H92=0,J92=0),0,IF(H92=0,"New",(J92-H92)/H92))</f>
        <v>-0.348747158094084</v>
      </c>
    </row>
    <row r="93" customFormat="false" ht="15" hidden="false" customHeight="false" outlineLevel="0" collapsed="false">
      <c r="A93" s="7" t="n">
        <v>4422024</v>
      </c>
      <c r="B93" s="7" t="str">
        <f aca="false">IFERROR(INDEX('Source 2026'!$C:$C,MATCH($A93,'Source 2026'!$B:$B,0)),IFERROR(INDEX('Source 2025'!$C:$C,MATCH($A93,'Source 2025'!$B:$B,0)),""))</f>
        <v>806CB-BLACK      תחבושת א.נצמ</v>
      </c>
      <c r="C93" s="8" t="n">
        <f aca="false">SUMIFS('Source 2025'!$H:$H,'Source 2025'!$B:$B,$A93,'Source 2025'!$A:$A,"Quantity (units)")</f>
        <v>2756</v>
      </c>
      <c r="D93" s="8" t="n">
        <f aca="false">SUMIFS('Source 2026'!$H:$H,'Source 2026'!$B:$B,$A93,'Source 2026'!$A:$A,"Quantity (units)")</f>
        <v>1822</v>
      </c>
      <c r="E93" s="8" t="n">
        <f aca="false">D93*$J$5</f>
        <v>2498.74285714286</v>
      </c>
      <c r="F93" s="8" t="n">
        <f aca="false">E93-C93</f>
        <v>-257.257142857143</v>
      </c>
      <c r="G93" s="9" t="n">
        <f aca="false">IF(AND(C93=0,E93=0),0,IF(C93=0,"New",(E93-C93)/C93))</f>
        <v>-0.093344391457599</v>
      </c>
      <c r="H93" s="8" t="n">
        <f aca="false">SUMIFS('Source 2025'!$H:$H,'Source 2025'!$B:$B,$A93,'Source 2025'!$A:$A,"Amount (NIS)")</f>
        <v>28005.4</v>
      </c>
      <c r="I93" s="8" t="n">
        <f aca="false">SUMIFS('Source 2026'!$H:$H,'Source 2026'!$B:$B,$A93,'Source 2026'!$A:$A,"Amount (NIS)")</f>
        <v>18650.2</v>
      </c>
      <c r="J93" s="8" t="n">
        <f aca="false">I93*$J$5</f>
        <v>25577.4171428571</v>
      </c>
      <c r="K93" s="8" t="n">
        <f aca="false">J93-H93</f>
        <v>-2427.98285714286</v>
      </c>
      <c r="L93" s="9" t="n">
        <f aca="false">IF(AND(H93=0,J93=0),0,IF(H93=0,"New",(J93-H93)/H93))</f>
        <v>-0.0866969533426717</v>
      </c>
    </row>
    <row r="94" customFormat="false" ht="15" hidden="false" customHeight="false" outlineLevel="0" collapsed="false">
      <c r="A94" s="7" t="n">
        <v>4413094</v>
      </c>
      <c r="B94" s="7" t="str">
        <f aca="false">IFERROR(INDEX('Source 2026'!$C:$C,MATCH($A94,'Source 2026'!$B:$B,0)),IFERROR(INDEX('Source 2025'!$C:$C,MATCH($A94,'Source 2025'!$B:$B,0)),""))</f>
        <v>45 S מגן ברך לבן</v>
      </c>
      <c r="C94" s="8" t="n">
        <f aca="false">SUMIFS('Source 2025'!$H:$H,'Source 2025'!$B:$B,$A94,'Source 2025'!$A:$A,"Quantity (units)")</f>
        <v>956</v>
      </c>
      <c r="D94" s="8" t="n">
        <f aca="false">SUMIFS('Source 2026'!$H:$H,'Source 2026'!$B:$B,$A94,'Source 2026'!$A:$A,"Quantity (units)")</f>
        <v>597</v>
      </c>
      <c r="E94" s="8" t="n">
        <f aca="false">D94*$J$5</f>
        <v>818.742857142857</v>
      </c>
      <c r="F94" s="8" t="n">
        <f aca="false">E94-C94</f>
        <v>-137.257142857143</v>
      </c>
      <c r="G94" s="9" t="n">
        <f aca="false">IF(AND(C94=0,E94=0),0,IF(C94=0,"New",(E94-C94)/C94))</f>
        <v>-0.143574417214585</v>
      </c>
      <c r="H94" s="8" t="n">
        <f aca="false">SUMIFS('Source 2025'!$H:$H,'Source 2025'!$B:$B,$A94,'Source 2025'!$A:$A,"Amount (NIS)")</f>
        <v>24598.1</v>
      </c>
      <c r="I94" s="8" t="n">
        <f aca="false">SUMIFS('Source 2026'!$H:$H,'Source 2026'!$B:$B,$A94,'Source 2026'!$A:$A,"Amount (NIS)")</f>
        <v>15500.5</v>
      </c>
      <c r="J94" s="8" t="n">
        <f aca="false">I94*$J$5</f>
        <v>21257.8285714286</v>
      </c>
      <c r="K94" s="8" t="n">
        <f aca="false">J94-H94</f>
        <v>-3340.27142857143</v>
      </c>
      <c r="L94" s="9" t="n">
        <f aca="false">IF(AND(H94=0,J94=0),0,IF(H94=0,"New",(J94-H94)/H94))</f>
        <v>-0.135793879550511</v>
      </c>
    </row>
    <row r="95" customFormat="false" ht="15" hidden="false" customHeight="false" outlineLevel="0" collapsed="false">
      <c r="A95" s="7" t="n">
        <v>4413095</v>
      </c>
      <c r="B95" s="7" t="str">
        <f aca="false">IFERROR(INDEX('Source 2026'!$C:$C,MATCH($A95,'Source 2026'!$B:$B,0)),IFERROR(INDEX('Source 2025'!$C:$C,MATCH($A95,'Source 2025'!$B:$B,0)),""))</f>
        <v>45 XL מגן ברך לבן</v>
      </c>
      <c r="C95" s="8" t="n">
        <f aca="false">SUMIFS('Source 2025'!$H:$H,'Source 2025'!$B:$B,$A95,'Source 2025'!$A:$A,"Quantity (units)")</f>
        <v>1001</v>
      </c>
      <c r="D95" s="8" t="n">
        <f aca="false">SUMIFS('Source 2026'!$H:$H,'Source 2026'!$B:$B,$A95,'Source 2026'!$A:$A,"Quantity (units)")</f>
        <v>647</v>
      </c>
      <c r="E95" s="8" t="n">
        <f aca="false">D95*$J$5</f>
        <v>887.314285714286</v>
      </c>
      <c r="F95" s="8" t="n">
        <f aca="false">E95-C95</f>
        <v>-113.685714285714</v>
      </c>
      <c r="G95" s="9" t="n">
        <f aca="false">IF(AND(C95=0,E95=0),0,IF(C95=0,"New",(E95-C95)/C95))</f>
        <v>-0.113572142143571</v>
      </c>
      <c r="H95" s="8" t="n">
        <f aca="false">SUMIFS('Source 2025'!$H:$H,'Source 2025'!$B:$B,$A95,'Source 2025'!$A:$A,"Amount (NIS)")</f>
        <v>25735.4</v>
      </c>
      <c r="I95" s="8" t="n">
        <f aca="false">SUMIFS('Source 2026'!$H:$H,'Source 2026'!$B:$B,$A95,'Source 2026'!$A:$A,"Amount (NIS)")</f>
        <v>16875.5</v>
      </c>
      <c r="J95" s="8" t="n">
        <f aca="false">I95*$J$5</f>
        <v>23143.5428571429</v>
      </c>
      <c r="K95" s="8" t="n">
        <f aca="false">J95-H95</f>
        <v>-2591.85714285715</v>
      </c>
      <c r="L95" s="9" t="n">
        <f aca="false">IF(AND(H95=0,J95=0),0,IF(H95=0,"New",(J95-H95)/H95))</f>
        <v>-0.100711748908396</v>
      </c>
    </row>
    <row r="96" customFormat="false" ht="15" hidden="false" customHeight="false" outlineLevel="0" collapsed="false">
      <c r="A96" s="7" t="n">
        <v>4413047</v>
      </c>
      <c r="B96" s="7" t="str">
        <f aca="false">IFERROR(INDEX('Source 2026'!$C:$C,MATCH($A96,'Source 2026'!$B:$B,0)),IFERROR(INDEX('Source 2025'!$C:$C,MATCH($A96,'Source 2025'!$B:$B,0)),""))</f>
        <v>35 S מגן קרסול לבן</v>
      </c>
      <c r="C96" s="8" t="n">
        <f aca="false">SUMIFS('Source 2025'!$H:$H,'Source 2025'!$B:$B,$A96,'Source 2025'!$A:$A,"Quantity (units)")</f>
        <v>1156</v>
      </c>
      <c r="D96" s="8" t="n">
        <f aca="false">SUMIFS('Source 2026'!$H:$H,'Source 2026'!$B:$B,$A96,'Source 2026'!$A:$A,"Quantity (units)")</f>
        <v>812</v>
      </c>
      <c r="E96" s="8" t="n">
        <f aca="false">D96*$J$5</f>
        <v>1113.6</v>
      </c>
      <c r="F96" s="8" t="n">
        <f aca="false">E96-C96</f>
        <v>-42.4000000000001</v>
      </c>
      <c r="G96" s="9" t="n">
        <f aca="false">IF(AND(C96=0,E96=0),0,IF(C96=0,"New",(E96-C96)/C96))</f>
        <v>-0.0366782006920416</v>
      </c>
      <c r="H96" s="8" t="n">
        <f aca="false">SUMIFS('Source 2025'!$H:$H,'Source 2025'!$B:$B,$A96,'Source 2025'!$A:$A,"Amount (NIS)")</f>
        <v>29720.7</v>
      </c>
      <c r="I96" s="8" t="n">
        <f aca="false">SUMIFS('Source 2026'!$H:$H,'Source 2026'!$B:$B,$A96,'Source 2026'!$A:$A,"Amount (NIS)")</f>
        <v>21127.4</v>
      </c>
      <c r="J96" s="8" t="n">
        <f aca="false">I96*$J$5</f>
        <v>28974.72</v>
      </c>
      <c r="K96" s="8" t="n">
        <f aca="false">J96-H96</f>
        <v>-745.98</v>
      </c>
      <c r="L96" s="9" t="n">
        <f aca="false">IF(AND(H96=0,J96=0),0,IF(H96=0,"New",(J96-H96)/H96))</f>
        <v>-0.0250996780022005</v>
      </c>
    </row>
    <row r="97" customFormat="false" ht="15" hidden="false" customHeight="false" outlineLevel="0" collapsed="false">
      <c r="A97" s="7" t="n">
        <v>4422034</v>
      </c>
      <c r="B97" s="7" t="str">
        <f aca="false">IFERROR(INDEX('Source 2026'!$C:$C,MATCH($A97,'Source 2026'!$B:$B,0)),IFERROR(INDEX('Source 2025'!$C:$C,MATCH($A97,'Source 2025'!$B:$B,0)),""))</f>
        <v>807CB-P תחבושת נצמדת ורוד 20ממ</v>
      </c>
      <c r="C97" s="8" t="n">
        <f aca="false">SUMIFS('Source 2025'!$H:$H,'Source 2025'!$B:$B,$A97,'Source 2025'!$A:$A,"Quantity (units)")</f>
        <v>1134</v>
      </c>
      <c r="D97" s="8" t="n">
        <f aca="false">SUMIFS('Source 2026'!$H:$H,'Source 2026'!$B:$B,$A97,'Source 2026'!$A:$A,"Quantity (units)")</f>
        <v>285</v>
      </c>
      <c r="E97" s="8" t="n">
        <f aca="false">D97*$J$5</f>
        <v>390.857142857143</v>
      </c>
      <c r="F97" s="8" t="n">
        <f aca="false">E97-C97</f>
        <v>-743.142857142857</v>
      </c>
      <c r="G97" s="9" t="n">
        <f aca="false">IF(AND(C97=0,E97=0),0,IF(C97=0,"New",(E97-C97)/C97))</f>
        <v>-0.655328798185941</v>
      </c>
      <c r="H97" s="8" t="n">
        <f aca="false">SUMIFS('Source 2025'!$H:$H,'Source 2025'!$B:$B,$A97,'Source 2025'!$A:$A,"Amount (NIS)")</f>
        <v>11512.2</v>
      </c>
      <c r="I97" s="8" t="n">
        <f aca="false">SUMIFS('Source 2026'!$H:$H,'Source 2026'!$B:$B,$A97,'Source 2026'!$A:$A,"Amount (NIS)")</f>
        <v>2937.8</v>
      </c>
      <c r="J97" s="8" t="n">
        <f aca="false">I97*$J$5</f>
        <v>4028.98285714286</v>
      </c>
      <c r="K97" s="8" t="n">
        <f aca="false">J97-H97</f>
        <v>-7483.21714285714</v>
      </c>
      <c r="L97" s="9" t="n">
        <f aca="false">IF(AND(H97=0,J97=0),0,IF(H97=0,"New",(J97-H97)/H97))</f>
        <v>-0.650024942483378</v>
      </c>
    </row>
    <row r="98" customFormat="false" ht="15" hidden="false" customHeight="false" outlineLevel="0" collapsed="false">
      <c r="A98" s="7" t="n">
        <v>4413050</v>
      </c>
      <c r="B98" s="7" t="str">
        <f aca="false">IFERROR(INDEX('Source 2026'!$C:$C,MATCH($A98,'Source 2026'!$B:$B,0)),IFERROR(INDEX('Source 2025'!$C:$C,MATCH($A98,'Source 2025'!$B:$B,0)),""))</f>
        <v>35 XL מגן קרסול לבן</v>
      </c>
      <c r="C98" s="8" t="n">
        <f aca="false">SUMIFS('Source 2025'!$H:$H,'Source 2025'!$B:$B,$A98,'Source 2025'!$A:$A,"Quantity (units)")</f>
        <v>1115</v>
      </c>
      <c r="D98" s="8" t="n">
        <f aca="false">SUMIFS('Source 2026'!$H:$H,'Source 2026'!$B:$B,$A98,'Source 2026'!$A:$A,"Quantity (units)")</f>
        <v>772</v>
      </c>
      <c r="E98" s="8" t="n">
        <f aca="false">D98*$J$5</f>
        <v>1058.74285714286</v>
      </c>
      <c r="F98" s="8" t="n">
        <f aca="false">E98-C98</f>
        <v>-56.2571428571428</v>
      </c>
      <c r="G98" s="9" t="n">
        <f aca="false">IF(AND(C98=0,E98=0),0,IF(C98=0,"New",(E98-C98)/C98))</f>
        <v>-0.0504548366431774</v>
      </c>
      <c r="H98" s="8" t="n">
        <f aca="false">SUMIFS('Source 2025'!$H:$H,'Source 2025'!$B:$B,$A98,'Source 2025'!$A:$A,"Amount (NIS)")</f>
        <v>28674.2</v>
      </c>
      <c r="I98" s="8" t="n">
        <f aca="false">SUMIFS('Source 2026'!$H:$H,'Source 2026'!$B:$B,$A98,'Source 2026'!$A:$A,"Amount (NIS)")</f>
        <v>20147.4</v>
      </c>
      <c r="J98" s="8" t="n">
        <f aca="false">I98*$J$5</f>
        <v>27630.72</v>
      </c>
      <c r="K98" s="8" t="n">
        <f aca="false">J98-H98</f>
        <v>-1043.48</v>
      </c>
      <c r="L98" s="9" t="n">
        <f aca="false">IF(AND(H98=0,J98=0),0,IF(H98=0,"New",(J98-H98)/H98))</f>
        <v>-0.036390901925773</v>
      </c>
    </row>
    <row r="99" customFormat="false" ht="15" hidden="false" customHeight="false" outlineLevel="0" collapsed="false">
      <c r="A99" s="7" t="n">
        <v>4421003</v>
      </c>
      <c r="B99" s="7" t="str">
        <f aca="false">IFERROR(INDEX('Source 2026'!$C:$C,MATCH($A99,'Source 2026'!$B:$B,0)),IFERROR(INDEX('Source 2025'!$C:$C,MATCH($A99,'Source 2025'!$B:$B,0)),""))</f>
        <v>3672 שרוול מגן לבוניון</v>
      </c>
      <c r="C99" s="8" t="n">
        <f aca="false">SUMIFS('Source 2025'!$H:$H,'Source 2025'!$B:$B,$A99,'Source 2025'!$A:$A,"Quantity (units)")</f>
        <v>968</v>
      </c>
      <c r="D99" s="8" t="n">
        <f aca="false">SUMIFS('Source 2026'!$H:$H,'Source 2026'!$B:$B,$A99,'Source 2026'!$A:$A,"Quantity (units)")</f>
        <v>654</v>
      </c>
      <c r="E99" s="8" t="n">
        <f aca="false">D99*$J$5</f>
        <v>896.914285714286</v>
      </c>
      <c r="F99" s="8" t="n">
        <f aca="false">E99-C99</f>
        <v>-71.0857142857143</v>
      </c>
      <c r="G99" s="9" t="n">
        <f aca="false">IF(AND(C99=0,E99=0),0,IF(C99=0,"New",(E99-C99)/C99))</f>
        <v>-0.0734356552538371</v>
      </c>
      <c r="H99" s="8" t="n">
        <f aca="false">SUMIFS('Source 2025'!$H:$H,'Source 2025'!$B:$B,$A99,'Source 2025'!$A:$A,"Amount (NIS)")</f>
        <v>27666.3</v>
      </c>
      <c r="I99" s="8" t="n">
        <f aca="false">SUMIFS('Source 2026'!$H:$H,'Source 2026'!$B:$B,$A99,'Source 2026'!$A:$A,"Amount (NIS)")</f>
        <v>19238.7</v>
      </c>
      <c r="J99" s="8" t="n">
        <f aca="false">I99*$J$5</f>
        <v>26384.5028571429</v>
      </c>
      <c r="K99" s="8" t="n">
        <f aca="false">J99-H99</f>
        <v>-1281.79714285714</v>
      </c>
      <c r="L99" s="9" t="n">
        <f aca="false">IF(AND(H99=0,J99=0),0,IF(H99=0,"New",(J99-H99)/H99))</f>
        <v>-0.0463306312321178</v>
      </c>
    </row>
    <row r="100" customFormat="false" ht="15" hidden="false" customHeight="false" outlineLevel="0" collapsed="false">
      <c r="A100" s="7" t="n">
        <v>4408218</v>
      </c>
      <c r="B100" s="7" t="str">
        <f aca="false">IFERROR(INDEX('Source 2026'!$C:$C,MATCH($A100,'Source 2026'!$B:$B,0)),IFERROR(INDEX('Source 2025'!$C:$C,MATCH($A100,'Source 2025'!$B:$B,0)),""))</f>
        <v>078XL חגורת גב +סגירה כפולה</v>
      </c>
      <c r="C100" s="8" t="n">
        <f aca="false">SUMIFS('Source 2025'!$H:$H,'Source 2025'!$B:$B,$A100,'Source 2025'!$A:$A,"Quantity (units)")</f>
        <v>132</v>
      </c>
      <c r="D100" s="8" t="n">
        <f aca="false">SUMIFS('Source 2026'!$H:$H,'Source 2026'!$B:$B,$A100,'Source 2026'!$A:$A,"Quantity (units)")</f>
        <v>42</v>
      </c>
      <c r="E100" s="8" t="n">
        <f aca="false">D100*$J$5</f>
        <v>57.6</v>
      </c>
      <c r="F100" s="8" t="n">
        <f aca="false">E100-C100</f>
        <v>-74.4</v>
      </c>
      <c r="G100" s="9" t="n">
        <f aca="false">IF(AND(C100=0,E100=0),0,IF(C100=0,"New",(E100-C100)/C100))</f>
        <v>-0.563636363636364</v>
      </c>
      <c r="H100" s="8" t="n">
        <f aca="false">SUMIFS('Source 2025'!$H:$H,'Source 2025'!$B:$B,$A100,'Source 2025'!$A:$A,"Amount (NIS)")</f>
        <v>12600.2</v>
      </c>
      <c r="I100" s="8" t="n">
        <f aca="false">SUMIFS('Source 2026'!$H:$H,'Source 2026'!$B:$B,$A100,'Source 2026'!$A:$A,"Amount (NIS)")</f>
        <v>4263.8</v>
      </c>
      <c r="J100" s="8" t="n">
        <f aca="false">I100*$J$5</f>
        <v>5847.49714285714</v>
      </c>
      <c r="K100" s="8" t="n">
        <f aca="false">J100-H100</f>
        <v>-6752.70285714286</v>
      </c>
      <c r="L100" s="9" t="n">
        <f aca="false">IF(AND(H100=0,J100=0),0,IF(H100=0,"New",(J100-H100)/H100))</f>
        <v>-0.535920291514647</v>
      </c>
    </row>
    <row r="101" customFormat="false" ht="15" hidden="false" customHeight="false" outlineLevel="0" collapsed="false">
      <c r="A101" s="7" t="n">
        <v>4408219</v>
      </c>
      <c r="B101" s="7" t="str">
        <f aca="false">IFERROR(INDEX('Source 2026'!$C:$C,MATCH($A101,'Source 2026'!$B:$B,0)),IFERROR(INDEX('Source 2025'!$C:$C,MATCH($A101,'Source 2025'!$B:$B,0)),""))</f>
        <v>078G-S חגורת גב אפורה</v>
      </c>
      <c r="C101" s="8" t="n">
        <f aca="false">SUMIFS('Source 2025'!$H:$H,'Source 2025'!$B:$B,$A101,'Source 2025'!$A:$A,"Quantity (units)")</f>
        <v>359</v>
      </c>
      <c r="D101" s="8" t="n">
        <f aca="false">SUMIFS('Source 2026'!$H:$H,'Source 2026'!$B:$B,$A101,'Source 2026'!$A:$A,"Quantity (units)")</f>
        <v>265</v>
      </c>
      <c r="E101" s="8" t="n">
        <f aca="false">D101*$J$5</f>
        <v>363.428571428571</v>
      </c>
      <c r="F101" s="8" t="n">
        <f aca="false">E101-C101</f>
        <v>4.42857142857145</v>
      </c>
      <c r="G101" s="9" t="n">
        <f aca="false">IF(AND(C101=0,E101=0),0,IF(C101=0,"New",(E101-C101)/C101))</f>
        <v>0.0123358535614803</v>
      </c>
      <c r="H101" s="8" t="n">
        <f aca="false">SUMIFS('Source 2025'!$H:$H,'Source 2025'!$B:$B,$A101,'Source 2025'!$A:$A,"Amount (NIS)")</f>
        <v>33059.8</v>
      </c>
      <c r="I101" s="8" t="n">
        <f aca="false">SUMIFS('Source 2026'!$H:$H,'Source 2026'!$B:$B,$A101,'Source 2026'!$A:$A,"Amount (NIS)")</f>
        <v>24810.8</v>
      </c>
      <c r="J101" s="8" t="n">
        <f aca="false">I101*$J$5</f>
        <v>34026.24</v>
      </c>
      <c r="K101" s="8" t="n">
        <f aca="false">J101-H101</f>
        <v>966.439999999995</v>
      </c>
      <c r="L101" s="9" t="n">
        <f aca="false">IF(AND(H101=0,J101=0),0,IF(H101=0,"New",(J101-H101)/H101))</f>
        <v>0.0292330867095383</v>
      </c>
    </row>
    <row r="102" customFormat="false" ht="15" hidden="false" customHeight="false" outlineLevel="0" collapsed="false">
      <c r="A102" s="7" t="n">
        <v>4422035</v>
      </c>
      <c r="B102" s="7" t="str">
        <f aca="false">IFERROR(INDEX('Source 2026'!$C:$C,MATCH($A102,'Source 2026'!$B:$B,0)),IFERROR(INDEX('Source 2025'!$C:$C,MATCH($A102,'Source 2025'!$B:$B,0)),""))</f>
        <v>FCתרסיס דאודורנט אנטיבק.נעל333</v>
      </c>
      <c r="C102" s="8" t="n">
        <f aca="false">SUMIFS('Source 2025'!$H:$H,'Source 2025'!$B:$B,$A102,'Source 2025'!$A:$A,"Quantity (units)")</f>
        <v>1663</v>
      </c>
      <c r="D102" s="8" t="n">
        <f aca="false">SUMIFS('Source 2026'!$H:$H,'Source 2026'!$B:$B,$A102,'Source 2026'!$A:$A,"Quantity (units)")</f>
        <v>1295</v>
      </c>
      <c r="E102" s="8" t="n">
        <f aca="false">D102*$J$5</f>
        <v>1776</v>
      </c>
      <c r="F102" s="8" t="n">
        <f aca="false">E102-C102</f>
        <v>113</v>
      </c>
      <c r="G102" s="9" t="n">
        <f aca="false">IF(AND(C102=0,E102=0),0,IF(C102=0,"New",(E102-C102)/C102))</f>
        <v>0.0679494888755262</v>
      </c>
      <c r="H102" s="8" t="n">
        <f aca="false">SUMIFS('Source 2025'!$H:$H,'Source 2025'!$B:$B,$A102,'Source 2025'!$A:$A,"Amount (NIS)")</f>
        <v>30574.4</v>
      </c>
      <c r="I102" s="8" t="n">
        <f aca="false">SUMIFS('Source 2026'!$H:$H,'Source 2026'!$B:$B,$A102,'Source 2026'!$A:$A,"Amount (NIS)")</f>
        <v>22421.6</v>
      </c>
      <c r="J102" s="8" t="n">
        <f aca="false">I102*$J$5</f>
        <v>30749.6228571429</v>
      </c>
      <c r="K102" s="8" t="n">
        <f aca="false">J102-H102</f>
        <v>175.222857142853</v>
      </c>
      <c r="L102" s="9" t="n">
        <f aca="false">IF(AND(H102=0,J102=0),0,IF(H102=0,"New",(J102-H102)/H102))</f>
        <v>0.0057310317501849</v>
      </c>
    </row>
    <row r="103" customFormat="false" ht="15" hidden="false" customHeight="false" outlineLevel="0" collapsed="false">
      <c r="A103" s="7" t="n">
        <v>4413157</v>
      </c>
      <c r="B103" s="7" t="str">
        <f aca="false">IFERROR(INDEX('Source 2026'!$C:$C,MATCH($A103,'Source 2026'!$B:$B,0)),IFERROR(INDEX('Source 2025'!$C:$C,MATCH($A103,'Source 2025'!$B:$B,0)),""))</f>
        <v>305GA מדרס אורטופ.מתכוון43-44</v>
      </c>
      <c r="C103" s="8" t="n">
        <f aca="false">SUMIFS('Source 2025'!$H:$H,'Source 2025'!$B:$B,$A103,'Source 2025'!$A:$A,"Quantity (units)")</f>
        <v>226</v>
      </c>
      <c r="D103" s="8" t="n">
        <f aca="false">SUMIFS('Source 2026'!$H:$H,'Source 2026'!$B:$B,$A103,'Source 2026'!$A:$A,"Quantity (units)")</f>
        <v>105</v>
      </c>
      <c r="E103" s="8" t="n">
        <f aca="false">D103*$J$5</f>
        <v>144</v>
      </c>
      <c r="F103" s="8" t="n">
        <f aca="false">E103-C103</f>
        <v>-82</v>
      </c>
      <c r="G103" s="9" t="n">
        <f aca="false">IF(AND(C103=0,E103=0),0,IF(C103=0,"New",(E103-C103)/C103))</f>
        <v>-0.36283185840708</v>
      </c>
      <c r="H103" s="8" t="n">
        <f aca="false">SUMIFS('Source 2025'!$H:$H,'Source 2025'!$B:$B,$A103,'Source 2025'!$A:$A,"Amount (NIS)")</f>
        <v>14677.4</v>
      </c>
      <c r="I103" s="8" t="n">
        <f aca="false">SUMIFS('Source 2026'!$H:$H,'Source 2026'!$B:$B,$A103,'Source 2026'!$A:$A,"Amount (NIS)")</f>
        <v>6806.8</v>
      </c>
      <c r="J103" s="8" t="n">
        <f aca="false">I103*$J$5</f>
        <v>9335.04</v>
      </c>
      <c r="K103" s="8" t="n">
        <f aca="false">J103-H103</f>
        <v>-5342.36</v>
      </c>
      <c r="L103" s="9" t="n">
        <f aca="false">IF(AND(H103=0,J103=0),0,IF(H103=0,"New",(J103-H103)/H103))</f>
        <v>-0.363985447013776</v>
      </c>
    </row>
    <row r="104" customFormat="false" ht="15" hidden="false" customHeight="false" outlineLevel="0" collapsed="false">
      <c r="A104" s="7" t="n">
        <v>4422040</v>
      </c>
      <c r="B104" s="7" t="str">
        <f aca="false">IFERROR(INDEX('Source 2026'!$C:$C,MATCH($A104,'Source 2026'!$B:$B,0)),IFERROR(INDEX('Source 2025'!$C:$C,MATCH($A104,'Source 2025'!$B:$B,0)),""))</f>
        <v>SH422 4 תומך ברך גנושילד</v>
      </c>
      <c r="C104" s="8" t="n">
        <f aca="false">SUMIFS('Source 2025'!$H:$H,'Source 2025'!$B:$B,$A104,'Source 2025'!$A:$A,"Quantity (units)")</f>
        <v>0</v>
      </c>
      <c r="D104" s="8" t="n">
        <f aca="false">SUMIFS('Source 2026'!$H:$H,'Source 2026'!$B:$B,$A104,'Source 2026'!$A:$A,"Quantity (units)")</f>
        <v>43</v>
      </c>
      <c r="E104" s="8" t="n">
        <f aca="false">D104*$J$5</f>
        <v>58.9714285714286</v>
      </c>
      <c r="F104" s="8" t="n">
        <f aca="false">E104-C104</f>
        <v>58.9714285714286</v>
      </c>
      <c r="G104" s="9" t="str">
        <f aca="false">IF(AND(C104=0,E104=0),0,IF(C104=0,"New",(E104-C104)/C104))</f>
        <v>New</v>
      </c>
      <c r="H104" s="8" t="n">
        <f aca="false">SUMIFS('Source 2025'!$H:$H,'Source 2025'!$B:$B,$A104,'Source 2025'!$A:$A,"Amount (NIS)")</f>
        <v>0</v>
      </c>
      <c r="I104" s="8" t="n">
        <f aca="false">SUMIFS('Source 2026'!$H:$H,'Source 2026'!$B:$B,$A104,'Source 2026'!$A:$A,"Amount (NIS)")</f>
        <v>7794.7</v>
      </c>
      <c r="J104" s="8" t="n">
        <f aca="false">I104*$J$5</f>
        <v>10689.8742857143</v>
      </c>
      <c r="K104" s="8" t="n">
        <f aca="false">J104-H104</f>
        <v>10689.8742857143</v>
      </c>
      <c r="L104" s="9" t="str">
        <f aca="false">IF(AND(H104=0,J104=0),0,IF(H104=0,"New",(J104-H104)/H104))</f>
        <v>New</v>
      </c>
    </row>
    <row r="105" customFormat="false" ht="15" hidden="false" customHeight="false" outlineLevel="0" collapsed="false">
      <c r="A105" s="7" t="n">
        <v>4401001</v>
      </c>
      <c r="B105" s="7" t="str">
        <f aca="false">IFERROR(INDEX('Source 2026'!$C:$C,MATCH($A105,'Source 2026'!$B:$B,0)),IFERROR(INDEX('Source 2025'!$C:$C,MATCH($A105,'Source 2025'!$B:$B,0)),""))</f>
        <v>369   XL אצבעון מסיליקון יחידה</v>
      </c>
      <c r="C105" s="8" t="n">
        <f aca="false">SUMIFS('Source 2025'!$H:$H,'Source 2025'!$B:$B,$A105,'Source 2025'!$A:$A,"Quantity (units)")</f>
        <v>1142</v>
      </c>
      <c r="D105" s="8" t="n">
        <f aca="false">SUMIFS('Source 2026'!$H:$H,'Source 2026'!$B:$B,$A105,'Source 2026'!$A:$A,"Quantity (units)")</f>
        <v>814</v>
      </c>
      <c r="E105" s="8" t="n">
        <f aca="false">D105*$J$5</f>
        <v>1116.34285714286</v>
      </c>
      <c r="F105" s="8" t="n">
        <f aca="false">E105-C105</f>
        <v>-25.6571428571428</v>
      </c>
      <c r="G105" s="9" t="n">
        <f aca="false">IF(AND(C105=0,E105=0),0,IF(C105=0,"New",(E105-C105)/C105))</f>
        <v>-0.0224668501376032</v>
      </c>
      <c r="H105" s="8" t="n">
        <f aca="false">SUMIFS('Source 2025'!$H:$H,'Source 2025'!$B:$B,$A105,'Source 2025'!$A:$A,"Amount (NIS)")</f>
        <v>25972.9</v>
      </c>
      <c r="I105" s="8" t="n">
        <f aca="false">SUMIFS('Source 2026'!$H:$H,'Source 2026'!$B:$B,$A105,'Source 2026'!$A:$A,"Amount (NIS)")</f>
        <v>18497.8</v>
      </c>
      <c r="J105" s="8" t="n">
        <f aca="false">I105*$J$5</f>
        <v>25368.4114285714</v>
      </c>
      <c r="K105" s="8" t="n">
        <f aca="false">J105-H105</f>
        <v>-604.488571428574</v>
      </c>
      <c r="L105" s="9" t="n">
        <f aca="false">IF(AND(H105=0,J105=0),0,IF(H105=0,"New",(J105-H105)/H105))</f>
        <v>-0.0232738189200503</v>
      </c>
    </row>
    <row r="106" customFormat="false" ht="15" hidden="false" customHeight="false" outlineLevel="0" collapsed="false">
      <c r="A106" s="7" t="n">
        <v>4413307</v>
      </c>
      <c r="B106" s="7" t="str">
        <f aca="false">IFERROR(INDEX('Source 2026'!$C:$C,MATCH($A106,'Source 2026'!$B:$B,0)),IFERROR(INDEX('Source 2025'!$C:$C,MATCH($A106,'Source 2025'!$B:$B,0)),""))</f>
        <v>URI 3667 מגן בוניון</v>
      </c>
      <c r="C106" s="8" t="n">
        <f aca="false">SUMIFS('Source 2025'!$H:$H,'Source 2025'!$B:$B,$A106,'Source 2025'!$A:$A,"Quantity (units)")</f>
        <v>962</v>
      </c>
      <c r="D106" s="8" t="n">
        <f aca="false">SUMIFS('Source 2026'!$H:$H,'Source 2026'!$B:$B,$A106,'Source 2026'!$A:$A,"Quantity (units)")</f>
        <v>677</v>
      </c>
      <c r="E106" s="8" t="n">
        <f aca="false">D106*$J$5</f>
        <v>928.457142857143</v>
      </c>
      <c r="F106" s="8" t="n">
        <f aca="false">E106-C106</f>
        <v>-33.5428571428571</v>
      </c>
      <c r="G106" s="9" t="n">
        <f aca="false">IF(AND(C106=0,E106=0),0,IF(C106=0,"New",(E106-C106)/C106))</f>
        <v>-0.0348678348678348</v>
      </c>
      <c r="H106" s="8" t="n">
        <f aca="false">SUMIFS('Source 2025'!$H:$H,'Source 2025'!$B:$B,$A106,'Source 2025'!$A:$A,"Amount (NIS)")</f>
        <v>25707.7</v>
      </c>
      <c r="I106" s="8" t="n">
        <f aca="false">SUMIFS('Source 2026'!$H:$H,'Source 2026'!$B:$B,$A106,'Source 2026'!$A:$A,"Amount (NIS)")</f>
        <v>18296.1</v>
      </c>
      <c r="J106" s="8" t="n">
        <f aca="false">I106*$J$5</f>
        <v>25091.7942857143</v>
      </c>
      <c r="K106" s="8" t="n">
        <f aca="false">J106-H106</f>
        <v>-615.905714285716</v>
      </c>
      <c r="L106" s="9" t="n">
        <f aca="false">IF(AND(H106=0,J106=0),0,IF(H106=0,"New",(J106-H106)/H106))</f>
        <v>-0.0239580248052419</v>
      </c>
    </row>
    <row r="107" customFormat="false" ht="15" hidden="false" customHeight="false" outlineLevel="0" collapsed="false">
      <c r="A107" s="7" t="n">
        <v>4408192</v>
      </c>
      <c r="B107" s="7" t="str">
        <f aca="false">IFERROR(INDEX('Source 2026'!$C:$C,MATCH($A107,'Source 2026'!$B:$B,0)),IFERROR(INDEX('Source 2025'!$C:$C,MATCH($A107,'Source 2025'!$B:$B,0)),""))</f>
        <v>078 L חגורת גב +סגירה</v>
      </c>
      <c r="C107" s="8" t="n">
        <f aca="false">SUMIFS('Source 2025'!$H:$H,'Source 2025'!$B:$B,$A107,'Source 2025'!$A:$A,"Quantity (units)")</f>
        <v>164</v>
      </c>
      <c r="D107" s="8" t="n">
        <f aca="false">SUMIFS('Source 2026'!$H:$H,'Source 2026'!$B:$B,$A107,'Source 2026'!$A:$A,"Quantity (units)")</f>
        <v>83</v>
      </c>
      <c r="E107" s="8" t="n">
        <f aca="false">D107*$J$5</f>
        <v>113.828571428571</v>
      </c>
      <c r="F107" s="8" t="n">
        <f aca="false">E107-C107</f>
        <v>-50.1714285714286</v>
      </c>
      <c r="G107" s="9" t="n">
        <f aca="false">IF(AND(C107=0,E107=0),0,IF(C107=0,"New",(E107-C107)/C107))</f>
        <v>-0.305923344947735</v>
      </c>
      <c r="H107" s="8" t="n">
        <f aca="false">SUMIFS('Source 2025'!$H:$H,'Source 2025'!$B:$B,$A107,'Source 2025'!$A:$A,"Amount (NIS)")</f>
        <v>15702.7</v>
      </c>
      <c r="I107" s="8" t="n">
        <f aca="false">SUMIFS('Source 2026'!$H:$H,'Source 2026'!$B:$B,$A107,'Source 2026'!$A:$A,"Amount (NIS)")</f>
        <v>8332.2</v>
      </c>
      <c r="J107" s="8" t="n">
        <f aca="false">I107*$J$5</f>
        <v>11427.0171428571</v>
      </c>
      <c r="K107" s="8" t="n">
        <f aca="false">J107-H107</f>
        <v>-4275.68285714286</v>
      </c>
      <c r="L107" s="9" t="n">
        <f aca="false">IF(AND(H107=0,J107=0),0,IF(H107=0,"New",(J107-H107)/H107))</f>
        <v>-0.272289660831759</v>
      </c>
    </row>
    <row r="108" customFormat="false" ht="15" hidden="false" customHeight="false" outlineLevel="0" collapsed="false">
      <c r="A108" s="7" t="n">
        <v>4413452</v>
      </c>
      <c r="B108" s="7" t="str">
        <f aca="false">IFERROR(INDEX('Source 2026'!$C:$C,MATCH($A108,'Source 2026'!$B:$B,0)),IFERROR(INDEX('Source 2025'!$C:$C,MATCH($A108,'Source 2025'!$B:$B,0)),""))</f>
        <v>386  מיישר בוניון-האלוקס ולגוס</v>
      </c>
      <c r="C108" s="8" t="n">
        <f aca="false">SUMIFS('Source 2025'!$H:$H,'Source 2025'!$B:$B,$A108,'Source 2025'!$A:$A,"Quantity (units)")</f>
        <v>830</v>
      </c>
      <c r="D108" s="8" t="n">
        <f aca="false">SUMIFS('Source 2026'!$H:$H,'Source 2026'!$B:$B,$A108,'Source 2026'!$A:$A,"Quantity (units)")</f>
        <v>661</v>
      </c>
      <c r="E108" s="8" t="n">
        <f aca="false">D108*$J$5</f>
        <v>906.514285714286</v>
      </c>
      <c r="F108" s="8" t="n">
        <f aca="false">E108-C108</f>
        <v>76.5142857142857</v>
      </c>
      <c r="G108" s="9" t="n">
        <f aca="false">IF(AND(C108=0,E108=0),0,IF(C108=0,"New",(E108-C108)/C108))</f>
        <v>0.0921858864027539</v>
      </c>
      <c r="H108" s="8" t="n">
        <f aca="false">SUMIFS('Source 2025'!$H:$H,'Source 2025'!$B:$B,$A108,'Source 2025'!$A:$A,"Amount (NIS)")</f>
        <v>33989.9</v>
      </c>
      <c r="I108" s="8" t="n">
        <f aca="false">SUMIFS('Source 2026'!$H:$H,'Source 2026'!$B:$B,$A108,'Source 2026'!$A:$A,"Amount (NIS)")</f>
        <v>26964.5</v>
      </c>
      <c r="J108" s="8" t="n">
        <f aca="false">I108*$J$5</f>
        <v>36979.8857142857</v>
      </c>
      <c r="K108" s="8" t="n">
        <f aca="false">J108-H108</f>
        <v>2989.98571428571</v>
      </c>
      <c r="L108" s="9" t="n">
        <f aca="false">IF(AND(H108=0,J108=0),0,IF(H108=0,"New",(J108-H108)/H108))</f>
        <v>0.0879668876426737</v>
      </c>
    </row>
    <row r="109" customFormat="false" ht="15" hidden="false" customHeight="false" outlineLevel="0" collapsed="false">
      <c r="A109" s="7" t="n">
        <v>4413127</v>
      </c>
      <c r="B109" s="7" t="str">
        <f aca="false">IFERROR(INDEX('Source 2026'!$C:$C,MATCH($A109,'Source 2026'!$B:$B,0)),IFERROR(INDEX('Source 2025'!$C:$C,MATCH($A109,'Source 2025'!$B:$B,0)),""))</f>
        <v>75 Lמיישר כתף יציב יישור גב צר</v>
      </c>
      <c r="C109" s="8" t="n">
        <f aca="false">SUMIFS('Source 2025'!$H:$H,'Source 2025'!$B:$B,$A109,'Source 2025'!$A:$A,"Quantity (units)")</f>
        <v>69</v>
      </c>
      <c r="D109" s="8" t="n">
        <f aca="false">SUMIFS('Source 2026'!$H:$H,'Source 2026'!$B:$B,$A109,'Source 2026'!$A:$A,"Quantity (units)")</f>
        <v>15</v>
      </c>
      <c r="E109" s="8" t="n">
        <f aca="false">D109*$J$5</f>
        <v>20.5714285714286</v>
      </c>
      <c r="F109" s="8" t="n">
        <f aca="false">E109-C109</f>
        <v>-48.4285714285714</v>
      </c>
      <c r="G109" s="9" t="n">
        <f aca="false">IF(AND(C109=0,E109=0),0,IF(C109=0,"New",(E109-C109)/C109))</f>
        <v>-0.701863354037267</v>
      </c>
      <c r="H109" s="8" t="n">
        <f aca="false">SUMIFS('Source 2025'!$H:$H,'Source 2025'!$B:$B,$A109,'Source 2025'!$A:$A,"Amount (NIS)")</f>
        <v>9083.1</v>
      </c>
      <c r="I109" s="8" t="n">
        <f aca="false">SUMIFS('Source 2026'!$H:$H,'Source 2026'!$B:$B,$A109,'Source 2026'!$A:$A,"Amount (NIS)")</f>
        <v>2067.3</v>
      </c>
      <c r="J109" s="8" t="n">
        <f aca="false">I109*$J$5</f>
        <v>2835.15428571429</v>
      </c>
      <c r="K109" s="8" t="n">
        <f aca="false">J109-H109</f>
        <v>-6247.94571428571</v>
      </c>
      <c r="L109" s="9" t="n">
        <f aca="false">IF(AND(H109=0,J109=0),0,IF(H109=0,"New",(J109-H109)/H109))</f>
        <v>-0.687864904524415</v>
      </c>
    </row>
    <row r="110" customFormat="false" ht="15" hidden="false" customHeight="false" outlineLevel="0" collapsed="false">
      <c r="A110" s="7" t="n">
        <v>4408054</v>
      </c>
      <c r="B110" s="7" t="str">
        <f aca="false">IFERROR(INDEX('Source 2026'!$C:$C,MATCH($A110,'Source 2026'!$B:$B,0)),IFERROR(INDEX('Source 2025'!$C:$C,MATCH($A110,'Source 2025'!$B:$B,0)),""))</f>
        <v>21 XL חבק יד ארוך</v>
      </c>
      <c r="C110" s="8" t="n">
        <f aca="false">SUMIFS('Source 2025'!$H:$H,'Source 2025'!$B:$B,$A110,'Source 2025'!$A:$A,"Quantity (units)")</f>
        <v>801</v>
      </c>
      <c r="D110" s="8" t="n">
        <f aca="false">SUMIFS('Source 2026'!$H:$H,'Source 2026'!$B:$B,$A110,'Source 2026'!$A:$A,"Quantity (units)")</f>
        <v>581</v>
      </c>
      <c r="E110" s="8" t="n">
        <f aca="false">D110*$J$5</f>
        <v>796.8</v>
      </c>
      <c r="F110" s="8" t="n">
        <f aca="false">E110-C110</f>
        <v>-4.20000000000005</v>
      </c>
      <c r="G110" s="9" t="n">
        <f aca="false">IF(AND(C110=0,E110=0),0,IF(C110=0,"New",(E110-C110)/C110))</f>
        <v>-0.00524344569288395</v>
      </c>
      <c r="H110" s="8" t="n">
        <f aca="false">SUMIFS('Source 2025'!$H:$H,'Source 2025'!$B:$B,$A110,'Source 2025'!$A:$A,"Amount (NIS)")</f>
        <v>26160</v>
      </c>
      <c r="I110" s="8" t="n">
        <f aca="false">SUMIFS('Source 2026'!$H:$H,'Source 2026'!$B:$B,$A110,'Source 2026'!$A:$A,"Amount (NIS)")</f>
        <v>19145</v>
      </c>
      <c r="J110" s="8" t="n">
        <f aca="false">I110*$J$5</f>
        <v>26256</v>
      </c>
      <c r="K110" s="8" t="n">
        <f aca="false">J110-H110</f>
        <v>96</v>
      </c>
      <c r="L110" s="9" t="n">
        <f aca="false">IF(AND(H110=0,J110=0),0,IF(H110=0,"New",(J110-H110)/H110))</f>
        <v>0.0036697247706422</v>
      </c>
    </row>
    <row r="111" customFormat="false" ht="15" hidden="false" customHeight="false" outlineLevel="0" collapsed="false">
      <c r="A111" s="7" t="n">
        <v>4413365</v>
      </c>
      <c r="B111" s="7" t="str">
        <f aca="false">IFERROR(INDEX('Source 2026'!$C:$C,MATCH($A111,'Source 2026'!$B:$B,0)),IFERROR(INDEX('Source 2025'!$C:$C,MATCH($A111,'Source 2025'!$B:$B,0)),""))</f>
        <v>95C L 'מגן מרפק בז</v>
      </c>
      <c r="C111" s="8" t="n">
        <f aca="false">SUMIFS('Source 2025'!$H:$H,'Source 2025'!$B:$B,$A111,'Source 2025'!$A:$A,"Quantity (units)")</f>
        <v>733</v>
      </c>
      <c r="D111" s="8" t="n">
        <f aca="false">SUMIFS('Source 2026'!$H:$H,'Source 2026'!$B:$B,$A111,'Source 2026'!$A:$A,"Quantity (units)")</f>
        <v>453</v>
      </c>
      <c r="E111" s="8" t="n">
        <f aca="false">D111*$J$5</f>
        <v>621.257142857143</v>
      </c>
      <c r="F111" s="8" t="n">
        <f aca="false">E111-C111</f>
        <v>-111.742857142857</v>
      </c>
      <c r="G111" s="9" t="n">
        <f aca="false">IF(AND(C111=0,E111=0),0,IF(C111=0,"New",(E111-C111)/C111))</f>
        <v>-0.152445916975248</v>
      </c>
      <c r="H111" s="8" t="n">
        <f aca="false">SUMIFS('Source 2025'!$H:$H,'Source 2025'!$B:$B,$A111,'Source 2025'!$A:$A,"Amount (NIS)")</f>
        <v>18857.2</v>
      </c>
      <c r="I111" s="8" t="n">
        <f aca="false">SUMIFS('Source 2026'!$H:$H,'Source 2026'!$B:$B,$A111,'Source 2026'!$A:$A,"Amount (NIS)")</f>
        <v>11864.8</v>
      </c>
      <c r="J111" s="8" t="n">
        <f aca="false">I111*$J$5</f>
        <v>16271.7257142857</v>
      </c>
      <c r="K111" s="8" t="n">
        <f aca="false">J111-H111</f>
        <v>-2585.47428571429</v>
      </c>
      <c r="L111" s="9" t="n">
        <f aca="false">IF(AND(H111=0,J111=0),0,IF(H111=0,"New",(J111-H111)/H111))</f>
        <v>-0.137108069369487</v>
      </c>
    </row>
    <row r="112" customFormat="false" ht="15" hidden="false" customHeight="false" outlineLevel="0" collapsed="false">
      <c r="A112" s="7" t="n">
        <v>4413101</v>
      </c>
      <c r="B112" s="7" t="str">
        <f aca="false">IFERROR(INDEX('Source 2026'!$C:$C,MATCH($A112,'Source 2026'!$B:$B,0)),IFERROR(INDEX('Source 2025'!$C:$C,MATCH($A112,'Source 2025'!$B:$B,0)),""))</f>
        <v>45E Sמגן ברך ארוך לבן</v>
      </c>
      <c r="C112" s="8" t="n">
        <f aca="false">SUMIFS('Source 2025'!$H:$H,'Source 2025'!$B:$B,$A112,'Source 2025'!$A:$A,"Quantity (units)")</f>
        <v>533</v>
      </c>
      <c r="D112" s="8" t="n">
        <f aca="false">SUMIFS('Source 2026'!$H:$H,'Source 2026'!$B:$B,$A112,'Source 2026'!$A:$A,"Quantity (units)")</f>
        <v>310</v>
      </c>
      <c r="E112" s="8" t="n">
        <f aca="false">D112*$J$5</f>
        <v>425.142857142857</v>
      </c>
      <c r="F112" s="8" t="n">
        <f aca="false">E112-C112</f>
        <v>-107.857142857143</v>
      </c>
      <c r="G112" s="9" t="n">
        <f aca="false">IF(AND(C112=0,E112=0),0,IF(C112=0,"New",(E112-C112)/C112))</f>
        <v>-0.202358616992763</v>
      </c>
      <c r="H112" s="8" t="n">
        <f aca="false">SUMIFS('Source 2025'!$H:$H,'Source 2025'!$B:$B,$A112,'Source 2025'!$A:$A,"Amount (NIS)")</f>
        <v>16595.5</v>
      </c>
      <c r="I112" s="8" t="n">
        <f aca="false">SUMIFS('Source 2026'!$H:$H,'Source 2026'!$B:$B,$A112,'Source 2026'!$A:$A,"Amount (NIS)")</f>
        <v>9660.6</v>
      </c>
      <c r="J112" s="8" t="n">
        <f aca="false">I112*$J$5</f>
        <v>13248.8228571429</v>
      </c>
      <c r="K112" s="8" t="n">
        <f aca="false">J112-H112</f>
        <v>-3346.67714285714</v>
      </c>
      <c r="L112" s="9" t="n">
        <f aca="false">IF(AND(H112=0,J112=0),0,IF(H112=0,"New",(J112-H112)/H112))</f>
        <v>-0.201661724133479</v>
      </c>
    </row>
    <row r="113" customFormat="false" ht="15" hidden="false" customHeight="false" outlineLevel="0" collapsed="false">
      <c r="A113" s="7" t="n">
        <v>4418001</v>
      </c>
      <c r="B113" s="7" t="str">
        <f aca="false">IFERROR(INDEX('Source 2026'!$C:$C,MATCH($A113,'Source 2026'!$B:$B,0)),IFERROR(INDEX('Source 2025'!$C:$C,MATCH($A113,'Source 2025'!$B:$B,0)),""))</f>
        <v>60 M צוארון ספוגי</v>
      </c>
      <c r="C113" s="8" t="n">
        <f aca="false">SUMIFS('Source 2025'!$H:$H,'Source 2025'!$B:$B,$A113,'Source 2025'!$A:$A,"Quantity (units)")</f>
        <v>635</v>
      </c>
      <c r="D113" s="8" t="n">
        <f aca="false">SUMIFS('Source 2026'!$H:$H,'Source 2026'!$B:$B,$A113,'Source 2026'!$A:$A,"Quantity (units)")</f>
        <v>408</v>
      </c>
      <c r="E113" s="8" t="n">
        <f aca="false">D113*$J$5</f>
        <v>559.542857142857</v>
      </c>
      <c r="F113" s="8" t="n">
        <f aca="false">E113-C113</f>
        <v>-75.4571428571428</v>
      </c>
      <c r="G113" s="9" t="n">
        <f aca="false">IF(AND(C113=0,E113=0),0,IF(C113=0,"New",(E113-C113)/C113))</f>
        <v>-0.118830146231721</v>
      </c>
      <c r="H113" s="8" t="n">
        <f aca="false">SUMIFS('Source 2025'!$H:$H,'Source 2025'!$B:$B,$A113,'Source 2025'!$A:$A,"Amount (NIS)")</f>
        <v>19003.5</v>
      </c>
      <c r="I113" s="8" t="n">
        <f aca="false">SUMIFS('Source 2026'!$H:$H,'Source 2026'!$B:$B,$A113,'Source 2026'!$A:$A,"Amount (NIS)")</f>
        <v>12526</v>
      </c>
      <c r="J113" s="8" t="n">
        <f aca="false">I113*$J$5</f>
        <v>17178.5142857143</v>
      </c>
      <c r="K113" s="8" t="n">
        <f aca="false">J113-H113</f>
        <v>-1824.98571428571</v>
      </c>
      <c r="L113" s="9" t="n">
        <f aca="false">IF(AND(H113=0,J113=0),0,IF(H113=0,"New",(J113-H113)/H113))</f>
        <v>-0.096034189190713</v>
      </c>
    </row>
    <row r="114" customFormat="false" ht="15" hidden="false" customHeight="false" outlineLevel="0" collapsed="false">
      <c r="A114" s="7" t="n">
        <v>4413366</v>
      </c>
      <c r="B114" s="7" t="str">
        <f aca="false">IFERROR(INDEX('Source 2026'!$C:$C,MATCH($A114,'Source 2026'!$B:$B,0)),IFERROR(INDEX('Source 2025'!$C:$C,MATCH($A114,'Source 2025'!$B:$B,0)),""))</f>
        <v>95C S 'מגן מרפק בז</v>
      </c>
      <c r="C114" s="8" t="n">
        <f aca="false">SUMIFS('Source 2025'!$H:$H,'Source 2025'!$B:$B,$A114,'Source 2025'!$A:$A,"Quantity (units)")</f>
        <v>833</v>
      </c>
      <c r="D114" s="8" t="n">
        <f aca="false">SUMIFS('Source 2026'!$H:$H,'Source 2026'!$B:$B,$A114,'Source 2026'!$A:$A,"Quantity (units)")</f>
        <v>583</v>
      </c>
      <c r="E114" s="8" t="n">
        <f aca="false">D114*$J$5</f>
        <v>799.542857142857</v>
      </c>
      <c r="F114" s="8" t="n">
        <f aca="false">E114-C114</f>
        <v>-33.4571428571428</v>
      </c>
      <c r="G114" s="9" t="n">
        <f aca="false">IF(AND(C114=0,E114=0),0,IF(C114=0,"New",(E114-C114)/C114))</f>
        <v>-0.0401646372834848</v>
      </c>
      <c r="H114" s="8" t="n">
        <f aca="false">SUMIFS('Source 2025'!$H:$H,'Source 2025'!$B:$B,$A114,'Source 2025'!$A:$A,"Amount (NIS)")</f>
        <v>21400.4</v>
      </c>
      <c r="I114" s="8" t="n">
        <f aca="false">SUMIFS('Source 2026'!$H:$H,'Source 2026'!$B:$B,$A114,'Source 2026'!$A:$A,"Amount (NIS)")</f>
        <v>15199.1</v>
      </c>
      <c r="J114" s="8" t="n">
        <f aca="false">I114*$J$5</f>
        <v>20844.48</v>
      </c>
      <c r="K114" s="8" t="n">
        <f aca="false">J114-H114</f>
        <v>-555.920000000002</v>
      </c>
      <c r="L114" s="9" t="n">
        <f aca="false">IF(AND(H114=0,J114=0),0,IF(H114=0,"New",(J114-H114)/H114))</f>
        <v>-0.025977084540476</v>
      </c>
    </row>
    <row r="115" customFormat="false" ht="15" hidden="false" customHeight="false" outlineLevel="0" collapsed="false">
      <c r="A115" s="7" t="n">
        <v>4413534</v>
      </c>
      <c r="B115" s="7" t="str">
        <f aca="false">IFERROR(INDEX('Source 2026'!$C:$C,MATCH($A115,'Source 2026'!$B:$B,0)),IFERROR(INDEX('Source 2025'!$C:$C,MATCH($A115,'Source 2025'!$B:$B,0)),""))</f>
        <v>SH333 מקבע קרסול</v>
      </c>
      <c r="C115" s="8" t="n">
        <f aca="false">SUMIFS('Source 2025'!$H:$H,'Source 2025'!$B:$B,$A115,'Source 2025'!$A:$A,"Quantity (units)")</f>
        <v>0</v>
      </c>
      <c r="D115" s="8" t="n">
        <f aca="false">SUMIFS('Source 2026'!$H:$H,'Source 2026'!$B:$B,$A115,'Source 2026'!$A:$A,"Quantity (units)")</f>
        <v>43</v>
      </c>
      <c r="E115" s="8" t="n">
        <f aca="false">D115*$J$5</f>
        <v>58.9714285714286</v>
      </c>
      <c r="F115" s="8" t="n">
        <f aca="false">E115-C115</f>
        <v>58.9714285714286</v>
      </c>
      <c r="G115" s="9" t="str">
        <f aca="false">IF(AND(C115=0,E115=0),0,IF(C115=0,"New",(E115-C115)/C115))</f>
        <v>New</v>
      </c>
      <c r="H115" s="8" t="n">
        <f aca="false">SUMIFS('Source 2025'!$H:$H,'Source 2025'!$B:$B,$A115,'Source 2025'!$A:$A,"Amount (NIS)")</f>
        <v>0</v>
      </c>
      <c r="I115" s="8" t="n">
        <f aca="false">SUMIFS('Source 2026'!$H:$H,'Source 2026'!$B:$B,$A115,'Source 2026'!$A:$A,"Amount (NIS)")</f>
        <v>6048</v>
      </c>
      <c r="J115" s="8" t="n">
        <f aca="false">I115*$J$5</f>
        <v>8294.4</v>
      </c>
      <c r="K115" s="8" t="n">
        <f aca="false">J115-H115</f>
        <v>8294.4</v>
      </c>
      <c r="L115" s="9" t="str">
        <f aca="false">IF(AND(H115=0,J115=0),0,IF(H115=0,"New",(J115-H115)/H115))</f>
        <v>New</v>
      </c>
    </row>
    <row r="116" customFormat="false" ht="15" hidden="false" customHeight="false" outlineLevel="0" collapsed="false">
      <c r="A116" s="7" t="n">
        <v>4401000</v>
      </c>
      <c r="B116" s="7" t="str">
        <f aca="false">IFERROR(INDEX('Source 2026'!$C:$C,MATCH($A116,'Source 2026'!$B:$B,0)),IFERROR(INDEX('Source 2025'!$C:$C,MATCH($A116,'Source 2025'!$B:$B,0)),""))</f>
        <v>369  S-L אצבעון מסיליקון יחידה</v>
      </c>
      <c r="C116" s="8" t="n">
        <f aca="false">SUMIFS('Source 2025'!$H:$H,'Source 2025'!$B:$B,$A116,'Source 2025'!$A:$A,"Quantity (units)")</f>
        <v>1030</v>
      </c>
      <c r="D116" s="8" t="n">
        <f aca="false">SUMIFS('Source 2026'!$H:$H,'Source 2026'!$B:$B,$A116,'Source 2026'!$A:$A,"Quantity (units)")</f>
        <v>746</v>
      </c>
      <c r="E116" s="8" t="n">
        <f aca="false">D116*$J$5</f>
        <v>1023.08571428571</v>
      </c>
      <c r="F116" s="8" t="n">
        <f aca="false">E116-C116</f>
        <v>-6.91428571428571</v>
      </c>
      <c r="G116" s="9" t="n">
        <f aca="false">IF(AND(C116=0,E116=0),0,IF(C116=0,"New",(E116-C116)/C116))</f>
        <v>-0.0067128987517337</v>
      </c>
      <c r="H116" s="8" t="n">
        <f aca="false">SUMIFS('Source 2025'!$H:$H,'Source 2025'!$B:$B,$A116,'Source 2025'!$A:$A,"Amount (NIS)")</f>
        <v>22376.6</v>
      </c>
      <c r="I116" s="8" t="n">
        <f aca="false">SUMIFS('Source 2026'!$H:$H,'Source 2026'!$B:$B,$A116,'Source 2026'!$A:$A,"Amount (NIS)")</f>
        <v>16445.7</v>
      </c>
      <c r="J116" s="8" t="n">
        <f aca="false">I116*$J$5</f>
        <v>22554.1028571429</v>
      </c>
      <c r="K116" s="8" t="n">
        <f aca="false">J116-H116</f>
        <v>177.502857142859</v>
      </c>
      <c r="L116" s="9" t="n">
        <f aca="false">IF(AND(H116=0,J116=0),0,IF(H116=0,"New",(J116-H116)/H116))</f>
        <v>0.0079325213456405</v>
      </c>
    </row>
    <row r="117" customFormat="false" ht="15" hidden="false" customHeight="false" outlineLevel="0" collapsed="false">
      <c r="A117" s="7" t="n">
        <v>4413398</v>
      </c>
      <c r="B117" s="7" t="str">
        <f aca="false">IFERROR(INDEX('Source 2026'!$C:$C,MATCH($A117,'Source 2026'!$B:$B,0)),IFERROR(INDEX('Source 2025'!$C:$C,MATCH($A117,'Source 2025'!$B:$B,0)),""))</f>
        <v>45EC XXL'מגן ברך ארוך בז</v>
      </c>
      <c r="C117" s="8" t="n">
        <f aca="false">SUMIFS('Source 2025'!$H:$H,'Source 2025'!$B:$B,$A117,'Source 2025'!$A:$A,"Quantity (units)")</f>
        <v>360</v>
      </c>
      <c r="D117" s="8" t="n">
        <f aca="false">SUMIFS('Source 2026'!$H:$H,'Source 2026'!$B:$B,$A117,'Source 2026'!$A:$A,"Quantity (units)")</f>
        <v>169</v>
      </c>
      <c r="E117" s="8" t="n">
        <f aca="false">D117*$J$5</f>
        <v>231.771428571429</v>
      </c>
      <c r="F117" s="8" t="n">
        <f aca="false">E117-C117</f>
        <v>-128.228571428571</v>
      </c>
      <c r="G117" s="9" t="n">
        <f aca="false">IF(AND(C117=0,E117=0),0,IF(C117=0,"New",(E117-C117)/C117))</f>
        <v>-0.356190476190476</v>
      </c>
      <c r="H117" s="8" t="n">
        <f aca="false">SUMIFS('Source 2025'!$H:$H,'Source 2025'!$B:$B,$A117,'Source 2025'!$A:$A,"Amount (NIS)")</f>
        <v>11165</v>
      </c>
      <c r="I117" s="8" t="n">
        <f aca="false">SUMIFS('Source 2026'!$H:$H,'Source 2026'!$B:$B,$A117,'Source 2026'!$A:$A,"Amount (NIS)")</f>
        <v>5272.3</v>
      </c>
      <c r="J117" s="8" t="n">
        <f aca="false">I117*$J$5</f>
        <v>7230.58285714286</v>
      </c>
      <c r="K117" s="8" t="n">
        <f aca="false">J117-H117</f>
        <v>-3934.41714285714</v>
      </c>
      <c r="L117" s="9" t="n">
        <f aca="false">IF(AND(H117=0,J117=0),0,IF(H117=0,"New",(J117-H117)/H117))</f>
        <v>-0.352388458831809</v>
      </c>
    </row>
    <row r="118" customFormat="false" ht="15" hidden="false" customHeight="false" outlineLevel="0" collapsed="false">
      <c r="A118" s="7" t="n">
        <v>4413137</v>
      </c>
      <c r="B118" s="7" t="str">
        <f aca="false">IFERROR(INDEX('Source 2026'!$C:$C,MATCH($A118,'Source 2026'!$B:$B,0)),IFERROR(INDEX('Source 2025'!$C:$C,MATCH($A118,'Source 2025'!$B:$B,0)),""))</f>
        <v>85 S (מתלה ליד )כיס</v>
      </c>
      <c r="C118" s="8" t="n">
        <f aca="false">SUMIFS('Source 2025'!$H:$H,'Source 2025'!$B:$B,$A118,'Source 2025'!$A:$A,"Quantity (units)")</f>
        <v>329</v>
      </c>
      <c r="D118" s="8" t="n">
        <f aca="false">SUMIFS('Source 2026'!$H:$H,'Source 2026'!$B:$B,$A118,'Source 2026'!$A:$A,"Quantity (units)")</f>
        <v>208</v>
      </c>
      <c r="E118" s="8" t="n">
        <f aca="false">D118*$J$5</f>
        <v>285.257142857143</v>
      </c>
      <c r="F118" s="8" t="n">
        <f aca="false">E118-C118</f>
        <v>-43.7428571428571</v>
      </c>
      <c r="G118" s="9" t="n">
        <f aca="false">IF(AND(C118=0,E118=0),0,IF(C118=0,"New",(E118-C118)/C118))</f>
        <v>-0.132957012592271</v>
      </c>
      <c r="H118" s="8" t="n">
        <f aca="false">SUMIFS('Source 2025'!$H:$H,'Source 2025'!$B:$B,$A118,'Source 2025'!$A:$A,"Amount (NIS)")</f>
        <v>16012.6</v>
      </c>
      <c r="I118" s="8" t="n">
        <f aca="false">SUMIFS('Source 2026'!$H:$H,'Source 2026'!$B:$B,$A118,'Source 2026'!$A:$A,"Amount (NIS)")</f>
        <v>10124.9</v>
      </c>
      <c r="J118" s="8" t="n">
        <f aca="false">I118*$J$5</f>
        <v>13885.5771428571</v>
      </c>
      <c r="K118" s="8" t="n">
        <f aca="false">J118-H118</f>
        <v>-2127.02285714286</v>
      </c>
      <c r="L118" s="9" t="n">
        <f aca="false">IF(AND(H118=0,J118=0),0,IF(H118=0,"New",(J118-H118)/H118))</f>
        <v>-0.132834321543213</v>
      </c>
    </row>
    <row r="119" customFormat="false" ht="15" hidden="false" customHeight="false" outlineLevel="0" collapsed="false">
      <c r="A119" s="7" t="n">
        <v>4415073</v>
      </c>
      <c r="B119" s="7" t="str">
        <f aca="false">IFERROR(INDEX('Source 2026'!$C:$C,MATCH($A119,'Source 2026'!$B:$B,0)),IFERROR(INDEX('Source 2025'!$C:$C,MATCH($A119,'Source 2025'!$B:$B,0)),""))</f>
        <v>T28A L-XL סד לאגודל</v>
      </c>
      <c r="C119" s="8" t="n">
        <f aca="false">SUMIFS('Source 2025'!$H:$H,'Source 2025'!$B:$B,$A119,'Source 2025'!$A:$A,"Quantity (units)")</f>
        <v>935</v>
      </c>
      <c r="D119" s="8" t="n">
        <f aca="false">SUMIFS('Source 2026'!$H:$H,'Source 2026'!$B:$B,$A119,'Source 2026'!$A:$A,"Quantity (units)")</f>
        <v>828</v>
      </c>
      <c r="E119" s="8" t="n">
        <f aca="false">D119*$J$5</f>
        <v>1135.54285714286</v>
      </c>
      <c r="F119" s="8" t="n">
        <f aca="false">E119-C119</f>
        <v>200.542857142857</v>
      </c>
      <c r="G119" s="9" t="n">
        <f aca="false">IF(AND(C119=0,E119=0),0,IF(C119=0,"New",(E119-C119)/C119))</f>
        <v>0.214484339190222</v>
      </c>
      <c r="H119" s="8" t="n">
        <f aca="false">SUMIFS('Source 2025'!$H:$H,'Source 2025'!$B:$B,$A119,'Source 2025'!$A:$A,"Amount (NIS)")</f>
        <v>54679.2</v>
      </c>
      <c r="I119" s="8" t="n">
        <f aca="false">SUMIFS('Source 2026'!$H:$H,'Source 2026'!$B:$B,$A119,'Source 2026'!$A:$A,"Amount (NIS)")</f>
        <v>48838.9</v>
      </c>
      <c r="J119" s="8" t="n">
        <f aca="false">I119*$J$5</f>
        <v>66979.0628571429</v>
      </c>
      <c r="K119" s="8" t="n">
        <f aca="false">J119-H119</f>
        <v>12299.8628571429</v>
      </c>
      <c r="L119" s="9" t="n">
        <f aca="false">IF(AND(H119=0,J119=0),0,IF(H119=0,"New",(J119-H119)/H119))</f>
        <v>0.224945918322559</v>
      </c>
    </row>
    <row r="120" customFormat="false" ht="15" hidden="false" customHeight="false" outlineLevel="0" collapsed="false">
      <c r="A120" s="7" t="n">
        <v>4408027</v>
      </c>
      <c r="B120" s="7" t="str">
        <f aca="false">IFERROR(INDEX('Source 2026'!$C:$C,MATCH($A120,'Source 2026'!$B:$B,0)),IFERROR(INDEX('Source 2025'!$C:$C,MATCH($A120,'Source 2025'!$B:$B,0)),""))</f>
        <v>10 L ""חגורת גב ""לומבו</v>
      </c>
      <c r="C120" s="8" t="n">
        <f aca="false">SUMIFS('Source 2025'!$H:$H,'Source 2025'!$B:$B,$A120,'Source 2025'!$A:$A,"Quantity (units)")</f>
        <v>58</v>
      </c>
      <c r="D120" s="8" t="n">
        <f aca="false">SUMIFS('Source 2026'!$H:$H,'Source 2026'!$B:$B,$A120,'Source 2026'!$A:$A,"Quantity (units)")</f>
        <v>14</v>
      </c>
      <c r="E120" s="8" t="n">
        <f aca="false">D120*$J$5</f>
        <v>19.2</v>
      </c>
      <c r="F120" s="8" t="n">
        <f aca="false">E120-C120</f>
        <v>-38.8</v>
      </c>
      <c r="G120" s="9" t="n">
        <f aca="false">IF(AND(C120=0,E120=0),0,IF(C120=0,"New",(E120-C120)/C120))</f>
        <v>-0.668965517241379</v>
      </c>
      <c r="H120" s="8" t="n">
        <f aca="false">SUMIFS('Source 2025'!$H:$H,'Source 2025'!$B:$B,$A120,'Source 2025'!$A:$A,"Amount (NIS)")</f>
        <v>7575.9</v>
      </c>
      <c r="I120" s="8" t="n">
        <f aca="false">SUMIFS('Source 2026'!$H:$H,'Source 2026'!$B:$B,$A120,'Source 2026'!$A:$A,"Amount (NIS)")</f>
        <v>1877.2</v>
      </c>
      <c r="J120" s="8" t="n">
        <f aca="false">I120*$J$5</f>
        <v>2574.44571428571</v>
      </c>
      <c r="K120" s="8" t="n">
        <f aca="false">J120-H120</f>
        <v>-5001.45428571429</v>
      </c>
      <c r="L120" s="9" t="n">
        <f aca="false">IF(AND(H120=0,J120=0),0,IF(H120=0,"New",(J120-H120)/H120))</f>
        <v>-0.660179554338664</v>
      </c>
    </row>
    <row r="121" customFormat="false" ht="15" hidden="false" customHeight="false" outlineLevel="0" collapsed="false">
      <c r="A121" s="7" t="n">
        <v>4408223</v>
      </c>
      <c r="B121" s="7" t="str">
        <f aca="false">IFERROR(INDEX('Source 2026'!$C:$C,MATCH($A121,'Source 2026'!$B:$B,0)),IFERROR(INDEX('Source 2025'!$C:$C,MATCH($A121,'Source 2025'!$B:$B,0)),""))</f>
        <v>078G-XXLחגורת גב אפורה</v>
      </c>
      <c r="C121" s="8" t="n">
        <f aca="false">SUMIFS('Source 2025'!$H:$H,'Source 2025'!$B:$B,$A121,'Source 2025'!$A:$A,"Quantity (units)")</f>
        <v>161</v>
      </c>
      <c r="D121" s="8" t="n">
        <f aca="false">SUMIFS('Source 2026'!$H:$H,'Source 2026'!$B:$B,$A121,'Source 2026'!$A:$A,"Quantity (units)")</f>
        <v>97</v>
      </c>
      <c r="E121" s="8" t="n">
        <f aca="false">D121*$J$5</f>
        <v>133.028571428571</v>
      </c>
      <c r="F121" s="8" t="n">
        <f aca="false">E121-C121</f>
        <v>-27.9714285714286</v>
      </c>
      <c r="G121" s="9" t="n">
        <f aca="false">IF(AND(C121=0,E121=0),0,IF(C121=0,"New",(E121-C121)/C121))</f>
        <v>-0.173735581188997</v>
      </c>
      <c r="H121" s="8" t="n">
        <f aca="false">SUMIFS('Source 2025'!$H:$H,'Source 2025'!$B:$B,$A121,'Source 2025'!$A:$A,"Amount (NIS)")</f>
        <v>14776.5</v>
      </c>
      <c r="I121" s="8" t="n">
        <f aca="false">SUMIFS('Source 2026'!$H:$H,'Source 2026'!$B:$B,$A121,'Source 2026'!$A:$A,"Amount (NIS)")</f>
        <v>9097.8</v>
      </c>
      <c r="J121" s="8" t="n">
        <f aca="false">I121*$J$5</f>
        <v>12476.9828571429</v>
      </c>
      <c r="K121" s="8" t="n">
        <f aca="false">J121-H121</f>
        <v>-2299.51714285714</v>
      </c>
      <c r="L121" s="9" t="n">
        <f aca="false">IF(AND(H121=0,J121=0),0,IF(H121=0,"New",(J121-H121)/H121))</f>
        <v>-0.155619879055063</v>
      </c>
    </row>
    <row r="122" customFormat="false" ht="15" hidden="false" customHeight="false" outlineLevel="0" collapsed="false">
      <c r="A122" s="7" t="n">
        <v>4413140</v>
      </c>
      <c r="B122" s="7" t="str">
        <f aca="false">IFERROR(INDEX('Source 2026'!$C:$C,MATCH($A122,'Source 2026'!$B:$B,0)),IFERROR(INDEX('Source 2025'!$C:$C,MATCH($A122,'Source 2025'!$B:$B,0)),""))</f>
        <v>95 M מגן מרפק רגיל לבן</v>
      </c>
      <c r="C122" s="8" t="n">
        <f aca="false">SUMIFS('Source 2025'!$H:$H,'Source 2025'!$B:$B,$A122,'Source 2025'!$A:$A,"Quantity (units)")</f>
        <v>555</v>
      </c>
      <c r="D122" s="8" t="n">
        <f aca="false">SUMIFS('Source 2026'!$H:$H,'Source 2026'!$B:$B,$A122,'Source 2026'!$A:$A,"Quantity (units)")</f>
        <v>333</v>
      </c>
      <c r="E122" s="8" t="n">
        <f aca="false">D122*$J$5</f>
        <v>456.685714285714</v>
      </c>
      <c r="F122" s="8" t="n">
        <f aca="false">E122-C122</f>
        <v>-98.3142857142857</v>
      </c>
      <c r="G122" s="9" t="n">
        <f aca="false">IF(AND(C122=0,E122=0),0,IF(C122=0,"New",(E122-C122)/C122))</f>
        <v>-0.177142857142857</v>
      </c>
      <c r="H122" s="8" t="n">
        <f aca="false">SUMIFS('Source 2025'!$H:$H,'Source 2025'!$B:$B,$A122,'Source 2025'!$A:$A,"Amount (NIS)")</f>
        <v>14270.6</v>
      </c>
      <c r="I122" s="8" t="n">
        <f aca="false">SUMIFS('Source 2026'!$H:$H,'Source 2026'!$B:$B,$A122,'Source 2026'!$A:$A,"Amount (NIS)")</f>
        <v>8641.4</v>
      </c>
      <c r="J122" s="8" t="n">
        <f aca="false">I122*$J$5</f>
        <v>11851.0628571429</v>
      </c>
      <c r="K122" s="8" t="n">
        <f aca="false">J122-H122</f>
        <v>-2419.53714285714</v>
      </c>
      <c r="L122" s="9" t="n">
        <f aca="false">IF(AND(H122=0,J122=0),0,IF(H122=0,"New",(J122-H122)/H122))</f>
        <v>-0.169546980705587</v>
      </c>
    </row>
    <row r="123" customFormat="false" ht="15" hidden="false" customHeight="false" outlineLevel="0" collapsed="false">
      <c r="A123" s="7" t="n">
        <v>4413149</v>
      </c>
      <c r="B123" s="7" t="str">
        <f aca="false">IFERROR(INDEX('Source 2026'!$C:$C,MATCH($A123,'Source 2026'!$B:$B,0)),IFERROR(INDEX('Source 2025'!$C:$C,MATCH($A123,'Source 2025'!$B:$B,0)),""))</f>
        <v>FC321-מלח אמבט לכף הרגל</v>
      </c>
      <c r="C123" s="8" t="n">
        <f aca="false">SUMIFS('Source 2025'!$H:$H,'Source 2025'!$B:$B,$A123,'Source 2025'!$A:$A,"Quantity (units)")</f>
        <v>871</v>
      </c>
      <c r="D123" s="8" t="n">
        <f aca="false">SUMIFS('Source 2026'!$H:$H,'Source 2026'!$B:$B,$A123,'Source 2026'!$A:$A,"Quantity (units)")</f>
        <v>320</v>
      </c>
      <c r="E123" s="8" t="n">
        <f aca="false">D123*$J$5</f>
        <v>438.857142857143</v>
      </c>
      <c r="F123" s="8" t="n">
        <f aca="false">E123-C123</f>
        <v>-432.142857142857</v>
      </c>
      <c r="G123" s="9" t="n">
        <f aca="false">IF(AND(C123=0,E123=0),0,IF(C123=0,"New",(E123-C123)/C123))</f>
        <v>-0.496145645399377</v>
      </c>
      <c r="H123" s="8" t="n">
        <f aca="false">SUMIFS('Source 2025'!$H:$H,'Source 2025'!$B:$B,$A123,'Source 2025'!$A:$A,"Amount (NIS)")</f>
        <v>8834.2</v>
      </c>
      <c r="I123" s="8" t="n">
        <f aca="false">SUMIFS('Source 2026'!$H:$H,'Source 2026'!$B:$B,$A123,'Source 2026'!$A:$A,"Amount (NIS)")</f>
        <v>3240.5</v>
      </c>
      <c r="J123" s="8" t="n">
        <f aca="false">I123*$J$5</f>
        <v>4444.11428571429</v>
      </c>
      <c r="K123" s="8" t="n">
        <f aca="false">J123-H123</f>
        <v>-4390.08571428572</v>
      </c>
      <c r="L123" s="9" t="n">
        <f aca="false">IF(AND(H123=0,J123=0),0,IF(H123=0,"New",(J123-H123)/H123))</f>
        <v>-0.496942078998179</v>
      </c>
    </row>
    <row r="124" customFormat="false" ht="15" hidden="false" customHeight="false" outlineLevel="0" collapsed="false">
      <c r="A124" s="7" t="n">
        <v>4422041</v>
      </c>
      <c r="B124" s="7" t="str">
        <f aca="false">IFERROR(INDEX('Source 2026'!$C:$C,MATCH($A124,'Source 2026'!$B:$B,0)),IFERROR(INDEX('Source 2025'!$C:$C,MATCH($A124,'Source 2025'!$B:$B,0)),""))</f>
        <v>SH422 5 תומך ברך גנושילד</v>
      </c>
      <c r="C124" s="8" t="n">
        <f aca="false">SUMIFS('Source 2025'!$H:$H,'Source 2025'!$B:$B,$A124,'Source 2025'!$A:$A,"Quantity (units)")</f>
        <v>0</v>
      </c>
      <c r="D124" s="8" t="n">
        <f aca="false">SUMIFS('Source 2026'!$H:$H,'Source 2026'!$B:$B,$A124,'Source 2026'!$A:$A,"Quantity (units)")</f>
        <v>31</v>
      </c>
      <c r="E124" s="8" t="n">
        <f aca="false">D124*$J$5</f>
        <v>42.5142857142857</v>
      </c>
      <c r="F124" s="8" t="n">
        <f aca="false">E124-C124</f>
        <v>42.5142857142857</v>
      </c>
      <c r="G124" s="9" t="str">
        <f aca="false">IF(AND(C124=0,E124=0),0,IF(C124=0,"New",(E124-C124)/C124))</f>
        <v>New</v>
      </c>
      <c r="H124" s="8" t="n">
        <f aca="false">SUMIFS('Source 2025'!$H:$H,'Source 2025'!$B:$B,$A124,'Source 2025'!$A:$A,"Amount (NIS)")</f>
        <v>0</v>
      </c>
      <c r="I124" s="8" t="n">
        <f aca="false">SUMIFS('Source 2026'!$H:$H,'Source 2026'!$B:$B,$A124,'Source 2026'!$A:$A,"Amount (NIS)")</f>
        <v>5583.3</v>
      </c>
      <c r="J124" s="8" t="n">
        <f aca="false">I124*$J$5</f>
        <v>7657.09714285714</v>
      </c>
      <c r="K124" s="8" t="n">
        <f aca="false">J124-H124</f>
        <v>7657.09714285714</v>
      </c>
      <c r="L124" s="9" t="str">
        <f aca="false">IF(AND(H124=0,J124=0),0,IF(H124=0,"New",(J124-H124)/H124))</f>
        <v>New</v>
      </c>
    </row>
    <row r="125" customFormat="false" ht="15" hidden="false" customHeight="false" outlineLevel="0" collapsed="false">
      <c r="A125" s="7" t="n">
        <v>4408208</v>
      </c>
      <c r="B125" s="7" t="str">
        <f aca="false">IFERROR(INDEX('Source 2026'!$C:$C,MATCH($A125,'Source 2026'!$B:$B,0)),IFERROR(INDEX('Source 2025'!$C:$C,MATCH($A125,'Source 2025'!$B:$B,0)),""))</f>
        <v>AC91 חבק טניס</v>
      </c>
      <c r="C125" s="8" t="n">
        <f aca="false">SUMIFS('Source 2025'!$H:$H,'Source 2025'!$B:$B,$A125,'Source 2025'!$A:$A,"Quantity (units)")</f>
        <v>803</v>
      </c>
      <c r="D125" s="8" t="n">
        <f aca="false">SUMIFS('Source 2026'!$H:$H,'Source 2026'!$B:$B,$A125,'Source 2026'!$A:$A,"Quantity (units)")</f>
        <v>578</v>
      </c>
      <c r="E125" s="8" t="n">
        <f aca="false">D125*$J$5</f>
        <v>792.685714285714</v>
      </c>
      <c r="F125" s="8" t="n">
        <f aca="false">E125-C125</f>
        <v>-10.3142857142857</v>
      </c>
      <c r="G125" s="9" t="n">
        <f aca="false">IF(AND(C125=0,E125=0),0,IF(C125=0,"New",(E125-C125)/C125))</f>
        <v>-0.0128446895570183</v>
      </c>
      <c r="H125" s="8" t="n">
        <f aca="false">SUMIFS('Source 2025'!$H:$H,'Source 2025'!$B:$B,$A125,'Source 2025'!$A:$A,"Amount (NIS)")</f>
        <v>21410.6</v>
      </c>
      <c r="I125" s="8" t="n">
        <f aca="false">SUMIFS('Source 2026'!$H:$H,'Source 2026'!$B:$B,$A125,'Source 2026'!$A:$A,"Amount (NIS)")</f>
        <v>15979</v>
      </c>
      <c r="J125" s="8" t="n">
        <f aca="false">I125*$J$5</f>
        <v>21914.0571428571</v>
      </c>
      <c r="K125" s="8" t="n">
        <f aca="false">J125-H125</f>
        <v>503.457142857144</v>
      </c>
      <c r="L125" s="9" t="n">
        <f aca="false">IF(AND(H125=0,J125=0),0,IF(H125=0,"New",(J125-H125)/H125))</f>
        <v>0.0235143873995658</v>
      </c>
    </row>
    <row r="126" customFormat="false" ht="15" hidden="false" customHeight="false" outlineLevel="0" collapsed="false">
      <c r="A126" s="7" t="n">
        <v>4418003</v>
      </c>
      <c r="B126" s="7" t="str">
        <f aca="false">IFERROR(INDEX('Source 2026'!$C:$C,MATCH($A126,'Source 2026'!$B:$B,0)),IFERROR(INDEX('Source 2025'!$C:$C,MATCH($A126,'Source 2025'!$B:$B,0)),""))</f>
        <v>60 XL צוארון ספוגי</v>
      </c>
      <c r="C126" s="8" t="n">
        <f aca="false">SUMIFS('Source 2025'!$H:$H,'Source 2025'!$B:$B,$A126,'Source 2025'!$A:$A,"Quantity (units)")</f>
        <v>503</v>
      </c>
      <c r="D126" s="8" t="n">
        <f aca="false">SUMIFS('Source 2026'!$H:$H,'Source 2026'!$B:$B,$A126,'Source 2026'!$A:$A,"Quantity (units)")</f>
        <v>307</v>
      </c>
      <c r="E126" s="8" t="n">
        <f aca="false">D126*$J$5</f>
        <v>421.028571428571</v>
      </c>
      <c r="F126" s="8" t="n">
        <f aca="false">E126-C126</f>
        <v>-81.9714285714286</v>
      </c>
      <c r="G126" s="9" t="n">
        <f aca="false">IF(AND(C126=0,E126=0),0,IF(C126=0,"New",(E126-C126)/C126))</f>
        <v>-0.162965066742403</v>
      </c>
      <c r="H126" s="8" t="n">
        <f aca="false">SUMIFS('Source 2025'!$H:$H,'Source 2025'!$B:$B,$A126,'Source 2025'!$A:$A,"Amount (NIS)")</f>
        <v>15063</v>
      </c>
      <c r="I126" s="8" t="n">
        <f aca="false">SUMIFS('Source 2026'!$H:$H,'Source 2026'!$B:$B,$A126,'Source 2026'!$A:$A,"Amount (NIS)")</f>
        <v>9741.6</v>
      </c>
      <c r="J126" s="8" t="n">
        <f aca="false">I126*$J$5</f>
        <v>13359.9085714286</v>
      </c>
      <c r="K126" s="8" t="n">
        <f aca="false">J126-H126</f>
        <v>-1703.09142857143</v>
      </c>
      <c r="L126" s="9" t="n">
        <f aca="false">IF(AND(H126=0,J126=0),0,IF(H126=0,"New",(J126-H126)/H126))</f>
        <v>-0.113064557430222</v>
      </c>
    </row>
    <row r="127" customFormat="false" ht="15" hidden="false" customHeight="false" outlineLevel="0" collapsed="false">
      <c r="A127" s="7" t="n">
        <v>4413138</v>
      </c>
      <c r="B127" s="7" t="str">
        <f aca="false">IFERROR(INDEX('Source 2026'!$C:$C,MATCH($A127,'Source 2026'!$B:$B,0)),IFERROR(INDEX('Source 2025'!$C:$C,MATCH($A127,'Source 2025'!$B:$B,0)),""))</f>
        <v>85 XL (מתלה ליד )כיס</v>
      </c>
      <c r="C127" s="8" t="n">
        <f aca="false">SUMIFS('Source 2025'!$H:$H,'Source 2025'!$B:$B,$A127,'Source 2025'!$A:$A,"Quantity (units)")</f>
        <v>370</v>
      </c>
      <c r="D127" s="8" t="n">
        <f aca="false">SUMIFS('Source 2026'!$H:$H,'Source 2026'!$B:$B,$A127,'Source 2026'!$A:$A,"Quantity (units)")</f>
        <v>263</v>
      </c>
      <c r="E127" s="8" t="n">
        <f aca="false">D127*$J$5</f>
        <v>360.685714285714</v>
      </c>
      <c r="F127" s="8" t="n">
        <f aca="false">E127-C127</f>
        <v>-9.31428571428569</v>
      </c>
      <c r="G127" s="9" t="n">
        <f aca="false">IF(AND(C127=0,E127=0),0,IF(C127=0,"New",(E127-C127)/C127))</f>
        <v>-0.0251737451737451</v>
      </c>
      <c r="H127" s="8" t="n">
        <f aca="false">SUMIFS('Source 2025'!$H:$H,'Source 2025'!$B:$B,$A127,'Source 2025'!$A:$A,"Amount (NIS)")</f>
        <v>17970.4</v>
      </c>
      <c r="I127" s="8" t="n">
        <f aca="false">SUMIFS('Source 2026'!$H:$H,'Source 2026'!$B:$B,$A127,'Source 2026'!$A:$A,"Amount (NIS)")</f>
        <v>12792.9</v>
      </c>
      <c r="J127" s="8" t="n">
        <f aca="false">I127*$J$5</f>
        <v>17544.5485714286</v>
      </c>
      <c r="K127" s="8" t="n">
        <f aca="false">J127-H127</f>
        <v>-425.85142857143</v>
      </c>
      <c r="L127" s="9" t="n">
        <f aca="false">IF(AND(H127=0,J127=0),0,IF(H127=0,"New",(J127-H127)/H127))</f>
        <v>-0.0236973817261402</v>
      </c>
    </row>
    <row r="128" customFormat="false" ht="15" hidden="false" customHeight="false" outlineLevel="0" collapsed="false">
      <c r="A128" s="7" t="n">
        <v>4413184</v>
      </c>
      <c r="B128" s="7" t="str">
        <f aca="false">IFERROR(INDEX('Source 2026'!$C:$C,MATCH($A128,'Source 2026'!$B:$B,0)),IFERROR(INDEX('Source 2025'!$C:$C,MATCH($A128,'Source 2025'!$B:$B,0)),""))</f>
        <v>T 45 L מגן ברך רגיל</v>
      </c>
      <c r="C128" s="8" t="n">
        <f aca="false">SUMIFS('Source 2025'!$H:$H,'Source 2025'!$B:$B,$A128,'Source 2025'!$A:$A,"Quantity (units)")</f>
        <v>87</v>
      </c>
      <c r="D128" s="8" t="n">
        <f aca="false">SUMIFS('Source 2026'!$H:$H,'Source 2026'!$B:$B,$A128,'Source 2026'!$A:$A,"Quantity (units)")</f>
        <v>29</v>
      </c>
      <c r="E128" s="8" t="n">
        <f aca="false">D128*$J$5</f>
        <v>39.7714285714286</v>
      </c>
      <c r="F128" s="8" t="n">
        <f aca="false">E128-C128</f>
        <v>-47.2285714285714</v>
      </c>
      <c r="G128" s="9" t="n">
        <f aca="false">IF(AND(C128=0,E128=0),0,IF(C128=0,"New",(E128-C128)/C128))</f>
        <v>-0.542857142857143</v>
      </c>
      <c r="H128" s="8" t="n">
        <f aca="false">SUMIFS('Source 2025'!$H:$H,'Source 2025'!$B:$B,$A128,'Source 2025'!$A:$A,"Amount (NIS)")</f>
        <v>7827.9</v>
      </c>
      <c r="I128" s="8" t="n">
        <f aca="false">SUMIFS('Source 2026'!$H:$H,'Source 2026'!$B:$B,$A128,'Source 2026'!$A:$A,"Amount (NIS)")</f>
        <v>2674.1</v>
      </c>
      <c r="J128" s="8" t="n">
        <f aca="false">I128*$J$5</f>
        <v>3667.33714285714</v>
      </c>
      <c r="K128" s="8" t="n">
        <f aca="false">J128-H128</f>
        <v>-4160.56285714286</v>
      </c>
      <c r="L128" s="9" t="n">
        <f aca="false">IF(AND(H128=0,J128=0),0,IF(H128=0,"New",(J128-H128)/H128))</f>
        <v>-0.531504344350702</v>
      </c>
    </row>
    <row r="129" customFormat="false" ht="15" hidden="false" customHeight="false" outlineLevel="0" collapsed="false">
      <c r="A129" s="7" t="n">
        <v>4413153</v>
      </c>
      <c r="B129" s="7" t="str">
        <f aca="false">IFERROR(INDEX('Source 2026'!$C:$C,MATCH($A129,'Source 2026'!$B:$B,0)),IFERROR(INDEX('Source 2025'!$C:$C,MATCH($A129,'Source 2025'!$B:$B,0)),""))</f>
        <v>305GA מדרס אורטופ.מתכוון35-36</v>
      </c>
      <c r="C129" s="8" t="n">
        <f aca="false">SUMIFS('Source 2025'!$H:$H,'Source 2025'!$B:$B,$A129,'Source 2025'!$A:$A,"Quantity (units)")</f>
        <v>-96</v>
      </c>
      <c r="D129" s="8" t="n">
        <f aca="false">SUMIFS('Source 2026'!$H:$H,'Source 2026'!$B:$B,$A129,'Source 2026'!$A:$A,"Quantity (units)")</f>
        <v>-13</v>
      </c>
      <c r="E129" s="8" t="n">
        <f aca="false">D129*$J$5</f>
        <v>-17.8285714285714</v>
      </c>
      <c r="F129" s="8" t="n">
        <f aca="false">E129-C129</f>
        <v>78.1714285714286</v>
      </c>
      <c r="G129" s="9" t="n">
        <f aca="false">IF(AND(C129=0,E129=0),0,IF(C129=0,"New",(E129-C129)/C129))</f>
        <v>-0.814285714285714</v>
      </c>
      <c r="H129" s="8" t="n">
        <f aca="false">SUMIFS('Source 2025'!$H:$H,'Source 2025'!$B:$B,$A129,'Source 2025'!$A:$A,"Amount (NIS)")</f>
        <v>-5920.6</v>
      </c>
      <c r="I129" s="8" t="n">
        <f aca="false">SUMIFS('Source 2026'!$H:$H,'Source 2026'!$B:$B,$A129,'Source 2026'!$A:$A,"Amount (NIS)")</f>
        <v>-798.9</v>
      </c>
      <c r="J129" s="8" t="n">
        <f aca="false">I129*$J$5</f>
        <v>-1095.63428571429</v>
      </c>
      <c r="K129" s="8" t="n">
        <f aca="false">J129-H129</f>
        <v>4824.96571428572</v>
      </c>
      <c r="L129" s="9" t="n">
        <f aca="false">IF(AND(H129=0,J129=0),0,IF(H129=0,"New",(J129-H129)/H129))</f>
        <v>-0.814945396460784</v>
      </c>
    </row>
    <row r="130" customFormat="false" ht="15" hidden="false" customHeight="false" outlineLevel="0" collapsed="false">
      <c r="A130" s="7" t="n">
        <v>4411016</v>
      </c>
      <c r="B130" s="7" t="str">
        <f aca="false">IFERROR(INDEX('Source 2026'!$C:$C,MATCH($A130,'Source 2026'!$B:$B,0)),IFERROR(INDEX('Source 2025'!$C:$C,MATCH($A130,'Source 2025'!$B:$B,0)),""))</f>
        <v>307 XL כרית סיליקון לעקב</v>
      </c>
      <c r="C130" s="8" t="n">
        <f aca="false">SUMIFS('Source 2025'!$H:$H,'Source 2025'!$B:$B,$A130,'Source 2025'!$A:$A,"Quantity (units)")</f>
        <v>278</v>
      </c>
      <c r="D130" s="8" t="n">
        <f aca="false">SUMIFS('Source 2026'!$H:$H,'Source 2026'!$B:$B,$A130,'Source 2026'!$A:$A,"Quantity (units)")</f>
        <v>217</v>
      </c>
      <c r="E130" s="8" t="n">
        <f aca="false">D130*$J$5</f>
        <v>297.6</v>
      </c>
      <c r="F130" s="8" t="n">
        <f aca="false">E130-C130</f>
        <v>19.6</v>
      </c>
      <c r="G130" s="9" t="n">
        <f aca="false">IF(AND(C130=0,E130=0),0,IF(C130=0,"New",(E130-C130)/C130))</f>
        <v>0.0705035971223022</v>
      </c>
      <c r="H130" s="8" t="n">
        <f aca="false">SUMIFS('Source 2025'!$H:$H,'Source 2025'!$B:$B,$A130,'Source 2025'!$A:$A,"Amount (NIS)")</f>
        <v>22578.4</v>
      </c>
      <c r="I130" s="8" t="n">
        <f aca="false">SUMIFS('Source 2026'!$H:$H,'Source 2026'!$B:$B,$A130,'Source 2026'!$A:$A,"Amount (NIS)")</f>
        <v>17507.9</v>
      </c>
      <c r="J130" s="8" t="n">
        <f aca="false">I130*$J$5</f>
        <v>24010.8342857143</v>
      </c>
      <c r="K130" s="8" t="n">
        <f aca="false">J130-H130</f>
        <v>1432.43428571429</v>
      </c>
      <c r="L130" s="9" t="n">
        <f aca="false">IF(AND(H130=0,J130=0),0,IF(H130=0,"New",(J130-H130)/H130))</f>
        <v>0.0634426835255947</v>
      </c>
    </row>
    <row r="131" customFormat="false" ht="15" hidden="false" customHeight="false" outlineLevel="0" collapsed="false">
      <c r="A131" s="7" t="n">
        <v>4422039</v>
      </c>
      <c r="B131" s="7" t="str">
        <f aca="false">IFERROR(INDEX('Source 2026'!$C:$C,MATCH($A131,'Source 2026'!$B:$B,0)),IFERROR(INDEX('Source 2025'!$C:$C,MATCH($A131,'Source 2025'!$B:$B,0)),""))</f>
        <v>SH422 3 תומך ברך גנושילד</v>
      </c>
      <c r="C131" s="8" t="n">
        <f aca="false">SUMIFS('Source 2025'!$H:$H,'Source 2025'!$B:$B,$A131,'Source 2025'!$A:$A,"Quantity (units)")</f>
        <v>0</v>
      </c>
      <c r="D131" s="8" t="n">
        <f aca="false">SUMIFS('Source 2026'!$H:$H,'Source 2026'!$B:$B,$A131,'Source 2026'!$A:$A,"Quantity (units)")</f>
        <v>28</v>
      </c>
      <c r="E131" s="8" t="n">
        <f aca="false">D131*$J$5</f>
        <v>38.4</v>
      </c>
      <c r="F131" s="8" t="n">
        <f aca="false">E131-C131</f>
        <v>38.4</v>
      </c>
      <c r="G131" s="9" t="str">
        <f aca="false">IF(AND(C131=0,E131=0),0,IF(C131=0,"New",(E131-C131)/C131))</f>
        <v>New</v>
      </c>
      <c r="H131" s="8" t="n">
        <f aca="false">SUMIFS('Source 2025'!$H:$H,'Source 2025'!$B:$B,$A131,'Source 2025'!$A:$A,"Amount (NIS)")</f>
        <v>0</v>
      </c>
      <c r="I131" s="8" t="n">
        <f aca="false">SUMIFS('Source 2026'!$H:$H,'Source 2026'!$B:$B,$A131,'Source 2026'!$A:$A,"Amount (NIS)")</f>
        <v>5044.2</v>
      </c>
      <c r="J131" s="8" t="n">
        <f aca="false">I131*$J$5</f>
        <v>6917.76</v>
      </c>
      <c r="K131" s="8" t="n">
        <f aca="false">J131-H131</f>
        <v>6917.76</v>
      </c>
      <c r="L131" s="9" t="str">
        <f aca="false">IF(AND(H131=0,J131=0),0,IF(H131=0,"New",(J131-H131)/H131))</f>
        <v>New</v>
      </c>
    </row>
    <row r="132" customFormat="false" ht="15" hidden="false" customHeight="false" outlineLevel="0" collapsed="false">
      <c r="A132" s="7" t="n">
        <v>4413139</v>
      </c>
      <c r="B132" s="7" t="str">
        <f aca="false">IFERROR(INDEX('Source 2026'!$C:$C,MATCH($A132,'Source 2026'!$B:$B,0)),IFERROR(INDEX('Source 2025'!$C:$C,MATCH($A132,'Source 2025'!$B:$B,0)),""))</f>
        <v>95 L מגן מרפק רגיל לבן</v>
      </c>
      <c r="C132" s="8" t="n">
        <f aca="false">SUMIFS('Source 2025'!$H:$H,'Source 2025'!$B:$B,$A132,'Source 2025'!$A:$A,"Quantity (units)")</f>
        <v>410</v>
      </c>
      <c r="D132" s="8" t="n">
        <f aca="false">SUMIFS('Source 2026'!$H:$H,'Source 2026'!$B:$B,$A132,'Source 2026'!$A:$A,"Quantity (units)")</f>
        <v>214</v>
      </c>
      <c r="E132" s="8" t="n">
        <f aca="false">D132*$J$5</f>
        <v>293.485714285714</v>
      </c>
      <c r="F132" s="8" t="n">
        <f aca="false">E132-C132</f>
        <v>-116.514285714286</v>
      </c>
      <c r="G132" s="9" t="n">
        <f aca="false">IF(AND(C132=0,E132=0),0,IF(C132=0,"New",(E132-C132)/C132))</f>
        <v>-0.28418118466899</v>
      </c>
      <c r="H132" s="8" t="n">
        <f aca="false">SUMIFS('Source 2025'!$H:$H,'Source 2025'!$B:$B,$A132,'Source 2025'!$A:$A,"Amount (NIS)")</f>
        <v>10557.7</v>
      </c>
      <c r="I132" s="8" t="n">
        <f aca="false">SUMIFS('Source 2026'!$H:$H,'Source 2026'!$B:$B,$A132,'Source 2026'!$A:$A,"Amount (NIS)")</f>
        <v>5553.6</v>
      </c>
      <c r="J132" s="8" t="n">
        <f aca="false">I132*$J$5</f>
        <v>7616.36571428572</v>
      </c>
      <c r="K132" s="8" t="n">
        <f aca="false">J132-H132</f>
        <v>-2941.33428571429</v>
      </c>
      <c r="L132" s="9" t="n">
        <f aca="false">IF(AND(H132=0,J132=0),0,IF(H132=0,"New",(J132-H132)/H132))</f>
        <v>-0.278596122802721</v>
      </c>
    </row>
    <row r="133" customFormat="false" ht="15" hidden="false" customHeight="false" outlineLevel="0" collapsed="false">
      <c r="A133" s="7" t="n">
        <v>4413156</v>
      </c>
      <c r="B133" s="7" t="str">
        <f aca="false">IFERROR(INDEX('Source 2026'!$C:$C,MATCH($A133,'Source 2026'!$B:$B,0)),IFERROR(INDEX('Source 2025'!$C:$C,MATCH($A133,'Source 2025'!$B:$B,0)),""))</f>
        <v>305GA מדרס אורטופ.מתכוון41-42</v>
      </c>
      <c r="C133" s="8" t="n">
        <f aca="false">SUMIFS('Source 2025'!$H:$H,'Source 2025'!$B:$B,$A133,'Source 2025'!$A:$A,"Quantity (units)")</f>
        <v>173</v>
      </c>
      <c r="D133" s="8" t="n">
        <f aca="false">SUMIFS('Source 2026'!$H:$H,'Source 2026'!$B:$B,$A133,'Source 2026'!$A:$A,"Quantity (units)")</f>
        <v>97</v>
      </c>
      <c r="E133" s="8" t="n">
        <f aca="false">D133*$J$5</f>
        <v>133.028571428571</v>
      </c>
      <c r="F133" s="8" t="n">
        <f aca="false">E133-C133</f>
        <v>-39.9714285714286</v>
      </c>
      <c r="G133" s="9" t="n">
        <f aca="false">IF(AND(C133=0,E133=0),0,IF(C133=0,"New",(E133-C133)/C133))</f>
        <v>-0.231048720066061</v>
      </c>
      <c r="H133" s="8" t="n">
        <f aca="false">SUMIFS('Source 2025'!$H:$H,'Source 2025'!$B:$B,$A133,'Source 2025'!$A:$A,"Amount (NIS)")</f>
        <v>11235.7</v>
      </c>
      <c r="I133" s="8" t="n">
        <f aca="false">SUMIFS('Source 2026'!$H:$H,'Source 2026'!$B:$B,$A133,'Source 2026'!$A:$A,"Amount (NIS)")</f>
        <v>6289.8</v>
      </c>
      <c r="J133" s="8" t="n">
        <f aca="false">I133*$J$5</f>
        <v>8626.01142857143</v>
      </c>
      <c r="K133" s="8" t="n">
        <f aca="false">J133-H133</f>
        <v>-2609.68857142857</v>
      </c>
      <c r="L133" s="9" t="n">
        <f aca="false">IF(AND(H133=0,J133=0),0,IF(H133=0,"New",(J133-H133)/H133))</f>
        <v>-0.232267555330649</v>
      </c>
    </row>
    <row r="134" customFormat="false" ht="15" hidden="false" customHeight="false" outlineLevel="0" collapsed="false">
      <c r="A134" s="7" t="n">
        <v>4413185</v>
      </c>
      <c r="B134" s="7" t="str">
        <f aca="false">IFERROR(INDEX('Source 2026'!$C:$C,MATCH($A134,'Source 2026'!$B:$B,0)),IFERROR(INDEX('Source 2025'!$C:$C,MATCH($A134,'Source 2025'!$B:$B,0)),""))</f>
        <v>T 45XL מגן ברך רגיל</v>
      </c>
      <c r="C134" s="8" t="n">
        <f aca="false">SUMIFS('Source 2025'!$H:$H,'Source 2025'!$B:$B,$A134,'Source 2025'!$A:$A,"Quantity (units)")</f>
        <v>95</v>
      </c>
      <c r="D134" s="8" t="n">
        <f aca="false">SUMIFS('Source 2026'!$H:$H,'Source 2026'!$B:$B,$A134,'Source 2026'!$A:$A,"Quantity (units)")</f>
        <v>40</v>
      </c>
      <c r="E134" s="8" t="n">
        <f aca="false">D134*$J$5</f>
        <v>54.8571428571429</v>
      </c>
      <c r="F134" s="8" t="n">
        <f aca="false">E134-C134</f>
        <v>-40.1428571428571</v>
      </c>
      <c r="G134" s="9" t="n">
        <f aca="false">IF(AND(C134=0,E134=0),0,IF(C134=0,"New",(E134-C134)/C134))</f>
        <v>-0.422556390977444</v>
      </c>
      <c r="H134" s="8" t="n">
        <f aca="false">SUMIFS('Source 2025'!$H:$H,'Source 2025'!$B:$B,$A134,'Source 2025'!$A:$A,"Amount (NIS)")</f>
        <v>8568.6</v>
      </c>
      <c r="I134" s="8" t="n">
        <f aca="false">SUMIFS('Source 2026'!$H:$H,'Source 2026'!$B:$B,$A134,'Source 2026'!$A:$A,"Amount (NIS)")</f>
        <v>3646.7</v>
      </c>
      <c r="J134" s="8" t="n">
        <f aca="false">I134*$J$5</f>
        <v>5001.18857142857</v>
      </c>
      <c r="K134" s="8" t="n">
        <f aca="false">J134-H134</f>
        <v>-3567.41142857143</v>
      </c>
      <c r="L134" s="9" t="n">
        <f aca="false">IF(AND(H134=0,J134=0),0,IF(H134=0,"New",(J134-H134)/H134))</f>
        <v>-0.416335390678924</v>
      </c>
    </row>
    <row r="135" customFormat="false" ht="15" hidden="false" customHeight="false" outlineLevel="0" collapsed="false">
      <c r="A135" s="7" t="n">
        <v>4408029</v>
      </c>
      <c r="B135" s="7" t="str">
        <f aca="false">IFERROR(INDEX('Source 2026'!$C:$C,MATCH($A135,'Source 2026'!$B:$B,0)),IFERROR(INDEX('Source 2025'!$C:$C,MATCH($A135,'Source 2025'!$B:$B,0)),""))</f>
        <v>10 XL ""חגורת גב ""לומבו</v>
      </c>
      <c r="C135" s="8" t="n">
        <f aca="false">SUMIFS('Source 2025'!$H:$H,'Source 2025'!$B:$B,$A135,'Source 2025'!$A:$A,"Quantity (units)")</f>
        <v>65</v>
      </c>
      <c r="D135" s="8" t="n">
        <f aca="false">SUMIFS('Source 2026'!$H:$H,'Source 2026'!$B:$B,$A135,'Source 2026'!$A:$A,"Quantity (units)")</f>
        <v>28</v>
      </c>
      <c r="E135" s="8" t="n">
        <f aca="false">D135*$J$5</f>
        <v>38.4</v>
      </c>
      <c r="F135" s="8" t="n">
        <f aca="false">E135-C135</f>
        <v>-26.6</v>
      </c>
      <c r="G135" s="9" t="n">
        <f aca="false">IF(AND(C135=0,E135=0),0,IF(C135=0,"New",(E135-C135)/C135))</f>
        <v>-0.409230769230769</v>
      </c>
      <c r="H135" s="8" t="n">
        <f aca="false">SUMIFS('Source 2025'!$H:$H,'Source 2025'!$B:$B,$A135,'Source 2025'!$A:$A,"Amount (NIS)")</f>
        <v>8519.6</v>
      </c>
      <c r="I135" s="8" t="n">
        <f aca="false">SUMIFS('Source 2026'!$H:$H,'Source 2026'!$B:$B,$A135,'Source 2026'!$A:$A,"Amount (NIS)")</f>
        <v>3719</v>
      </c>
      <c r="J135" s="8" t="n">
        <f aca="false">I135*$J$5</f>
        <v>5100.34285714286</v>
      </c>
      <c r="K135" s="8" t="n">
        <f aca="false">J135-H135</f>
        <v>-3419.25714285714</v>
      </c>
      <c r="L135" s="9" t="n">
        <f aca="false">IF(AND(H135=0,J135=0),0,IF(H135=0,"New",(J135-H135)/H135))</f>
        <v>-0.40134010315709</v>
      </c>
    </row>
    <row r="136" customFormat="false" ht="15" hidden="false" customHeight="false" outlineLevel="0" collapsed="false">
      <c r="A136" s="7" t="n">
        <v>4415072</v>
      </c>
      <c r="B136" s="7" t="str">
        <f aca="false">IFERROR(INDEX('Source 2026'!$C:$C,MATCH($A136,'Source 2026'!$B:$B,0)),IFERROR(INDEX('Source 2025'!$C:$C,MATCH($A136,'Source 2025'!$B:$B,0)),""))</f>
        <v>T28A S-M סד לאגודל</v>
      </c>
      <c r="C136" s="8" t="n">
        <f aca="false">SUMIFS('Source 2025'!$H:$H,'Source 2025'!$B:$B,$A136,'Source 2025'!$A:$A,"Quantity (units)")</f>
        <v>1278</v>
      </c>
      <c r="D136" s="8" t="n">
        <f aca="false">SUMIFS('Source 2026'!$H:$H,'Source 2026'!$B:$B,$A136,'Source 2026'!$A:$A,"Quantity (units)")</f>
        <v>1351</v>
      </c>
      <c r="E136" s="8" t="n">
        <f aca="false">D136*$J$5</f>
        <v>1852.8</v>
      </c>
      <c r="F136" s="8" t="n">
        <f aca="false">E136-C136</f>
        <v>574.8</v>
      </c>
      <c r="G136" s="9" t="n">
        <f aca="false">IF(AND(C136=0,E136=0),0,IF(C136=0,"New",(E136-C136)/C136))</f>
        <v>0.449765258215962</v>
      </c>
      <c r="H136" s="8" t="n">
        <f aca="false">SUMIFS('Source 2025'!$H:$H,'Source 2025'!$B:$B,$A136,'Source 2025'!$A:$A,"Amount (NIS)")</f>
        <v>74753.7</v>
      </c>
      <c r="I136" s="8" t="n">
        <f aca="false">SUMIFS('Source 2026'!$H:$H,'Source 2026'!$B:$B,$A136,'Source 2026'!$A:$A,"Amount (NIS)")</f>
        <v>79514</v>
      </c>
      <c r="J136" s="8" t="n">
        <f aca="false">I136*$J$5</f>
        <v>109047.771428571</v>
      </c>
      <c r="K136" s="8" t="n">
        <f aca="false">J136-H136</f>
        <v>34294.0714285714</v>
      </c>
      <c r="L136" s="9" t="n">
        <f aca="false">IF(AND(H136=0,J136=0),0,IF(H136=0,"New",(J136-H136)/H136))</f>
        <v>0.458760856366594</v>
      </c>
    </row>
    <row r="137" customFormat="false" ht="15" hidden="false" customHeight="false" outlineLevel="0" collapsed="false">
      <c r="A137" s="7" t="n">
        <v>4408031</v>
      </c>
      <c r="B137" s="7" t="str">
        <f aca="false">IFERROR(INDEX('Source 2026'!$C:$C,MATCH($A137,'Source 2026'!$B:$B,0)),IFERROR(INDEX('Source 2025'!$C:$C,MATCH($A137,'Source 2025'!$B:$B,0)),""))</f>
        <v>11 S""חגורת בטן""אורירית</v>
      </c>
      <c r="C137" s="8" t="n">
        <f aca="false">SUMIFS('Source 2025'!$H:$H,'Source 2025'!$B:$B,$A137,'Source 2025'!$A:$A,"Quantity (units)")</f>
        <v>147</v>
      </c>
      <c r="D137" s="8" t="n">
        <f aca="false">SUMIFS('Source 2026'!$H:$H,'Source 2026'!$B:$B,$A137,'Source 2026'!$A:$A,"Quantity (units)")</f>
        <v>92</v>
      </c>
      <c r="E137" s="8" t="n">
        <f aca="false">D137*$J$5</f>
        <v>126.171428571429</v>
      </c>
      <c r="F137" s="8" t="n">
        <f aca="false">E137-C137</f>
        <v>-20.8285714285714</v>
      </c>
      <c r="G137" s="9" t="n">
        <f aca="false">IF(AND(C137=0,E137=0),0,IF(C137=0,"New",(E137-C137)/C137))</f>
        <v>-0.141690962099125</v>
      </c>
      <c r="H137" s="8" t="n">
        <f aca="false">SUMIFS('Source 2025'!$H:$H,'Source 2025'!$B:$B,$A137,'Source 2025'!$A:$A,"Amount (NIS)")</f>
        <v>13244.7</v>
      </c>
      <c r="I137" s="8" t="n">
        <f aca="false">SUMIFS('Source 2026'!$H:$H,'Source 2026'!$B:$B,$A137,'Source 2026'!$A:$A,"Amount (NIS)")</f>
        <v>8511.5</v>
      </c>
      <c r="J137" s="8" t="n">
        <f aca="false">I137*$J$5</f>
        <v>11672.9142857143</v>
      </c>
      <c r="K137" s="8" t="n">
        <f aca="false">J137-H137</f>
        <v>-1571.78571428572</v>
      </c>
      <c r="L137" s="9" t="n">
        <f aca="false">IF(AND(H137=0,J137=0),0,IF(H137=0,"New",(J137-H137)/H137))</f>
        <v>-0.118672806049644</v>
      </c>
    </row>
    <row r="138" customFormat="false" ht="15" hidden="false" customHeight="false" outlineLevel="0" collapsed="false">
      <c r="A138" s="7" t="n">
        <v>4415074</v>
      </c>
      <c r="B138" s="7" t="str">
        <f aca="false">IFERROR(INDEX('Source 2026'!$C:$C,MATCH($A138,'Source 2026'!$B:$B,0)),IFERROR(INDEX('Source 2025'!$C:$C,MATCH($A138,'Source 2025'!$B:$B,0)),""))</f>
        <v>T28AC S-M סד לאגודל</v>
      </c>
      <c r="C138" s="8" t="n">
        <f aca="false">SUMIFS('Source 2025'!$H:$H,'Source 2025'!$B:$B,$A138,'Source 2025'!$A:$A,"Quantity (units)")</f>
        <v>297</v>
      </c>
      <c r="D138" s="8" t="n">
        <f aca="false">SUMIFS('Source 2026'!$H:$H,'Source 2026'!$B:$B,$A138,'Source 2026'!$A:$A,"Quantity (units)")</f>
        <v>215</v>
      </c>
      <c r="E138" s="8" t="n">
        <f aca="false">D138*$J$5</f>
        <v>294.857142857143</v>
      </c>
      <c r="F138" s="8" t="n">
        <f aca="false">E138-C138</f>
        <v>-2.14285714285717</v>
      </c>
      <c r="G138" s="9" t="n">
        <f aca="false">IF(AND(C138=0,E138=0),0,IF(C138=0,"New",(E138-C138)/C138))</f>
        <v>-0.0072150072150073</v>
      </c>
      <c r="H138" s="8" t="n">
        <f aca="false">SUMIFS('Source 2025'!$H:$H,'Source 2025'!$B:$B,$A138,'Source 2025'!$A:$A,"Amount (NIS)")</f>
        <v>17280.9</v>
      </c>
      <c r="I138" s="8" t="n">
        <f aca="false">SUMIFS('Source 2026'!$H:$H,'Source 2026'!$B:$B,$A138,'Source 2026'!$A:$A,"Amount (NIS)")</f>
        <v>12620.7</v>
      </c>
      <c r="J138" s="8" t="n">
        <f aca="false">I138*$J$5</f>
        <v>17308.3885714286</v>
      </c>
      <c r="K138" s="8" t="n">
        <f aca="false">J138-H138</f>
        <v>27.4885714285701</v>
      </c>
      <c r="L138" s="9" t="n">
        <f aca="false">IF(AND(H138=0,J138=0),0,IF(H138=0,"New",(J138-H138)/H138))</f>
        <v>0.00159069096103618</v>
      </c>
    </row>
    <row r="139" customFormat="false" ht="15" hidden="false" customHeight="false" outlineLevel="0" collapsed="false">
      <c r="A139" s="7" t="n">
        <v>4408035</v>
      </c>
      <c r="B139" s="7" t="str">
        <f aca="false">IFERROR(INDEX('Source 2026'!$C:$C,MATCH($A139,'Source 2026'!$B:$B,0)),IFERROR(INDEX('Source 2025'!$C:$C,MATCH($A139,'Source 2025'!$B:$B,0)),""))</f>
        <v>11 XXL""חגורת בטן""אורירית</v>
      </c>
      <c r="C139" s="8" t="n">
        <f aca="false">SUMIFS('Source 2025'!$H:$H,'Source 2025'!$B:$B,$A139,'Source 2025'!$A:$A,"Quantity (units)")</f>
        <v>98</v>
      </c>
      <c r="D139" s="8" t="n">
        <f aca="false">SUMIFS('Source 2026'!$H:$H,'Source 2026'!$B:$B,$A139,'Source 2026'!$A:$A,"Quantity (units)")</f>
        <v>46</v>
      </c>
      <c r="E139" s="8" t="n">
        <f aca="false">D139*$J$5</f>
        <v>63.0857142857143</v>
      </c>
      <c r="F139" s="8" t="n">
        <f aca="false">E139-C139</f>
        <v>-34.9142857142857</v>
      </c>
      <c r="G139" s="9" t="n">
        <f aca="false">IF(AND(C139=0,E139=0),0,IF(C139=0,"New",(E139-C139)/C139))</f>
        <v>-0.356268221574344</v>
      </c>
      <c r="H139" s="8" t="n">
        <f aca="false">SUMIFS('Source 2025'!$H:$H,'Source 2025'!$B:$B,$A139,'Source 2025'!$A:$A,"Amount (NIS)")</f>
        <v>8750.6</v>
      </c>
      <c r="I139" s="8" t="n">
        <f aca="false">SUMIFS('Source 2026'!$H:$H,'Source 2026'!$B:$B,$A139,'Source 2026'!$A:$A,"Amount (NIS)")</f>
        <v>4137.7</v>
      </c>
      <c r="J139" s="8" t="n">
        <f aca="false">I139*$J$5</f>
        <v>5674.56</v>
      </c>
      <c r="K139" s="8" t="n">
        <f aca="false">J139-H139</f>
        <v>-3076.04</v>
      </c>
      <c r="L139" s="9" t="n">
        <f aca="false">IF(AND(H139=0,J139=0),0,IF(H139=0,"New",(J139-H139)/H139))</f>
        <v>-0.351523324114918</v>
      </c>
    </row>
    <row r="140" customFormat="false" ht="15" hidden="false" customHeight="false" outlineLevel="0" collapsed="false">
      <c r="A140" s="7" t="n">
        <v>4416002</v>
      </c>
      <c r="B140" s="7" t="str">
        <f aca="false">IFERROR(INDEX('Source 2026'!$C:$C,MATCH($A140,'Source 2026'!$B:$B,0)),IFERROR(INDEX('Source 2025'!$C:$C,MATCH($A140,'Source 2025'!$B:$B,0)),""))</f>
        <v>307 S עקבים לדורבן-זוג כריות</v>
      </c>
      <c r="C140" s="8" t="n">
        <f aca="false">SUMIFS('Source 2025'!$H:$H,'Source 2025'!$B:$B,$A140,'Source 2025'!$A:$A,"Quantity (units)")</f>
        <v>158</v>
      </c>
      <c r="D140" s="8" t="n">
        <f aca="false">SUMIFS('Source 2026'!$H:$H,'Source 2026'!$B:$B,$A140,'Source 2026'!$A:$A,"Quantity (units)")</f>
        <v>104</v>
      </c>
      <c r="E140" s="8" t="n">
        <f aca="false">D140*$J$5</f>
        <v>142.628571428571</v>
      </c>
      <c r="F140" s="8" t="n">
        <f aca="false">E140-C140</f>
        <v>-15.3714285714286</v>
      </c>
      <c r="G140" s="9" t="n">
        <f aca="false">IF(AND(C140=0,E140=0),0,IF(C140=0,"New",(E140-C140)/C140))</f>
        <v>-0.0972875226039783</v>
      </c>
      <c r="H140" s="8" t="n">
        <f aca="false">SUMIFS('Source 2025'!$H:$H,'Source 2025'!$B:$B,$A140,'Source 2025'!$A:$A,"Amount (NIS)")</f>
        <v>12815.8</v>
      </c>
      <c r="I140" s="8" t="n">
        <f aca="false">SUMIFS('Source 2026'!$H:$H,'Source 2026'!$B:$B,$A140,'Source 2026'!$A:$A,"Amount (NIS)")</f>
        <v>8358.4</v>
      </c>
      <c r="J140" s="8" t="n">
        <f aca="false">I140*$J$5</f>
        <v>11462.9485714286</v>
      </c>
      <c r="K140" s="8" t="n">
        <f aca="false">J140-H140</f>
        <v>-1352.85142857143</v>
      </c>
      <c r="L140" s="9" t="n">
        <f aca="false">IF(AND(H140=0,J140=0),0,IF(H140=0,"New",(J140-H140)/H140))</f>
        <v>-0.105561215731474</v>
      </c>
    </row>
    <row r="141" customFormat="false" ht="15" hidden="false" customHeight="false" outlineLevel="0" collapsed="false">
      <c r="A141" s="7" t="n">
        <v>4415160</v>
      </c>
      <c r="B141" s="7" t="str">
        <f aca="false">IFERROR(INDEX('Source 2026'!$C:$C,MATCH($A141,'Source 2026'!$B:$B,0)),IFERROR(INDEX('Source 2025'!$C:$C,MATCH($A141,'Source 2025'!$B:$B,0)),""))</f>
        <v>238S סד ליישור אצבע</v>
      </c>
      <c r="C141" s="8" t="n">
        <f aca="false">SUMIFS('Source 2025'!$H:$H,'Source 2025'!$B:$B,$A141,'Source 2025'!$A:$A,"Quantity (units)")</f>
        <v>1303</v>
      </c>
      <c r="D141" s="8" t="n">
        <f aca="false">SUMIFS('Source 2026'!$H:$H,'Source 2026'!$B:$B,$A141,'Source 2026'!$A:$A,"Quantity (units)")</f>
        <v>1535</v>
      </c>
      <c r="E141" s="8" t="n">
        <f aca="false">D141*$J$5</f>
        <v>2105.14285714286</v>
      </c>
      <c r="F141" s="8" t="n">
        <f aca="false">E141-C141</f>
        <v>802.142857142857</v>
      </c>
      <c r="G141" s="9" t="n">
        <f aca="false">IF(AND(C141=0,E141=0),0,IF(C141=0,"New",(E141-C141)/C141))</f>
        <v>0.615612323210175</v>
      </c>
      <c r="H141" s="8" t="n">
        <f aca="false">SUMIFS('Source 2025'!$H:$H,'Source 2025'!$B:$B,$A141,'Source 2025'!$A:$A,"Amount (NIS)")</f>
        <v>18579.7</v>
      </c>
      <c r="I141" s="8" t="n">
        <f aca="false">SUMIFS('Source 2026'!$H:$H,'Source 2026'!$B:$B,$A141,'Source 2026'!$A:$A,"Amount (NIS)")</f>
        <v>23030.3</v>
      </c>
      <c r="J141" s="8" t="n">
        <f aca="false">I141*$J$5</f>
        <v>31584.4114285714</v>
      </c>
      <c r="K141" s="8" t="n">
        <f aca="false">J141-H141</f>
        <v>13004.7114285714</v>
      </c>
      <c r="L141" s="9" t="n">
        <f aca="false">IF(AND(H141=0,J141=0),0,IF(H141=0,"New",(J141-H141)/H141))</f>
        <v>0.699941948931976</v>
      </c>
    </row>
    <row r="142" customFormat="false" ht="15" hidden="false" customHeight="false" outlineLevel="0" collapsed="false">
      <c r="A142" s="7" t="n">
        <v>4413129</v>
      </c>
      <c r="B142" s="7" t="str">
        <f aca="false">IFERROR(INDEX('Source 2026'!$C:$C,MATCH($A142,'Source 2026'!$B:$B,0)),IFERROR(INDEX('Source 2025'!$C:$C,MATCH($A142,'Source 2025'!$B:$B,0)),""))</f>
        <v>75 XLמיישר כתף יציב יישור ג.צר</v>
      </c>
      <c r="C142" s="8" t="n">
        <f aca="false">SUMIFS('Source 2025'!$H:$H,'Source 2025'!$B:$B,$A142,'Source 2025'!$A:$A,"Quantity (units)")</f>
        <v>33</v>
      </c>
      <c r="D142" s="8" t="n">
        <f aca="false">SUMIFS('Source 2026'!$H:$H,'Source 2026'!$B:$B,$A142,'Source 2026'!$A:$A,"Quantity (units)")</f>
        <v>-1</v>
      </c>
      <c r="E142" s="8" t="n">
        <f aca="false">D142*$J$5</f>
        <v>-1.37142857142857</v>
      </c>
      <c r="F142" s="8" t="n">
        <f aca="false">E142-C142</f>
        <v>-34.3714285714286</v>
      </c>
      <c r="G142" s="9" t="n">
        <f aca="false">IF(AND(C142=0,E142=0),0,IF(C142=0,"New",(E142-C142)/C142))</f>
        <v>-1.04155844155844</v>
      </c>
      <c r="H142" s="8" t="n">
        <f aca="false">SUMIFS('Source 2025'!$H:$H,'Source 2025'!$B:$B,$A142,'Source 2025'!$A:$A,"Amount (NIS)")</f>
        <v>4377.7</v>
      </c>
      <c r="I142" s="8" t="n">
        <f aca="false">SUMIFS('Source 2026'!$H:$H,'Source 2026'!$B:$B,$A142,'Source 2026'!$A:$A,"Amount (NIS)")</f>
        <v>-67.6</v>
      </c>
      <c r="J142" s="8" t="n">
        <f aca="false">I142*$J$5</f>
        <v>-92.7085714285714</v>
      </c>
      <c r="K142" s="8" t="n">
        <f aca="false">J142-H142</f>
        <v>-4470.40857142857</v>
      </c>
      <c r="L142" s="9" t="n">
        <f aca="false">IF(AND(H142=0,J142=0),0,IF(H142=0,"New",(J142-H142)/H142))</f>
        <v>-1.0211774610934</v>
      </c>
    </row>
    <row r="143" customFormat="false" ht="15" hidden="false" customHeight="false" outlineLevel="0" collapsed="false">
      <c r="A143" s="7" t="n">
        <v>4411027</v>
      </c>
      <c r="B143" s="7" t="str">
        <f aca="false">IFERROR(INDEX('Source 2026'!$C:$C,MATCH($A143,'Source 2026'!$B:$B,0)),IFERROR(INDEX('Source 2025'!$C:$C,MATCH($A143,'Source 2025'!$B:$B,0)),""))</f>
        <v>213CTSL M שמאל CTS כפפות</v>
      </c>
      <c r="C143" s="8" t="n">
        <f aca="false">SUMIFS('Source 2025'!$H:$H,'Source 2025'!$B:$B,$A143,'Source 2025'!$A:$A,"Quantity (units)")</f>
        <v>0</v>
      </c>
      <c r="D143" s="8" t="n">
        <f aca="false">SUMIFS('Source 2026'!$H:$H,'Source 2026'!$B:$B,$A143,'Source 2026'!$A:$A,"Quantity (units)")</f>
        <v>43</v>
      </c>
      <c r="E143" s="8" t="n">
        <f aca="false">D143*$J$5</f>
        <v>58.9714285714286</v>
      </c>
      <c r="F143" s="8" t="n">
        <f aca="false">E143-C143</f>
        <v>58.9714285714286</v>
      </c>
      <c r="G143" s="9" t="str">
        <f aca="false">IF(AND(C143=0,E143=0),0,IF(C143=0,"New",(E143-C143)/C143))</f>
        <v>New</v>
      </c>
      <c r="H143" s="8" t="n">
        <f aca="false">SUMIFS('Source 2025'!$H:$H,'Source 2025'!$B:$B,$A143,'Source 2025'!$A:$A,"Amount (NIS)")</f>
        <v>0</v>
      </c>
      <c r="I143" s="8" t="n">
        <f aca="false">SUMIFS('Source 2026'!$H:$H,'Source 2026'!$B:$B,$A143,'Source 2026'!$A:$A,"Amount (NIS)")</f>
        <v>4334.9</v>
      </c>
      <c r="J143" s="8" t="n">
        <f aca="false">I143*$J$5</f>
        <v>5945.00571428571</v>
      </c>
      <c r="K143" s="8" t="n">
        <f aca="false">J143-H143</f>
        <v>5945.00571428571</v>
      </c>
      <c r="L143" s="9" t="str">
        <f aca="false">IF(AND(H143=0,J143=0),0,IF(H143=0,"New",(J143-H143)/H143))</f>
        <v>New</v>
      </c>
    </row>
    <row r="144" customFormat="false" ht="15" hidden="false" customHeight="false" outlineLevel="0" collapsed="false">
      <c r="A144" s="7" t="n">
        <v>4411030</v>
      </c>
      <c r="B144" s="7" t="str">
        <f aca="false">IFERROR(INDEX('Source 2026'!$C:$C,MATCH($A144,'Source 2026'!$B:$B,0)),IFERROR(INDEX('Source 2025'!$C:$C,MATCH($A144,'Source 2025'!$B:$B,0)),""))</f>
        <v>213CTSR M ימין CTS כפפות</v>
      </c>
      <c r="C144" s="8" t="n">
        <f aca="false">SUMIFS('Source 2025'!$H:$H,'Source 2025'!$B:$B,$A144,'Source 2025'!$A:$A,"Quantity (units)")</f>
        <v>0</v>
      </c>
      <c r="D144" s="8" t="n">
        <f aca="false">SUMIFS('Source 2026'!$H:$H,'Source 2026'!$B:$B,$A144,'Source 2026'!$A:$A,"Quantity (units)")</f>
        <v>43</v>
      </c>
      <c r="E144" s="8" t="n">
        <f aca="false">D144*$J$5</f>
        <v>58.9714285714286</v>
      </c>
      <c r="F144" s="8" t="n">
        <f aca="false">E144-C144</f>
        <v>58.9714285714286</v>
      </c>
      <c r="G144" s="9" t="str">
        <f aca="false">IF(AND(C144=0,E144=0),0,IF(C144=0,"New",(E144-C144)/C144))</f>
        <v>New</v>
      </c>
      <c r="H144" s="8" t="n">
        <f aca="false">SUMIFS('Source 2025'!$H:$H,'Source 2025'!$B:$B,$A144,'Source 2025'!$A:$A,"Amount (NIS)")</f>
        <v>0</v>
      </c>
      <c r="I144" s="8" t="n">
        <f aca="false">SUMIFS('Source 2026'!$H:$H,'Source 2026'!$B:$B,$A144,'Source 2026'!$A:$A,"Amount (NIS)")</f>
        <v>4329.8</v>
      </c>
      <c r="J144" s="8" t="n">
        <f aca="false">I144*$J$5</f>
        <v>5938.01142857143</v>
      </c>
      <c r="K144" s="8" t="n">
        <f aca="false">J144-H144</f>
        <v>5938.01142857143</v>
      </c>
      <c r="L144" s="9" t="str">
        <f aca="false">IF(AND(H144=0,J144=0),0,IF(H144=0,"New",(J144-H144)/H144))</f>
        <v>New</v>
      </c>
    </row>
    <row r="145" customFormat="false" ht="15" hidden="false" customHeight="false" outlineLevel="0" collapsed="false">
      <c r="A145" s="7" t="n">
        <v>4413058</v>
      </c>
      <c r="B145" s="7" t="str">
        <f aca="false">IFERROR(INDEX('Source 2026'!$C:$C,MATCH($A145,'Source 2026'!$B:$B,0)),IFERROR(INDEX('Source 2025'!$C:$C,MATCH($A145,'Source 2025'!$B:$B,0)),""))</f>
        <v>3622S מדבקה לשחרור לחץ 2 יח</v>
      </c>
      <c r="C145" s="8" t="n">
        <f aca="false">SUMIFS('Source 2025'!$H:$H,'Source 2025'!$B:$B,$A145,'Source 2025'!$A:$A,"Quantity (units)")</f>
        <v>571</v>
      </c>
      <c r="D145" s="8" t="n">
        <f aca="false">SUMIFS('Source 2026'!$H:$H,'Source 2026'!$B:$B,$A145,'Source 2026'!$A:$A,"Quantity (units)")</f>
        <v>410</v>
      </c>
      <c r="E145" s="8" t="n">
        <f aca="false">D145*$J$5</f>
        <v>562.285714285714</v>
      </c>
      <c r="F145" s="8" t="n">
        <f aca="false">E145-C145</f>
        <v>-8.71428571428567</v>
      </c>
      <c r="G145" s="9" t="n">
        <f aca="false">IF(AND(C145=0,E145=0),0,IF(C145=0,"New",(E145-C145)/C145))</f>
        <v>-0.0152614460845633</v>
      </c>
      <c r="H145" s="8" t="n">
        <f aca="false">SUMIFS('Source 2025'!$H:$H,'Source 2025'!$B:$B,$A145,'Source 2025'!$A:$A,"Amount (NIS)")</f>
        <v>15313.6</v>
      </c>
      <c r="I145" s="8" t="n">
        <f aca="false">SUMIFS('Source 2026'!$H:$H,'Source 2026'!$B:$B,$A145,'Source 2026'!$A:$A,"Amount (NIS)")</f>
        <v>11065.3</v>
      </c>
      <c r="J145" s="8" t="n">
        <f aca="false">I145*$J$5</f>
        <v>15175.2685714286</v>
      </c>
      <c r="K145" s="8" t="n">
        <f aca="false">J145-H145</f>
        <v>-138.33142857143</v>
      </c>
      <c r="L145" s="9" t="n">
        <f aca="false">IF(AND(H145=0,J145=0),0,IF(H145=0,"New",(J145-H145)/H145))</f>
        <v>-0.0090332402943416</v>
      </c>
    </row>
    <row r="146" customFormat="false" ht="15" hidden="false" customHeight="false" outlineLevel="0" collapsed="false">
      <c r="A146" s="7" t="n">
        <v>4413141</v>
      </c>
      <c r="B146" s="7" t="str">
        <f aca="false">IFERROR(INDEX('Source 2026'!$C:$C,MATCH($A146,'Source 2026'!$B:$B,0)),IFERROR(INDEX('Source 2025'!$C:$C,MATCH($A146,'Source 2025'!$B:$B,0)),""))</f>
        <v>95 S מגן מרפק רגיל לבן</v>
      </c>
      <c r="C146" s="8" t="n">
        <f aca="false">SUMIFS('Source 2025'!$H:$H,'Source 2025'!$B:$B,$A146,'Source 2025'!$A:$A,"Quantity (units)")</f>
        <v>391</v>
      </c>
      <c r="D146" s="8" t="n">
        <f aca="false">SUMIFS('Source 2026'!$H:$H,'Source 2026'!$B:$B,$A146,'Source 2026'!$A:$A,"Quantity (units)")</f>
        <v>229</v>
      </c>
      <c r="E146" s="8" t="n">
        <f aca="false">D146*$J$5</f>
        <v>314.057142857143</v>
      </c>
      <c r="F146" s="8" t="n">
        <f aca="false">E146-C146</f>
        <v>-76.9428571428571</v>
      </c>
      <c r="G146" s="9" t="n">
        <f aca="false">IF(AND(C146=0,E146=0),0,IF(C146=0,"New",(E146-C146)/C146))</f>
        <v>-0.196784800876872</v>
      </c>
      <c r="H146" s="8" t="n">
        <f aca="false">SUMIFS('Source 2025'!$H:$H,'Source 2025'!$B:$B,$A146,'Source 2025'!$A:$A,"Amount (NIS)")</f>
        <v>10058</v>
      </c>
      <c r="I146" s="8" t="n">
        <f aca="false">SUMIFS('Source 2026'!$H:$H,'Source 2026'!$B:$B,$A146,'Source 2026'!$A:$A,"Amount (NIS)")</f>
        <v>5945</v>
      </c>
      <c r="J146" s="8" t="n">
        <f aca="false">I146*$J$5</f>
        <v>8153.14285714286</v>
      </c>
      <c r="K146" s="8" t="n">
        <f aca="false">J146-H146</f>
        <v>-1904.85714285714</v>
      </c>
      <c r="L146" s="9" t="n">
        <f aca="false">IF(AND(H146=0,J146=0),0,IF(H146=0,"New",(J146-H146)/H146))</f>
        <v>-0.189387268130557</v>
      </c>
    </row>
    <row r="147" customFormat="false" ht="15" hidden="false" customHeight="false" outlineLevel="0" collapsed="false">
      <c r="A147" s="7" t="n">
        <v>4411023</v>
      </c>
      <c r="B147" s="7" t="str">
        <f aca="false">IFERROR(INDEX('Source 2026'!$C:$C,MATCH($A147,'Source 2026'!$B:$B,0)),IFERROR(INDEX('Source 2025'!$C:$C,MATCH($A147,'Source 2025'!$B:$B,0)),""))</f>
        <v>212S כפפות אגודל לחץ</v>
      </c>
      <c r="C147" s="8" t="n">
        <f aca="false">SUMIFS('Source 2025'!$H:$H,'Source 2025'!$B:$B,$A147,'Source 2025'!$A:$A,"Quantity (units)")</f>
        <v>395</v>
      </c>
      <c r="D147" s="8" t="n">
        <f aca="false">SUMIFS('Source 2026'!$H:$H,'Source 2026'!$B:$B,$A147,'Source 2026'!$A:$A,"Quantity (units)")</f>
        <v>249</v>
      </c>
      <c r="E147" s="8" t="n">
        <f aca="false">D147*$J$5</f>
        <v>341.485714285714</v>
      </c>
      <c r="F147" s="8" t="n">
        <f aca="false">E147-C147</f>
        <v>-53.5142857142857</v>
      </c>
      <c r="G147" s="9" t="n">
        <f aca="false">IF(AND(C147=0,E147=0),0,IF(C147=0,"New",(E147-C147)/C147))</f>
        <v>-0.135479204339964</v>
      </c>
      <c r="H147" s="8" t="n">
        <f aca="false">SUMIFS('Source 2025'!$H:$H,'Source 2025'!$B:$B,$A147,'Source 2025'!$A:$A,"Amount (NIS)")</f>
        <v>11254.2</v>
      </c>
      <c r="I147" s="8" t="n">
        <f aca="false">SUMIFS('Source 2026'!$H:$H,'Source 2026'!$B:$B,$A147,'Source 2026'!$A:$A,"Amount (NIS)")</f>
        <v>7258</v>
      </c>
      <c r="J147" s="8" t="n">
        <f aca="false">I147*$J$5</f>
        <v>9953.82857142857</v>
      </c>
      <c r="K147" s="8" t="n">
        <f aca="false">J147-H147</f>
        <v>-1300.37142857143</v>
      </c>
      <c r="L147" s="9" t="n">
        <f aca="false">IF(AND(H147=0,J147=0),0,IF(H147=0,"New",(J147-H147)/H147))</f>
        <v>-0.115545434466371</v>
      </c>
    </row>
    <row r="148" customFormat="false" ht="15" hidden="false" customHeight="false" outlineLevel="0" collapsed="false">
      <c r="A148" s="7" t="n">
        <v>4418000</v>
      </c>
      <c r="B148" s="7" t="str">
        <f aca="false">IFERROR(INDEX('Source 2026'!$C:$C,MATCH($A148,'Source 2026'!$B:$B,0)),IFERROR(INDEX('Source 2025'!$C:$C,MATCH($A148,'Source 2025'!$B:$B,0)),""))</f>
        <v>60 L צוארון ספוגי</v>
      </c>
      <c r="C148" s="8" t="n">
        <f aca="false">SUMIFS('Source 2025'!$H:$H,'Source 2025'!$B:$B,$A148,'Source 2025'!$A:$A,"Quantity (units)")</f>
        <v>596</v>
      </c>
      <c r="D148" s="8" t="n">
        <f aca="false">SUMIFS('Source 2026'!$H:$H,'Source 2026'!$B:$B,$A148,'Source 2026'!$A:$A,"Quantity (units)")</f>
        <v>431</v>
      </c>
      <c r="E148" s="8" t="n">
        <f aca="false">D148*$J$5</f>
        <v>591.085714285714</v>
      </c>
      <c r="F148" s="8" t="n">
        <f aca="false">E148-C148</f>
        <v>-4.91428571428571</v>
      </c>
      <c r="G148" s="9" t="n">
        <f aca="false">IF(AND(C148=0,E148=0),0,IF(C148=0,"New",(E148-C148)/C148))</f>
        <v>-0.00824544582933844</v>
      </c>
      <c r="H148" s="8" t="n">
        <f aca="false">SUMIFS('Source 2025'!$H:$H,'Source 2025'!$B:$B,$A148,'Source 2025'!$A:$A,"Amount (NIS)")</f>
        <v>17843.1</v>
      </c>
      <c r="I148" s="8" t="n">
        <f aca="false">SUMIFS('Source 2026'!$H:$H,'Source 2026'!$B:$B,$A148,'Source 2026'!$A:$A,"Amount (NIS)")</f>
        <v>13864.9</v>
      </c>
      <c r="J148" s="8" t="n">
        <f aca="false">I148*$J$5</f>
        <v>19014.72</v>
      </c>
      <c r="K148" s="8" t="n">
        <f aca="false">J148-H148</f>
        <v>1171.62</v>
      </c>
      <c r="L148" s="9" t="n">
        <f aca="false">IF(AND(H148=0,J148=0),0,IF(H148=0,"New",(J148-H148)/H148))</f>
        <v>0.0656623568774486</v>
      </c>
    </row>
    <row r="149" customFormat="false" ht="15" hidden="false" customHeight="false" outlineLevel="0" collapsed="false">
      <c r="A149" s="7" t="n">
        <v>4413196</v>
      </c>
      <c r="B149" s="7" t="str">
        <f aca="false">IFERROR(INDEX('Source 2026'!$C:$C,MATCH($A149,'Source 2026'!$B:$B,0)),IFERROR(INDEX('Source 2025'!$C:$C,MATCH($A149,'Source 2025'!$B:$B,0)),""))</f>
        <v>87 M מקבע כתף ויד</v>
      </c>
      <c r="C149" s="8" t="n">
        <f aca="false">SUMIFS('Source 2025'!$H:$H,'Source 2025'!$B:$B,$A149,'Source 2025'!$A:$A,"Quantity (units)")</f>
        <v>130</v>
      </c>
      <c r="D149" s="8" t="n">
        <f aca="false">SUMIFS('Source 2026'!$H:$H,'Source 2026'!$B:$B,$A149,'Source 2026'!$A:$A,"Quantity (units)")</f>
        <v>105</v>
      </c>
      <c r="E149" s="8" t="n">
        <f aca="false">D149*$J$5</f>
        <v>144</v>
      </c>
      <c r="F149" s="8" t="n">
        <f aca="false">E149-C149</f>
        <v>14</v>
      </c>
      <c r="G149" s="9" t="n">
        <f aca="false">IF(AND(C149=0,E149=0),0,IF(C149=0,"New",(E149-C149)/C149))</f>
        <v>0.107692307692308</v>
      </c>
      <c r="H149" s="8" t="n">
        <f aca="false">SUMIFS('Source 2025'!$H:$H,'Source 2025'!$B:$B,$A149,'Source 2025'!$A:$A,"Amount (NIS)")</f>
        <v>20889.7</v>
      </c>
      <c r="I149" s="8" t="n">
        <f aca="false">SUMIFS('Source 2026'!$H:$H,'Source 2026'!$B:$B,$A149,'Source 2026'!$A:$A,"Amount (NIS)")</f>
        <v>16961.5</v>
      </c>
      <c r="J149" s="8" t="n">
        <f aca="false">I149*$J$5</f>
        <v>23261.4857142857</v>
      </c>
      <c r="K149" s="8" t="n">
        <f aca="false">J149-H149</f>
        <v>2371.78571428571</v>
      </c>
      <c r="L149" s="9" t="n">
        <f aca="false">IF(AND(H149=0,J149=0),0,IF(H149=0,"New",(J149-H149)/H149))</f>
        <v>0.113538524453952</v>
      </c>
    </row>
    <row r="150" customFormat="false" ht="15" hidden="false" customHeight="false" outlineLevel="0" collapsed="false">
      <c r="A150" s="7" t="n">
        <v>4413183</v>
      </c>
      <c r="B150" s="7" t="str">
        <f aca="false">IFERROR(INDEX('Source 2026'!$C:$C,MATCH($A150,'Source 2026'!$B:$B,0)),IFERROR(INDEX('Source 2025'!$C:$C,MATCH($A150,'Source 2025'!$B:$B,0)),""))</f>
        <v>T 45 M מגן ברך רגיל</v>
      </c>
      <c r="C150" s="8" t="n">
        <f aca="false">SUMIFS('Source 2025'!$H:$H,'Source 2025'!$B:$B,$A150,'Source 2025'!$A:$A,"Quantity (units)")</f>
        <v>78</v>
      </c>
      <c r="D150" s="8" t="n">
        <f aca="false">SUMIFS('Source 2026'!$H:$H,'Source 2026'!$B:$B,$A150,'Source 2026'!$A:$A,"Quantity (units)")</f>
        <v>34</v>
      </c>
      <c r="E150" s="8" t="n">
        <f aca="false">D150*$J$5</f>
        <v>46.6285714285714</v>
      </c>
      <c r="F150" s="8" t="n">
        <f aca="false">E150-C150</f>
        <v>-31.3714285714286</v>
      </c>
      <c r="G150" s="9" t="n">
        <f aca="false">IF(AND(C150=0,E150=0),0,IF(C150=0,"New",(E150-C150)/C150))</f>
        <v>-0.402197802197802</v>
      </c>
      <c r="H150" s="8" t="n">
        <f aca="false">SUMIFS('Source 2025'!$H:$H,'Source 2025'!$B:$B,$A150,'Source 2025'!$A:$A,"Amount (NIS)")</f>
        <v>7014.3</v>
      </c>
      <c r="I150" s="8" t="n">
        <f aca="false">SUMIFS('Source 2026'!$H:$H,'Source 2026'!$B:$B,$A150,'Source 2026'!$A:$A,"Amount (NIS)")</f>
        <v>3106.2</v>
      </c>
      <c r="J150" s="8" t="n">
        <f aca="false">I150*$J$5</f>
        <v>4259.93142857143</v>
      </c>
      <c r="K150" s="8" t="n">
        <f aca="false">J150-H150</f>
        <v>-2754.36857142857</v>
      </c>
      <c r="L150" s="9" t="n">
        <f aca="false">IF(AND(H150=0,J150=0),0,IF(H150=0,"New",(J150-H150)/H150))</f>
        <v>-0.39267903731357</v>
      </c>
    </row>
    <row r="151" customFormat="false" ht="15" hidden="false" customHeight="false" outlineLevel="0" collapsed="false">
      <c r="A151" s="7" t="n">
        <v>4422038</v>
      </c>
      <c r="B151" s="7" t="str">
        <f aca="false">IFERROR(INDEX('Source 2026'!$C:$C,MATCH($A151,'Source 2026'!$B:$B,0)),IFERROR(INDEX('Source 2025'!$C:$C,MATCH($A151,'Source 2025'!$B:$B,0)),""))</f>
        <v>SH422 2 תומך ברך גנושילד</v>
      </c>
      <c r="C151" s="8" t="n">
        <f aca="false">SUMIFS('Source 2025'!$H:$H,'Source 2025'!$B:$B,$A151,'Source 2025'!$A:$A,"Quantity (units)")</f>
        <v>0</v>
      </c>
      <c r="D151" s="8" t="n">
        <f aca="false">SUMIFS('Source 2026'!$H:$H,'Source 2026'!$B:$B,$A151,'Source 2026'!$A:$A,"Quantity (units)")</f>
        <v>21</v>
      </c>
      <c r="E151" s="8" t="n">
        <f aca="false">D151*$J$5</f>
        <v>28.8</v>
      </c>
      <c r="F151" s="8" t="n">
        <f aca="false">E151-C151</f>
        <v>28.8</v>
      </c>
      <c r="G151" s="9" t="str">
        <f aca="false">IF(AND(C151=0,E151=0),0,IF(C151=0,"New",(E151-C151)/C151))</f>
        <v>New</v>
      </c>
      <c r="H151" s="8" t="n">
        <f aca="false">SUMIFS('Source 2025'!$H:$H,'Source 2025'!$B:$B,$A151,'Source 2025'!$A:$A,"Amount (NIS)")</f>
        <v>0</v>
      </c>
      <c r="I151" s="8" t="n">
        <f aca="false">SUMIFS('Source 2026'!$H:$H,'Source 2026'!$B:$B,$A151,'Source 2026'!$A:$A,"Amount (NIS)")</f>
        <v>3801.4</v>
      </c>
      <c r="J151" s="8" t="n">
        <f aca="false">I151*$J$5</f>
        <v>5213.34857142857</v>
      </c>
      <c r="K151" s="8" t="n">
        <f aca="false">J151-H151</f>
        <v>5213.34857142857</v>
      </c>
      <c r="L151" s="9" t="str">
        <f aca="false">IF(AND(H151=0,J151=0),0,IF(H151=0,"New",(J151-H151)/H151))</f>
        <v>New</v>
      </c>
    </row>
    <row r="152" customFormat="false" ht="15" hidden="false" customHeight="false" outlineLevel="0" collapsed="false">
      <c r="A152" s="7" t="n">
        <v>4408028</v>
      </c>
      <c r="B152" s="7" t="str">
        <f aca="false">IFERROR(INDEX('Source 2026'!$C:$C,MATCH($A152,'Source 2026'!$B:$B,0)),IFERROR(INDEX('Source 2025'!$C:$C,MATCH($A152,'Source 2025'!$B:$B,0)),""))</f>
        <v>10 M ""חגורת גב ""לומבו</v>
      </c>
      <c r="C152" s="8" t="n">
        <f aca="false">SUMIFS('Source 2025'!$H:$H,'Source 2025'!$B:$B,$A152,'Source 2025'!$A:$A,"Quantity (units)")</f>
        <v>37</v>
      </c>
      <c r="D152" s="8" t="n">
        <f aca="false">SUMIFS('Source 2026'!$H:$H,'Source 2026'!$B:$B,$A152,'Source 2026'!$A:$A,"Quantity (units)")</f>
        <v>8</v>
      </c>
      <c r="E152" s="8" t="n">
        <f aca="false">D152*$J$5</f>
        <v>10.9714285714286</v>
      </c>
      <c r="F152" s="8" t="n">
        <f aca="false">E152-C152</f>
        <v>-26.0285714285714</v>
      </c>
      <c r="G152" s="9" t="n">
        <f aca="false">IF(AND(C152=0,E152=0),0,IF(C152=0,"New",(E152-C152)/C152))</f>
        <v>-0.703474903474904</v>
      </c>
      <c r="H152" s="8" t="n">
        <f aca="false">SUMIFS('Source 2025'!$H:$H,'Source 2025'!$B:$B,$A152,'Source 2025'!$A:$A,"Amount (NIS)")</f>
        <v>4875.8</v>
      </c>
      <c r="I152" s="8" t="n">
        <f aca="false">SUMIFS('Source 2026'!$H:$H,'Source 2026'!$B:$B,$A152,'Source 2026'!$A:$A,"Amount (NIS)")</f>
        <v>1093.8</v>
      </c>
      <c r="J152" s="8" t="n">
        <f aca="false">I152*$J$5</f>
        <v>1500.06857142857</v>
      </c>
      <c r="K152" s="8" t="n">
        <f aca="false">J152-H152</f>
        <v>-3375.73142857143</v>
      </c>
      <c r="L152" s="9" t="n">
        <f aca="false">IF(AND(H152=0,J152=0),0,IF(H152=0,"New",(J152-H152)/H152))</f>
        <v>-0.692344113493463</v>
      </c>
    </row>
    <row r="153" customFormat="false" ht="15" hidden="false" customHeight="false" outlineLevel="0" collapsed="false">
      <c r="A153" s="7" t="n">
        <v>4408273</v>
      </c>
      <c r="B153" s="7" t="str">
        <f aca="false">IFERROR(INDEX('Source 2026'!$C:$C,MATCH($A153,'Source 2026'!$B:$B,0)),IFERROR(INDEX('Source 2025'!$C:$C,MATCH($A153,'Source 2025'!$B:$B,0)),""))</f>
        <v>70N M חגורת פאבליק</v>
      </c>
      <c r="C153" s="8" t="n">
        <f aca="false">SUMIFS('Source 2025'!$H:$H,'Source 2025'!$B:$B,$A153,'Source 2025'!$A:$A,"Quantity (units)")</f>
        <v>0</v>
      </c>
      <c r="D153" s="8" t="n">
        <f aca="false">SUMIFS('Source 2026'!$H:$H,'Source 2026'!$B:$B,$A153,'Source 2026'!$A:$A,"Quantity (units)")</f>
        <v>13</v>
      </c>
      <c r="E153" s="8" t="n">
        <f aca="false">D153*$J$5</f>
        <v>17.8285714285714</v>
      </c>
      <c r="F153" s="8" t="n">
        <f aca="false">E153-C153</f>
        <v>17.8285714285714</v>
      </c>
      <c r="G153" s="9" t="str">
        <f aca="false">IF(AND(C153=0,E153=0),0,IF(C153=0,"New",(E153-C153)/C153))</f>
        <v>New</v>
      </c>
      <c r="H153" s="8" t="n">
        <f aca="false">SUMIFS('Source 2025'!$H:$H,'Source 2025'!$B:$B,$A153,'Source 2025'!$A:$A,"Amount (NIS)")</f>
        <v>0</v>
      </c>
      <c r="I153" s="8" t="n">
        <f aca="false">SUMIFS('Source 2026'!$H:$H,'Source 2026'!$B:$B,$A153,'Source 2026'!$A:$A,"Amount (NIS)")</f>
        <v>3629.4</v>
      </c>
      <c r="J153" s="8" t="n">
        <f aca="false">I153*$J$5</f>
        <v>4977.46285714286</v>
      </c>
      <c r="K153" s="8" t="n">
        <f aca="false">J153-H153</f>
        <v>4977.46285714286</v>
      </c>
      <c r="L153" s="9" t="str">
        <f aca="false">IF(AND(H153=0,J153=0),0,IF(H153=0,"New",(J153-H153)/H153))</f>
        <v>New</v>
      </c>
    </row>
    <row r="154" customFormat="false" ht="15" hidden="false" customHeight="false" outlineLevel="0" collapsed="false">
      <c r="A154" s="7" t="n">
        <v>4419011</v>
      </c>
      <c r="B154" s="7" t="str">
        <f aca="false">IFERROR(INDEX('Source 2026'!$C:$C,MATCH($A154,'Source 2026'!$B:$B,0)),IFERROR(INDEX('Source 2025'!$C:$C,MATCH($A154,'Source 2025'!$B:$B,0)),""))</f>
        <v>239B S-M STRAP4U</v>
      </c>
      <c r="C154" s="8" t="n">
        <f aca="false">SUMIFS('Source 2025'!$H:$H,'Source 2025'!$B:$B,$A154,'Source 2025'!$A:$A,"Quantity (units)")</f>
        <v>257</v>
      </c>
      <c r="D154" s="8" t="n">
        <f aca="false">SUMIFS('Source 2026'!$H:$H,'Source 2026'!$B:$B,$A154,'Source 2026'!$A:$A,"Quantity (units)")</f>
        <v>41</v>
      </c>
      <c r="E154" s="8" t="n">
        <f aca="false">D154*$J$5</f>
        <v>56.2285714285714</v>
      </c>
      <c r="F154" s="8" t="n">
        <f aca="false">E154-C154</f>
        <v>-200.771428571429</v>
      </c>
      <c r="G154" s="9" t="n">
        <f aca="false">IF(AND(C154=0,E154=0),0,IF(C154=0,"New",(E154-C154)/C154))</f>
        <v>-0.781211784324625</v>
      </c>
      <c r="H154" s="8" t="n">
        <f aca="false">SUMIFS('Source 2025'!$H:$H,'Source 2025'!$B:$B,$A154,'Source 2025'!$A:$A,"Amount (NIS)")</f>
        <v>4298.7</v>
      </c>
      <c r="I154" s="8" t="n">
        <f aca="false">SUMIFS('Source 2026'!$H:$H,'Source 2026'!$B:$B,$A154,'Source 2026'!$A:$A,"Amount (NIS)")</f>
        <v>737.4</v>
      </c>
      <c r="J154" s="8" t="n">
        <f aca="false">I154*$J$5</f>
        <v>1011.29142857143</v>
      </c>
      <c r="K154" s="8" t="n">
        <f aca="false">J154-H154</f>
        <v>-3287.40857142857</v>
      </c>
      <c r="L154" s="9" t="n">
        <f aca="false">IF(AND(H154=0,J154=0),0,IF(H154=0,"New",(J154-H154)/H154))</f>
        <v>-0.764744823185747</v>
      </c>
    </row>
    <row r="155" customFormat="false" ht="15" hidden="false" customHeight="false" outlineLevel="0" collapsed="false">
      <c r="A155" s="7" t="n">
        <v>4408047</v>
      </c>
      <c r="B155" s="7" t="str">
        <f aca="false">IFERROR(INDEX('Source 2026'!$C:$C,MATCH($A155,'Source 2026'!$B:$B,0)),IFERROR(INDEX('Source 2025'!$C:$C,MATCH($A155,'Source 2025'!$B:$B,0)),""))</f>
        <v>20 M חבק יד מתכוון עם צמדן</v>
      </c>
      <c r="C155" s="8" t="n">
        <f aca="false">SUMIFS('Source 2025'!$H:$H,'Source 2025'!$B:$B,$A155,'Source 2025'!$A:$A,"Quantity (units)")</f>
        <v>282</v>
      </c>
      <c r="D155" s="8" t="n">
        <f aca="false">SUMIFS('Source 2026'!$H:$H,'Source 2026'!$B:$B,$A155,'Source 2026'!$A:$A,"Quantity (units)")</f>
        <v>138</v>
      </c>
      <c r="E155" s="8" t="n">
        <f aca="false">D155*$J$5</f>
        <v>189.257142857143</v>
      </c>
      <c r="F155" s="8" t="n">
        <f aca="false">E155-C155</f>
        <v>-92.7428571428571</v>
      </c>
      <c r="G155" s="9" t="n">
        <f aca="false">IF(AND(C155=0,E155=0),0,IF(C155=0,"New",(E155-C155)/C155))</f>
        <v>-0.32887537993921</v>
      </c>
      <c r="H155" s="8" t="n">
        <f aca="false">SUMIFS('Source 2025'!$H:$H,'Source 2025'!$B:$B,$A155,'Source 2025'!$A:$A,"Amount (NIS)")</f>
        <v>7085.9</v>
      </c>
      <c r="I155" s="8" t="n">
        <f aca="false">SUMIFS('Source 2026'!$H:$H,'Source 2026'!$B:$B,$A155,'Source 2026'!$A:$A,"Amount (NIS)")</f>
        <v>3527.4</v>
      </c>
      <c r="J155" s="8" t="n">
        <f aca="false">I155*$J$5</f>
        <v>4837.57714285714</v>
      </c>
      <c r="K155" s="8" t="n">
        <f aca="false">J155-H155</f>
        <v>-2248.32285714286</v>
      </c>
      <c r="L155" s="9" t="n">
        <f aca="false">IF(AND(H155=0,J155=0),0,IF(H155=0,"New",(J155-H155)/H155))</f>
        <v>-0.317295312824462</v>
      </c>
    </row>
    <row r="156" customFormat="false" ht="15" hidden="false" customHeight="false" outlineLevel="0" collapsed="false">
      <c r="A156" s="7" t="n">
        <v>4419014</v>
      </c>
      <c r="B156" s="7" t="str">
        <f aca="false">IFERROR(INDEX('Source 2026'!$C:$C,MATCH($A156,'Source 2026'!$B:$B,0)),IFERROR(INDEX('Source 2025'!$C:$C,MATCH($A156,'Source 2025'!$B:$B,0)),""))</f>
        <v>239TR L-XL STRAP4U</v>
      </c>
      <c r="C156" s="8" t="n">
        <f aca="false">SUMIFS('Source 2025'!$H:$H,'Source 2025'!$B:$B,$A156,'Source 2025'!$A:$A,"Quantity (units)")</f>
        <v>328</v>
      </c>
      <c r="D156" s="8" t="n">
        <f aca="false">SUMIFS('Source 2026'!$H:$H,'Source 2026'!$B:$B,$A156,'Source 2026'!$A:$A,"Quantity (units)")</f>
        <v>118</v>
      </c>
      <c r="E156" s="8" t="n">
        <f aca="false">D156*$J$5</f>
        <v>161.828571428571</v>
      </c>
      <c r="F156" s="8" t="n">
        <f aca="false">E156-C156</f>
        <v>-166.171428571429</v>
      </c>
      <c r="G156" s="9" t="n">
        <f aca="false">IF(AND(C156=0,E156=0),0,IF(C156=0,"New",(E156-C156)/C156))</f>
        <v>-0.506620209059233</v>
      </c>
      <c r="H156" s="8" t="n">
        <f aca="false">SUMIFS('Source 2025'!$H:$H,'Source 2025'!$B:$B,$A156,'Source 2025'!$A:$A,"Amount (NIS)")</f>
        <v>5450</v>
      </c>
      <c r="I156" s="8" t="n">
        <f aca="false">SUMIFS('Source 2026'!$H:$H,'Source 2026'!$B:$B,$A156,'Source 2026'!$A:$A,"Amount (NIS)")</f>
        <v>1978.2</v>
      </c>
      <c r="J156" s="8" t="n">
        <f aca="false">I156*$J$5</f>
        <v>2712.96</v>
      </c>
      <c r="K156" s="8" t="n">
        <f aca="false">J156-H156</f>
        <v>-2737.04</v>
      </c>
      <c r="L156" s="9" t="n">
        <f aca="false">IF(AND(H156=0,J156=0),0,IF(H156=0,"New",(J156-H156)/H156))</f>
        <v>-0.502209174311927</v>
      </c>
    </row>
    <row r="157" customFormat="false" ht="15" hidden="false" customHeight="false" outlineLevel="0" collapsed="false">
      <c r="A157" s="7" t="n">
        <v>4408266</v>
      </c>
      <c r="B157" s="7" t="str">
        <f aca="false">IFERROR(INDEX('Source 2026'!$C:$C,MATCH($A157,'Source 2026'!$B:$B,0)),IFERROR(INDEX('Source 2025'!$C:$C,MATCH($A157,'Source 2025'!$B:$B,0)),""))</f>
        <v>91B חבק טניס אלבו</v>
      </c>
      <c r="C157" s="8" t="n">
        <f aca="false">SUMIFS('Source 2025'!$H:$H,'Source 2025'!$B:$B,$A157,'Source 2025'!$A:$A,"Quantity (units)")</f>
        <v>922</v>
      </c>
      <c r="D157" s="8" t="n">
        <f aca="false">SUMIFS('Source 2026'!$H:$H,'Source 2026'!$B:$B,$A157,'Source 2026'!$A:$A,"Quantity (units)")</f>
        <v>909</v>
      </c>
      <c r="E157" s="8" t="n">
        <f aca="false">D157*$J$5</f>
        <v>1246.62857142857</v>
      </c>
      <c r="F157" s="8" t="n">
        <f aca="false">E157-C157</f>
        <v>324.628571428571</v>
      </c>
      <c r="G157" s="9" t="n">
        <f aca="false">IF(AND(C157=0,E157=0),0,IF(C157=0,"New",(E157-C157)/C157))</f>
        <v>0.352091726061357</v>
      </c>
      <c r="H157" s="8" t="n">
        <f aca="false">SUMIFS('Source 2025'!$H:$H,'Source 2025'!$B:$B,$A157,'Source 2025'!$A:$A,"Amount (NIS)")</f>
        <v>62831.2</v>
      </c>
      <c r="I157" s="8" t="n">
        <f aca="false">SUMIFS('Source 2026'!$H:$H,'Source 2026'!$B:$B,$A157,'Source 2026'!$A:$A,"Amount (NIS)")</f>
        <v>66257.5</v>
      </c>
      <c r="J157" s="8" t="n">
        <f aca="false">I157*$J$5</f>
        <v>90867.4285714286</v>
      </c>
      <c r="K157" s="8" t="n">
        <f aca="false">J157-H157</f>
        <v>28036.2285714286</v>
      </c>
      <c r="L157" s="9" t="n">
        <f aca="false">IF(AND(H157=0,J157=0),0,IF(H157=0,"New",(J157-H157)/H157))</f>
        <v>0.446215074221542</v>
      </c>
    </row>
    <row r="158" customFormat="false" ht="15" hidden="false" customHeight="false" outlineLevel="0" collapsed="false">
      <c r="A158" s="7" t="n">
        <v>4408226</v>
      </c>
      <c r="B158" s="7" t="str">
        <f aca="false">IFERROR(INDEX('Source 2026'!$C:$C,MATCH($A158,'Source 2026'!$B:$B,0)),IFERROR(INDEX('Source 2025'!$C:$C,MATCH($A158,'Source 2025'!$B:$B,0)),""))</f>
        <v>L 11 אפורUG חגורת בטן</v>
      </c>
      <c r="C158" s="8" t="n">
        <f aca="false">SUMIFS('Source 2025'!$H:$H,'Source 2025'!$B:$B,$A158,'Source 2025'!$A:$A,"Quantity (units)")</f>
        <v>45</v>
      </c>
      <c r="D158" s="8" t="n">
        <f aca="false">SUMIFS('Source 2026'!$H:$H,'Source 2026'!$B:$B,$A158,'Source 2026'!$A:$A,"Quantity (units)")</f>
        <v>2</v>
      </c>
      <c r="E158" s="8" t="n">
        <f aca="false">D158*$J$5</f>
        <v>2.74285714285714</v>
      </c>
      <c r="F158" s="8" t="n">
        <f aca="false">E158-C158</f>
        <v>-42.2571428571429</v>
      </c>
      <c r="G158" s="9" t="n">
        <f aca="false">IF(AND(C158=0,E158=0),0,IF(C158=0,"New",(E158-C158)/C158))</f>
        <v>-0.939047619047619</v>
      </c>
      <c r="H158" s="8" t="n">
        <f aca="false">SUMIFS('Source 2025'!$H:$H,'Source 2025'!$B:$B,$A158,'Source 2025'!$A:$A,"Amount (NIS)")</f>
        <v>3611.3</v>
      </c>
      <c r="I158" s="8" t="n">
        <f aca="false">SUMIFS('Source 2026'!$H:$H,'Source 2026'!$B:$B,$A158,'Source 2026'!$A:$A,"Amount (NIS)")</f>
        <v>203.1</v>
      </c>
      <c r="J158" s="8" t="n">
        <f aca="false">I158*$J$5</f>
        <v>278.537142857143</v>
      </c>
      <c r="K158" s="8" t="n">
        <f aca="false">J158-H158</f>
        <v>-3332.76285714286</v>
      </c>
      <c r="L158" s="9" t="n">
        <f aca="false">IF(AND(H158=0,J158=0),0,IF(H158=0,"New",(J158-H158)/H158))</f>
        <v>-0.922870671819804</v>
      </c>
    </row>
    <row r="159" customFormat="false" ht="15" hidden="false" customHeight="false" outlineLevel="0" collapsed="false">
      <c r="A159" s="7" t="n">
        <v>4408274</v>
      </c>
      <c r="B159" s="7" t="str">
        <f aca="false">IFERROR(INDEX('Source 2026'!$C:$C,MATCH($A159,'Source 2026'!$B:$B,0)),IFERROR(INDEX('Source 2025'!$C:$C,MATCH($A159,'Source 2025'!$B:$B,0)),""))</f>
        <v>70N L חגורת פאבליק</v>
      </c>
      <c r="C159" s="8" t="n">
        <f aca="false">SUMIFS('Source 2025'!$H:$H,'Source 2025'!$B:$B,$A159,'Source 2025'!$A:$A,"Quantity (units)")</f>
        <v>0</v>
      </c>
      <c r="D159" s="8" t="n">
        <f aca="false">SUMIFS('Source 2026'!$H:$H,'Source 2026'!$B:$B,$A159,'Source 2026'!$A:$A,"Quantity (units)")</f>
        <v>12</v>
      </c>
      <c r="E159" s="8" t="n">
        <f aca="false">D159*$J$5</f>
        <v>16.4571428571429</v>
      </c>
      <c r="F159" s="8" t="n">
        <f aca="false">E159-C159</f>
        <v>16.4571428571429</v>
      </c>
      <c r="G159" s="9" t="str">
        <f aca="false">IF(AND(C159=0,E159=0),0,IF(C159=0,"New",(E159-C159)/C159))</f>
        <v>New</v>
      </c>
      <c r="H159" s="8" t="n">
        <f aca="false">SUMIFS('Source 2025'!$H:$H,'Source 2025'!$B:$B,$A159,'Source 2025'!$A:$A,"Amount (NIS)")</f>
        <v>0</v>
      </c>
      <c r="I159" s="8" t="n">
        <f aca="false">SUMIFS('Source 2026'!$H:$H,'Source 2026'!$B:$B,$A159,'Source 2026'!$A:$A,"Amount (NIS)")</f>
        <v>3349.1</v>
      </c>
      <c r="J159" s="8" t="n">
        <f aca="false">I159*$J$5</f>
        <v>4593.05142857143</v>
      </c>
      <c r="K159" s="8" t="n">
        <f aca="false">J159-H159</f>
        <v>4593.05142857143</v>
      </c>
      <c r="L159" s="9" t="str">
        <f aca="false">IF(AND(H159=0,J159=0),0,IF(H159=0,"New",(J159-H159)/H159))</f>
        <v>New</v>
      </c>
    </row>
    <row r="160" customFormat="false" ht="15" hidden="false" customHeight="false" outlineLevel="0" collapsed="false">
      <c r="A160" s="7" t="n">
        <v>4411031</v>
      </c>
      <c r="B160" s="7" t="str">
        <f aca="false">IFERROR(INDEX('Source 2026'!$C:$C,MATCH($A160,'Source 2026'!$B:$B,0)),IFERROR(INDEX('Source 2025'!$C:$C,MATCH($A160,'Source 2025'!$B:$B,0)),""))</f>
        <v>213CTS  S ימין CTS כפפות</v>
      </c>
      <c r="C160" s="8" t="n">
        <f aca="false">SUMIFS('Source 2025'!$H:$H,'Source 2025'!$B:$B,$A160,'Source 2025'!$A:$A,"Quantity (units)")</f>
        <v>0</v>
      </c>
      <c r="D160" s="8" t="n">
        <f aca="false">SUMIFS('Source 2026'!$H:$H,'Source 2026'!$B:$B,$A160,'Source 2026'!$A:$A,"Quantity (units)")</f>
        <v>32</v>
      </c>
      <c r="E160" s="8" t="n">
        <f aca="false">D160*$J$5</f>
        <v>43.8857142857143</v>
      </c>
      <c r="F160" s="8" t="n">
        <f aca="false">E160-C160</f>
        <v>43.8857142857143</v>
      </c>
      <c r="G160" s="9" t="str">
        <f aca="false">IF(AND(C160=0,E160=0),0,IF(C160=0,"New",(E160-C160)/C160))</f>
        <v>New</v>
      </c>
      <c r="H160" s="8" t="n">
        <f aca="false">SUMIFS('Source 2025'!$H:$H,'Source 2025'!$B:$B,$A160,'Source 2025'!$A:$A,"Amount (NIS)")</f>
        <v>0</v>
      </c>
      <c r="I160" s="8" t="n">
        <f aca="false">SUMIFS('Source 2026'!$H:$H,'Source 2026'!$B:$B,$A160,'Source 2026'!$A:$A,"Amount (NIS)")</f>
        <v>3213.1</v>
      </c>
      <c r="J160" s="8" t="n">
        <f aca="false">I160*$J$5</f>
        <v>4406.53714285714</v>
      </c>
      <c r="K160" s="8" t="n">
        <f aca="false">J160-H160</f>
        <v>4406.53714285714</v>
      </c>
      <c r="L160" s="9" t="str">
        <f aca="false">IF(AND(H160=0,J160=0),0,IF(H160=0,"New",(J160-H160)/H160))</f>
        <v>New</v>
      </c>
    </row>
    <row r="161" customFormat="false" ht="15" hidden="false" customHeight="false" outlineLevel="0" collapsed="false">
      <c r="A161" s="7" t="n">
        <v>4419013</v>
      </c>
      <c r="B161" s="7" t="str">
        <f aca="false">IFERROR(INDEX('Source 2026'!$C:$C,MATCH($A161,'Source 2026'!$B:$B,0)),IFERROR(INDEX('Source 2025'!$C:$C,MATCH($A161,'Source 2025'!$B:$B,0)),""))</f>
        <v>239B L-XL STRAP4U</v>
      </c>
      <c r="C161" s="8" t="n">
        <f aca="false">SUMIFS('Source 2025'!$H:$H,'Source 2025'!$B:$B,$A161,'Source 2025'!$A:$A,"Quantity (units)")</f>
        <v>239</v>
      </c>
      <c r="D161" s="8" t="n">
        <f aca="false">SUMIFS('Source 2026'!$H:$H,'Source 2026'!$B:$B,$A161,'Source 2026'!$A:$A,"Quantity (units)")</f>
        <v>48</v>
      </c>
      <c r="E161" s="8" t="n">
        <f aca="false">D161*$J$5</f>
        <v>65.8285714285714</v>
      </c>
      <c r="F161" s="8" t="n">
        <f aca="false">E161-C161</f>
        <v>-173.171428571429</v>
      </c>
      <c r="G161" s="9" t="n">
        <f aca="false">IF(AND(C161=0,E161=0),0,IF(C161=0,"New",(E161-C161)/C161))</f>
        <v>-0.724566646742379</v>
      </c>
      <c r="H161" s="8" t="n">
        <f aca="false">SUMIFS('Source 2025'!$H:$H,'Source 2025'!$B:$B,$A161,'Source 2025'!$A:$A,"Amount (NIS)")</f>
        <v>3993.5</v>
      </c>
      <c r="I161" s="8" t="n">
        <f aca="false">SUMIFS('Source 2026'!$H:$H,'Source 2026'!$B:$B,$A161,'Source 2026'!$A:$A,"Amount (NIS)")</f>
        <v>874.8</v>
      </c>
      <c r="J161" s="8" t="n">
        <f aca="false">I161*$J$5</f>
        <v>1199.72571428571</v>
      </c>
      <c r="K161" s="8" t="n">
        <f aca="false">J161-H161</f>
        <v>-2793.77428571429</v>
      </c>
      <c r="L161" s="9" t="n">
        <f aca="false">IF(AND(H161=0,J161=0),0,IF(H161=0,"New",(J161-H161)/H161))</f>
        <v>-0.699580389561609</v>
      </c>
    </row>
    <row r="162" customFormat="false" ht="15" hidden="false" customHeight="false" outlineLevel="0" collapsed="false">
      <c r="A162" s="7" t="n">
        <v>4408272</v>
      </c>
      <c r="B162" s="7" t="str">
        <f aca="false">IFERROR(INDEX('Source 2026'!$C:$C,MATCH($A162,'Source 2026'!$B:$B,0)),IFERROR(INDEX('Source 2025'!$C:$C,MATCH($A162,'Source 2025'!$B:$B,0)),""))</f>
        <v>70N S חגורת פאבליק</v>
      </c>
      <c r="C162" s="8" t="n">
        <f aca="false">SUMIFS('Source 2025'!$H:$H,'Source 2025'!$B:$B,$A162,'Source 2025'!$A:$A,"Quantity (units)")</f>
        <v>0</v>
      </c>
      <c r="D162" s="8" t="n">
        <f aca="false">SUMIFS('Source 2026'!$H:$H,'Source 2026'!$B:$B,$A162,'Source 2026'!$A:$A,"Quantity (units)")</f>
        <v>11</v>
      </c>
      <c r="E162" s="8" t="n">
        <f aca="false">D162*$J$5</f>
        <v>15.0857142857143</v>
      </c>
      <c r="F162" s="8" t="n">
        <f aca="false">E162-C162</f>
        <v>15.0857142857143</v>
      </c>
      <c r="G162" s="9" t="str">
        <f aca="false">IF(AND(C162=0,E162=0),0,IF(C162=0,"New",(E162-C162)/C162))</f>
        <v>New</v>
      </c>
      <c r="H162" s="8" t="n">
        <f aca="false">SUMIFS('Source 2025'!$H:$H,'Source 2025'!$B:$B,$A162,'Source 2025'!$A:$A,"Amount (NIS)")</f>
        <v>0</v>
      </c>
      <c r="I162" s="8" t="n">
        <f aca="false">SUMIFS('Source 2026'!$H:$H,'Source 2026'!$B:$B,$A162,'Source 2026'!$A:$A,"Amount (NIS)")</f>
        <v>3082.9</v>
      </c>
      <c r="J162" s="8" t="n">
        <f aca="false">I162*$J$5</f>
        <v>4227.97714285714</v>
      </c>
      <c r="K162" s="8" t="n">
        <f aca="false">J162-H162</f>
        <v>4227.97714285714</v>
      </c>
      <c r="L162" s="9" t="str">
        <f aca="false">IF(AND(H162=0,J162=0),0,IF(H162=0,"New",(J162-H162)/H162))</f>
        <v>New</v>
      </c>
    </row>
    <row r="163" customFormat="false" ht="15" hidden="false" customHeight="false" outlineLevel="0" collapsed="false">
      <c r="A163" s="7" t="n">
        <v>4408271</v>
      </c>
      <c r="B163" s="7" t="str">
        <f aca="false">IFERROR(INDEX('Source 2026'!$C:$C,MATCH($A163,'Source 2026'!$B:$B,0)),IFERROR(INDEX('Source 2025'!$C:$C,MATCH($A163,'Source 2025'!$B:$B,0)),""))</f>
        <v>70N XS חגורת פאבליק</v>
      </c>
      <c r="C163" s="8" t="n">
        <f aca="false">SUMIFS('Source 2025'!$H:$H,'Source 2025'!$B:$B,$A163,'Source 2025'!$A:$A,"Quantity (units)")</f>
        <v>0</v>
      </c>
      <c r="D163" s="8" t="n">
        <f aca="false">SUMIFS('Source 2026'!$H:$H,'Source 2026'!$B:$B,$A163,'Source 2026'!$A:$A,"Quantity (units)")</f>
        <v>11</v>
      </c>
      <c r="E163" s="8" t="n">
        <f aca="false">D163*$J$5</f>
        <v>15.0857142857143</v>
      </c>
      <c r="F163" s="8" t="n">
        <f aca="false">E163-C163</f>
        <v>15.0857142857143</v>
      </c>
      <c r="G163" s="9" t="str">
        <f aca="false">IF(AND(C163=0,E163=0),0,IF(C163=0,"New",(E163-C163)/C163))</f>
        <v>New</v>
      </c>
      <c r="H163" s="8" t="n">
        <f aca="false">SUMIFS('Source 2025'!$H:$H,'Source 2025'!$B:$B,$A163,'Source 2025'!$A:$A,"Amount (NIS)")</f>
        <v>0</v>
      </c>
      <c r="I163" s="8" t="n">
        <f aca="false">SUMIFS('Source 2026'!$H:$H,'Source 2026'!$B:$B,$A163,'Source 2026'!$A:$A,"Amount (NIS)")</f>
        <v>3068.9</v>
      </c>
      <c r="J163" s="8" t="n">
        <f aca="false">I163*$J$5</f>
        <v>4208.77714285714</v>
      </c>
      <c r="K163" s="8" t="n">
        <f aca="false">J163-H163</f>
        <v>4208.77714285714</v>
      </c>
      <c r="L163" s="9" t="str">
        <f aca="false">IF(AND(H163=0,J163=0),0,IF(H163=0,"New",(J163-H163)/H163))</f>
        <v>New</v>
      </c>
    </row>
    <row r="164" customFormat="false" ht="15" hidden="false" customHeight="false" outlineLevel="0" collapsed="false">
      <c r="A164" s="7" t="n">
        <v>4422037</v>
      </c>
      <c r="B164" s="7" t="str">
        <f aca="false">IFERROR(INDEX('Source 2026'!$C:$C,MATCH($A164,'Source 2026'!$B:$B,0)),IFERROR(INDEX('Source 2025'!$C:$C,MATCH($A164,'Source 2025'!$B:$B,0)),""))</f>
        <v>SH422 1 תומך ברך גנושילד</v>
      </c>
      <c r="C164" s="8" t="n">
        <f aca="false">SUMIFS('Source 2025'!$H:$H,'Source 2025'!$B:$B,$A164,'Source 2025'!$A:$A,"Quantity (units)")</f>
        <v>0</v>
      </c>
      <c r="D164" s="8" t="n">
        <f aca="false">SUMIFS('Source 2026'!$H:$H,'Source 2026'!$B:$B,$A164,'Source 2026'!$A:$A,"Quantity (units)")</f>
        <v>17</v>
      </c>
      <c r="E164" s="8" t="n">
        <f aca="false">D164*$J$5</f>
        <v>23.3142857142857</v>
      </c>
      <c r="F164" s="8" t="n">
        <f aca="false">E164-C164</f>
        <v>23.3142857142857</v>
      </c>
      <c r="G164" s="9" t="str">
        <f aca="false">IF(AND(C164=0,E164=0),0,IF(C164=0,"New",(E164-C164)/C164))</f>
        <v>New</v>
      </c>
      <c r="H164" s="8" t="n">
        <f aca="false">SUMIFS('Source 2025'!$H:$H,'Source 2025'!$B:$B,$A164,'Source 2025'!$A:$A,"Amount (NIS)")</f>
        <v>0</v>
      </c>
      <c r="I164" s="8" t="n">
        <f aca="false">SUMIFS('Source 2026'!$H:$H,'Source 2026'!$B:$B,$A164,'Source 2026'!$A:$A,"Amount (NIS)")</f>
        <v>3043</v>
      </c>
      <c r="J164" s="8" t="n">
        <f aca="false">I164*$J$5</f>
        <v>4173.25714285714</v>
      </c>
      <c r="K164" s="8" t="n">
        <f aca="false">J164-H164</f>
        <v>4173.25714285714</v>
      </c>
      <c r="L164" s="9" t="str">
        <f aca="false">IF(AND(H164=0,J164=0),0,IF(H164=0,"New",(J164-H164)/H164))</f>
        <v>New</v>
      </c>
    </row>
    <row r="165" customFormat="false" ht="15" hidden="false" customHeight="false" outlineLevel="0" collapsed="false">
      <c r="A165" s="7" t="n">
        <v>4411028</v>
      </c>
      <c r="B165" s="7" t="str">
        <f aca="false">IFERROR(INDEX('Source 2026'!$C:$C,MATCH($A165,'Source 2026'!$B:$B,0)),IFERROR(INDEX('Source 2025'!$C:$C,MATCH($A165,'Source 2025'!$B:$B,0)),""))</f>
        <v>213CTSL S שמאל CTS כפפות</v>
      </c>
      <c r="C165" s="8" t="n">
        <f aca="false">SUMIFS('Source 2025'!$H:$H,'Source 2025'!$B:$B,$A165,'Source 2025'!$A:$A,"Quantity (units)")</f>
        <v>0</v>
      </c>
      <c r="D165" s="8" t="n">
        <f aca="false">SUMIFS('Source 2026'!$H:$H,'Source 2026'!$B:$B,$A165,'Source 2026'!$A:$A,"Quantity (units)")</f>
        <v>30</v>
      </c>
      <c r="E165" s="8" t="n">
        <f aca="false">D165*$J$5</f>
        <v>41.1428571428571</v>
      </c>
      <c r="F165" s="8" t="n">
        <f aca="false">E165-C165</f>
        <v>41.1428571428571</v>
      </c>
      <c r="G165" s="9" t="str">
        <f aca="false">IF(AND(C165=0,E165=0),0,IF(C165=0,"New",(E165-C165)/C165))</f>
        <v>New</v>
      </c>
      <c r="H165" s="8" t="n">
        <f aca="false">SUMIFS('Source 2025'!$H:$H,'Source 2025'!$B:$B,$A165,'Source 2025'!$A:$A,"Amount (NIS)")</f>
        <v>0</v>
      </c>
      <c r="I165" s="8" t="n">
        <f aca="false">SUMIFS('Source 2026'!$H:$H,'Source 2026'!$B:$B,$A165,'Source 2026'!$A:$A,"Amount (NIS)")</f>
        <v>3010</v>
      </c>
      <c r="J165" s="8" t="n">
        <f aca="false">I165*$J$5</f>
        <v>4128</v>
      </c>
      <c r="K165" s="8" t="n">
        <f aca="false">J165-H165</f>
        <v>4128</v>
      </c>
      <c r="L165" s="9" t="str">
        <f aca="false">IF(AND(H165=0,J165=0),0,IF(H165=0,"New",(J165-H165)/H165))</f>
        <v>New</v>
      </c>
    </row>
    <row r="166" customFormat="false" ht="15" hidden="false" customHeight="false" outlineLevel="0" collapsed="false">
      <c r="A166" s="7" t="n">
        <v>4413367</v>
      </c>
      <c r="B166" s="7" t="str">
        <f aca="false">IFERROR(INDEX('Source 2026'!$C:$C,MATCH($A166,'Source 2026'!$B:$B,0)),IFERROR(INDEX('Source 2025'!$C:$C,MATCH($A166,'Source 2025'!$B:$B,0)),""))</f>
        <v>95C XL'מגן מרפק בז</v>
      </c>
      <c r="C166" s="8" t="n">
        <f aca="false">SUMIFS('Source 2025'!$H:$H,'Source 2025'!$B:$B,$A166,'Source 2025'!$A:$A,"Quantity (units)")</f>
        <v>347</v>
      </c>
      <c r="D166" s="8" t="n">
        <f aca="false">SUMIFS('Source 2026'!$H:$H,'Source 2026'!$B:$B,$A166,'Source 2026'!$A:$A,"Quantity (units)")</f>
        <v>228</v>
      </c>
      <c r="E166" s="8" t="n">
        <f aca="false">D166*$J$5</f>
        <v>312.685714285714</v>
      </c>
      <c r="F166" s="8" t="n">
        <f aca="false">E166-C166</f>
        <v>-34.3142857142857</v>
      </c>
      <c r="G166" s="9" t="n">
        <f aca="false">IF(AND(C166=0,E166=0),0,IF(C166=0,"New",(E166-C166)/C166))</f>
        <v>-0.0988884314532729</v>
      </c>
      <c r="H166" s="8" t="n">
        <f aca="false">SUMIFS('Source 2025'!$H:$H,'Source 2025'!$B:$B,$A166,'Source 2025'!$A:$A,"Amount (NIS)")</f>
        <v>8929.8</v>
      </c>
      <c r="I166" s="8" t="n">
        <f aca="false">SUMIFS('Source 2026'!$H:$H,'Source 2026'!$B:$B,$A166,'Source 2026'!$A:$A,"Amount (NIS)")</f>
        <v>5952.9</v>
      </c>
      <c r="J166" s="8" t="n">
        <f aca="false">I166*$J$5</f>
        <v>8163.97714285714</v>
      </c>
      <c r="K166" s="8" t="n">
        <f aca="false">J166-H166</f>
        <v>-765.822857142857</v>
      </c>
      <c r="L166" s="9" t="n">
        <f aca="false">IF(AND(H166=0,J166=0),0,IF(H166=0,"New",(J166-H166)/H166))</f>
        <v>-0.0857603593745501</v>
      </c>
    </row>
    <row r="167" customFormat="false" ht="15" hidden="false" customHeight="false" outlineLevel="0" collapsed="false">
      <c r="A167" s="7" t="n">
        <v>4403019</v>
      </c>
      <c r="B167" s="7" t="str">
        <f aca="false">IFERROR(INDEX('Source 2026'!$C:$C,MATCH($A167,'Source 2026'!$B:$B,0)),IFERROR(INDEX('Source 2025'!$C:$C,MATCH($A167,'Source 2025'!$B:$B,0)),""))</f>
        <v>394B גרב.כסף לסכרתים שחור43-46</v>
      </c>
      <c r="C167" s="8" t="n">
        <f aca="false">SUMIFS('Source 2025'!$H:$H,'Source 2025'!$B:$B,$A167,'Source 2025'!$A:$A,"Quantity (units)")</f>
        <v>213</v>
      </c>
      <c r="D167" s="8" t="n">
        <f aca="false">SUMIFS('Source 2026'!$H:$H,'Source 2026'!$B:$B,$A167,'Source 2026'!$A:$A,"Quantity (units)")</f>
        <v>82</v>
      </c>
      <c r="E167" s="8" t="n">
        <f aca="false">D167*$J$5</f>
        <v>112.457142857143</v>
      </c>
      <c r="F167" s="8" t="n">
        <f aca="false">E167-C167</f>
        <v>-100.542857142857</v>
      </c>
      <c r="G167" s="9" t="n">
        <f aca="false">IF(AND(C167=0,E167=0),0,IF(C167=0,"New",(E167-C167)/C167))</f>
        <v>-0.472032193158954</v>
      </c>
      <c r="H167" s="8" t="n">
        <f aca="false">SUMIFS('Source 2025'!$H:$H,'Source 2025'!$B:$B,$A167,'Source 2025'!$A:$A,"Amount (NIS)")</f>
        <v>4724.4</v>
      </c>
      <c r="I167" s="8" t="n">
        <f aca="false">SUMIFS('Source 2026'!$H:$H,'Source 2026'!$B:$B,$A167,'Source 2026'!$A:$A,"Amount (NIS)")</f>
        <v>1815.3</v>
      </c>
      <c r="J167" s="8" t="n">
        <f aca="false">I167*$J$5</f>
        <v>2489.55428571429</v>
      </c>
      <c r="K167" s="8" t="n">
        <f aca="false">J167-H167</f>
        <v>-2234.84571428571</v>
      </c>
      <c r="L167" s="9" t="n">
        <f aca="false">IF(AND(H167=0,J167=0),0,IF(H167=0,"New",(J167-H167)/H167))</f>
        <v>-0.473043288943721</v>
      </c>
    </row>
    <row r="168" customFormat="false" ht="15" hidden="false" customHeight="false" outlineLevel="0" collapsed="false">
      <c r="A168" s="7" t="n">
        <v>4413455</v>
      </c>
      <c r="B168" s="7" t="str">
        <f aca="false">IFERROR(INDEX('Source 2026'!$C:$C,MATCH($A168,'Source 2026'!$B:$B,0)),IFERROR(INDEX('Source 2025'!$C:$C,MATCH($A168,'Source 2025'!$B:$B,0)),""))</f>
        <v>85K מתלה ליד לילדים</v>
      </c>
      <c r="C168" s="8" t="n">
        <f aca="false">SUMIFS('Source 2025'!$H:$H,'Source 2025'!$B:$B,$A168,'Source 2025'!$A:$A,"Quantity (units)")</f>
        <v>299</v>
      </c>
      <c r="D168" s="8" t="n">
        <f aca="false">SUMIFS('Source 2026'!$H:$H,'Source 2026'!$B:$B,$A168,'Source 2026'!$A:$A,"Quantity (units)")</f>
        <v>236</v>
      </c>
      <c r="E168" s="8" t="n">
        <f aca="false">D168*$J$5</f>
        <v>323.657142857143</v>
      </c>
      <c r="F168" s="8" t="n">
        <f aca="false">E168-C168</f>
        <v>24.6571428571428</v>
      </c>
      <c r="G168" s="9" t="n">
        <f aca="false">IF(AND(C168=0,E168=0),0,IF(C168=0,"New",(E168-C168)/C168))</f>
        <v>0.0824653607262302</v>
      </c>
      <c r="H168" s="8" t="n">
        <f aca="false">SUMIFS('Source 2025'!$H:$H,'Source 2025'!$B:$B,$A168,'Source 2025'!$A:$A,"Amount (NIS)")</f>
        <v>13367.2</v>
      </c>
      <c r="I168" s="8" t="n">
        <f aca="false">SUMIFS('Source 2026'!$H:$H,'Source 2026'!$B:$B,$A168,'Source 2026'!$A:$A,"Amount (NIS)")</f>
        <v>10544.6</v>
      </c>
      <c r="J168" s="8" t="n">
        <f aca="false">I168*$J$5</f>
        <v>14461.1657142857</v>
      </c>
      <c r="K168" s="8" t="n">
        <f aca="false">J168-H168</f>
        <v>1093.96571428571</v>
      </c>
      <c r="L168" s="9" t="n">
        <f aca="false">IF(AND(H168=0,J168=0),0,IF(H168=0,"New",(J168-H168)/H168))</f>
        <v>0.0818395560989373</v>
      </c>
    </row>
    <row r="169" customFormat="false" ht="15" hidden="false" customHeight="false" outlineLevel="0" collapsed="false">
      <c r="A169" s="7" t="n">
        <v>4422026</v>
      </c>
      <c r="B169" s="7" t="str">
        <f aca="false">IFERROR(INDEX('Source 2026'!$C:$C,MATCH($A169,'Source 2026'!$B:$B,0)),IFERROR(INDEX('Source 2025'!$C:$C,MATCH($A169,'Source 2025'!$B:$B,0)),""))</f>
        <v>806CB-PINK       תחבושת א.נצמ</v>
      </c>
      <c r="C169" s="8" t="n">
        <f aca="false">SUMIFS('Source 2025'!$H:$H,'Source 2025'!$B:$B,$A169,'Source 2025'!$A:$A,"Quantity (units)")</f>
        <v>980</v>
      </c>
      <c r="D169" s="8" t="n">
        <f aca="false">SUMIFS('Source 2026'!$H:$H,'Source 2026'!$B:$B,$A169,'Source 2026'!$A:$A,"Quantity (units)")</f>
        <v>697</v>
      </c>
      <c r="E169" s="8" t="n">
        <f aca="false">D169*$J$5</f>
        <v>955.885714285714</v>
      </c>
      <c r="F169" s="8" t="n">
        <f aca="false">E169-C169</f>
        <v>-24.1142857142858</v>
      </c>
      <c r="G169" s="9" t="n">
        <f aca="false">IF(AND(C169=0,E169=0),0,IF(C169=0,"New",(E169-C169)/C169))</f>
        <v>-0.0246064139941691</v>
      </c>
      <c r="H169" s="8" t="n">
        <f aca="false">SUMIFS('Source 2025'!$H:$H,'Source 2025'!$B:$B,$A169,'Source 2025'!$A:$A,"Amount (NIS)")</f>
        <v>9936.3</v>
      </c>
      <c r="I169" s="8" t="n">
        <f aca="false">SUMIFS('Source 2026'!$H:$H,'Source 2026'!$B:$B,$A169,'Source 2026'!$A:$A,"Amount (NIS)")</f>
        <v>7156.9</v>
      </c>
      <c r="J169" s="8" t="n">
        <f aca="false">I169*$J$5</f>
        <v>9815.17714285714</v>
      </c>
      <c r="K169" s="8" t="n">
        <f aca="false">J169-H169</f>
        <v>-121.122857142856</v>
      </c>
      <c r="L169" s="9" t="n">
        <f aca="false">IF(AND(H169=0,J169=0),0,IF(H169=0,"New",(J169-H169)/H169))</f>
        <v>-0.0121899356040837</v>
      </c>
    </row>
    <row r="170" customFormat="false" ht="15" hidden="false" customHeight="false" outlineLevel="0" collapsed="false">
      <c r="A170" s="7" t="n">
        <v>4413096</v>
      </c>
      <c r="B170" s="7" t="str">
        <f aca="false">IFERROR(INDEX('Source 2026'!$C:$C,MATCH($A170,'Source 2026'!$B:$B,0)),IFERROR(INDEX('Source 2025'!$C:$C,MATCH($A170,'Source 2025'!$B:$B,0)),""))</f>
        <v>45 XXL מגן ברך לבן</v>
      </c>
      <c r="C170" s="8" t="n">
        <f aca="false">SUMIFS('Source 2025'!$H:$H,'Source 2025'!$B:$B,$A170,'Source 2025'!$A:$A,"Quantity (units)")</f>
        <v>288</v>
      </c>
      <c r="D170" s="8" t="n">
        <f aca="false">SUMIFS('Source 2026'!$H:$H,'Source 2026'!$B:$B,$A170,'Source 2026'!$A:$A,"Quantity (units)")</f>
        <v>176</v>
      </c>
      <c r="E170" s="8" t="n">
        <f aca="false">D170*$J$5</f>
        <v>241.371428571429</v>
      </c>
      <c r="F170" s="8" t="n">
        <f aca="false">E170-C170</f>
        <v>-46.6285714285714</v>
      </c>
      <c r="G170" s="9" t="n">
        <f aca="false">IF(AND(C170=0,E170=0),0,IF(C170=0,"New",(E170-C170)/C170))</f>
        <v>-0.161904761904762</v>
      </c>
      <c r="H170" s="8" t="n">
        <f aca="false">SUMIFS('Source 2025'!$H:$H,'Source 2025'!$B:$B,$A170,'Source 2025'!$A:$A,"Amount (NIS)")</f>
        <v>7405</v>
      </c>
      <c r="I170" s="8" t="n">
        <f aca="false">SUMIFS('Source 2026'!$H:$H,'Source 2026'!$B:$B,$A170,'Source 2026'!$A:$A,"Amount (NIS)")</f>
        <v>4674.8</v>
      </c>
      <c r="J170" s="8" t="n">
        <f aca="false">I170*$J$5</f>
        <v>6411.15428571429</v>
      </c>
      <c r="K170" s="8" t="n">
        <f aca="false">J170-H170</f>
        <v>-993.845714285714</v>
      </c>
      <c r="L170" s="9" t="n">
        <f aca="false">IF(AND(H170=0,J170=0),0,IF(H170=0,"New",(J170-H170)/H170))</f>
        <v>-0.134212790585512</v>
      </c>
    </row>
    <row r="171" customFormat="false" ht="15" hidden="false" customHeight="false" outlineLevel="0" collapsed="false">
      <c r="A171" s="7" t="n">
        <v>4408154</v>
      </c>
      <c r="B171" s="7" t="str">
        <f aca="false">IFERROR(INDEX('Source 2026'!$C:$C,MATCH($A171,'Source 2026'!$B:$B,0)),IFERROR(INDEX('Source 2025'!$C:$C,MATCH($A171,'Source 2025'!$B:$B,0)),""))</f>
        <v>11TO XXLחגורה למנותחי בית החזה</v>
      </c>
      <c r="C171" s="8" t="n">
        <f aca="false">SUMIFS('Source 2025'!$H:$H,'Source 2025'!$B:$B,$A171,'Source 2025'!$A:$A,"Quantity (units)")</f>
        <v>21</v>
      </c>
      <c r="D171" s="8" t="n">
        <f aca="false">SUMIFS('Source 2026'!$H:$H,'Source 2026'!$B:$B,$A171,'Source 2026'!$A:$A,"Quantity (units)")</f>
        <v>41</v>
      </c>
      <c r="E171" s="8" t="n">
        <f aca="false">D171*$J$5</f>
        <v>56.2285714285714</v>
      </c>
      <c r="F171" s="8" t="n">
        <f aca="false">E171-C171</f>
        <v>35.2285714285714</v>
      </c>
      <c r="G171" s="9" t="n">
        <f aca="false">IF(AND(C171=0,E171=0),0,IF(C171=0,"New",(E171-C171)/C171))</f>
        <v>1.67755102040816</v>
      </c>
      <c r="H171" s="8" t="n">
        <f aca="false">SUMIFS('Source 2025'!$H:$H,'Source 2025'!$B:$B,$A171,'Source 2025'!$A:$A,"Amount (NIS)")</f>
        <v>2777.5</v>
      </c>
      <c r="I171" s="8" t="n">
        <f aca="false">SUMIFS('Source 2026'!$H:$H,'Source 2026'!$B:$B,$A171,'Source 2026'!$A:$A,"Amount (NIS)")</f>
        <v>5469.3</v>
      </c>
      <c r="J171" s="8" t="n">
        <f aca="false">I171*$J$5</f>
        <v>7500.75428571429</v>
      </c>
      <c r="K171" s="8" t="n">
        <f aca="false">J171-H171</f>
        <v>4723.25428571429</v>
      </c>
      <c r="L171" s="9" t="n">
        <f aca="false">IF(AND(H171=0,J171=0),0,IF(H171=0,"New",(J171-H171)/H171))</f>
        <v>1.70054159701684</v>
      </c>
    </row>
    <row r="172" customFormat="false" ht="15" hidden="false" customHeight="false" outlineLevel="0" collapsed="false">
      <c r="A172" s="7" t="n">
        <v>4413142</v>
      </c>
      <c r="B172" s="7" t="str">
        <f aca="false">IFERROR(INDEX('Source 2026'!$C:$C,MATCH($A172,'Source 2026'!$B:$B,0)),IFERROR(INDEX('Source 2025'!$C:$C,MATCH($A172,'Source 2025'!$B:$B,0)),""))</f>
        <v>95 XL מגן מרפק רגיל לבן</v>
      </c>
      <c r="C172" s="8" t="n">
        <f aca="false">SUMIFS('Source 2025'!$H:$H,'Source 2025'!$B:$B,$A172,'Source 2025'!$A:$A,"Quantity (units)")</f>
        <v>205</v>
      </c>
      <c r="D172" s="8" t="n">
        <f aca="false">SUMIFS('Source 2026'!$H:$H,'Source 2026'!$B:$B,$A172,'Source 2026'!$A:$A,"Quantity (units)")</f>
        <v>99</v>
      </c>
      <c r="E172" s="8" t="n">
        <f aca="false">D172*$J$5</f>
        <v>135.771428571429</v>
      </c>
      <c r="F172" s="8" t="n">
        <f aca="false">E172-C172</f>
        <v>-69.2285714285714</v>
      </c>
      <c r="G172" s="9" t="n">
        <f aca="false">IF(AND(C172=0,E172=0),0,IF(C172=0,"New",(E172-C172)/C172))</f>
        <v>-0.337700348432056</v>
      </c>
      <c r="H172" s="8" t="n">
        <f aca="false">SUMIFS('Source 2025'!$H:$H,'Source 2025'!$B:$B,$A172,'Source 2025'!$A:$A,"Amount (NIS)")</f>
        <v>5281.3</v>
      </c>
      <c r="I172" s="8" t="n">
        <f aca="false">SUMIFS('Source 2026'!$H:$H,'Source 2026'!$B:$B,$A172,'Source 2026'!$A:$A,"Amount (NIS)")</f>
        <v>2595.5</v>
      </c>
      <c r="J172" s="8" t="n">
        <f aca="false">I172*$J$5</f>
        <v>3559.54285714286</v>
      </c>
      <c r="K172" s="8" t="n">
        <f aca="false">J172-H172</f>
        <v>-1721.75714285714</v>
      </c>
      <c r="L172" s="9" t="n">
        <f aca="false">IF(AND(H172=0,J172=0),0,IF(H172=0,"New",(J172-H172)/H172))</f>
        <v>-0.32601010032703</v>
      </c>
    </row>
    <row r="173" customFormat="false" ht="15" hidden="false" customHeight="false" outlineLevel="0" collapsed="false">
      <c r="A173" s="7" t="n">
        <v>4411018</v>
      </c>
      <c r="B173" s="7" t="str">
        <f aca="false">IFERROR(INDEX('Source 2026'!$C:$C,MATCH($A173,'Source 2026'!$B:$B,0)),IFERROR(INDEX('Source 2025'!$C:$C,MATCH($A173,'Source 2025'!$B:$B,0)),""))</f>
        <v>211M כפפות לחץ</v>
      </c>
      <c r="C173" s="8" t="n">
        <f aca="false">SUMIFS('Source 2025'!$H:$H,'Source 2025'!$B:$B,$A173,'Source 2025'!$A:$A,"Quantity (units)")</f>
        <v>258</v>
      </c>
      <c r="D173" s="8" t="n">
        <f aca="false">SUMIFS('Source 2026'!$H:$H,'Source 2026'!$B:$B,$A173,'Source 2026'!$A:$A,"Quantity (units)")</f>
        <v>162</v>
      </c>
      <c r="E173" s="8" t="n">
        <f aca="false">D173*$J$5</f>
        <v>222.171428571429</v>
      </c>
      <c r="F173" s="8" t="n">
        <f aca="false">E173-C173</f>
        <v>-35.8285714285714</v>
      </c>
      <c r="G173" s="9" t="n">
        <f aca="false">IF(AND(C173=0,E173=0),0,IF(C173=0,"New",(E173-C173)/C173))</f>
        <v>-0.138870431893688</v>
      </c>
      <c r="H173" s="8" t="n">
        <f aca="false">SUMIFS('Source 2025'!$H:$H,'Source 2025'!$B:$B,$A173,'Source 2025'!$A:$A,"Amount (NIS)")</f>
        <v>7344.8</v>
      </c>
      <c r="I173" s="8" t="n">
        <f aca="false">SUMIFS('Source 2026'!$H:$H,'Source 2026'!$B:$B,$A173,'Source 2026'!$A:$A,"Amount (NIS)")</f>
        <v>4690.8</v>
      </c>
      <c r="J173" s="8" t="n">
        <f aca="false">I173*$J$5</f>
        <v>6433.09714285714</v>
      </c>
      <c r="K173" s="8" t="n">
        <f aca="false">J173-H173</f>
        <v>-911.702857142857</v>
      </c>
      <c r="L173" s="9" t="n">
        <f aca="false">IF(AND(H173=0,J173=0),0,IF(H173=0,"New",(J173-H173)/H173))</f>
        <v>-0.124129024227053</v>
      </c>
    </row>
    <row r="174" customFormat="false" ht="15" hidden="false" customHeight="false" outlineLevel="0" collapsed="false">
      <c r="A174" s="7" t="n">
        <v>4418002</v>
      </c>
      <c r="B174" s="7" t="str">
        <f aca="false">IFERROR(INDEX('Source 2026'!$C:$C,MATCH($A174,'Source 2026'!$B:$B,0)),IFERROR(INDEX('Source 2025'!$C:$C,MATCH($A174,'Source 2025'!$B:$B,0)),""))</f>
        <v>60 S צוארון ספוגי</v>
      </c>
      <c r="C174" s="8" t="n">
        <f aca="false">SUMIFS('Source 2025'!$H:$H,'Source 2025'!$B:$B,$A174,'Source 2025'!$A:$A,"Quantity (units)")</f>
        <v>371</v>
      </c>
      <c r="D174" s="8" t="n">
        <f aca="false">SUMIFS('Source 2026'!$H:$H,'Source 2026'!$B:$B,$A174,'Source 2026'!$A:$A,"Quantity (units)")</f>
        <v>268</v>
      </c>
      <c r="E174" s="8" t="n">
        <f aca="false">D174*$J$5</f>
        <v>367.542857142857</v>
      </c>
      <c r="F174" s="8" t="n">
        <f aca="false">E174-C174</f>
        <v>-3.45714285714286</v>
      </c>
      <c r="G174" s="9" t="n">
        <f aca="false">IF(AND(C174=0,E174=0),0,IF(C174=0,"New",(E174-C174)/C174))</f>
        <v>-0.00931844435887562</v>
      </c>
      <c r="H174" s="8" t="n">
        <f aca="false">SUMIFS('Source 2025'!$H:$H,'Source 2025'!$B:$B,$A174,'Source 2025'!$A:$A,"Amount (NIS)")</f>
        <v>11107.5</v>
      </c>
      <c r="I174" s="8" t="n">
        <f aca="false">SUMIFS('Source 2026'!$H:$H,'Source 2026'!$B:$B,$A174,'Source 2026'!$A:$A,"Amount (NIS)")</f>
        <v>8507.3</v>
      </c>
      <c r="J174" s="8" t="n">
        <f aca="false">I174*$J$5</f>
        <v>11667.1542857143</v>
      </c>
      <c r="K174" s="8" t="n">
        <f aca="false">J174-H174</f>
        <v>559.654285714285</v>
      </c>
      <c r="L174" s="9" t="n">
        <f aca="false">IF(AND(H174=0,J174=0),0,IF(H174=0,"New",(J174-H174)/H174))</f>
        <v>0.050385260924086</v>
      </c>
    </row>
    <row r="175" customFormat="false" ht="15" hidden="false" customHeight="false" outlineLevel="0" collapsed="false">
      <c r="A175" s="7" t="n">
        <v>4408225</v>
      </c>
      <c r="B175" s="7" t="str">
        <f aca="false">IFERROR(INDEX('Source 2026'!$C:$C,MATCH($A175,'Source 2026'!$B:$B,0)),IFERROR(INDEX('Source 2025'!$C:$C,MATCH($A175,'Source 2025'!$B:$B,0)),""))</f>
        <v>M 11 אפורUG חגורת בטן</v>
      </c>
      <c r="C175" s="8" t="n">
        <f aca="false">SUMIFS('Source 2025'!$H:$H,'Source 2025'!$B:$B,$A175,'Source 2025'!$A:$A,"Quantity (units)")</f>
        <v>34</v>
      </c>
      <c r="D175" s="8" t="n">
        <f aca="false">SUMIFS('Source 2026'!$H:$H,'Source 2026'!$B:$B,$A175,'Source 2026'!$A:$A,"Quantity (units)")</f>
        <v>1</v>
      </c>
      <c r="E175" s="8" t="n">
        <f aca="false">D175*$J$5</f>
        <v>1.37142857142857</v>
      </c>
      <c r="F175" s="8" t="n">
        <f aca="false">E175-C175</f>
        <v>-32.6285714285714</v>
      </c>
      <c r="G175" s="9" t="n">
        <f aca="false">IF(AND(C175=0,E175=0),0,IF(C175=0,"New",(E175-C175)/C175))</f>
        <v>-0.959663865546218</v>
      </c>
      <c r="H175" s="8" t="n">
        <f aca="false">SUMIFS('Source 2025'!$H:$H,'Source 2025'!$B:$B,$A175,'Source 2025'!$A:$A,"Amount (NIS)")</f>
        <v>2730.6</v>
      </c>
      <c r="I175" s="8" t="n">
        <f aca="false">SUMIFS('Source 2026'!$H:$H,'Source 2026'!$B:$B,$A175,'Source 2026'!$A:$A,"Amount (NIS)")</f>
        <v>157</v>
      </c>
      <c r="J175" s="8" t="n">
        <f aca="false">I175*$J$5</f>
        <v>215.314285714286</v>
      </c>
      <c r="K175" s="8" t="n">
        <f aca="false">J175-H175</f>
        <v>-2515.28571428571</v>
      </c>
      <c r="L175" s="9" t="n">
        <f aca="false">IF(AND(H175=0,J175=0),0,IF(H175=0,"New",(J175-H175)/H175))</f>
        <v>-0.921147628464702</v>
      </c>
    </row>
    <row r="176" customFormat="false" ht="15" hidden="false" customHeight="false" outlineLevel="0" collapsed="false">
      <c r="A176" s="7" t="n">
        <v>4408190</v>
      </c>
      <c r="B176" s="7" t="str">
        <f aca="false">IFERROR(INDEX('Source 2026'!$C:$C,MATCH($A176,'Source 2026'!$B:$B,0)),IFERROR(INDEX('Source 2025'!$C:$C,MATCH($A176,'Source 2025'!$B:$B,0)),""))</f>
        <v>M078 חגורת גב +סגירה כפולה</v>
      </c>
      <c r="C176" s="8" t="n">
        <f aca="false">SUMIFS('Source 2025'!$H:$H,'Source 2025'!$B:$B,$A176,'Source 2025'!$A:$A,"Quantity (units)")</f>
        <v>65</v>
      </c>
      <c r="D176" s="8" t="n">
        <f aca="false">SUMIFS('Source 2026'!$H:$H,'Source 2026'!$B:$B,$A176,'Source 2026'!$A:$A,"Quantity (units)")</f>
        <v>36</v>
      </c>
      <c r="E176" s="8" t="n">
        <f aca="false">D176*$J$5</f>
        <v>49.3714285714286</v>
      </c>
      <c r="F176" s="8" t="n">
        <f aca="false">E176-C176</f>
        <v>-15.6285714285714</v>
      </c>
      <c r="G176" s="9" t="n">
        <f aca="false">IF(AND(C176=0,E176=0),0,IF(C176=0,"New",(E176-C176)/C176))</f>
        <v>-0.24043956043956</v>
      </c>
      <c r="H176" s="8" t="n">
        <f aca="false">SUMIFS('Source 2025'!$H:$H,'Source 2025'!$B:$B,$A176,'Source 2025'!$A:$A,"Amount (NIS)")</f>
        <v>6213.6</v>
      </c>
      <c r="I176" s="8" t="n">
        <f aca="false">SUMIFS('Source 2026'!$H:$H,'Source 2026'!$B:$B,$A176,'Source 2026'!$A:$A,"Amount (NIS)")</f>
        <v>3644.6</v>
      </c>
      <c r="J176" s="8" t="n">
        <f aca="false">I176*$J$5</f>
        <v>4998.30857142857</v>
      </c>
      <c r="K176" s="8" t="n">
        <f aca="false">J176-H176</f>
        <v>-1215.29142857143</v>
      </c>
      <c r="L176" s="9" t="n">
        <f aca="false">IF(AND(H176=0,J176=0),0,IF(H176=0,"New",(J176-H176)/H176))</f>
        <v>-0.195585719803565</v>
      </c>
    </row>
    <row r="177" customFormat="false" ht="15" hidden="false" customHeight="false" outlineLevel="0" collapsed="false">
      <c r="A177" s="7" t="n">
        <v>4408094</v>
      </c>
      <c r="B177" s="7" t="str">
        <f aca="false">IFERROR(INDEX('Source 2026'!$C:$C,MATCH($A177,'Source 2026'!$B:$B,0)),IFERROR(INDEX('Source 2025'!$C:$C,MATCH($A177,'Source 2025'!$B:$B,0)),""))</f>
        <v>T20 S-M חבק יד עם צמדן</v>
      </c>
      <c r="C177" s="8" t="n">
        <f aca="false">SUMIFS('Source 2025'!$H:$H,'Source 2025'!$B:$B,$A177,'Source 2025'!$A:$A,"Quantity (units)")</f>
        <v>187</v>
      </c>
      <c r="D177" s="8" t="n">
        <f aca="false">SUMIFS('Source 2026'!$H:$H,'Source 2026'!$B:$B,$A177,'Source 2026'!$A:$A,"Quantity (units)")</f>
        <v>108</v>
      </c>
      <c r="E177" s="8" t="n">
        <f aca="false">D177*$J$5</f>
        <v>148.114285714286</v>
      </c>
      <c r="F177" s="8" t="n">
        <f aca="false">E177-C177</f>
        <v>-38.8857142857143</v>
      </c>
      <c r="G177" s="9" t="n">
        <f aca="false">IF(AND(C177=0,E177=0),0,IF(C177=0,"New",(E177-C177)/C177))</f>
        <v>-0.20794499618029</v>
      </c>
      <c r="H177" s="8" t="n">
        <f aca="false">SUMIFS('Source 2025'!$H:$H,'Source 2025'!$B:$B,$A177,'Source 2025'!$A:$A,"Amount (NIS)")</f>
        <v>5949.8</v>
      </c>
      <c r="I177" s="8" t="n">
        <f aca="false">SUMIFS('Source 2026'!$H:$H,'Source 2026'!$B:$B,$A177,'Source 2026'!$A:$A,"Amount (NIS)")</f>
        <v>3399.2</v>
      </c>
      <c r="J177" s="8" t="n">
        <f aca="false">I177*$J$5</f>
        <v>4661.76</v>
      </c>
      <c r="K177" s="8" t="n">
        <f aca="false">J177-H177</f>
        <v>-1288.04</v>
      </c>
      <c r="L177" s="9" t="n">
        <f aca="false">IF(AND(H177=0,J177=0),0,IF(H177=0,"New",(J177-H177)/H177))</f>
        <v>-0.216484587717234</v>
      </c>
    </row>
    <row r="178" customFormat="false" ht="15" hidden="false" customHeight="false" outlineLevel="0" collapsed="false">
      <c r="A178" s="7" t="n">
        <v>4420017</v>
      </c>
      <c r="B178" s="7" t="str">
        <f aca="false">IFERROR(INDEX('Source 2026'!$C:$C,MATCH($A178,'Source 2026'!$B:$B,0)),IFERROR(INDEX('Source 2025'!$C:$C,MATCH($A178,'Source 2025'!$B:$B,0)),""))</f>
        <v>4022 רצועת ""פיקה""+כרית</v>
      </c>
      <c r="C178" s="8" t="n">
        <f aca="false">SUMIFS('Source 2025'!$H:$H,'Source 2025'!$B:$B,$A178,'Source 2025'!$A:$A,"Quantity (units)")</f>
        <v>40</v>
      </c>
      <c r="D178" s="8" t="n">
        <f aca="false">SUMIFS('Source 2026'!$H:$H,'Source 2026'!$B:$B,$A178,'Source 2026'!$A:$A,"Quantity (units)")</f>
        <v>12</v>
      </c>
      <c r="E178" s="8" t="n">
        <f aca="false">D178*$J$5</f>
        <v>16.4571428571429</v>
      </c>
      <c r="F178" s="8" t="n">
        <f aca="false">E178-C178</f>
        <v>-23.5428571428571</v>
      </c>
      <c r="G178" s="9" t="n">
        <f aca="false">IF(AND(C178=0,E178=0),0,IF(C178=0,"New",(E178-C178)/C178))</f>
        <v>-0.588571428571429</v>
      </c>
      <c r="H178" s="8" t="n">
        <f aca="false">SUMIFS('Source 2025'!$H:$H,'Source 2025'!$B:$B,$A178,'Source 2025'!$A:$A,"Amount (NIS)")</f>
        <v>3726.4</v>
      </c>
      <c r="I178" s="8" t="n">
        <f aca="false">SUMIFS('Source 2026'!$H:$H,'Source 2026'!$B:$B,$A178,'Source 2026'!$A:$A,"Amount (NIS)")</f>
        <v>1185.3</v>
      </c>
      <c r="J178" s="8" t="n">
        <f aca="false">I178*$J$5</f>
        <v>1625.55428571429</v>
      </c>
      <c r="K178" s="8" t="n">
        <f aca="false">J178-H178</f>
        <v>-2100.84571428571</v>
      </c>
      <c r="L178" s="9" t="n">
        <f aca="false">IF(AND(H178=0,J178=0),0,IF(H178=0,"New",(J178-H178)/H178))</f>
        <v>-0.563773538612525</v>
      </c>
    </row>
    <row r="179" customFormat="false" ht="15" hidden="false" customHeight="false" outlineLevel="0" collapsed="false">
      <c r="A179" s="7" t="n">
        <v>4422042</v>
      </c>
      <c r="B179" s="7" t="str">
        <f aca="false">IFERROR(INDEX('Source 2026'!$C:$C,MATCH($A179,'Source 2026'!$B:$B,0)),IFERROR(INDEX('Source 2025'!$C:$C,MATCH($A179,'Source 2025'!$B:$B,0)),""))</f>
        <v>SH422 6 תומך ברך גנושילד</v>
      </c>
      <c r="C179" s="8" t="n">
        <f aca="false">SUMIFS('Source 2025'!$H:$H,'Source 2025'!$B:$B,$A179,'Source 2025'!$A:$A,"Quantity (units)")</f>
        <v>0</v>
      </c>
      <c r="D179" s="8" t="n">
        <f aca="false">SUMIFS('Source 2026'!$H:$H,'Source 2026'!$B:$B,$A179,'Source 2026'!$A:$A,"Quantity (units)")</f>
        <v>14</v>
      </c>
      <c r="E179" s="8" t="n">
        <f aca="false">D179*$J$5</f>
        <v>19.2</v>
      </c>
      <c r="F179" s="8" t="n">
        <f aca="false">E179-C179</f>
        <v>19.2</v>
      </c>
      <c r="G179" s="9" t="str">
        <f aca="false">IF(AND(C179=0,E179=0),0,IF(C179=0,"New",(E179-C179)/C179))</f>
        <v>New</v>
      </c>
      <c r="H179" s="8" t="n">
        <f aca="false">SUMIFS('Source 2025'!$H:$H,'Source 2025'!$B:$B,$A179,'Source 2025'!$A:$A,"Amount (NIS)")</f>
        <v>0</v>
      </c>
      <c r="I179" s="8" t="n">
        <f aca="false">SUMIFS('Source 2026'!$H:$H,'Source 2026'!$B:$B,$A179,'Source 2026'!$A:$A,"Amount (NIS)")</f>
        <v>2522.1</v>
      </c>
      <c r="J179" s="8" t="n">
        <f aca="false">I179*$J$5</f>
        <v>3458.88</v>
      </c>
      <c r="K179" s="8" t="n">
        <f aca="false">J179-H179</f>
        <v>3458.88</v>
      </c>
      <c r="L179" s="9" t="str">
        <f aca="false">IF(AND(H179=0,J179=0),0,IF(H179=0,"New",(J179-H179)/H179))</f>
        <v>New</v>
      </c>
    </row>
    <row r="180" customFormat="false" ht="15" hidden="false" customHeight="false" outlineLevel="0" collapsed="false">
      <c r="A180" s="7" t="n">
        <v>4422000</v>
      </c>
      <c r="B180" s="7" t="str">
        <f aca="false">IFERROR(INDEX('Source 2026'!$C:$C,MATCH($A180,'Source 2026'!$B:$B,0)),IFERROR(INDEX('Source 2025'!$C:$C,MATCH($A180,'Source 2025'!$B:$B,0)),""))</f>
        <v>801  תחבושת אלסטית מקררת</v>
      </c>
      <c r="C180" s="8" t="n">
        <f aca="false">SUMIFS('Source 2025'!$H:$H,'Source 2025'!$B:$B,$A180,'Source 2025'!$A:$A,"Quantity (units)")</f>
        <v>283</v>
      </c>
      <c r="D180" s="8" t="n">
        <f aca="false">SUMIFS('Source 2026'!$H:$H,'Source 2026'!$B:$B,$A180,'Source 2026'!$A:$A,"Quantity (units)")</f>
        <v>429</v>
      </c>
      <c r="E180" s="8" t="n">
        <f aca="false">D180*$J$5</f>
        <v>588.342857142857</v>
      </c>
      <c r="F180" s="8" t="n">
        <f aca="false">E180-C180</f>
        <v>305.342857142857</v>
      </c>
      <c r="G180" s="9" t="n">
        <f aca="false">IF(AND(C180=0,E180=0),0,IF(C180=0,"New",(E180-C180)/C180))</f>
        <v>1.07895002523978</v>
      </c>
      <c r="H180" s="8" t="n">
        <f aca="false">SUMIFS('Source 2025'!$H:$H,'Source 2025'!$B:$B,$A180,'Source 2025'!$A:$A,"Amount (NIS)")</f>
        <v>4566.7</v>
      </c>
      <c r="I180" s="8" t="n">
        <f aca="false">SUMIFS('Source 2026'!$H:$H,'Source 2026'!$B:$B,$A180,'Source 2026'!$A:$A,"Amount (NIS)")</f>
        <v>7083.4</v>
      </c>
      <c r="J180" s="8" t="n">
        <f aca="false">I180*$J$5</f>
        <v>9714.37714285714</v>
      </c>
      <c r="K180" s="8" t="n">
        <f aca="false">J180-H180</f>
        <v>5147.67714285714</v>
      </c>
      <c r="L180" s="9" t="n">
        <f aca="false">IF(AND(H180=0,J180=0),0,IF(H180=0,"New",(J180-H180)/H180))</f>
        <v>1.12722034354285</v>
      </c>
    </row>
    <row r="181" customFormat="false" ht="15" hidden="false" customHeight="false" outlineLevel="0" collapsed="false">
      <c r="A181" s="7" t="n">
        <v>4411019</v>
      </c>
      <c r="B181" s="7" t="str">
        <f aca="false">IFERROR(INDEX('Source 2026'!$C:$C,MATCH($A181,'Source 2026'!$B:$B,0)),IFERROR(INDEX('Source 2025'!$C:$C,MATCH($A181,'Source 2025'!$B:$B,0)),""))</f>
        <v>211S כפפות לחץ</v>
      </c>
      <c r="C181" s="8" t="n">
        <f aca="false">SUMIFS('Source 2025'!$H:$H,'Source 2025'!$B:$B,$A181,'Source 2025'!$A:$A,"Quantity (units)")</f>
        <v>246</v>
      </c>
      <c r="D181" s="8" t="n">
        <f aca="false">SUMIFS('Source 2026'!$H:$H,'Source 2026'!$B:$B,$A181,'Source 2026'!$A:$A,"Quantity (units)")</f>
        <v>157</v>
      </c>
      <c r="E181" s="8" t="n">
        <f aca="false">D181*$J$5</f>
        <v>215.314285714286</v>
      </c>
      <c r="F181" s="8" t="n">
        <f aca="false">E181-C181</f>
        <v>-30.6857142857143</v>
      </c>
      <c r="G181" s="9" t="n">
        <f aca="false">IF(AND(C181=0,E181=0),0,IF(C181=0,"New",(E181-C181)/C181))</f>
        <v>-0.124738675958188</v>
      </c>
      <c r="H181" s="8" t="n">
        <f aca="false">SUMIFS('Source 2025'!$H:$H,'Source 2025'!$B:$B,$A181,'Source 2025'!$A:$A,"Amount (NIS)")</f>
        <v>6998.3</v>
      </c>
      <c r="I181" s="8" t="n">
        <f aca="false">SUMIFS('Source 2026'!$H:$H,'Source 2026'!$B:$B,$A181,'Source 2026'!$A:$A,"Amount (NIS)")</f>
        <v>4541.8</v>
      </c>
      <c r="J181" s="8" t="n">
        <f aca="false">I181*$J$5</f>
        <v>6228.75428571429</v>
      </c>
      <c r="K181" s="8" t="n">
        <f aca="false">J181-H181</f>
        <v>-769.545714285714</v>
      </c>
      <c r="L181" s="9" t="n">
        <f aca="false">IF(AND(H181=0,J181=0),0,IF(H181=0,"New",(J181-H181)/H181))</f>
        <v>-0.1099618070511</v>
      </c>
    </row>
    <row r="182" customFormat="false" ht="15" hidden="false" customHeight="false" outlineLevel="0" collapsed="false">
      <c r="A182" s="7" t="n">
        <v>4408227</v>
      </c>
      <c r="B182" s="7" t="str">
        <f aca="false">IFERROR(INDEX('Source 2026'!$C:$C,MATCH($A182,'Source 2026'!$B:$B,0)),IFERROR(INDEX('Source 2025'!$C:$C,MATCH($A182,'Source 2025'!$B:$B,0)),""))</f>
        <v>XL 11 אפורUG חגורת בטן</v>
      </c>
      <c r="C182" s="8" t="n">
        <f aca="false">SUMIFS('Source 2025'!$H:$H,'Source 2025'!$B:$B,$A182,'Source 2025'!$A:$A,"Quantity (units)")</f>
        <v>32</v>
      </c>
      <c r="D182" s="8" t="n">
        <f aca="false">SUMIFS('Source 2026'!$H:$H,'Source 2026'!$B:$B,$A182,'Source 2026'!$A:$A,"Quantity (units)")</f>
        <v>1</v>
      </c>
      <c r="E182" s="8" t="n">
        <f aca="false">D182*$J$5</f>
        <v>1.37142857142857</v>
      </c>
      <c r="F182" s="8" t="n">
        <f aca="false">E182-C182</f>
        <v>-30.6285714285714</v>
      </c>
      <c r="G182" s="9" t="n">
        <f aca="false">IF(AND(C182=0,E182=0),0,IF(C182=0,"New",(E182-C182)/C182))</f>
        <v>-0.957142857142857</v>
      </c>
      <c r="H182" s="8" t="n">
        <f aca="false">SUMIFS('Source 2025'!$H:$H,'Source 2025'!$B:$B,$A182,'Source 2025'!$A:$A,"Amount (NIS)")</f>
        <v>2549.6</v>
      </c>
      <c r="I182" s="8" t="n">
        <f aca="false">SUMIFS('Source 2026'!$H:$H,'Source 2026'!$B:$B,$A182,'Source 2026'!$A:$A,"Amount (NIS)")</f>
        <v>132.3</v>
      </c>
      <c r="J182" s="8" t="n">
        <f aca="false">I182*$J$5</f>
        <v>181.44</v>
      </c>
      <c r="K182" s="8" t="n">
        <f aca="false">J182-H182</f>
        <v>-2368.16</v>
      </c>
      <c r="L182" s="9" t="n">
        <f aca="false">IF(AND(H182=0,J182=0),0,IF(H182=0,"New",(J182-H182)/H182))</f>
        <v>-0.928835895826796</v>
      </c>
    </row>
    <row r="183" customFormat="false" ht="15" hidden="false" customHeight="false" outlineLevel="0" collapsed="false">
      <c r="A183" s="7" t="n">
        <v>4411029</v>
      </c>
      <c r="B183" s="7" t="str">
        <f aca="false">IFERROR(INDEX('Source 2026'!$C:$C,MATCH($A183,'Source 2026'!$B:$B,0)),IFERROR(INDEX('Source 2025'!$C:$C,MATCH($A183,'Source 2025'!$B:$B,0)),""))</f>
        <v>213CTSR L ימין CTS כפפות</v>
      </c>
      <c r="C183" s="8" t="n">
        <f aca="false">SUMIFS('Source 2025'!$H:$H,'Source 2025'!$B:$B,$A183,'Source 2025'!$A:$A,"Quantity (units)")</f>
        <v>0</v>
      </c>
      <c r="D183" s="8" t="n">
        <f aca="false">SUMIFS('Source 2026'!$H:$H,'Source 2026'!$B:$B,$A183,'Source 2026'!$A:$A,"Quantity (units)")</f>
        <v>24</v>
      </c>
      <c r="E183" s="8" t="n">
        <f aca="false">D183*$J$5</f>
        <v>32.9142857142857</v>
      </c>
      <c r="F183" s="8" t="n">
        <f aca="false">E183-C183</f>
        <v>32.9142857142857</v>
      </c>
      <c r="G183" s="9" t="str">
        <f aca="false">IF(AND(C183=0,E183=0),0,IF(C183=0,"New",(E183-C183)/C183))</f>
        <v>New</v>
      </c>
      <c r="H183" s="8" t="n">
        <f aca="false">SUMIFS('Source 2025'!$H:$H,'Source 2025'!$B:$B,$A183,'Source 2025'!$A:$A,"Amount (NIS)")</f>
        <v>0</v>
      </c>
      <c r="I183" s="8" t="n">
        <f aca="false">SUMIFS('Source 2026'!$H:$H,'Source 2026'!$B:$B,$A183,'Source 2026'!$A:$A,"Amount (NIS)")</f>
        <v>2400.9</v>
      </c>
      <c r="J183" s="8" t="n">
        <f aca="false">I183*$J$5</f>
        <v>3292.66285714286</v>
      </c>
      <c r="K183" s="8" t="n">
        <f aca="false">J183-H183</f>
        <v>3292.66285714286</v>
      </c>
      <c r="L183" s="9" t="str">
        <f aca="false">IF(AND(H183=0,J183=0),0,IF(H183=0,"New",(J183-H183)/H183))</f>
        <v>New</v>
      </c>
    </row>
    <row r="184" customFormat="false" ht="15" hidden="false" customHeight="false" outlineLevel="0" collapsed="false">
      <c r="A184" s="7" t="n">
        <v>4411026</v>
      </c>
      <c r="B184" s="7" t="str">
        <f aca="false">IFERROR(INDEX('Source 2026'!$C:$C,MATCH($A184,'Source 2026'!$B:$B,0)),IFERROR(INDEX('Source 2025'!$C:$C,MATCH($A184,'Source 2025'!$B:$B,0)),""))</f>
        <v>213CTSL L שמאל CTS כפפות</v>
      </c>
      <c r="C184" s="8" t="n">
        <f aca="false">SUMIFS('Source 2025'!$H:$H,'Source 2025'!$B:$B,$A184,'Source 2025'!$A:$A,"Quantity (units)")</f>
        <v>0</v>
      </c>
      <c r="D184" s="8" t="n">
        <f aca="false">SUMIFS('Source 2026'!$H:$H,'Source 2026'!$B:$B,$A184,'Source 2026'!$A:$A,"Quantity (units)")</f>
        <v>24</v>
      </c>
      <c r="E184" s="8" t="n">
        <f aca="false">D184*$J$5</f>
        <v>32.9142857142857</v>
      </c>
      <c r="F184" s="8" t="n">
        <f aca="false">E184-C184</f>
        <v>32.9142857142857</v>
      </c>
      <c r="G184" s="9" t="str">
        <f aca="false">IF(AND(C184=0,E184=0),0,IF(C184=0,"New",(E184-C184)/C184))</f>
        <v>New</v>
      </c>
      <c r="H184" s="8" t="n">
        <f aca="false">SUMIFS('Source 2025'!$H:$H,'Source 2025'!$B:$B,$A184,'Source 2025'!$A:$A,"Amount (NIS)")</f>
        <v>0</v>
      </c>
      <c r="I184" s="8" t="n">
        <f aca="false">SUMIFS('Source 2026'!$H:$H,'Source 2026'!$B:$B,$A184,'Source 2026'!$A:$A,"Amount (NIS)")</f>
        <v>2400.9</v>
      </c>
      <c r="J184" s="8" t="n">
        <f aca="false">I184*$J$5</f>
        <v>3292.66285714286</v>
      </c>
      <c r="K184" s="8" t="n">
        <f aca="false">J184-H184</f>
        <v>3292.66285714286</v>
      </c>
      <c r="L184" s="9" t="str">
        <f aca="false">IF(AND(H184=0,J184=0),0,IF(H184=0,"New",(J184-H184)/H184))</f>
        <v>New</v>
      </c>
    </row>
    <row r="185" customFormat="false" ht="15" hidden="false" customHeight="false" outlineLevel="0" collapsed="false">
      <c r="A185" s="7" t="n">
        <v>4415075</v>
      </c>
      <c r="B185" s="7" t="str">
        <f aca="false">IFERROR(INDEX('Source 2026'!$C:$C,MATCH($A185,'Source 2026'!$B:$B,0)),IFERROR(INDEX('Source 2025'!$C:$C,MATCH($A185,'Source 2025'!$B:$B,0)),""))</f>
        <v>T28AC L-XL סד לאגודל</v>
      </c>
      <c r="C185" s="8" t="n">
        <f aca="false">SUMIFS('Source 2025'!$H:$H,'Source 2025'!$B:$B,$A185,'Source 2025'!$A:$A,"Quantity (units)")</f>
        <v>187</v>
      </c>
      <c r="D185" s="8" t="n">
        <f aca="false">SUMIFS('Source 2026'!$H:$H,'Source 2026'!$B:$B,$A185,'Source 2026'!$A:$A,"Quantity (units)")</f>
        <v>146</v>
      </c>
      <c r="E185" s="8" t="n">
        <f aca="false">D185*$J$5</f>
        <v>200.228571428571</v>
      </c>
      <c r="F185" s="8" t="n">
        <f aca="false">E185-C185</f>
        <v>13.2285714285714</v>
      </c>
      <c r="G185" s="9" t="n">
        <f aca="false">IF(AND(C185=0,E185=0),0,IF(C185=0,"New",(E185-C185)/C185))</f>
        <v>0.0707410236822001</v>
      </c>
      <c r="H185" s="8" t="n">
        <f aca="false">SUMIFS('Source 2025'!$H:$H,'Source 2025'!$B:$B,$A185,'Source 2025'!$A:$A,"Amount (NIS)")</f>
        <v>10885.6</v>
      </c>
      <c r="I185" s="8" t="n">
        <f aca="false">SUMIFS('Source 2026'!$H:$H,'Source 2026'!$B:$B,$A185,'Source 2026'!$A:$A,"Amount (NIS)")</f>
        <v>8567.9</v>
      </c>
      <c r="J185" s="8" t="n">
        <f aca="false">I185*$J$5</f>
        <v>11750.2628571429</v>
      </c>
      <c r="K185" s="8" t="n">
        <f aca="false">J185-H185</f>
        <v>864.662857142856</v>
      </c>
      <c r="L185" s="9" t="n">
        <f aca="false">IF(AND(H185=0,J185=0),0,IF(H185=0,"New",(J185-H185)/H185))</f>
        <v>0.0794318050583207</v>
      </c>
    </row>
    <row r="186" customFormat="false" ht="15" hidden="false" customHeight="false" outlineLevel="0" collapsed="false">
      <c r="A186" s="7" t="n">
        <v>4422031</v>
      </c>
      <c r="B186" s="7" t="str">
        <f aca="false">IFERROR(INDEX('Source 2026'!$C:$C,MATCH($A186,'Source 2026'!$B:$B,0)),IFERROR(INDEX('Source 2025'!$C:$C,MATCH($A186,'Source 2025'!$B:$B,0)),""))</f>
        <v>807CB-Cתחבושת נצמדת בז' 20 מ""מ</v>
      </c>
      <c r="C186" s="8" t="n">
        <f aca="false">SUMIFS('Source 2025'!$H:$H,'Source 2025'!$B:$B,$A186,'Source 2025'!$A:$A,"Quantity (units)")</f>
        <v>1235</v>
      </c>
      <c r="D186" s="8" t="n">
        <f aca="false">SUMIFS('Source 2026'!$H:$H,'Source 2026'!$B:$B,$A186,'Source 2026'!$A:$A,"Quantity (units)")</f>
        <v>1002</v>
      </c>
      <c r="E186" s="8" t="n">
        <f aca="false">D186*$J$5</f>
        <v>1374.17142857143</v>
      </c>
      <c r="F186" s="8" t="n">
        <f aca="false">E186-C186</f>
        <v>139.171428571429</v>
      </c>
      <c r="G186" s="9" t="n">
        <f aca="false">IF(AND(C186=0,E186=0),0,IF(C186=0,"New",(E186-C186)/C186))</f>
        <v>0.112689415847311</v>
      </c>
      <c r="H186" s="8" t="n">
        <f aca="false">SUMIFS('Source 2025'!$H:$H,'Source 2025'!$B:$B,$A186,'Source 2025'!$A:$A,"Amount (NIS)")</f>
        <v>12532.2</v>
      </c>
      <c r="I186" s="8" t="n">
        <f aca="false">SUMIFS('Source 2026'!$H:$H,'Source 2026'!$B:$B,$A186,'Source 2026'!$A:$A,"Amount (NIS)")</f>
        <v>10223.7</v>
      </c>
      <c r="J186" s="8" t="n">
        <f aca="false">I186*$J$5</f>
        <v>14021.0742857143</v>
      </c>
      <c r="K186" s="8" t="n">
        <f aca="false">J186-H186</f>
        <v>1488.87428571429</v>
      </c>
      <c r="L186" s="9" t="n">
        <f aca="false">IF(AND(H186=0,J186=0),0,IF(H186=0,"New",(J186-H186)/H186))</f>
        <v>0.118803904000438</v>
      </c>
    </row>
    <row r="187" customFormat="false" ht="15" hidden="false" customHeight="false" outlineLevel="0" collapsed="false">
      <c r="A187" s="7" t="n">
        <v>4413003</v>
      </c>
      <c r="B187" s="7" t="str">
        <f aca="false">IFERROR(INDEX('Source 2026'!$C:$C,MATCH($A187,'Source 2026'!$B:$B,0)),IFERROR(INDEX('Source 2025'!$C:$C,MATCH($A187,'Source 2025'!$B:$B,0)),""))</f>
        <v>30 M מגן קרסול מתכוון עם סקוטש</v>
      </c>
      <c r="C187" s="8" t="n">
        <f aca="false">SUMIFS('Source 2025'!$H:$H,'Source 2025'!$B:$B,$A187,'Source 2025'!$A:$A,"Quantity (units)")</f>
        <v>31</v>
      </c>
      <c r="D187" s="8" t="n">
        <f aca="false">SUMIFS('Source 2026'!$H:$H,'Source 2026'!$B:$B,$A187,'Source 2026'!$A:$A,"Quantity (units)")</f>
        <v>-9</v>
      </c>
      <c r="E187" s="8" t="n">
        <f aca="false">D187*$J$5</f>
        <v>-12.3428571428571</v>
      </c>
      <c r="F187" s="8" t="n">
        <f aca="false">E187-C187</f>
        <v>-43.3428571428571</v>
      </c>
      <c r="G187" s="9" t="n">
        <f aca="false">IF(AND(C187=0,E187=0),0,IF(C187=0,"New",(E187-C187)/C187))</f>
        <v>-1.39815668202765</v>
      </c>
      <c r="H187" s="8" t="n">
        <f aca="false">SUMIFS('Source 2025'!$H:$H,'Source 2025'!$B:$B,$A187,'Source 2025'!$A:$A,"Amount (NIS)")</f>
        <v>1802.1</v>
      </c>
      <c r="I187" s="8" t="n">
        <f aca="false">SUMIFS('Source 2026'!$H:$H,'Source 2026'!$B:$B,$A187,'Source 2026'!$A:$A,"Amount (NIS)")</f>
        <v>-483.8</v>
      </c>
      <c r="J187" s="8" t="n">
        <f aca="false">I187*$J$5</f>
        <v>-663.497142857143</v>
      </c>
      <c r="K187" s="8" t="n">
        <f aca="false">J187-H187</f>
        <v>-2465.59714285714</v>
      </c>
      <c r="L187" s="9" t="n">
        <f aca="false">IF(AND(H187=0,J187=0),0,IF(H187=0,"New",(J187-H187)/H187))</f>
        <v>-1.36817998049894</v>
      </c>
    </row>
    <row r="188" customFormat="false" ht="15" hidden="false" customHeight="false" outlineLevel="0" collapsed="false">
      <c r="A188" s="7" t="n">
        <v>4411022</v>
      </c>
      <c r="B188" s="7" t="str">
        <f aca="false">IFERROR(INDEX('Source 2026'!$C:$C,MATCH($A188,'Source 2026'!$B:$B,0)),IFERROR(INDEX('Source 2025'!$C:$C,MATCH($A188,'Source 2025'!$B:$B,0)),""))</f>
        <v>212M כפפות אגודל לחץ</v>
      </c>
      <c r="C188" s="8" t="n">
        <f aca="false">SUMIFS('Source 2025'!$H:$H,'Source 2025'!$B:$B,$A188,'Source 2025'!$A:$A,"Quantity (units)")</f>
        <v>419</v>
      </c>
      <c r="D188" s="8" t="n">
        <f aca="false">SUMIFS('Source 2026'!$H:$H,'Source 2026'!$B:$B,$A188,'Source 2026'!$A:$A,"Quantity (units)")</f>
        <v>326</v>
      </c>
      <c r="E188" s="8" t="n">
        <f aca="false">D188*$J$5</f>
        <v>447.085714285714</v>
      </c>
      <c r="F188" s="8" t="n">
        <f aca="false">E188-C188</f>
        <v>28.0857142857143</v>
      </c>
      <c r="G188" s="9" t="n">
        <f aca="false">IF(AND(C188=0,E188=0),0,IF(C188=0,"New",(E188-C188)/C188))</f>
        <v>0.0670303443573133</v>
      </c>
      <c r="H188" s="8" t="n">
        <f aca="false">SUMIFS('Source 2025'!$H:$H,'Source 2025'!$B:$B,$A188,'Source 2025'!$A:$A,"Amount (NIS)")</f>
        <v>11927.2</v>
      </c>
      <c r="I188" s="8" t="n">
        <f aca="false">SUMIFS('Source 2026'!$H:$H,'Source 2026'!$B:$B,$A188,'Source 2026'!$A:$A,"Amount (NIS)")</f>
        <v>9647.9</v>
      </c>
      <c r="J188" s="8" t="n">
        <f aca="false">I188*$J$5</f>
        <v>13231.4057142857</v>
      </c>
      <c r="K188" s="8" t="n">
        <f aca="false">J188-H188</f>
        <v>1304.20571428571</v>
      </c>
      <c r="L188" s="9" t="n">
        <f aca="false">IF(AND(H188=0,J188=0),0,IF(H188=0,"New",(J188-H188)/H188))</f>
        <v>0.109347182430555</v>
      </c>
    </row>
    <row r="189" customFormat="false" ht="15" hidden="false" customHeight="false" outlineLevel="0" collapsed="false">
      <c r="A189" s="7" t="n">
        <v>4419012</v>
      </c>
      <c r="B189" s="7" t="str">
        <f aca="false">IFERROR(INDEX('Source 2026'!$C:$C,MATCH($A189,'Source 2026'!$B:$B,0)),IFERROR(INDEX('Source 2025'!$C:$C,MATCH($A189,'Source 2025'!$B:$B,0)),""))</f>
        <v>239P S-M STRAP4U</v>
      </c>
      <c r="C189" s="8" t="n">
        <f aca="false">SUMIFS('Source 2025'!$H:$H,'Source 2025'!$B:$B,$A189,'Source 2025'!$A:$A,"Quantity (units)")</f>
        <v>95</v>
      </c>
      <c r="D189" s="8" t="n">
        <f aca="false">SUMIFS('Source 2026'!$H:$H,'Source 2026'!$B:$B,$A189,'Source 2026'!$A:$A,"Quantity (units)")</f>
        <v>-57</v>
      </c>
      <c r="E189" s="8" t="n">
        <f aca="false">D189*$J$5</f>
        <v>-78.1714285714286</v>
      </c>
      <c r="F189" s="8" t="n">
        <f aca="false">E189-C189</f>
        <v>-173.171428571429</v>
      </c>
      <c r="G189" s="9" t="n">
        <f aca="false">IF(AND(C189=0,E189=0),0,IF(C189=0,"New",(E189-C189)/C189))</f>
        <v>-1.82285714285714</v>
      </c>
      <c r="H189" s="8" t="n">
        <f aca="false">SUMIFS('Source 2025'!$H:$H,'Source 2025'!$B:$B,$A189,'Source 2025'!$A:$A,"Amount (NIS)")</f>
        <v>1673</v>
      </c>
      <c r="I189" s="8" t="n">
        <f aca="false">SUMIFS('Source 2026'!$H:$H,'Source 2026'!$B:$B,$A189,'Source 2026'!$A:$A,"Amount (NIS)")</f>
        <v>-564.6</v>
      </c>
      <c r="J189" s="8" t="n">
        <f aca="false">I189*$J$5</f>
        <v>-774.308571428571</v>
      </c>
      <c r="K189" s="8" t="n">
        <f aca="false">J189-H189</f>
        <v>-2447.30857142857</v>
      </c>
      <c r="L189" s="9" t="n">
        <f aca="false">IF(AND(H189=0,J189=0),0,IF(H189=0,"New",(J189-H189)/H189))</f>
        <v>-1.46282640252754</v>
      </c>
    </row>
    <row r="190" customFormat="false" ht="15" hidden="false" customHeight="false" outlineLevel="0" collapsed="false">
      <c r="A190" s="7" t="n">
        <v>4413518</v>
      </c>
      <c r="B190" s="7" t="str">
        <f aca="false">IFERROR(INDEX('Source 2026'!$C:$C,MATCH($A190,'Source 2026'!$B:$B,0)),IFERROR(INDEX('Source 2025'!$C:$C,MATCH($A190,'Source 2025'!$B:$B,0)),""))</f>
        <v>85B XL מתלה רשת לזרוע שחור</v>
      </c>
      <c r="C190" s="8" t="n">
        <f aca="false">SUMIFS('Source 2025'!$H:$H,'Source 2025'!$B:$B,$A190,'Source 2025'!$A:$A,"Quantity (units)")</f>
        <v>588</v>
      </c>
      <c r="D190" s="8" t="n">
        <f aca="false">SUMIFS('Source 2026'!$H:$H,'Source 2026'!$B:$B,$A190,'Source 2026'!$A:$A,"Quantity (units)")</f>
        <v>634</v>
      </c>
      <c r="E190" s="8" t="n">
        <f aca="false">D190*$J$5</f>
        <v>869.485714285714</v>
      </c>
      <c r="F190" s="8" t="n">
        <f aca="false">E190-C190</f>
        <v>281.485714285714</v>
      </c>
      <c r="G190" s="9" t="n">
        <f aca="false">IF(AND(C190=0,E190=0),0,IF(C190=0,"New",(E190-C190)/C190))</f>
        <v>0.478717201166181</v>
      </c>
      <c r="H190" s="8" t="n">
        <f aca="false">SUMIFS('Source 2025'!$H:$H,'Source 2025'!$B:$B,$A190,'Source 2025'!$A:$A,"Amount (NIS)")</f>
        <v>28808.8</v>
      </c>
      <c r="I190" s="8" t="n">
        <f aca="false">SUMIFS('Source 2026'!$H:$H,'Source 2026'!$B:$B,$A190,'Source 2026'!$A:$A,"Amount (NIS)")</f>
        <v>31042.3</v>
      </c>
      <c r="J190" s="8" t="n">
        <f aca="false">I190*$J$5</f>
        <v>42572.2971428571</v>
      </c>
      <c r="K190" s="8" t="n">
        <f aca="false">J190-H190</f>
        <v>13763.4971428571</v>
      </c>
      <c r="L190" s="9" t="n">
        <f aca="false">IF(AND(H190=0,J190=0),0,IF(H190=0,"New",(J190-H190)/H190))</f>
        <v>0.477753226196757</v>
      </c>
    </row>
    <row r="191" customFormat="false" ht="15" hidden="false" customHeight="false" outlineLevel="0" collapsed="false">
      <c r="A191" s="7" t="n">
        <v>4413161</v>
      </c>
      <c r="B191" s="7" t="str">
        <f aca="false">IFERROR(INDEX('Source 2026'!$C:$C,MATCH($A191,'Source 2026'!$B:$B,0)),IFERROR(INDEX('Source 2025'!$C:$C,MATCH($A191,'Source 2025'!$B:$B,0)),""))</f>
        <v>34+ L מגן קרסול עקב סגור+רצוע</v>
      </c>
      <c r="C191" s="8" t="n">
        <f aca="false">SUMIFS('Source 2025'!$H:$H,'Source 2025'!$B:$B,$A191,'Source 2025'!$A:$A,"Quantity (units)")</f>
        <v>112</v>
      </c>
      <c r="D191" s="8" t="n">
        <f aca="false">SUMIFS('Source 2026'!$H:$H,'Source 2026'!$B:$B,$A191,'Source 2026'!$A:$A,"Quantity (units)")</f>
        <v>70</v>
      </c>
      <c r="E191" s="8" t="n">
        <f aca="false">D191*$J$5</f>
        <v>96</v>
      </c>
      <c r="F191" s="8" t="n">
        <f aca="false">E191-C191</f>
        <v>-16</v>
      </c>
      <c r="G191" s="9" t="n">
        <f aca="false">IF(AND(C191=0,E191=0),0,IF(C191=0,"New",(E191-C191)/C191))</f>
        <v>-0.142857142857143</v>
      </c>
      <c r="H191" s="8" t="n">
        <f aca="false">SUMIFS('Source 2025'!$H:$H,'Source 2025'!$B:$B,$A191,'Source 2025'!$A:$A,"Amount (NIS)")</f>
        <v>5934</v>
      </c>
      <c r="I191" s="8" t="n">
        <f aca="false">SUMIFS('Source 2026'!$H:$H,'Source 2026'!$B:$B,$A191,'Source 2026'!$A:$A,"Amount (NIS)")</f>
        <v>3738.1</v>
      </c>
      <c r="J191" s="8" t="n">
        <f aca="false">I191*$J$5</f>
        <v>5126.53714285714</v>
      </c>
      <c r="K191" s="8" t="n">
        <f aca="false">J191-H191</f>
        <v>-807.462857142858</v>
      </c>
      <c r="L191" s="9" t="n">
        <f aca="false">IF(AND(H191=0,J191=0),0,IF(H191=0,"New",(J191-H191)/H191))</f>
        <v>-0.136073956377293</v>
      </c>
    </row>
    <row r="192" customFormat="false" ht="15" hidden="false" customHeight="false" outlineLevel="0" collapsed="false">
      <c r="A192" s="7" t="n">
        <v>4413002</v>
      </c>
      <c r="B192" s="7" t="str">
        <f aca="false">IFERROR(INDEX('Source 2026'!$C:$C,MATCH($A192,'Source 2026'!$B:$B,0)),IFERROR(INDEX('Source 2025'!$C:$C,MATCH($A192,'Source 2025'!$B:$B,0)),""))</f>
        <v>30 L מגן קרסול מתכוון עם סקוטש</v>
      </c>
      <c r="C192" s="8" t="n">
        <f aca="false">SUMIFS('Source 2025'!$H:$H,'Source 2025'!$B:$B,$A192,'Source 2025'!$A:$A,"Quantity (units)")</f>
        <v>30</v>
      </c>
      <c r="D192" s="8" t="n">
        <f aca="false">SUMIFS('Source 2026'!$H:$H,'Source 2026'!$B:$B,$A192,'Source 2026'!$A:$A,"Quantity (units)")</f>
        <v>-7</v>
      </c>
      <c r="E192" s="8" t="n">
        <f aca="false">D192*$J$5</f>
        <v>-9.6</v>
      </c>
      <c r="F192" s="8" t="n">
        <f aca="false">E192-C192</f>
        <v>-39.6</v>
      </c>
      <c r="G192" s="9" t="n">
        <f aca="false">IF(AND(C192=0,E192=0),0,IF(C192=0,"New",(E192-C192)/C192))</f>
        <v>-1.32</v>
      </c>
      <c r="H192" s="8" t="n">
        <f aca="false">SUMIFS('Source 2025'!$H:$H,'Source 2025'!$B:$B,$A192,'Source 2025'!$A:$A,"Amount (NIS)")</f>
        <v>1755.2</v>
      </c>
      <c r="I192" s="8" t="n">
        <f aca="false">SUMIFS('Source 2026'!$H:$H,'Source 2026'!$B:$B,$A192,'Source 2026'!$A:$A,"Amount (NIS)")</f>
        <v>-392.6</v>
      </c>
      <c r="J192" s="8" t="n">
        <f aca="false">I192*$J$5</f>
        <v>-538.422857142857</v>
      </c>
      <c r="K192" s="8" t="n">
        <f aca="false">J192-H192</f>
        <v>-2293.62285714286</v>
      </c>
      <c r="L192" s="9" t="n">
        <f aca="false">IF(AND(H192=0,J192=0),0,IF(H192=0,"New",(J192-H192)/H192))</f>
        <v>-1.30675869253809</v>
      </c>
    </row>
    <row r="193" customFormat="false" ht="15" hidden="false" customHeight="false" outlineLevel="0" collapsed="false">
      <c r="A193" s="7" t="n">
        <v>4413034</v>
      </c>
      <c r="B193" s="7" t="str">
        <f aca="false">IFERROR(INDEX('Source 2026'!$C:$C,MATCH($A193,'Source 2026'!$B:$B,0)),IFERROR(INDEX('Source 2025'!$C:$C,MATCH($A193,'Source 2025'!$B:$B,0)),""))</f>
        <v>312 9 מ""ס להתאמהX5 מדבקה גדולה</v>
      </c>
      <c r="C193" s="8" t="n">
        <f aca="false">SUMIFS('Source 2025'!$H:$H,'Source 2025'!$B:$B,$A193,'Source 2025'!$A:$A,"Quantity (units)")</f>
        <v>208</v>
      </c>
      <c r="D193" s="8" t="n">
        <f aca="false">SUMIFS('Source 2026'!$H:$H,'Source 2026'!$B:$B,$A193,'Source 2026'!$A:$A,"Quantity (units)")</f>
        <v>102</v>
      </c>
      <c r="E193" s="8" t="n">
        <f aca="false">D193*$J$5</f>
        <v>139.885714285714</v>
      </c>
      <c r="F193" s="8" t="n">
        <f aca="false">E193-C193</f>
        <v>-68.1142857142857</v>
      </c>
      <c r="G193" s="9" t="n">
        <f aca="false">IF(AND(C193=0,E193=0),0,IF(C193=0,"New",(E193-C193)/C193))</f>
        <v>-0.327472527472527</v>
      </c>
      <c r="H193" s="8" t="n">
        <f aca="false">SUMIFS('Source 2025'!$H:$H,'Source 2025'!$B:$B,$A193,'Source 2025'!$A:$A,"Amount (NIS)")</f>
        <v>4120.4</v>
      </c>
      <c r="I193" s="8" t="n">
        <f aca="false">SUMIFS('Source 2026'!$H:$H,'Source 2026'!$B:$B,$A193,'Source 2026'!$A:$A,"Amount (NIS)")</f>
        <v>2001.2</v>
      </c>
      <c r="J193" s="8" t="n">
        <f aca="false">I193*$J$5</f>
        <v>2744.50285714286</v>
      </c>
      <c r="K193" s="8" t="n">
        <f aca="false">J193-H193</f>
        <v>-1375.89714285714</v>
      </c>
      <c r="L193" s="9" t="n">
        <f aca="false">IF(AND(H193=0,J193=0),0,IF(H193=0,"New",(J193-H193)/H193))</f>
        <v>-0.333923197470426</v>
      </c>
    </row>
    <row r="194" customFormat="false" ht="15" hidden="false" customHeight="false" outlineLevel="0" collapsed="false">
      <c r="A194" s="7" t="n">
        <v>4413519</v>
      </c>
      <c r="B194" s="7" t="str">
        <f aca="false">IFERROR(INDEX('Source 2026'!$C:$C,MATCH($A194,'Source 2026'!$B:$B,0)),IFERROR(INDEX('Source 2025'!$C:$C,MATCH($A194,'Source 2025'!$B:$B,0)),""))</f>
        <v>85B S מתלה רשת לזרוע שחור</v>
      </c>
      <c r="C194" s="8" t="n">
        <f aca="false">SUMIFS('Source 2025'!$H:$H,'Source 2025'!$B:$B,$A194,'Source 2025'!$A:$A,"Quantity (units)")</f>
        <v>464</v>
      </c>
      <c r="D194" s="8" t="n">
        <f aca="false">SUMIFS('Source 2026'!$H:$H,'Source 2026'!$B:$B,$A194,'Source 2026'!$A:$A,"Quantity (units)")</f>
        <v>507</v>
      </c>
      <c r="E194" s="8" t="n">
        <f aca="false">D194*$J$5</f>
        <v>695.314285714286</v>
      </c>
      <c r="F194" s="8" t="n">
        <f aca="false">E194-C194</f>
        <v>231.314285714286</v>
      </c>
      <c r="G194" s="9" t="n">
        <f aca="false">IF(AND(C194=0,E194=0),0,IF(C194=0,"New",(E194-C194)/C194))</f>
        <v>0.498522167487685</v>
      </c>
      <c r="H194" s="8" t="n">
        <f aca="false">SUMIFS('Source 2025'!$H:$H,'Source 2025'!$B:$B,$A194,'Source 2025'!$A:$A,"Amount (NIS)")</f>
        <v>22776.9</v>
      </c>
      <c r="I194" s="8" t="n">
        <f aca="false">SUMIFS('Source 2026'!$H:$H,'Source 2026'!$B:$B,$A194,'Source 2026'!$A:$A,"Amount (NIS)")</f>
        <v>24828.6</v>
      </c>
      <c r="J194" s="8" t="n">
        <f aca="false">I194*$J$5</f>
        <v>34050.6514285714</v>
      </c>
      <c r="K194" s="8" t="n">
        <f aca="false">J194-H194</f>
        <v>11273.7514285714</v>
      </c>
      <c r="L194" s="9" t="n">
        <f aca="false">IF(AND(H194=0,J194=0),0,IF(H194=0,"New",(J194-H194)/H194))</f>
        <v>0.494964258901406</v>
      </c>
    </row>
    <row r="195" customFormat="false" ht="15" hidden="false" customHeight="false" outlineLevel="0" collapsed="false">
      <c r="A195" s="7" t="n">
        <v>4413160</v>
      </c>
      <c r="B195" s="7" t="str">
        <f aca="false">IFERROR(INDEX('Source 2026'!$C:$C,MATCH($A195,'Source 2026'!$B:$B,0)),IFERROR(INDEX('Source 2025'!$C:$C,MATCH($A195,'Source 2025'!$B:$B,0)),""))</f>
        <v>34+ M מגן קרסול עקב סגור+רצוע</v>
      </c>
      <c r="C195" s="8" t="n">
        <f aca="false">SUMIFS('Source 2025'!$H:$H,'Source 2025'!$B:$B,$A195,'Source 2025'!$A:$A,"Quantity (units)")</f>
        <v>123</v>
      </c>
      <c r="D195" s="8" t="n">
        <f aca="false">SUMIFS('Source 2026'!$H:$H,'Source 2026'!$B:$B,$A195,'Source 2026'!$A:$A,"Quantity (units)")</f>
        <v>83</v>
      </c>
      <c r="E195" s="8" t="n">
        <f aca="false">D195*$J$5</f>
        <v>113.828571428571</v>
      </c>
      <c r="F195" s="8" t="n">
        <f aca="false">E195-C195</f>
        <v>-9.17142857142856</v>
      </c>
      <c r="G195" s="9" t="n">
        <f aca="false">IF(AND(C195=0,E195=0),0,IF(C195=0,"New",(E195-C195)/C195))</f>
        <v>-0.0745644599303135</v>
      </c>
      <c r="H195" s="8" t="n">
        <f aca="false">SUMIFS('Source 2025'!$H:$H,'Source 2025'!$B:$B,$A195,'Source 2025'!$A:$A,"Amount (NIS)")</f>
        <v>6495.5</v>
      </c>
      <c r="I195" s="8" t="n">
        <f aca="false">SUMIFS('Source 2026'!$H:$H,'Source 2026'!$B:$B,$A195,'Source 2026'!$A:$A,"Amount (NIS)")</f>
        <v>4452.2</v>
      </c>
      <c r="J195" s="8" t="n">
        <f aca="false">I195*$J$5</f>
        <v>6105.87428571429</v>
      </c>
      <c r="K195" s="8" t="n">
        <f aca="false">J195-H195</f>
        <v>-389.625714285715</v>
      </c>
      <c r="L195" s="9" t="n">
        <f aca="false">IF(AND(H195=0,J195=0),0,IF(H195=0,"New",(J195-H195)/H195))</f>
        <v>-0.0599839449289069</v>
      </c>
    </row>
    <row r="196" customFormat="false" ht="15" hidden="false" customHeight="false" outlineLevel="0" collapsed="false">
      <c r="A196" s="7" t="n">
        <v>4403018</v>
      </c>
      <c r="B196" s="7" t="str">
        <f aca="false">IFERROR(INDEX('Source 2026'!$C:$C,MATCH($A196,'Source 2026'!$B:$B,0)),IFERROR(INDEX('Source 2025'!$C:$C,MATCH($A196,'Source 2025'!$B:$B,0)),""))</f>
        <v>394B גרב.כסף לסכרתים שחור39-42</v>
      </c>
      <c r="C196" s="8" t="n">
        <f aca="false">SUMIFS('Source 2025'!$H:$H,'Source 2025'!$B:$B,$A196,'Source 2025'!$A:$A,"Quantity (units)")</f>
        <v>148</v>
      </c>
      <c r="D196" s="8" t="n">
        <f aca="false">SUMIFS('Source 2026'!$H:$H,'Source 2026'!$B:$B,$A196,'Source 2026'!$A:$A,"Quantity (units)")</f>
        <v>57</v>
      </c>
      <c r="E196" s="8" t="n">
        <f aca="false">D196*$J$5</f>
        <v>78.1714285714286</v>
      </c>
      <c r="F196" s="8" t="n">
        <f aca="false">E196-C196</f>
        <v>-69.8285714285714</v>
      </c>
      <c r="G196" s="9" t="n">
        <f aca="false">IF(AND(C196=0,E196=0),0,IF(C196=0,"New",(E196-C196)/C196))</f>
        <v>-0.471814671814672</v>
      </c>
      <c r="H196" s="8" t="n">
        <f aca="false">SUMIFS('Source 2025'!$H:$H,'Source 2025'!$B:$B,$A196,'Source 2025'!$A:$A,"Amount (NIS)")</f>
        <v>3293.1</v>
      </c>
      <c r="I196" s="8" t="n">
        <f aca="false">SUMIFS('Source 2026'!$H:$H,'Source 2026'!$B:$B,$A196,'Source 2026'!$A:$A,"Amount (NIS)")</f>
        <v>1259.8</v>
      </c>
      <c r="J196" s="8" t="n">
        <f aca="false">I196*$J$5</f>
        <v>1727.72571428571</v>
      </c>
      <c r="K196" s="8" t="n">
        <f aca="false">J196-H196</f>
        <v>-1565.37428571429</v>
      </c>
      <c r="L196" s="9" t="n">
        <f aca="false">IF(AND(H196=0,J196=0),0,IF(H196=0,"New",(J196-H196)/H196))</f>
        <v>-0.475349757284712</v>
      </c>
    </row>
    <row r="197" customFormat="false" ht="15" hidden="false" customHeight="false" outlineLevel="0" collapsed="false">
      <c r="A197" s="7" t="n">
        <v>4421007</v>
      </c>
      <c r="B197" s="7" t="str">
        <f aca="false">IFERROR(INDEX('Source 2026'!$C:$C,MATCH($A197,'Source 2026'!$B:$B,0)),IFERROR(INDEX('Source 2025'!$C:$C,MATCH($A197,'Source 2025'!$B:$B,0)),""))</f>
        <v>שרוול לגבס קצר רגל</v>
      </c>
      <c r="C197" s="8" t="n">
        <f aca="false">SUMIFS('Source 2025'!$H:$H,'Source 2025'!$B:$B,$A197,'Source 2025'!$A:$A,"Quantity (units)")</f>
        <v>262</v>
      </c>
      <c r="D197" s="8" t="n">
        <f aca="false">SUMIFS('Source 2026'!$H:$H,'Source 2026'!$B:$B,$A197,'Source 2026'!$A:$A,"Quantity (units)")</f>
        <v>317</v>
      </c>
      <c r="E197" s="8" t="n">
        <f aca="false">D197*$J$5</f>
        <v>434.742857142857</v>
      </c>
      <c r="F197" s="8" t="n">
        <f aca="false">E197-C197</f>
        <v>172.742857142857</v>
      </c>
      <c r="G197" s="9" t="n">
        <f aca="false">IF(AND(C197=0,E197=0),0,IF(C197=0,"New",(E197-C197)/C197))</f>
        <v>0.659323882224646</v>
      </c>
      <c r="H197" s="8" t="n">
        <f aca="false">SUMIFS('Source 2025'!$H:$H,'Source 2025'!$B:$B,$A197,'Source 2025'!$A:$A,"Amount (NIS)")</f>
        <v>9621.9</v>
      </c>
      <c r="I197" s="8" t="n">
        <f aca="false">SUMIFS('Source 2026'!$H:$H,'Source 2026'!$B:$B,$A197,'Source 2026'!$A:$A,"Amount (NIS)")</f>
        <v>11625.4</v>
      </c>
      <c r="J197" s="8" t="n">
        <f aca="false">I197*$J$5</f>
        <v>15943.4057142857</v>
      </c>
      <c r="K197" s="8" t="n">
        <f aca="false">J197-H197</f>
        <v>6321.50571428572</v>
      </c>
      <c r="L197" s="9" t="n">
        <f aca="false">IF(AND(H197=0,J197=0),0,IF(H197=0,"New",(J197-H197)/H197))</f>
        <v>0.656991416901622</v>
      </c>
    </row>
    <row r="198" customFormat="false" ht="15" hidden="false" customHeight="false" outlineLevel="0" collapsed="false">
      <c r="A198" s="7" t="n">
        <v>4422036</v>
      </c>
      <c r="B198" s="7" t="str">
        <f aca="false">IFERROR(INDEX('Source 2026'!$C:$C,MATCH($A198,'Source 2026'!$B:$B,0)),IFERROR(INDEX('Source 2025'!$C:$C,MATCH($A198,'Source 2025'!$B:$B,0)),""))</f>
        <v>FC334  תרסיס דאודורנט לכף הרגל</v>
      </c>
      <c r="C198" s="8" t="n">
        <f aca="false">SUMIFS('Source 2025'!$H:$H,'Source 2025'!$B:$B,$A198,'Source 2025'!$A:$A,"Quantity (units)")</f>
        <v>583</v>
      </c>
      <c r="D198" s="8" t="n">
        <f aca="false">SUMIFS('Source 2026'!$H:$H,'Source 2026'!$B:$B,$A198,'Source 2026'!$A:$A,"Quantity (units)")</f>
        <v>536</v>
      </c>
      <c r="E198" s="8" t="n">
        <f aca="false">D198*$J$5</f>
        <v>735.085714285714</v>
      </c>
      <c r="F198" s="8" t="n">
        <f aca="false">E198-C198</f>
        <v>152.085714285714</v>
      </c>
      <c r="G198" s="9" t="n">
        <f aca="false">IF(AND(C198=0,E198=0),0,IF(C198=0,"New",(E198-C198)/C198))</f>
        <v>0.26086743445234</v>
      </c>
      <c r="H198" s="8" t="n">
        <f aca="false">SUMIFS('Source 2025'!$H:$H,'Source 2025'!$B:$B,$A198,'Source 2025'!$A:$A,"Amount (NIS)")</f>
        <v>12662</v>
      </c>
      <c r="I198" s="8" t="n">
        <f aca="false">SUMIFS('Source 2026'!$H:$H,'Source 2026'!$B:$B,$A198,'Source 2026'!$A:$A,"Amount (NIS)")</f>
        <v>10680.7</v>
      </c>
      <c r="J198" s="8" t="n">
        <f aca="false">I198*$J$5</f>
        <v>14647.8171428571</v>
      </c>
      <c r="K198" s="8" t="n">
        <f aca="false">J198-H198</f>
        <v>1985.81714285714</v>
      </c>
      <c r="L198" s="9" t="n">
        <f aca="false">IF(AND(H198=0,J198=0),0,IF(H198=0,"New",(J198-H198)/H198))</f>
        <v>0.156832818105919</v>
      </c>
    </row>
    <row r="199" customFormat="false" ht="15" hidden="false" customHeight="false" outlineLevel="0" collapsed="false">
      <c r="A199" s="7" t="n">
        <v>4402000</v>
      </c>
      <c r="B199" s="7" t="str">
        <f aca="false">IFERROR(INDEX('Source 2026'!$C:$C,MATCH($A199,'Source 2026'!$B:$B,0)),IFERROR(INDEX('Source 2025'!$C:$C,MATCH($A199,'Source 2025'!$B:$B,0)),""))</f>
        <v>363  בננה לתמיכת אצבעות ז.כרית</v>
      </c>
      <c r="C199" s="8" t="n">
        <f aca="false">SUMIFS('Source 2025'!$H:$H,'Source 2025'!$B:$B,$A199,'Source 2025'!$A:$A,"Quantity (units)")</f>
        <v>199</v>
      </c>
      <c r="D199" s="8" t="n">
        <f aca="false">SUMIFS('Source 2026'!$H:$H,'Source 2026'!$B:$B,$A199,'Source 2026'!$A:$A,"Quantity (units)")</f>
        <v>106</v>
      </c>
      <c r="E199" s="8" t="n">
        <f aca="false">D199*$J$5</f>
        <v>145.371428571429</v>
      </c>
      <c r="F199" s="8" t="n">
        <f aca="false">E199-C199</f>
        <v>-53.6285714285714</v>
      </c>
      <c r="G199" s="9" t="n">
        <f aca="false">IF(AND(C199=0,E199=0),0,IF(C199=0,"New",(E199-C199)/C199))</f>
        <v>-0.269490308686289</v>
      </c>
      <c r="H199" s="8" t="n">
        <f aca="false">SUMIFS('Source 2025'!$H:$H,'Source 2025'!$B:$B,$A199,'Source 2025'!$A:$A,"Amount (NIS)")</f>
        <v>4320.4</v>
      </c>
      <c r="I199" s="8" t="n">
        <f aca="false">SUMIFS('Source 2026'!$H:$H,'Source 2026'!$B:$B,$A199,'Source 2026'!$A:$A,"Amount (NIS)")</f>
        <v>2345.9</v>
      </c>
      <c r="J199" s="8" t="n">
        <f aca="false">I199*$J$5</f>
        <v>3217.23428571429</v>
      </c>
      <c r="K199" s="8" t="n">
        <f aca="false">J199-H199</f>
        <v>-1103.16571428571</v>
      </c>
      <c r="L199" s="9" t="n">
        <f aca="false">IF(AND(H199=0,J199=0),0,IF(H199=0,"New",(J199-H199)/H199))</f>
        <v>-0.25533879138175</v>
      </c>
    </row>
    <row r="200" customFormat="false" ht="15" hidden="false" customHeight="false" outlineLevel="0" collapsed="false">
      <c r="A200" s="7" t="n">
        <v>4408048</v>
      </c>
      <c r="B200" s="7" t="str">
        <f aca="false">IFERROR(INDEX('Source 2026'!$C:$C,MATCH($A200,'Source 2026'!$B:$B,0)),IFERROR(INDEX('Source 2025'!$C:$C,MATCH($A200,'Source 2025'!$B:$B,0)),""))</f>
        <v>20 S חבק יד מתכוון עם צמדן</v>
      </c>
      <c r="C200" s="8" t="n">
        <f aca="false">SUMIFS('Source 2025'!$H:$H,'Source 2025'!$B:$B,$A200,'Source 2025'!$A:$A,"Quantity (units)")</f>
        <v>183</v>
      </c>
      <c r="D200" s="8" t="n">
        <f aca="false">SUMIFS('Source 2026'!$H:$H,'Source 2026'!$B:$B,$A200,'Source 2026'!$A:$A,"Quantity (units)")</f>
        <v>102</v>
      </c>
      <c r="E200" s="8" t="n">
        <f aca="false">D200*$J$5</f>
        <v>139.885714285714</v>
      </c>
      <c r="F200" s="8" t="n">
        <f aca="false">E200-C200</f>
        <v>-43.1142857142857</v>
      </c>
      <c r="G200" s="9" t="n">
        <f aca="false">IF(AND(C200=0,E200=0),0,IF(C200=0,"New",(E200-C200)/C200))</f>
        <v>-0.23559718969555</v>
      </c>
      <c r="H200" s="8" t="n">
        <f aca="false">SUMIFS('Source 2025'!$H:$H,'Source 2025'!$B:$B,$A200,'Source 2025'!$A:$A,"Amount (NIS)")</f>
        <v>4593.4</v>
      </c>
      <c r="I200" s="8" t="n">
        <f aca="false">SUMIFS('Source 2026'!$H:$H,'Source 2026'!$B:$B,$A200,'Source 2026'!$A:$A,"Amount (NIS)")</f>
        <v>2639.1</v>
      </c>
      <c r="J200" s="8" t="n">
        <f aca="false">I200*$J$5</f>
        <v>3619.33714285714</v>
      </c>
      <c r="K200" s="8" t="n">
        <f aca="false">J200-H200</f>
        <v>-974.062857142857</v>
      </c>
      <c r="L200" s="9" t="n">
        <f aca="false">IF(AND(H200=0,J200=0),0,IF(H200=0,"New",(J200-H200)/H200))</f>
        <v>-0.212057050799594</v>
      </c>
    </row>
    <row r="201" customFormat="false" ht="15" hidden="false" customHeight="false" outlineLevel="0" collapsed="false">
      <c r="A201" s="7" t="n">
        <v>4413000</v>
      </c>
      <c r="B201" s="7" t="str">
        <f aca="false">IFERROR(INDEX('Source 2026'!$C:$C,MATCH($A201,'Source 2026'!$B:$B,0)),IFERROR(INDEX('Source 2025'!$C:$C,MATCH($A201,'Source 2025'!$B:$B,0)),""))</f>
        <v>30 S מגן קרסול מתכוון עם סקוטש</v>
      </c>
      <c r="C201" s="8" t="n">
        <f aca="false">SUMIFS('Source 2025'!$H:$H,'Source 2025'!$B:$B,$A201,'Source 2025'!$A:$A,"Quantity (units)")</f>
        <v>26</v>
      </c>
      <c r="D201" s="8" t="n">
        <f aca="false">SUMIFS('Source 2026'!$H:$H,'Source 2026'!$B:$B,$A201,'Source 2026'!$A:$A,"Quantity (units)")</f>
        <v>-8</v>
      </c>
      <c r="E201" s="8" t="n">
        <f aca="false">D201*$J$5</f>
        <v>-10.9714285714286</v>
      </c>
      <c r="F201" s="8" t="n">
        <f aca="false">E201-C201</f>
        <v>-36.9714285714286</v>
      </c>
      <c r="G201" s="9" t="n">
        <f aca="false">IF(AND(C201=0,E201=0),0,IF(C201=0,"New",(E201-C201)/C201))</f>
        <v>-1.42197802197802</v>
      </c>
      <c r="H201" s="8" t="n">
        <f aca="false">SUMIFS('Source 2025'!$H:$H,'Source 2025'!$B:$B,$A201,'Source 2025'!$A:$A,"Amount (NIS)")</f>
        <v>1507.5</v>
      </c>
      <c r="I201" s="8" t="n">
        <f aca="false">SUMIFS('Source 2026'!$H:$H,'Source 2026'!$B:$B,$A201,'Source 2026'!$A:$A,"Amount (NIS)")</f>
        <v>-435.6</v>
      </c>
      <c r="J201" s="8" t="n">
        <f aca="false">I201*$J$5</f>
        <v>-597.394285714286</v>
      </c>
      <c r="K201" s="8" t="n">
        <f aca="false">J201-H201</f>
        <v>-2104.89428571429</v>
      </c>
      <c r="L201" s="9" t="n">
        <f aca="false">IF(AND(H201=0,J201=0),0,IF(H201=0,"New",(J201-H201)/H201))</f>
        <v>-1.39628144989339</v>
      </c>
    </row>
    <row r="202" customFormat="false" ht="15" hidden="false" customHeight="false" outlineLevel="0" collapsed="false">
      <c r="A202" s="7" t="n">
        <v>4421006</v>
      </c>
      <c r="B202" s="7" t="str">
        <f aca="false">IFERROR(INDEX('Source 2026'!$C:$C,MATCH($A202,'Source 2026'!$B:$B,0)),IFERROR(INDEX('Source 2025'!$C:$C,MATCH($A202,'Source 2025'!$B:$B,0)),""))</f>
        <v>שרוול לגבס ארוך יד</v>
      </c>
      <c r="C202" s="8" t="n">
        <f aca="false">SUMIFS('Source 2025'!$H:$H,'Source 2025'!$B:$B,$A202,'Source 2025'!$A:$A,"Quantity (units)")</f>
        <v>532</v>
      </c>
      <c r="D202" s="8" t="n">
        <f aca="false">SUMIFS('Source 2026'!$H:$H,'Source 2026'!$B:$B,$A202,'Source 2026'!$A:$A,"Quantity (units)")</f>
        <v>594</v>
      </c>
      <c r="E202" s="8" t="n">
        <f aca="false">D202*$J$5</f>
        <v>814.628571428572</v>
      </c>
      <c r="F202" s="8" t="n">
        <f aca="false">E202-C202</f>
        <v>282.628571428572</v>
      </c>
      <c r="G202" s="9" t="n">
        <f aca="false">IF(AND(C202=0,E202=0),0,IF(C202=0,"New",(E202-C202)/C202))</f>
        <v>0.531256713211601</v>
      </c>
      <c r="H202" s="8" t="n">
        <f aca="false">SUMIFS('Source 2025'!$H:$H,'Source 2025'!$B:$B,$A202,'Source 2025'!$A:$A,"Amount (NIS)")</f>
        <v>16470.8</v>
      </c>
      <c r="I202" s="8" t="n">
        <f aca="false">SUMIFS('Source 2026'!$H:$H,'Source 2026'!$B:$B,$A202,'Source 2026'!$A:$A,"Amount (NIS)")</f>
        <v>18385.1</v>
      </c>
      <c r="J202" s="8" t="n">
        <f aca="false">I202*$J$5</f>
        <v>25213.8514285714</v>
      </c>
      <c r="K202" s="8" t="n">
        <f aca="false">J202-H202</f>
        <v>8743.05142857143</v>
      </c>
      <c r="L202" s="9" t="n">
        <f aca="false">IF(AND(H202=0,J202=0),0,IF(H202=0,"New",(J202-H202)/H202))</f>
        <v>0.530821297603725</v>
      </c>
    </row>
    <row r="203" customFormat="false" ht="15" hidden="false" customHeight="false" outlineLevel="0" collapsed="false">
      <c r="A203" s="7" t="n">
        <v>4403002</v>
      </c>
      <c r="B203" s="7" t="str">
        <f aca="false">IFERROR(INDEX('Source 2026'!$C:$C,MATCH($A203,'Source 2026'!$B:$B,0)),IFERROR(INDEX('Source 2025'!$C:$C,MATCH($A203,'Source 2025'!$B:$B,0)),""))</f>
        <v>390B 43-46.גרב.כסף לסכרתיים שח</v>
      </c>
      <c r="C203" s="8" t="n">
        <f aca="false">SUMIFS('Source 2025'!$H:$H,'Source 2025'!$B:$B,$A203,'Source 2025'!$A:$A,"Quantity (units)")</f>
        <v>96</v>
      </c>
      <c r="D203" s="8" t="n">
        <f aca="false">SUMIFS('Source 2026'!$H:$H,'Source 2026'!$B:$B,$A203,'Source 2026'!$A:$A,"Quantity (units)")</f>
        <v>30</v>
      </c>
      <c r="E203" s="8" t="n">
        <f aca="false">D203*$J$5</f>
        <v>41.1428571428571</v>
      </c>
      <c r="F203" s="8" t="n">
        <f aca="false">E203-C203</f>
        <v>-54.8571428571429</v>
      </c>
      <c r="G203" s="9" t="n">
        <f aca="false">IF(AND(C203=0,E203=0),0,IF(C203=0,"New",(E203-C203)/C203))</f>
        <v>-0.571428571428571</v>
      </c>
      <c r="H203" s="8" t="n">
        <f aca="false">SUMIFS('Source 2025'!$H:$H,'Source 2025'!$B:$B,$A203,'Source 2025'!$A:$A,"Amount (NIS)")</f>
        <v>2791.6</v>
      </c>
      <c r="I203" s="8" t="n">
        <f aca="false">SUMIFS('Source 2026'!$H:$H,'Source 2026'!$B:$B,$A203,'Source 2026'!$A:$A,"Amount (NIS)")</f>
        <v>878.7</v>
      </c>
      <c r="J203" s="8" t="n">
        <f aca="false">I203*$J$5</f>
        <v>1205.07428571429</v>
      </c>
      <c r="K203" s="8" t="n">
        <f aca="false">J203-H203</f>
        <v>-1586.52571428571</v>
      </c>
      <c r="L203" s="9" t="n">
        <f aca="false">IF(AND(H203=0,J203=0),0,IF(H203=0,"New",(J203-H203)/H203))</f>
        <v>-0.568321290401818</v>
      </c>
    </row>
    <row r="204" customFormat="false" ht="15" hidden="false" customHeight="false" outlineLevel="0" collapsed="false">
      <c r="A204" s="7" t="n">
        <v>4411015</v>
      </c>
      <c r="B204" s="7" t="str">
        <f aca="false">IFERROR(INDEX('Source 2026'!$C:$C,MATCH($A204,'Source 2026'!$B:$B,0)),IFERROR(INDEX('Source 2025'!$C:$C,MATCH($A204,'Source 2025'!$B:$B,0)),""))</f>
        <v>820 0 כרית חום וקור</v>
      </c>
      <c r="C204" s="8" t="n">
        <f aca="false">SUMIFS('Source 2025'!$H:$H,'Source 2025'!$B:$B,$A204,'Source 2025'!$A:$A,"Quantity (units)")</f>
        <v>21</v>
      </c>
      <c r="D204" s="8" t="n">
        <f aca="false">SUMIFS('Source 2026'!$H:$H,'Source 2026'!$B:$B,$A204,'Source 2026'!$A:$A,"Quantity (units)")</f>
        <v>67</v>
      </c>
      <c r="E204" s="8" t="n">
        <f aca="false">D204*$J$5</f>
        <v>91.8857142857143</v>
      </c>
      <c r="F204" s="8" t="n">
        <f aca="false">E204-C204</f>
        <v>70.8857142857143</v>
      </c>
      <c r="G204" s="9" t="n">
        <f aca="false">IF(AND(C204=0,E204=0),0,IF(C204=0,"New",(E204-C204)/C204))</f>
        <v>3.37551020408163</v>
      </c>
      <c r="H204" s="8" t="n">
        <f aca="false">SUMIFS('Source 2025'!$H:$H,'Source 2025'!$B:$B,$A204,'Source 2025'!$A:$A,"Amount (NIS)")</f>
        <v>826.4</v>
      </c>
      <c r="I204" s="8" t="n">
        <f aca="false">SUMIFS('Source 2026'!$H:$H,'Source 2026'!$B:$B,$A204,'Source 2026'!$A:$A,"Amount (NIS)")</f>
        <v>2616.2</v>
      </c>
      <c r="J204" s="8" t="n">
        <f aca="false">I204*$J$5</f>
        <v>3587.93142857143</v>
      </c>
      <c r="K204" s="8" t="n">
        <f aca="false">J204-H204</f>
        <v>2761.53142857143</v>
      </c>
      <c r="L204" s="9" t="n">
        <f aca="false">IF(AND(H204=0,J204=0),0,IF(H204=0,"New",(J204-H204)/H204))</f>
        <v>3.34164016042041</v>
      </c>
    </row>
    <row r="205" customFormat="false" ht="15" hidden="false" customHeight="false" outlineLevel="0" collapsed="false">
      <c r="A205" s="7" t="n">
        <v>4413340</v>
      </c>
      <c r="B205" s="7" t="str">
        <f aca="false">IFERROR(INDEX('Source 2026'!$C:$C,MATCH($A205,'Source 2026'!$B:$B,0)),IFERROR(INDEX('Source 2025'!$C:$C,MATCH($A205,'Source 2025'!$B:$B,0)),""))</f>
        <v>3666 מפריד הלוקס</v>
      </c>
      <c r="C205" s="8" t="n">
        <f aca="false">SUMIFS('Source 2025'!$H:$H,'Source 2025'!$B:$B,$A205,'Source 2025'!$A:$A,"Quantity (units)")</f>
        <v>106</v>
      </c>
      <c r="D205" s="8" t="n">
        <f aca="false">SUMIFS('Source 2026'!$H:$H,'Source 2026'!$B:$B,$A205,'Source 2026'!$A:$A,"Quantity (units)")</f>
        <v>58</v>
      </c>
      <c r="E205" s="8" t="n">
        <f aca="false">D205*$J$5</f>
        <v>79.5428571428571</v>
      </c>
      <c r="F205" s="8" t="n">
        <f aca="false">E205-C205</f>
        <v>-26.4571428571429</v>
      </c>
      <c r="G205" s="9" t="n">
        <f aca="false">IF(AND(C205=0,E205=0),0,IF(C205=0,"New",(E205-C205)/C205))</f>
        <v>-0.249595687331536</v>
      </c>
      <c r="H205" s="8" t="n">
        <f aca="false">SUMIFS('Source 2025'!$H:$H,'Source 2025'!$B:$B,$A205,'Source 2025'!$A:$A,"Amount (NIS)")</f>
        <v>4298.2</v>
      </c>
      <c r="I205" s="8" t="n">
        <f aca="false">SUMIFS('Source 2026'!$H:$H,'Source 2026'!$B:$B,$A205,'Source 2026'!$A:$A,"Amount (NIS)")</f>
        <v>2510.7</v>
      </c>
      <c r="J205" s="8" t="n">
        <f aca="false">I205*$J$5</f>
        <v>3443.24571428571</v>
      </c>
      <c r="K205" s="8" t="n">
        <f aca="false">J205-H205</f>
        <v>-854.954285714286</v>
      </c>
      <c r="L205" s="9" t="n">
        <f aca="false">IF(AND(H205=0,J205=0),0,IF(H205=0,"New",(J205-H205)/H205))</f>
        <v>-0.198909842658389</v>
      </c>
    </row>
    <row r="206" customFormat="false" ht="15" hidden="false" customHeight="false" outlineLevel="0" collapsed="false">
      <c r="A206" s="7" t="n">
        <v>4408152</v>
      </c>
      <c r="B206" s="7" t="str">
        <f aca="false">IFERROR(INDEX('Source 2026'!$C:$C,MATCH($A206,'Source 2026'!$B:$B,0)),IFERROR(INDEX('Source 2025'!$C:$C,MATCH($A206,'Source 2025'!$B:$B,0)),""))</f>
        <v>11TO L חגורה למנותחי בית החזה</v>
      </c>
      <c r="C206" s="8" t="n">
        <f aca="false">SUMIFS('Source 2025'!$H:$H,'Source 2025'!$B:$B,$A206,'Source 2025'!$A:$A,"Quantity (units)")</f>
        <v>10</v>
      </c>
      <c r="D206" s="8" t="n">
        <f aca="false">SUMIFS('Source 2026'!$H:$H,'Source 2026'!$B:$B,$A206,'Source 2026'!$A:$A,"Quantity (units)")</f>
        <v>23</v>
      </c>
      <c r="E206" s="8" t="n">
        <f aca="false">D206*$J$5</f>
        <v>31.5428571428571</v>
      </c>
      <c r="F206" s="8" t="n">
        <f aca="false">E206-C206</f>
        <v>21.5428571428571</v>
      </c>
      <c r="G206" s="9" t="n">
        <f aca="false">IF(AND(C206=0,E206=0),0,IF(C206=0,"New",(E206-C206)/C206))</f>
        <v>2.15428571428571</v>
      </c>
      <c r="H206" s="8" t="n">
        <f aca="false">SUMIFS('Source 2025'!$H:$H,'Source 2025'!$B:$B,$A206,'Source 2025'!$A:$A,"Amount (NIS)")</f>
        <v>1304.3</v>
      </c>
      <c r="I206" s="8" t="n">
        <f aca="false">SUMIFS('Source 2026'!$H:$H,'Source 2026'!$B:$B,$A206,'Source 2026'!$A:$A,"Amount (NIS)")</f>
        <v>3060.8</v>
      </c>
      <c r="J206" s="8" t="n">
        <f aca="false">I206*$J$5</f>
        <v>4197.66857142857</v>
      </c>
      <c r="K206" s="8" t="n">
        <f aca="false">J206-H206</f>
        <v>2893.36857142857</v>
      </c>
      <c r="L206" s="9" t="n">
        <f aca="false">IF(AND(H206=0,J206=0),0,IF(H206=0,"New",(J206-H206)/H206))</f>
        <v>2.21833057688306</v>
      </c>
    </row>
    <row r="207" customFormat="false" ht="15" hidden="false" customHeight="false" outlineLevel="0" collapsed="false">
      <c r="A207" s="7" t="n">
        <v>4421008</v>
      </c>
      <c r="B207" s="7" t="str">
        <f aca="false">IFERROR(INDEX('Source 2026'!$C:$C,MATCH($A207,'Source 2026'!$B:$B,0)),IFERROR(INDEX('Source 2025'!$C:$C,MATCH($A207,'Source 2025'!$B:$B,0)),""))</f>
        <v>שרוול לגבס ארוך רגל</v>
      </c>
      <c r="C207" s="8" t="n">
        <f aca="false">SUMIFS('Source 2025'!$H:$H,'Source 2025'!$B:$B,$A207,'Source 2025'!$A:$A,"Quantity (units)")</f>
        <v>350</v>
      </c>
      <c r="D207" s="8" t="n">
        <f aca="false">SUMIFS('Source 2026'!$H:$H,'Source 2026'!$B:$B,$A207,'Source 2026'!$A:$A,"Quantity (units)")</f>
        <v>306</v>
      </c>
      <c r="E207" s="8" t="n">
        <f aca="false">D207*$J$5</f>
        <v>419.657142857143</v>
      </c>
      <c r="F207" s="8" t="n">
        <f aca="false">E207-C207</f>
        <v>69.6571428571428</v>
      </c>
      <c r="G207" s="9" t="n">
        <f aca="false">IF(AND(C207=0,E207=0),0,IF(C207=0,"New",(E207-C207)/C207))</f>
        <v>0.199020408163265</v>
      </c>
      <c r="H207" s="8" t="n">
        <f aca="false">SUMIFS('Source 2025'!$H:$H,'Source 2025'!$B:$B,$A207,'Source 2025'!$A:$A,"Amount (NIS)")</f>
        <v>13563.4</v>
      </c>
      <c r="I207" s="8" t="n">
        <f aca="false">SUMIFS('Source 2026'!$H:$H,'Source 2026'!$B:$B,$A207,'Source 2026'!$A:$A,"Amount (NIS)")</f>
        <v>11810</v>
      </c>
      <c r="J207" s="8" t="n">
        <f aca="false">I207*$J$5</f>
        <v>16196.5714285714</v>
      </c>
      <c r="K207" s="8" t="n">
        <f aca="false">J207-H207</f>
        <v>2633.17142857143</v>
      </c>
      <c r="L207" s="9" t="n">
        <f aca="false">IF(AND(H207=0,J207=0),0,IF(H207=0,"New",(J207-H207)/H207))</f>
        <v>0.194138005851883</v>
      </c>
    </row>
    <row r="208" customFormat="false" ht="15" hidden="false" customHeight="false" outlineLevel="0" collapsed="false">
      <c r="A208" s="7" t="n">
        <v>4411017</v>
      </c>
      <c r="B208" s="7" t="str">
        <f aca="false">IFERROR(INDEX('Source 2026'!$C:$C,MATCH($A208,'Source 2026'!$B:$B,0)),IFERROR(INDEX('Source 2025'!$C:$C,MATCH($A208,'Source 2025'!$B:$B,0)),""))</f>
        <v>211L כפפות לחץ</v>
      </c>
      <c r="C208" s="8" t="n">
        <f aca="false">SUMIFS('Source 2025'!$H:$H,'Source 2025'!$B:$B,$A208,'Source 2025'!$A:$A,"Quantity (units)")</f>
        <v>180</v>
      </c>
      <c r="D208" s="8" t="n">
        <f aca="false">SUMIFS('Source 2026'!$H:$H,'Source 2026'!$B:$B,$A208,'Source 2026'!$A:$A,"Quantity (units)")</f>
        <v>115</v>
      </c>
      <c r="E208" s="8" t="n">
        <f aca="false">D208*$J$5</f>
        <v>157.714285714286</v>
      </c>
      <c r="F208" s="8" t="n">
        <f aca="false">E208-C208</f>
        <v>-22.2857142857143</v>
      </c>
      <c r="G208" s="9" t="n">
        <f aca="false">IF(AND(C208=0,E208=0),0,IF(C208=0,"New",(E208-C208)/C208))</f>
        <v>-0.123809523809524</v>
      </c>
      <c r="H208" s="8" t="n">
        <f aca="false">SUMIFS('Source 2025'!$H:$H,'Source 2025'!$B:$B,$A208,'Source 2025'!$A:$A,"Amount (NIS)")</f>
        <v>5113.7</v>
      </c>
      <c r="I208" s="8" t="n">
        <f aca="false">SUMIFS('Source 2026'!$H:$H,'Source 2026'!$B:$B,$A208,'Source 2026'!$A:$A,"Amount (NIS)")</f>
        <v>3365.3</v>
      </c>
      <c r="J208" s="8" t="n">
        <f aca="false">I208*$J$5</f>
        <v>4615.26857142857</v>
      </c>
      <c r="K208" s="8" t="n">
        <f aca="false">J208-H208</f>
        <v>-498.431428571428</v>
      </c>
      <c r="L208" s="9" t="n">
        <f aca="false">IF(AND(H208=0,J208=0),0,IF(H208=0,"New",(J208-H208)/H208))</f>
        <v>-0.0974698219628504</v>
      </c>
    </row>
    <row r="209" customFormat="false" ht="15" hidden="false" customHeight="false" outlineLevel="0" collapsed="false">
      <c r="A209" s="7" t="n">
        <v>4408097</v>
      </c>
      <c r="B209" s="7" t="str">
        <f aca="false">IFERROR(INDEX('Source 2026'!$C:$C,MATCH($A209,'Source 2026'!$B:$B,0)),IFERROR(INDEX('Source 2025'!$C:$C,MATCH($A209,'Source 2025'!$B:$B,0)),""))</f>
        <v>T20C L-XL חבק יד עם צמדן חום</v>
      </c>
      <c r="C209" s="8" t="n">
        <f aca="false">SUMIFS('Source 2025'!$H:$H,'Source 2025'!$B:$B,$A209,'Source 2025'!$A:$A,"Quantity (units)")</f>
        <v>116</v>
      </c>
      <c r="D209" s="8" t="n">
        <f aca="false">SUMIFS('Source 2026'!$H:$H,'Source 2026'!$B:$B,$A209,'Source 2026'!$A:$A,"Quantity (units)")</f>
        <v>63</v>
      </c>
      <c r="E209" s="8" t="n">
        <f aca="false">D209*$J$5</f>
        <v>86.4</v>
      </c>
      <c r="F209" s="8" t="n">
        <f aca="false">E209-C209</f>
        <v>-29.6</v>
      </c>
      <c r="G209" s="9" t="n">
        <f aca="false">IF(AND(C209=0,E209=0),0,IF(C209=0,"New",(E209-C209)/C209))</f>
        <v>-0.255172413793103</v>
      </c>
      <c r="H209" s="8" t="n">
        <f aca="false">SUMIFS('Source 2025'!$H:$H,'Source 2025'!$B:$B,$A209,'Source 2025'!$A:$A,"Amount (NIS)")</f>
        <v>3688.3</v>
      </c>
      <c r="I209" s="8" t="n">
        <f aca="false">SUMIFS('Source 2026'!$H:$H,'Source 2026'!$B:$B,$A209,'Source 2026'!$A:$A,"Amount (NIS)")</f>
        <v>1970.2</v>
      </c>
      <c r="J209" s="8" t="n">
        <f aca="false">I209*$J$5</f>
        <v>2701.98857142857</v>
      </c>
      <c r="K209" s="8" t="n">
        <f aca="false">J209-H209</f>
        <v>-986.311428571429</v>
      </c>
      <c r="L209" s="9" t="n">
        <f aca="false">IF(AND(H209=0,J209=0),0,IF(H209=0,"New",(J209-H209)/H209))</f>
        <v>-0.267416269981137</v>
      </c>
    </row>
    <row r="210" customFormat="false" ht="15" hidden="false" customHeight="false" outlineLevel="0" collapsed="false">
      <c r="A210" s="7" t="n">
        <v>4413105</v>
      </c>
      <c r="B210" s="7" t="str">
        <f aca="false">IFERROR(INDEX('Source 2026'!$C:$C,MATCH($A210,'Source 2026'!$B:$B,0)),IFERROR(INDEX('Source 2025'!$C:$C,MATCH($A210,'Source 2025'!$B:$B,0)),""))</f>
        <v>45E XXLמגן ברך ארוך לבן</v>
      </c>
      <c r="C210" s="8" t="n">
        <f aca="false">SUMIFS('Source 2025'!$H:$H,'Source 2025'!$B:$B,$A210,'Source 2025'!$A:$A,"Quantity (units)")</f>
        <v>154</v>
      </c>
      <c r="D210" s="8" t="n">
        <f aca="false">SUMIFS('Source 2026'!$H:$H,'Source 2026'!$B:$B,$A210,'Source 2026'!$A:$A,"Quantity (units)")</f>
        <v>98</v>
      </c>
      <c r="E210" s="8" t="n">
        <f aca="false">D210*$J$5</f>
        <v>134.4</v>
      </c>
      <c r="F210" s="8" t="n">
        <f aca="false">E210-C210</f>
        <v>-19.6</v>
      </c>
      <c r="G210" s="9" t="n">
        <f aca="false">IF(AND(C210=0,E210=0),0,IF(C210=0,"New",(E210-C210)/C210))</f>
        <v>-0.127272727272727</v>
      </c>
      <c r="H210" s="8" t="n">
        <f aca="false">SUMIFS('Source 2025'!$H:$H,'Source 2025'!$B:$B,$A210,'Source 2025'!$A:$A,"Amount (NIS)")</f>
        <v>4772.4</v>
      </c>
      <c r="I210" s="8" t="n">
        <f aca="false">SUMIFS('Source 2026'!$H:$H,'Source 2026'!$B:$B,$A210,'Source 2026'!$A:$A,"Amount (NIS)")</f>
        <v>3060.3</v>
      </c>
      <c r="J210" s="8" t="n">
        <f aca="false">I210*$J$5</f>
        <v>4196.98285714286</v>
      </c>
      <c r="K210" s="8" t="n">
        <f aca="false">J210-H210</f>
        <v>-575.417142857143</v>
      </c>
      <c r="L210" s="9" t="n">
        <f aca="false">IF(AND(H210=0,J210=0),0,IF(H210=0,"New",(J210-H210)/H210))</f>
        <v>-0.120571859621394</v>
      </c>
    </row>
    <row r="211" customFormat="false" ht="15" hidden="false" customHeight="false" outlineLevel="0" collapsed="false">
      <c r="A211" s="7" t="n">
        <v>4403004</v>
      </c>
      <c r="B211" s="7" t="str">
        <f aca="false">IFERROR(INDEX('Source 2026'!$C:$C,MATCH($A211,'Source 2026'!$B:$B,0)),IFERROR(INDEX('Source 2025'!$C:$C,MATCH($A211,'Source 2025'!$B:$B,0)),""))</f>
        <v>390G 39-42.גרב.כסף לסכרתיים אפ</v>
      </c>
      <c r="C211" s="8" t="n">
        <f aca="false">SUMIFS('Source 2025'!$H:$H,'Source 2025'!$B:$B,$A211,'Source 2025'!$A:$A,"Quantity (units)")</f>
        <v>52</v>
      </c>
      <c r="D211" s="8" t="n">
        <f aca="false">SUMIFS('Source 2026'!$H:$H,'Source 2026'!$B:$B,$A211,'Source 2026'!$A:$A,"Quantity (units)")</f>
        <v>-7</v>
      </c>
      <c r="E211" s="8" t="n">
        <f aca="false">D211*$J$5</f>
        <v>-9.6</v>
      </c>
      <c r="F211" s="8" t="n">
        <f aca="false">E211-C211</f>
        <v>-61.6</v>
      </c>
      <c r="G211" s="9" t="n">
        <f aca="false">IF(AND(C211=0,E211=0),0,IF(C211=0,"New",(E211-C211)/C211))</f>
        <v>-1.18461538461538</v>
      </c>
      <c r="H211" s="8" t="n">
        <f aca="false">SUMIFS('Source 2025'!$H:$H,'Source 2025'!$B:$B,$A211,'Source 2025'!$A:$A,"Amount (NIS)")</f>
        <v>1517.5</v>
      </c>
      <c r="I211" s="8" t="n">
        <f aca="false">SUMIFS('Source 2026'!$H:$H,'Source 2026'!$B:$B,$A211,'Source 2026'!$A:$A,"Amount (NIS)")</f>
        <v>-194.3</v>
      </c>
      <c r="J211" s="8" t="n">
        <f aca="false">I211*$J$5</f>
        <v>-266.468571428571</v>
      </c>
      <c r="K211" s="8" t="n">
        <f aca="false">J211-H211</f>
        <v>-1783.96857142857</v>
      </c>
      <c r="L211" s="9" t="n">
        <f aca="false">IF(AND(H211=0,J211=0),0,IF(H211=0,"New",(J211-H211)/H211))</f>
        <v>-1.17559708166627</v>
      </c>
    </row>
    <row r="212" customFormat="false" ht="15" hidden="false" customHeight="false" outlineLevel="0" collapsed="false">
      <c r="A212" s="7" t="n">
        <v>4415159</v>
      </c>
      <c r="B212" s="7" t="str">
        <f aca="false">IFERROR(INDEX('Source 2026'!$C:$C,MATCH($A212,'Source 2026'!$B:$B,0)),IFERROR(INDEX('Source 2025'!$C:$C,MATCH($A212,'Source 2025'!$B:$B,0)),""))</f>
        <v>268 סד לאגודל</v>
      </c>
      <c r="C212" s="8" t="n">
        <f aca="false">SUMIFS('Source 2025'!$H:$H,'Source 2025'!$B:$B,$A212,'Source 2025'!$A:$A,"Quantity (units)")</f>
        <v>145</v>
      </c>
      <c r="D212" s="8" t="n">
        <f aca="false">SUMIFS('Source 2026'!$H:$H,'Source 2026'!$B:$B,$A212,'Source 2026'!$A:$A,"Quantity (units)")</f>
        <v>129</v>
      </c>
      <c r="E212" s="8" t="n">
        <f aca="false">D212*$J$5</f>
        <v>176.914285714286</v>
      </c>
      <c r="F212" s="8" t="n">
        <f aca="false">E212-C212</f>
        <v>31.9142857142857</v>
      </c>
      <c r="G212" s="9" t="n">
        <f aca="false">IF(AND(C212=0,E212=0),0,IF(C212=0,"New",(E212-C212)/C212))</f>
        <v>0.220098522167488</v>
      </c>
      <c r="H212" s="8" t="n">
        <f aca="false">SUMIFS('Source 2025'!$H:$H,'Source 2025'!$B:$B,$A212,'Source 2025'!$A:$A,"Amount (NIS)")</f>
        <v>14778.5</v>
      </c>
      <c r="I212" s="8" t="n">
        <f aca="false">SUMIFS('Source 2026'!$H:$H,'Source 2026'!$B:$B,$A212,'Source 2026'!$A:$A,"Amount (NIS)")</f>
        <v>13126.7</v>
      </c>
      <c r="J212" s="8" t="n">
        <f aca="false">I212*$J$5</f>
        <v>18002.3314285714</v>
      </c>
      <c r="K212" s="8" t="n">
        <f aca="false">J212-H212</f>
        <v>3223.83142857143</v>
      </c>
      <c r="L212" s="9" t="n">
        <f aca="false">IF(AND(H212=0,J212=0),0,IF(H212=0,"New",(J212-H212)/H212))</f>
        <v>0.218143345303747</v>
      </c>
    </row>
    <row r="213" customFormat="false" ht="15" hidden="false" customHeight="false" outlineLevel="0" collapsed="false">
      <c r="A213" s="7" t="n">
        <v>4411021</v>
      </c>
      <c r="B213" s="7" t="str">
        <f aca="false">IFERROR(INDEX('Source 2026'!$C:$C,MATCH($A213,'Source 2026'!$B:$B,0)),IFERROR(INDEX('Source 2025'!$C:$C,MATCH($A213,'Source 2025'!$B:$B,0)),""))</f>
        <v>212L כפפות אגודל לחץ</v>
      </c>
      <c r="C213" s="8" t="n">
        <f aca="false">SUMIFS('Source 2025'!$H:$H,'Source 2025'!$B:$B,$A213,'Source 2025'!$A:$A,"Quantity (units)")</f>
        <v>244</v>
      </c>
      <c r="D213" s="8" t="n">
        <f aca="false">SUMIFS('Source 2026'!$H:$H,'Source 2026'!$B:$B,$A213,'Source 2026'!$A:$A,"Quantity (units)")</f>
        <v>183</v>
      </c>
      <c r="E213" s="8" t="n">
        <f aca="false">D213*$J$5</f>
        <v>250.971428571429</v>
      </c>
      <c r="F213" s="8" t="n">
        <f aca="false">E213-C213</f>
        <v>6.97142857142856</v>
      </c>
      <c r="G213" s="9" t="n">
        <f aca="false">IF(AND(C213=0,E213=0),0,IF(C213=0,"New",(E213-C213)/C213))</f>
        <v>0.0285714285714285</v>
      </c>
      <c r="H213" s="8" t="n">
        <f aca="false">SUMIFS('Source 2025'!$H:$H,'Source 2025'!$B:$B,$A213,'Source 2025'!$A:$A,"Amount (NIS)")</f>
        <v>6942.4</v>
      </c>
      <c r="I213" s="8" t="n">
        <f aca="false">SUMIFS('Source 2026'!$H:$H,'Source 2026'!$B:$B,$A213,'Source 2026'!$A:$A,"Amount (NIS)")</f>
        <v>5400.6</v>
      </c>
      <c r="J213" s="8" t="n">
        <f aca="false">I213*$J$5</f>
        <v>7406.53714285714</v>
      </c>
      <c r="K213" s="8" t="n">
        <f aca="false">J213-H213</f>
        <v>464.137142857144</v>
      </c>
      <c r="L213" s="9" t="n">
        <f aca="false">IF(AND(H213=0,J213=0),0,IF(H213=0,"New",(J213-H213)/H213))</f>
        <v>0.0668554308102592</v>
      </c>
    </row>
    <row r="214" customFormat="false" ht="15" hidden="false" customHeight="false" outlineLevel="0" collapsed="false">
      <c r="A214" s="7" t="n">
        <v>4408046</v>
      </c>
      <c r="B214" s="7" t="str">
        <f aca="false">IFERROR(INDEX('Source 2026'!$C:$C,MATCH($A214,'Source 2026'!$B:$B,0)),IFERROR(INDEX('Source 2025'!$C:$C,MATCH($A214,'Source 2025'!$B:$B,0)),""))</f>
        <v>20 L חבק יד מתכוון עם צמדן</v>
      </c>
      <c r="C214" s="8" t="n">
        <f aca="false">SUMIFS('Source 2025'!$H:$H,'Source 2025'!$B:$B,$A214,'Source 2025'!$A:$A,"Quantity (units)")</f>
        <v>189</v>
      </c>
      <c r="D214" s="8" t="n">
        <f aca="false">SUMIFS('Source 2026'!$H:$H,'Source 2026'!$B:$B,$A214,'Source 2026'!$A:$A,"Quantity (units)")</f>
        <v>124</v>
      </c>
      <c r="E214" s="8" t="n">
        <f aca="false">D214*$J$5</f>
        <v>170.057142857143</v>
      </c>
      <c r="F214" s="8" t="n">
        <f aca="false">E214-C214</f>
        <v>-18.9428571428572</v>
      </c>
      <c r="G214" s="9" t="n">
        <f aca="false">IF(AND(C214=0,E214=0),0,IF(C214=0,"New",(E214-C214)/C214))</f>
        <v>-0.100226757369615</v>
      </c>
      <c r="H214" s="8" t="n">
        <f aca="false">SUMIFS('Source 2025'!$H:$H,'Source 2025'!$B:$B,$A214,'Source 2025'!$A:$A,"Amount (NIS)")</f>
        <v>4743.3</v>
      </c>
      <c r="I214" s="8" t="n">
        <f aca="false">SUMIFS('Source 2026'!$H:$H,'Source 2026'!$B:$B,$A214,'Source 2026'!$A:$A,"Amount (NIS)")</f>
        <v>3233.3</v>
      </c>
      <c r="J214" s="8" t="n">
        <f aca="false">I214*$J$5</f>
        <v>4434.24</v>
      </c>
      <c r="K214" s="8" t="n">
        <f aca="false">J214-H214</f>
        <v>-309.06</v>
      </c>
      <c r="L214" s="9" t="n">
        <f aca="false">IF(AND(H214=0,J214=0),0,IF(H214=0,"New",(J214-H214)/H214))</f>
        <v>-0.0651571690595154</v>
      </c>
    </row>
    <row r="215" customFormat="false" ht="15" hidden="false" customHeight="false" outlineLevel="0" collapsed="false">
      <c r="A215" s="7" t="n">
        <v>4415299</v>
      </c>
      <c r="B215" s="7" t="str">
        <f aca="false">IFERROR(INDEX('Source 2026'!$C:$C,MATCH($A215,'Source 2026'!$B:$B,0)),IFERROR(INDEX('Source 2025'!$C:$C,MATCH($A215,'Source 2025'!$B:$B,0)),""))</f>
        <v>388B L סד לילה שחור לבוהן ימין</v>
      </c>
      <c r="C215" s="8" t="n">
        <f aca="false">SUMIFS('Source 2025'!$H:$H,'Source 2025'!$B:$B,$A215,'Source 2025'!$A:$A,"Quantity (units)")</f>
        <v>47</v>
      </c>
      <c r="D215" s="8" t="n">
        <f aca="false">SUMIFS('Source 2026'!$H:$H,'Source 2026'!$B:$B,$A215,'Source 2026'!$A:$A,"Quantity (units)")</f>
        <v>20</v>
      </c>
      <c r="E215" s="8" t="n">
        <f aca="false">D215*$J$5</f>
        <v>27.4285714285714</v>
      </c>
      <c r="F215" s="8" t="n">
        <f aca="false">E215-C215</f>
        <v>-19.5714285714286</v>
      </c>
      <c r="G215" s="9" t="n">
        <f aca="false">IF(AND(C215=0,E215=0),0,IF(C215=0,"New",(E215-C215)/C215))</f>
        <v>-0.416413373860182</v>
      </c>
      <c r="H215" s="8" t="n">
        <f aca="false">SUMIFS('Source 2025'!$H:$H,'Source 2025'!$B:$B,$A215,'Source 2025'!$A:$A,"Amount (NIS)")</f>
        <v>2786.5</v>
      </c>
      <c r="I215" s="8" t="n">
        <f aca="false">SUMIFS('Source 2026'!$H:$H,'Source 2026'!$B:$B,$A215,'Source 2026'!$A:$A,"Amount (NIS)")</f>
        <v>1278</v>
      </c>
      <c r="J215" s="8" t="n">
        <f aca="false">I215*$J$5</f>
        <v>1752.68571428571</v>
      </c>
      <c r="K215" s="8" t="n">
        <f aca="false">J215-H215</f>
        <v>-1033.81428571429</v>
      </c>
      <c r="L215" s="9" t="n">
        <f aca="false">IF(AND(H215=0,J215=0),0,IF(H215=0,"New",(J215-H215)/H215))</f>
        <v>-0.371008177180795</v>
      </c>
    </row>
    <row r="216" customFormat="false" ht="15" hidden="false" customHeight="false" outlineLevel="0" collapsed="false">
      <c r="A216" s="7" t="n">
        <v>4413112</v>
      </c>
      <c r="B216" s="7" t="str">
        <f aca="false">IFERROR(INDEX('Source 2026'!$C:$C,MATCH($A216,'Source 2026'!$B:$B,0)),IFERROR(INDEX('Source 2025'!$C:$C,MATCH($A216,'Source 2025'!$B:$B,0)),""))</f>
        <v>49  L מגן ירך</v>
      </c>
      <c r="C216" s="8" t="n">
        <f aca="false">SUMIFS('Source 2025'!$H:$H,'Source 2025'!$B:$B,$A216,'Source 2025'!$A:$A,"Quantity (units)")</f>
        <v>82</v>
      </c>
      <c r="D216" s="8" t="n">
        <f aca="false">SUMIFS('Source 2026'!$H:$H,'Source 2026'!$B:$B,$A216,'Source 2026'!$A:$A,"Quantity (units)")</f>
        <v>29</v>
      </c>
      <c r="E216" s="8" t="n">
        <f aca="false">D216*$J$5</f>
        <v>39.7714285714286</v>
      </c>
      <c r="F216" s="8" t="n">
        <f aca="false">E216-C216</f>
        <v>-42.2285714285714</v>
      </c>
      <c r="G216" s="9" t="n">
        <f aca="false">IF(AND(C216=0,E216=0),0,IF(C216=0,"New",(E216-C216)/C216))</f>
        <v>-0.514982578397213</v>
      </c>
      <c r="H216" s="8" t="n">
        <f aca="false">SUMIFS('Source 2025'!$H:$H,'Source 2025'!$B:$B,$A216,'Source 2025'!$A:$A,"Amount (NIS)")</f>
        <v>2334.2</v>
      </c>
      <c r="I216" s="8" t="n">
        <f aca="false">SUMIFS('Source 2026'!$H:$H,'Source 2026'!$B:$B,$A216,'Source 2026'!$A:$A,"Amount (NIS)")</f>
        <v>832.4</v>
      </c>
      <c r="J216" s="8" t="n">
        <f aca="false">I216*$J$5</f>
        <v>1141.57714285714</v>
      </c>
      <c r="K216" s="8" t="n">
        <f aca="false">J216-H216</f>
        <v>-1192.62285714286</v>
      </c>
      <c r="L216" s="9" t="n">
        <f aca="false">IF(AND(H216=0,J216=0),0,IF(H216=0,"New",(J216-H216)/H216))</f>
        <v>-0.510934306033269</v>
      </c>
    </row>
    <row r="217" customFormat="false" ht="15" hidden="false" customHeight="false" outlineLevel="0" collapsed="false">
      <c r="A217" s="7" t="n">
        <v>4413155</v>
      </c>
      <c r="B217" s="7" t="str">
        <f aca="false">IFERROR(INDEX('Source 2026'!$C:$C,MATCH($A217,'Source 2026'!$B:$B,0)),IFERROR(INDEX('Source 2025'!$C:$C,MATCH($A217,'Source 2025'!$B:$B,0)),""))</f>
        <v>305GA מדרס אורטופ.מתכוון39-40</v>
      </c>
      <c r="C217" s="8" t="n">
        <f aca="false">SUMIFS('Source 2025'!$H:$H,'Source 2025'!$B:$B,$A217,'Source 2025'!$A:$A,"Quantity (units)")</f>
        <v>39</v>
      </c>
      <c r="D217" s="8" t="n">
        <f aca="false">SUMIFS('Source 2026'!$H:$H,'Source 2026'!$B:$B,$A217,'Source 2026'!$A:$A,"Quantity (units)")</f>
        <v>19</v>
      </c>
      <c r="E217" s="8" t="n">
        <f aca="false">D217*$J$5</f>
        <v>26.0571428571429</v>
      </c>
      <c r="F217" s="8" t="n">
        <f aca="false">E217-C217</f>
        <v>-12.9428571428571</v>
      </c>
      <c r="G217" s="9" t="n">
        <f aca="false">IF(AND(C217=0,E217=0),0,IF(C217=0,"New",(E217-C217)/C217))</f>
        <v>-0.331868131868132</v>
      </c>
      <c r="H217" s="8" t="n">
        <f aca="false">SUMIFS('Source 2025'!$H:$H,'Source 2025'!$B:$B,$A217,'Source 2025'!$A:$A,"Amount (NIS)")</f>
        <v>2750.2</v>
      </c>
      <c r="I217" s="8" t="n">
        <f aca="false">SUMIFS('Source 2026'!$H:$H,'Source 2026'!$B:$B,$A217,'Source 2026'!$A:$A,"Amount (NIS)")</f>
        <v>1267.9</v>
      </c>
      <c r="J217" s="8" t="n">
        <f aca="false">I217*$J$5</f>
        <v>1738.83428571429</v>
      </c>
      <c r="K217" s="8" t="n">
        <f aca="false">J217-H217</f>
        <v>-1011.36571428571</v>
      </c>
      <c r="L217" s="9" t="n">
        <f aca="false">IF(AND(H217=0,J217=0),0,IF(H217=0,"New",(J217-H217)/H217))</f>
        <v>-0.36774260573257</v>
      </c>
    </row>
    <row r="218" customFormat="false" ht="15" hidden="false" customHeight="false" outlineLevel="0" collapsed="false">
      <c r="A218" s="7" t="n">
        <v>4413421</v>
      </c>
      <c r="B218" s="7" t="str">
        <f aca="false">IFERROR(INDEX('Source 2026'!$C:$C,MATCH($A218,'Source 2026'!$B:$B,0)),IFERROR(INDEX('Source 2025'!$C:$C,MATCH($A218,'Source 2025'!$B:$B,0)),""))</f>
        <v>SC35L  M מגן קרסול שמאל</v>
      </c>
      <c r="C218" s="8" t="n">
        <f aca="false">SUMIFS('Source 2025'!$H:$H,'Source 2025'!$B:$B,$A218,'Source 2025'!$A:$A,"Quantity (units)")</f>
        <v>26</v>
      </c>
      <c r="D218" s="8" t="n">
        <f aca="false">SUMIFS('Source 2026'!$H:$H,'Source 2026'!$B:$B,$A218,'Source 2026'!$A:$A,"Quantity (units)")</f>
        <v>6</v>
      </c>
      <c r="E218" s="8" t="n">
        <f aca="false">D218*$J$5</f>
        <v>8.22857142857143</v>
      </c>
      <c r="F218" s="8" t="n">
        <f aca="false">E218-C218</f>
        <v>-17.7714285714286</v>
      </c>
      <c r="G218" s="9" t="n">
        <f aca="false">IF(AND(C218=0,E218=0),0,IF(C218=0,"New",(E218-C218)/C218))</f>
        <v>-0.683516483516484</v>
      </c>
      <c r="H218" s="8" t="n">
        <f aca="false">SUMIFS('Source 2025'!$H:$H,'Source 2025'!$B:$B,$A218,'Source 2025'!$A:$A,"Amount (NIS)")</f>
        <v>1918.1</v>
      </c>
      <c r="I218" s="8" t="n">
        <f aca="false">SUMIFS('Source 2026'!$H:$H,'Source 2026'!$B:$B,$A218,'Source 2026'!$A:$A,"Amount (NIS)")</f>
        <v>446.9</v>
      </c>
      <c r="J218" s="8" t="n">
        <f aca="false">I218*$J$5</f>
        <v>612.891428571429</v>
      </c>
      <c r="K218" s="8" t="n">
        <f aca="false">J218-H218</f>
        <v>-1305.20857142857</v>
      </c>
      <c r="L218" s="9" t="n">
        <f aca="false">IF(AND(H218=0,J218=0),0,IF(H218=0,"New",(J218-H218)/H218))</f>
        <v>-0.680469512240536</v>
      </c>
    </row>
    <row r="219" customFormat="false" ht="15" hidden="false" customHeight="false" outlineLevel="0" collapsed="false">
      <c r="A219" s="7" t="n">
        <v>4413128</v>
      </c>
      <c r="B219" s="7" t="str">
        <f aca="false">IFERROR(INDEX('Source 2026'!$C:$C,MATCH($A219,'Source 2026'!$B:$B,0)),IFERROR(INDEX('Source 2025'!$C:$C,MATCH($A219,'Source 2025'!$B:$B,0)),""))</f>
        <v>75 Mמיישר כתף יציב יישור גב צר</v>
      </c>
      <c r="C219" s="8" t="n">
        <f aca="false">SUMIFS('Source 2025'!$H:$H,'Source 2025'!$B:$B,$A219,'Source 2025'!$A:$A,"Quantity (units)")</f>
        <v>37</v>
      </c>
      <c r="D219" s="8" t="n">
        <f aca="false">SUMIFS('Source 2026'!$H:$H,'Source 2026'!$B:$B,$A219,'Source 2026'!$A:$A,"Quantity (units)")</f>
        <v>25</v>
      </c>
      <c r="E219" s="8" t="n">
        <f aca="false">D219*$J$5</f>
        <v>34.2857142857143</v>
      </c>
      <c r="F219" s="8" t="n">
        <f aca="false">E219-C219</f>
        <v>-2.71428571428572</v>
      </c>
      <c r="G219" s="9" t="n">
        <f aca="false">IF(AND(C219=0,E219=0),0,IF(C219=0,"New",(E219-C219)/C219))</f>
        <v>-0.0733590733590734</v>
      </c>
      <c r="H219" s="8" t="n">
        <f aca="false">SUMIFS('Source 2025'!$H:$H,'Source 2025'!$B:$B,$A219,'Source 2025'!$A:$A,"Amount (NIS)")</f>
        <v>4934.7</v>
      </c>
      <c r="I219" s="8" t="n">
        <f aca="false">SUMIFS('Source 2026'!$H:$H,'Source 2026'!$B:$B,$A219,'Source 2026'!$A:$A,"Amount (NIS)")</f>
        <v>3475.1</v>
      </c>
      <c r="J219" s="8" t="n">
        <f aca="false">I219*$J$5</f>
        <v>4765.85142857143</v>
      </c>
      <c r="K219" s="8" t="n">
        <f aca="false">J219-H219</f>
        <v>-168.848571428572</v>
      </c>
      <c r="L219" s="9" t="n">
        <f aca="false">IF(AND(H219=0,J219=0),0,IF(H219=0,"New",(J219-H219)/H219))</f>
        <v>-0.0342165828578377</v>
      </c>
    </row>
    <row r="220" customFormat="false" ht="15" hidden="false" customHeight="false" outlineLevel="0" collapsed="false">
      <c r="A220" s="7" t="n">
        <v>4408203</v>
      </c>
      <c r="B220" s="7" t="str">
        <f aca="false">IFERROR(INDEX('Source 2026'!$C:$C,MATCH($A220,'Source 2026'!$B:$B,0)),IFERROR(INDEX('Source 2025'!$C:$C,MATCH($A220,'Source 2025'!$B:$B,0)),""))</f>
        <v>14 0 חגורה למנותחי בית חזה</v>
      </c>
      <c r="C220" s="8" t="n">
        <f aca="false">SUMIFS('Source 2025'!$H:$H,'Source 2025'!$B:$B,$A220,'Source 2025'!$A:$A,"Quantity (units)")</f>
        <v>2</v>
      </c>
      <c r="D220" s="8" t="n">
        <f aca="false">SUMIFS('Source 2026'!$H:$H,'Source 2026'!$B:$B,$A220,'Source 2026'!$A:$A,"Quantity (units)")</f>
        <v>11</v>
      </c>
      <c r="E220" s="8" t="n">
        <f aca="false">D220*$J$5</f>
        <v>15.0857142857143</v>
      </c>
      <c r="F220" s="8" t="n">
        <f aca="false">E220-C220</f>
        <v>13.0857142857143</v>
      </c>
      <c r="G220" s="9" t="n">
        <f aca="false">IF(AND(C220=0,E220=0),0,IF(C220=0,"New",(E220-C220)/C220))</f>
        <v>6.54285714285714</v>
      </c>
      <c r="H220" s="8" t="n">
        <f aca="false">SUMIFS('Source 2025'!$H:$H,'Source 2025'!$B:$B,$A220,'Source 2025'!$A:$A,"Amount (NIS)")</f>
        <v>442.1</v>
      </c>
      <c r="I220" s="8" t="n">
        <f aca="false">SUMIFS('Source 2026'!$H:$H,'Source 2026'!$B:$B,$A220,'Source 2026'!$A:$A,"Amount (NIS)")</f>
        <v>1896.4</v>
      </c>
      <c r="J220" s="8" t="n">
        <f aca="false">I220*$J$5</f>
        <v>2600.77714285714</v>
      </c>
      <c r="K220" s="8" t="n">
        <f aca="false">J220-H220</f>
        <v>2158.67714285714</v>
      </c>
      <c r="L220" s="9" t="n">
        <f aca="false">IF(AND(H220=0,J220=0),0,IF(H220=0,"New",(J220-H220)/H220))</f>
        <v>4.8827802371797</v>
      </c>
    </row>
    <row r="221" customFormat="false" ht="15" hidden="false" customHeight="false" outlineLevel="0" collapsed="false">
      <c r="A221" s="7" t="n">
        <v>4408095</v>
      </c>
      <c r="B221" s="7" t="str">
        <f aca="false">IFERROR(INDEX('Source 2026'!$C:$C,MATCH($A221,'Source 2026'!$B:$B,0)),IFERROR(INDEX('Source 2025'!$C:$C,MATCH($A221,'Source 2025'!$B:$B,0)),""))</f>
        <v>T20 L-XL  חבק יד עם צמדן</v>
      </c>
      <c r="C221" s="8" t="n">
        <f aca="false">SUMIFS('Source 2025'!$H:$H,'Source 2025'!$B:$B,$A221,'Source 2025'!$A:$A,"Quantity (units)")</f>
        <v>121</v>
      </c>
      <c r="D221" s="8" t="n">
        <f aca="false">SUMIFS('Source 2026'!$H:$H,'Source 2026'!$B:$B,$A221,'Source 2026'!$A:$A,"Quantity (units)")</f>
        <v>77</v>
      </c>
      <c r="E221" s="8" t="n">
        <f aca="false">D221*$J$5</f>
        <v>105.6</v>
      </c>
      <c r="F221" s="8" t="n">
        <f aca="false">E221-C221</f>
        <v>-15.4</v>
      </c>
      <c r="G221" s="9" t="n">
        <f aca="false">IF(AND(C221=0,E221=0),0,IF(C221=0,"New",(E221-C221)/C221))</f>
        <v>-0.127272727272727</v>
      </c>
      <c r="H221" s="8" t="n">
        <f aca="false">SUMIFS('Source 2025'!$H:$H,'Source 2025'!$B:$B,$A221,'Source 2025'!$A:$A,"Amount (NIS)")</f>
        <v>3854.3</v>
      </c>
      <c r="I221" s="8" t="n">
        <f aca="false">SUMIFS('Source 2026'!$H:$H,'Source 2026'!$B:$B,$A221,'Source 2026'!$A:$A,"Amount (NIS)")</f>
        <v>2409.5</v>
      </c>
      <c r="J221" s="8" t="n">
        <f aca="false">I221*$J$5</f>
        <v>3304.45714285714</v>
      </c>
      <c r="K221" s="8" t="n">
        <f aca="false">J221-H221</f>
        <v>-549.842857142857</v>
      </c>
      <c r="L221" s="9" t="n">
        <f aca="false">IF(AND(H221=0,J221=0),0,IF(H221=0,"New",(J221-H221)/H221))</f>
        <v>-0.142656995341011</v>
      </c>
    </row>
    <row r="222" customFormat="false" ht="15" hidden="false" customHeight="false" outlineLevel="0" collapsed="false">
      <c r="A222" s="7" t="n">
        <v>4408096</v>
      </c>
      <c r="B222" s="7" t="str">
        <f aca="false">IFERROR(INDEX('Source 2026'!$C:$C,MATCH($A222,'Source 2026'!$B:$B,0)),IFERROR(INDEX('Source 2025'!$C:$C,MATCH($A222,'Source 2025'!$B:$B,0)),""))</f>
        <v>T20C S-M חבק יד עם צמדןחום</v>
      </c>
      <c r="C222" s="8" t="n">
        <f aca="false">SUMIFS('Source 2025'!$H:$H,'Source 2025'!$B:$B,$A222,'Source 2025'!$A:$A,"Quantity (units)")</f>
        <v>102</v>
      </c>
      <c r="D222" s="8" t="n">
        <f aca="false">SUMIFS('Source 2026'!$H:$H,'Source 2026'!$B:$B,$A222,'Source 2026'!$A:$A,"Quantity (units)")</f>
        <v>58</v>
      </c>
      <c r="E222" s="8" t="n">
        <f aca="false">D222*$J$5</f>
        <v>79.5428571428571</v>
      </c>
      <c r="F222" s="8" t="n">
        <f aca="false">E222-C222</f>
        <v>-22.4571428571429</v>
      </c>
      <c r="G222" s="9" t="n">
        <f aca="false">IF(AND(C222=0,E222=0),0,IF(C222=0,"New",(E222-C222)/C222))</f>
        <v>-0.220168067226891</v>
      </c>
      <c r="H222" s="8" t="n">
        <f aca="false">SUMIFS('Source 2025'!$H:$H,'Source 2025'!$B:$B,$A222,'Source 2025'!$A:$A,"Amount (NIS)")</f>
        <v>3246.9</v>
      </c>
      <c r="I222" s="8" t="n">
        <f aca="false">SUMIFS('Source 2026'!$H:$H,'Source 2026'!$B:$B,$A222,'Source 2026'!$A:$A,"Amount (NIS)")</f>
        <v>1829.6</v>
      </c>
      <c r="J222" s="8" t="n">
        <f aca="false">I222*$J$5</f>
        <v>2509.16571428571</v>
      </c>
      <c r="K222" s="8" t="n">
        <f aca="false">J222-H222</f>
        <v>-737.734285714286</v>
      </c>
      <c r="L222" s="9" t="n">
        <f aca="false">IF(AND(H222=0,J222=0),0,IF(H222=0,"New",(J222-H222)/H222))</f>
        <v>-0.227211890022571</v>
      </c>
    </row>
    <row r="223" customFormat="false" ht="15" hidden="false" customHeight="false" outlineLevel="0" collapsed="false">
      <c r="A223" s="7" t="n">
        <v>4415029</v>
      </c>
      <c r="B223" s="7" t="str">
        <f aca="false">IFERROR(INDEX('Source 2026'!$C:$C,MATCH($A223,'Source 2026'!$B:$B,0)),IFERROR(INDEX('Source 2025'!$C:$C,MATCH($A223,'Source 2025'!$B:$B,0)),""))</f>
        <v>סד קיבוע לאצבע הדק</v>
      </c>
      <c r="C223" s="8" t="n">
        <f aca="false">SUMIFS('Source 2025'!$H:$H,'Source 2025'!$B:$B,$A223,'Source 2025'!$A:$A,"Quantity (units)")</f>
        <v>217</v>
      </c>
      <c r="D223" s="8" t="n">
        <f aca="false">SUMIFS('Source 2026'!$H:$H,'Source 2026'!$B:$B,$A223,'Source 2026'!$A:$A,"Quantity (units)")</f>
        <v>158</v>
      </c>
      <c r="E223" s="8" t="n">
        <f aca="false">D223*$J$5</f>
        <v>216.685714285714</v>
      </c>
      <c r="F223" s="8" t="n">
        <f aca="false">E223-C223</f>
        <v>-0.314285714285717</v>
      </c>
      <c r="G223" s="9" t="n">
        <f aca="false">IF(AND(C223=0,E223=0),0,IF(C223=0,"New",(E223-C223)/C223))</f>
        <v>-0.00144832126398948</v>
      </c>
      <c r="H223" s="8" t="n">
        <f aca="false">SUMIFS('Source 2025'!$H:$H,'Source 2025'!$B:$B,$A223,'Source 2025'!$A:$A,"Amount (NIS)")</f>
        <v>5300.6</v>
      </c>
      <c r="I223" s="8" t="n">
        <f aca="false">SUMIFS('Source 2026'!$H:$H,'Source 2026'!$B:$B,$A223,'Source 2026'!$A:$A,"Amount (NIS)")</f>
        <v>3912.8</v>
      </c>
      <c r="J223" s="8" t="n">
        <f aca="false">I223*$J$5</f>
        <v>5366.12571428572</v>
      </c>
      <c r="K223" s="8" t="n">
        <f aca="false">J223-H223</f>
        <v>65.5257142857145</v>
      </c>
      <c r="L223" s="9" t="n">
        <f aca="false">IF(AND(H223=0,J223=0),0,IF(H223=0,"New",(J223-H223)/H223))</f>
        <v>0.0123619428528307</v>
      </c>
    </row>
    <row r="224" customFormat="false" ht="15" hidden="false" customHeight="false" outlineLevel="0" collapsed="false">
      <c r="A224" s="7" t="n">
        <v>4411001</v>
      </c>
      <c r="B224" s="7" t="str">
        <f aca="false">IFERROR(INDEX('Source 2026'!$C:$C,MATCH($A224,'Source 2026'!$B:$B,0)),IFERROR(INDEX('Source 2025'!$C:$C,MATCH($A224,'Source 2025'!$B:$B,0)),""))</f>
        <v>3623 כרית ליישור אצבע פטיש</v>
      </c>
      <c r="C224" s="8" t="n">
        <f aca="false">SUMIFS('Source 2025'!$H:$H,'Source 2025'!$B:$B,$A224,'Source 2025'!$A:$A,"Quantity (units)")</f>
        <v>235</v>
      </c>
      <c r="D224" s="8" t="n">
        <f aca="false">SUMIFS('Source 2026'!$H:$H,'Source 2026'!$B:$B,$A224,'Source 2026'!$A:$A,"Quantity (units)")</f>
        <v>178</v>
      </c>
      <c r="E224" s="8" t="n">
        <f aca="false">D224*$J$5</f>
        <v>244.114285714286</v>
      </c>
      <c r="F224" s="8" t="n">
        <f aca="false">E224-C224</f>
        <v>9.11428571428573</v>
      </c>
      <c r="G224" s="9" t="n">
        <f aca="false">IF(AND(C224=0,E224=0),0,IF(C224=0,"New",(E224-C224)/C224))</f>
        <v>0.0387841945288754</v>
      </c>
      <c r="H224" s="8" t="n">
        <f aca="false">SUMIFS('Source 2025'!$H:$H,'Source 2025'!$B:$B,$A224,'Source 2025'!$A:$A,"Amount (NIS)")</f>
        <v>5701.6</v>
      </c>
      <c r="I224" s="8" t="n">
        <f aca="false">SUMIFS('Source 2026'!$H:$H,'Source 2026'!$B:$B,$A224,'Source 2026'!$A:$A,"Amount (NIS)")</f>
        <v>4321.5</v>
      </c>
      <c r="J224" s="8" t="n">
        <f aca="false">I224*$J$5</f>
        <v>5926.62857142857</v>
      </c>
      <c r="K224" s="8" t="n">
        <f aca="false">J224-H224</f>
        <v>225.028571428571</v>
      </c>
      <c r="L224" s="9" t="n">
        <f aca="false">IF(AND(H224=0,J224=0),0,IF(H224=0,"New",(J224-H224)/H224))</f>
        <v>0.039467618112209</v>
      </c>
    </row>
    <row r="225" customFormat="false" ht="15" hidden="false" customHeight="false" outlineLevel="0" collapsed="false">
      <c r="A225" s="7" t="n">
        <v>4413158</v>
      </c>
      <c r="B225" s="7" t="str">
        <f aca="false">IFERROR(INDEX('Source 2026'!$C:$C,MATCH($A225,'Source 2026'!$B:$B,0)),IFERROR(INDEX('Source 2025'!$C:$C,MATCH($A225,'Source 2025'!$B:$B,0)),""))</f>
        <v>305GA מדרס אורטופ.מתכוון45-46</v>
      </c>
      <c r="C225" s="8" t="n">
        <f aca="false">SUMIFS('Source 2025'!$H:$H,'Source 2025'!$B:$B,$A225,'Source 2025'!$A:$A,"Quantity (units)")</f>
        <v>144</v>
      </c>
      <c r="D225" s="8" t="n">
        <f aca="false">SUMIFS('Source 2026'!$H:$H,'Source 2026'!$B:$B,$A225,'Source 2026'!$A:$A,"Quantity (units)")</f>
        <v>124</v>
      </c>
      <c r="E225" s="8" t="n">
        <f aca="false">D225*$J$5</f>
        <v>170.057142857143</v>
      </c>
      <c r="F225" s="8" t="n">
        <f aca="false">E225-C225</f>
        <v>26.0571428571429</v>
      </c>
      <c r="G225" s="9" t="n">
        <f aca="false">IF(AND(C225=0,E225=0),0,IF(C225=0,"New",(E225-C225)/C225))</f>
        <v>0.180952380952381</v>
      </c>
      <c r="H225" s="8" t="n">
        <f aca="false">SUMIFS('Source 2025'!$H:$H,'Source 2025'!$B:$B,$A225,'Source 2025'!$A:$A,"Amount (NIS)")</f>
        <v>9409.4</v>
      </c>
      <c r="I225" s="8" t="n">
        <f aca="false">SUMIFS('Source 2026'!$H:$H,'Source 2026'!$B:$B,$A225,'Source 2026'!$A:$A,"Amount (NIS)")</f>
        <v>8044.1</v>
      </c>
      <c r="J225" s="8" t="n">
        <f aca="false">I225*$J$5</f>
        <v>11031.9085714286</v>
      </c>
      <c r="K225" s="8" t="n">
        <f aca="false">J225-H225</f>
        <v>1622.50857142857</v>
      </c>
      <c r="L225" s="9" t="n">
        <f aca="false">IF(AND(H225=0,J225=0),0,IF(H225=0,"New",(J225-H225)/H225))</f>
        <v>0.172434859972854</v>
      </c>
    </row>
    <row r="226" customFormat="false" ht="15" hidden="false" customHeight="false" outlineLevel="0" collapsed="false">
      <c r="A226" s="7" t="n">
        <v>4403001</v>
      </c>
      <c r="B226" s="7" t="str">
        <f aca="false">IFERROR(INDEX('Source 2026'!$C:$C,MATCH($A226,'Source 2026'!$B:$B,0)),IFERROR(INDEX('Source 2025'!$C:$C,MATCH($A226,'Source 2025'!$B:$B,0)),""))</f>
        <v>390B 39-42.גרב.כסף לסכרתיים שח</v>
      </c>
      <c r="C226" s="8" t="n">
        <f aca="false">SUMIFS('Source 2025'!$H:$H,'Source 2025'!$B:$B,$A226,'Source 2025'!$A:$A,"Quantity (units)")</f>
        <v>75</v>
      </c>
      <c r="D226" s="8" t="n">
        <f aca="false">SUMIFS('Source 2026'!$H:$H,'Source 2026'!$B:$B,$A226,'Source 2026'!$A:$A,"Quantity (units)")</f>
        <v>28</v>
      </c>
      <c r="E226" s="8" t="n">
        <f aca="false">D226*$J$5</f>
        <v>38.4</v>
      </c>
      <c r="F226" s="8" t="n">
        <f aca="false">E226-C226</f>
        <v>-36.6</v>
      </c>
      <c r="G226" s="9" t="n">
        <f aca="false">IF(AND(C226=0,E226=0),0,IF(C226=0,"New",(E226-C226)/C226))</f>
        <v>-0.488</v>
      </c>
      <c r="H226" s="8" t="n">
        <f aca="false">SUMIFS('Source 2025'!$H:$H,'Source 2025'!$B:$B,$A226,'Source 2025'!$A:$A,"Amount (NIS)")</f>
        <v>2179.1</v>
      </c>
      <c r="I226" s="8" t="n">
        <f aca="false">SUMIFS('Source 2026'!$H:$H,'Source 2026'!$B:$B,$A226,'Source 2026'!$A:$A,"Amount (NIS)")</f>
        <v>828.6</v>
      </c>
      <c r="J226" s="8" t="n">
        <f aca="false">I226*$J$5</f>
        <v>1136.36571428571</v>
      </c>
      <c r="K226" s="8" t="n">
        <f aca="false">J226-H226</f>
        <v>-1042.73428571429</v>
      </c>
      <c r="L226" s="9" t="n">
        <f aca="false">IF(AND(H226=0,J226=0),0,IF(H226=0,"New",(J226-H226)/H226))</f>
        <v>-0.4785160321758</v>
      </c>
    </row>
    <row r="227" customFormat="false" ht="15" hidden="false" customHeight="false" outlineLevel="0" collapsed="false">
      <c r="A227" s="7" t="n">
        <v>4403021</v>
      </c>
      <c r="B227" s="7" t="str">
        <f aca="false">IFERROR(INDEX('Source 2026'!$C:$C,MATCH($A227,'Source 2026'!$B:$B,0)),IFERROR(INDEX('Source 2025'!$C:$C,MATCH($A227,'Source 2025'!$B:$B,0)),""))</f>
        <v>394G גרב.כסף לסכרתים אפור39-42</v>
      </c>
      <c r="C227" s="8" t="n">
        <f aca="false">SUMIFS('Source 2025'!$H:$H,'Source 2025'!$B:$B,$A227,'Source 2025'!$A:$A,"Quantity (units)")</f>
        <v>57</v>
      </c>
      <c r="D227" s="8" t="n">
        <f aca="false">SUMIFS('Source 2026'!$H:$H,'Source 2026'!$B:$B,$A227,'Source 2026'!$A:$A,"Quantity (units)")</f>
        <v>-4</v>
      </c>
      <c r="E227" s="8" t="n">
        <f aca="false">D227*$J$5</f>
        <v>-5.48571428571429</v>
      </c>
      <c r="F227" s="8" t="n">
        <f aca="false">E227-C227</f>
        <v>-62.4857142857143</v>
      </c>
      <c r="G227" s="9" t="n">
        <f aca="false">IF(AND(C227=0,E227=0),0,IF(C227=0,"New",(E227-C227)/C227))</f>
        <v>-1.09624060150376</v>
      </c>
      <c r="H227" s="8" t="n">
        <f aca="false">SUMIFS('Source 2025'!$H:$H,'Source 2025'!$B:$B,$A227,'Source 2025'!$A:$A,"Amount (NIS)")</f>
        <v>1262.2</v>
      </c>
      <c r="I227" s="8" t="n">
        <f aca="false">SUMIFS('Source 2026'!$H:$H,'Source 2026'!$B:$B,$A227,'Source 2026'!$A:$A,"Amount (NIS)")</f>
        <v>-84.8</v>
      </c>
      <c r="J227" s="8" t="n">
        <f aca="false">I227*$J$5</f>
        <v>-116.297142857143</v>
      </c>
      <c r="K227" s="8" t="n">
        <f aca="false">J227-H227</f>
        <v>-1378.49714285714</v>
      </c>
      <c r="L227" s="9" t="n">
        <f aca="false">IF(AND(H227=0,J227=0),0,IF(H227=0,"New",(J227-H227)/H227))</f>
        <v>-1.09213844308124</v>
      </c>
    </row>
    <row r="228" customFormat="false" ht="15" hidden="false" customHeight="false" outlineLevel="0" collapsed="false">
      <c r="A228" s="7" t="n">
        <v>4403040</v>
      </c>
      <c r="B228" s="7" t="str">
        <f aca="false">IFERROR(INDEX('Source 2026'!$C:$C,MATCH($A228,'Source 2026'!$B:$B,0)),IFERROR(INDEX('Source 2025'!$C:$C,MATCH($A228,'Source 2025'!$B:$B,0)),""))</f>
        <v>3444B גרבי ג'ל לריכוך עור העקב</v>
      </c>
      <c r="C228" s="8" t="n">
        <f aca="false">SUMIFS('Source 2025'!$H:$H,'Source 2025'!$B:$B,$A228,'Source 2025'!$A:$A,"Quantity (units)")</f>
        <v>111</v>
      </c>
      <c r="D228" s="8" t="n">
        <f aca="false">SUMIFS('Source 2026'!$H:$H,'Source 2026'!$B:$B,$A228,'Source 2026'!$A:$A,"Quantity (units)")</f>
        <v>64</v>
      </c>
      <c r="E228" s="8" t="n">
        <f aca="false">D228*$J$5</f>
        <v>87.7714285714286</v>
      </c>
      <c r="F228" s="8" t="n">
        <f aca="false">E228-C228</f>
        <v>-23.2285714285714</v>
      </c>
      <c r="G228" s="9" t="n">
        <f aca="false">IF(AND(C228=0,E228=0),0,IF(C228=0,"New",(E228-C228)/C228))</f>
        <v>-0.209266409266409</v>
      </c>
      <c r="H228" s="8" t="n">
        <f aca="false">SUMIFS('Source 2025'!$H:$H,'Source 2025'!$B:$B,$A228,'Source 2025'!$A:$A,"Amount (NIS)")</f>
        <v>3384.7</v>
      </c>
      <c r="I228" s="8" t="n">
        <f aca="false">SUMIFS('Source 2026'!$H:$H,'Source 2026'!$B:$B,$A228,'Source 2026'!$A:$A,"Amount (NIS)")</f>
        <v>2051.9</v>
      </c>
      <c r="J228" s="8" t="n">
        <f aca="false">I228*$J$5</f>
        <v>2814.03428571429</v>
      </c>
      <c r="K228" s="8" t="n">
        <f aca="false">J228-H228</f>
        <v>-570.665714285714</v>
      </c>
      <c r="L228" s="9" t="n">
        <f aca="false">IF(AND(H228=0,J228=0),0,IF(H228=0,"New",(J228-H228)/H228))</f>
        <v>-0.168601564181675</v>
      </c>
    </row>
    <row r="229" customFormat="false" ht="15" hidden="false" customHeight="false" outlineLevel="0" collapsed="false">
      <c r="A229" s="7" t="n">
        <v>4408230</v>
      </c>
      <c r="B229" s="7" t="str">
        <f aca="false">IFERROR(INDEX('Source 2026'!$C:$C,MATCH($A229,'Source 2026'!$B:$B,0)),IFERROR(INDEX('Source 2025'!$C:$C,MATCH($A229,'Source 2025'!$B:$B,0)),""))</f>
        <v>16 L-XL חגורת הריון</v>
      </c>
      <c r="C229" s="8" t="n">
        <f aca="false">SUMIFS('Source 2025'!$H:$H,'Source 2025'!$B:$B,$A229,'Source 2025'!$A:$A,"Quantity (units)")</f>
        <v>44</v>
      </c>
      <c r="D229" s="8" t="n">
        <f aca="false">SUMIFS('Source 2026'!$H:$H,'Source 2026'!$B:$B,$A229,'Source 2026'!$A:$A,"Quantity (units)")</f>
        <v>30</v>
      </c>
      <c r="E229" s="8" t="n">
        <f aca="false">D229*$J$5</f>
        <v>41.1428571428571</v>
      </c>
      <c r="F229" s="8" t="n">
        <f aca="false">E229-C229</f>
        <v>-2.85714285714285</v>
      </c>
      <c r="G229" s="9" t="n">
        <f aca="false">IF(AND(C229=0,E229=0),0,IF(C229=0,"New",(E229-C229)/C229))</f>
        <v>-0.0649350649350649</v>
      </c>
      <c r="H229" s="8" t="n">
        <f aca="false">SUMIFS('Source 2025'!$H:$H,'Source 2025'!$B:$B,$A229,'Source 2025'!$A:$A,"Amount (NIS)")</f>
        <v>4430.4</v>
      </c>
      <c r="I229" s="8" t="n">
        <f aca="false">SUMIFS('Source 2026'!$H:$H,'Source 2026'!$B:$B,$A229,'Source 2026'!$A:$A,"Amount (NIS)")</f>
        <v>3110.5</v>
      </c>
      <c r="J229" s="8" t="n">
        <f aca="false">I229*$J$5</f>
        <v>4265.82857142857</v>
      </c>
      <c r="K229" s="8" t="n">
        <f aca="false">J229-H229</f>
        <v>-164.571428571428</v>
      </c>
      <c r="L229" s="9" t="n">
        <f aca="false">IF(AND(H229=0,J229=0),0,IF(H229=0,"New",(J229-H229)/H229))</f>
        <v>-0.0371459526389104</v>
      </c>
    </row>
    <row r="230" customFormat="false" ht="15" hidden="false" customHeight="false" outlineLevel="0" collapsed="false">
      <c r="A230" s="7" t="n">
        <v>4408026</v>
      </c>
      <c r="B230" s="7" t="str">
        <f aca="false">IFERROR(INDEX('Source 2026'!$C:$C,MATCH($A230,'Source 2026'!$B:$B,0)),IFERROR(INDEX('Source 2025'!$C:$C,MATCH($A230,'Source 2025'!$B:$B,0)),""))</f>
        <v>10 S ""חגורת גב ""לומבו</v>
      </c>
      <c r="C230" s="8" t="n">
        <f aca="false">SUMIFS('Source 2025'!$H:$H,'Source 2025'!$B:$B,$A230,'Source 2025'!$A:$A,"Quantity (units)")</f>
        <v>6</v>
      </c>
      <c r="D230" s="8" t="n">
        <f aca="false">SUMIFS('Source 2026'!$H:$H,'Source 2026'!$B:$B,$A230,'Source 2026'!$A:$A,"Quantity (units)")</f>
        <v>-4</v>
      </c>
      <c r="E230" s="8" t="n">
        <f aca="false">D230*$J$5</f>
        <v>-5.48571428571429</v>
      </c>
      <c r="F230" s="8" t="n">
        <f aca="false">E230-C230</f>
        <v>-11.4857142857143</v>
      </c>
      <c r="G230" s="9" t="n">
        <f aca="false">IF(AND(C230=0,E230=0),0,IF(C230=0,"New",(E230-C230)/C230))</f>
        <v>-1.91428571428571</v>
      </c>
      <c r="H230" s="8" t="n">
        <f aca="false">SUMIFS('Source 2025'!$H:$H,'Source 2025'!$B:$B,$A230,'Source 2025'!$A:$A,"Amount (NIS)")</f>
        <v>786.4</v>
      </c>
      <c r="I230" s="8" t="n">
        <f aca="false">SUMIFS('Source 2026'!$H:$H,'Source 2026'!$B:$B,$A230,'Source 2026'!$A:$A,"Amount (NIS)")</f>
        <v>-524.2</v>
      </c>
      <c r="J230" s="8" t="n">
        <f aca="false">I230*$J$5</f>
        <v>-718.902857142857</v>
      </c>
      <c r="K230" s="8" t="n">
        <f aca="false">J230-H230</f>
        <v>-1505.30285714286</v>
      </c>
      <c r="L230" s="9" t="n">
        <f aca="false">IF(AND(H230=0,J230=0),0,IF(H230=0,"New",(J230-H230)/H230))</f>
        <v>-1.91416945211452</v>
      </c>
    </row>
    <row r="231" customFormat="false" ht="15" hidden="false" customHeight="false" outlineLevel="0" collapsed="false">
      <c r="A231" s="7" t="n">
        <v>4403022</v>
      </c>
      <c r="B231" s="7" t="str">
        <f aca="false">IFERROR(INDEX('Source 2026'!$C:$C,MATCH($A231,'Source 2026'!$B:$B,0)),IFERROR(INDEX('Source 2025'!$C:$C,MATCH($A231,'Source 2025'!$B:$B,0)),""))</f>
        <v>394G גרב.כסף לסכרתים אפור43-46</v>
      </c>
      <c r="C231" s="8" t="n">
        <f aca="false">SUMIFS('Source 2025'!$H:$H,'Source 2025'!$B:$B,$A231,'Source 2025'!$A:$A,"Quantity (units)")</f>
        <v>58</v>
      </c>
      <c r="D231" s="8" t="n">
        <f aca="false">SUMIFS('Source 2026'!$H:$H,'Source 2026'!$B:$B,$A231,'Source 2026'!$A:$A,"Quantity (units)")</f>
        <v>0</v>
      </c>
      <c r="E231" s="8" t="n">
        <f aca="false">D231*$J$5</f>
        <v>0</v>
      </c>
      <c r="F231" s="8" t="n">
        <f aca="false">E231-C231</f>
        <v>-58</v>
      </c>
      <c r="G231" s="9" t="n">
        <f aca="false">IF(AND(C231=0,E231=0),0,IF(C231=0,"New",(E231-C231)/C231))</f>
        <v>-1</v>
      </c>
      <c r="H231" s="8" t="n">
        <f aca="false">SUMIFS('Source 2025'!$H:$H,'Source 2025'!$B:$B,$A231,'Source 2025'!$A:$A,"Amount (NIS)")</f>
        <v>1297.6</v>
      </c>
      <c r="I231" s="8" t="n">
        <f aca="false">SUMIFS('Source 2026'!$H:$H,'Source 2026'!$B:$B,$A231,'Source 2026'!$A:$A,"Amount (NIS)")</f>
        <v>0</v>
      </c>
      <c r="J231" s="8" t="n">
        <f aca="false">I231*$J$5</f>
        <v>0</v>
      </c>
      <c r="K231" s="8" t="n">
        <f aca="false">J231-H231</f>
        <v>-1297.6</v>
      </c>
      <c r="L231" s="9" t="n">
        <f aca="false">IF(AND(H231=0,J231=0),0,IF(H231=0,"New",(J231-H231)/H231))</f>
        <v>-1</v>
      </c>
    </row>
    <row r="232" customFormat="false" ht="15" hidden="false" customHeight="false" outlineLevel="0" collapsed="false">
      <c r="A232" s="7" t="n">
        <v>4413134</v>
      </c>
      <c r="B232" s="7" t="str">
        <f aca="false">IFERROR(INDEX('Source 2026'!$C:$C,MATCH($A232,'Source 2026'!$B:$B,0)),IFERROR(INDEX('Source 2025'!$C:$C,MATCH($A232,'Source 2025'!$B:$B,0)),""))</f>
        <v>76 XLמיישר כתף יציב יישור רחב</v>
      </c>
      <c r="C232" s="8" t="n">
        <f aca="false">SUMIFS('Source 2025'!$H:$H,'Source 2025'!$B:$B,$A232,'Source 2025'!$A:$A,"Quantity (units)")</f>
        <v>2</v>
      </c>
      <c r="D232" s="8" t="n">
        <f aca="false">SUMIFS('Source 2026'!$H:$H,'Source 2026'!$B:$B,$A232,'Source 2026'!$A:$A,"Quantity (units)")</f>
        <v>9</v>
      </c>
      <c r="E232" s="8" t="n">
        <f aca="false">D232*$J$5</f>
        <v>12.3428571428571</v>
      </c>
      <c r="F232" s="8" t="n">
        <f aca="false">E232-C232</f>
        <v>10.3428571428571</v>
      </c>
      <c r="G232" s="9" t="n">
        <f aca="false">IF(AND(C232=0,E232=0),0,IF(C232=0,"New",(E232-C232)/C232))</f>
        <v>5.17142857142857</v>
      </c>
      <c r="H232" s="8" t="n">
        <f aca="false">SUMIFS('Source 2025'!$H:$H,'Source 2025'!$B:$B,$A232,'Source 2025'!$A:$A,"Amount (NIS)")</f>
        <v>327.7</v>
      </c>
      <c r="I232" s="8" t="n">
        <f aca="false">SUMIFS('Source 2026'!$H:$H,'Source 2026'!$B:$B,$A232,'Source 2026'!$A:$A,"Amount (NIS)")</f>
        <v>1622.9</v>
      </c>
      <c r="J232" s="8" t="n">
        <f aca="false">I232*$J$5</f>
        <v>2225.69142857143</v>
      </c>
      <c r="K232" s="8" t="n">
        <f aca="false">J232-H232</f>
        <v>1897.99142857143</v>
      </c>
      <c r="L232" s="9" t="n">
        <f aca="false">IF(AND(H232=0,J232=0),0,IF(H232=0,"New",(J232-H232)/H232))</f>
        <v>5.79185666332447</v>
      </c>
    </row>
    <row r="233" customFormat="false" ht="15" hidden="false" customHeight="false" outlineLevel="0" collapsed="false">
      <c r="A233" s="7" t="n">
        <v>4413004</v>
      </c>
      <c r="B233" s="7" t="str">
        <f aca="false">IFERROR(INDEX('Source 2026'!$C:$C,MATCH($A233,'Source 2026'!$B:$B,0)),IFERROR(INDEX('Source 2025'!$C:$C,MATCH($A233,'Source 2025'!$B:$B,0)),""))</f>
        <v>30 XL מגן קרסול מתכוון סקוטש</v>
      </c>
      <c r="C233" s="8" t="n">
        <f aca="false">SUMIFS('Source 2025'!$H:$H,'Source 2025'!$B:$B,$A233,'Source 2025'!$A:$A,"Quantity (units)")</f>
        <v>11</v>
      </c>
      <c r="D233" s="8" t="n">
        <f aca="false">SUMIFS('Source 2026'!$H:$H,'Source 2026'!$B:$B,$A233,'Source 2026'!$A:$A,"Quantity (units)")</f>
        <v>-11</v>
      </c>
      <c r="E233" s="8" t="n">
        <f aca="false">D233*$J$5</f>
        <v>-15.0857142857143</v>
      </c>
      <c r="F233" s="8" t="n">
        <f aca="false">E233-C233</f>
        <v>-26.0857142857143</v>
      </c>
      <c r="G233" s="9" t="n">
        <f aca="false">IF(AND(C233=0,E233=0),0,IF(C233=0,"New",(E233-C233)/C233))</f>
        <v>-2.37142857142857</v>
      </c>
      <c r="H233" s="8" t="n">
        <f aca="false">SUMIFS('Source 2025'!$H:$H,'Source 2025'!$B:$B,$A233,'Source 2025'!$A:$A,"Amount (NIS)")</f>
        <v>659.2</v>
      </c>
      <c r="I233" s="8" t="n">
        <f aca="false">SUMIFS('Source 2026'!$H:$H,'Source 2026'!$B:$B,$A233,'Source 2026'!$A:$A,"Amount (NIS)")</f>
        <v>-616.2</v>
      </c>
      <c r="J233" s="8" t="n">
        <f aca="false">I233*$J$5</f>
        <v>-845.074285714286</v>
      </c>
      <c r="K233" s="8" t="n">
        <f aca="false">J233-H233</f>
        <v>-1504.27428571429</v>
      </c>
      <c r="L233" s="9" t="n">
        <f aca="false">IF(AND(H233=0,J233=0),0,IF(H233=0,"New",(J233-H233)/H233))</f>
        <v>-2.28196948682386</v>
      </c>
    </row>
    <row r="234" customFormat="false" ht="15" hidden="false" customHeight="false" outlineLevel="0" collapsed="false">
      <c r="A234" s="7" t="n">
        <v>4413440</v>
      </c>
      <c r="B234" s="7" t="str">
        <f aca="false">IFERROR(INDEX('Source 2026'!$C:$C,MATCH($A234,'Source 2026'!$B:$B,0)),IFERROR(INDEX('Source 2025'!$C:$C,MATCH($A234,'Source 2025'!$B:$B,0)),""))</f>
        <v>SC422  L מגן ברך</v>
      </c>
      <c r="C234" s="8" t="n">
        <f aca="false">SUMIFS('Source 2025'!$H:$H,'Source 2025'!$B:$B,$A234,'Source 2025'!$A:$A,"Quantity (units)")</f>
        <v>31</v>
      </c>
      <c r="D234" s="8" t="n">
        <f aca="false">SUMIFS('Source 2026'!$H:$H,'Source 2026'!$B:$B,$A234,'Source 2026'!$A:$A,"Quantity (units)")</f>
        <v>22</v>
      </c>
      <c r="E234" s="8" t="n">
        <f aca="false">D234*$J$5</f>
        <v>30.1714285714286</v>
      </c>
      <c r="F234" s="8" t="n">
        <f aca="false">E234-C234</f>
        <v>-0.828571428571429</v>
      </c>
      <c r="G234" s="9" t="n">
        <f aca="false">IF(AND(C234=0,E234=0),0,IF(C234=0,"New",(E234-C234)/C234))</f>
        <v>-0.0267281105990784</v>
      </c>
      <c r="H234" s="8" t="n">
        <f aca="false">SUMIFS('Source 2025'!$H:$H,'Source 2025'!$B:$B,$A234,'Source 2025'!$A:$A,"Amount (NIS)")</f>
        <v>4167.8</v>
      </c>
      <c r="I234" s="8" t="n">
        <f aca="false">SUMIFS('Source 2026'!$H:$H,'Source 2026'!$B:$B,$A234,'Source 2026'!$A:$A,"Amount (NIS)")</f>
        <v>2962.7</v>
      </c>
      <c r="J234" s="8" t="n">
        <f aca="false">I234*$J$5</f>
        <v>4063.13142857143</v>
      </c>
      <c r="K234" s="8" t="n">
        <f aca="false">J234-H234</f>
        <v>-104.668571428572</v>
      </c>
      <c r="L234" s="9" t="n">
        <f aca="false">IF(AND(H234=0,J234=0),0,IF(H234=0,"New",(J234-H234)/H234))</f>
        <v>-0.0251136262365209</v>
      </c>
    </row>
    <row r="235" customFormat="false" ht="15" hidden="false" customHeight="false" outlineLevel="0" collapsed="false">
      <c r="A235" s="7" t="n">
        <v>4408224</v>
      </c>
      <c r="B235" s="7" t="str">
        <f aca="false">IFERROR(INDEX('Source 2026'!$C:$C,MATCH($A235,'Source 2026'!$B:$B,0)),IFERROR(INDEX('Source 2025'!$C:$C,MATCH($A235,'Source 2025'!$B:$B,0)),""))</f>
        <v>S 11 אפורUGחגורת בטן</v>
      </c>
      <c r="C235" s="8" t="n">
        <f aca="false">SUMIFS('Source 2025'!$H:$H,'Source 2025'!$B:$B,$A235,'Source 2025'!$A:$A,"Quantity (units)")</f>
        <v>15</v>
      </c>
      <c r="D235" s="8" t="n">
        <f aca="false">SUMIFS('Source 2026'!$H:$H,'Source 2026'!$B:$B,$A235,'Source 2026'!$A:$A,"Quantity (units)")</f>
        <v>0</v>
      </c>
      <c r="E235" s="8" t="n">
        <f aca="false">D235*$J$5</f>
        <v>0</v>
      </c>
      <c r="F235" s="8" t="n">
        <f aca="false">E235-C235</f>
        <v>-15</v>
      </c>
      <c r="G235" s="9" t="n">
        <f aca="false">IF(AND(C235=0,E235=0),0,IF(C235=0,"New",(E235-C235)/C235))</f>
        <v>-1</v>
      </c>
      <c r="H235" s="8" t="n">
        <f aca="false">SUMIFS('Source 2025'!$H:$H,'Source 2025'!$B:$B,$A235,'Source 2025'!$A:$A,"Amount (NIS)")</f>
        <v>1210.5</v>
      </c>
      <c r="I235" s="8" t="n">
        <f aca="false">SUMIFS('Source 2026'!$H:$H,'Source 2026'!$B:$B,$A235,'Source 2026'!$A:$A,"Amount (NIS)")</f>
        <v>25.9</v>
      </c>
      <c r="J235" s="8" t="n">
        <f aca="false">I235*$J$5</f>
        <v>35.52</v>
      </c>
      <c r="K235" s="8" t="n">
        <f aca="false">J235-H235</f>
        <v>-1174.98</v>
      </c>
      <c r="L235" s="9" t="n">
        <f aca="false">IF(AND(H235=0,J235=0),0,IF(H235=0,"New",(J235-H235)/H235))</f>
        <v>-0.970656753407683</v>
      </c>
    </row>
    <row r="236" customFormat="false" ht="15" hidden="false" customHeight="false" outlineLevel="0" collapsed="false">
      <c r="A236" s="7" t="n">
        <v>4413162</v>
      </c>
      <c r="B236" s="7" t="str">
        <f aca="false">IFERROR(INDEX('Source 2026'!$C:$C,MATCH($A236,'Source 2026'!$B:$B,0)),IFERROR(INDEX('Source 2025'!$C:$C,MATCH($A236,'Source 2025'!$B:$B,0)),""))</f>
        <v>34+XL מגן קרסול עקב סגור+רצוע</v>
      </c>
      <c r="C236" s="8" t="n">
        <f aca="false">SUMIFS('Source 2025'!$H:$H,'Source 2025'!$B:$B,$A236,'Source 2025'!$A:$A,"Quantity (units)")</f>
        <v>83</v>
      </c>
      <c r="D236" s="8" t="n">
        <f aca="false">SUMIFS('Source 2026'!$H:$H,'Source 2026'!$B:$B,$A236,'Source 2026'!$A:$A,"Quantity (units)")</f>
        <v>59</v>
      </c>
      <c r="E236" s="8" t="n">
        <f aca="false">D236*$J$5</f>
        <v>80.9142857142857</v>
      </c>
      <c r="F236" s="8" t="n">
        <f aca="false">E236-C236</f>
        <v>-2.08571428571429</v>
      </c>
      <c r="G236" s="9" t="n">
        <f aca="false">IF(AND(C236=0,E236=0),0,IF(C236=0,"New",(E236-C236)/C236))</f>
        <v>-0.0251290877796902</v>
      </c>
      <c r="H236" s="8" t="n">
        <f aca="false">SUMIFS('Source 2025'!$H:$H,'Source 2025'!$B:$B,$A236,'Source 2025'!$A:$A,"Amount (NIS)")</f>
        <v>4401.3</v>
      </c>
      <c r="I236" s="8" t="n">
        <f aca="false">SUMIFS('Source 2026'!$H:$H,'Source 2026'!$B:$B,$A236,'Source 2026'!$A:$A,"Amount (NIS)")</f>
        <v>3227.7</v>
      </c>
      <c r="J236" s="8" t="n">
        <f aca="false">I236*$J$5</f>
        <v>4426.56</v>
      </c>
      <c r="K236" s="8" t="n">
        <f aca="false">J236-H236</f>
        <v>25.2599999999993</v>
      </c>
      <c r="L236" s="9" t="n">
        <f aca="false">IF(AND(H236=0,J236=0),0,IF(H236=0,"New",(J236-H236)/H236))</f>
        <v>0.00573921341421837</v>
      </c>
    </row>
    <row r="237" customFormat="false" ht="15" hidden="false" customHeight="false" outlineLevel="0" collapsed="false">
      <c r="A237" s="7" t="n">
        <v>4408049</v>
      </c>
      <c r="B237" s="7" t="str">
        <f aca="false">IFERROR(INDEX('Source 2026'!$C:$C,MATCH($A237,'Source 2026'!$B:$B,0)),IFERROR(INDEX('Source 2025'!$C:$C,MATCH($A237,'Source 2025'!$B:$B,0)),""))</f>
        <v>20 XL חבק יד מתכוון עם צמדן</v>
      </c>
      <c r="C237" s="8" t="n">
        <f aca="false">SUMIFS('Source 2025'!$H:$H,'Source 2025'!$B:$B,$A237,'Source 2025'!$A:$A,"Quantity (units)")</f>
        <v>84</v>
      </c>
      <c r="D237" s="8" t="n">
        <f aca="false">SUMIFS('Source 2026'!$H:$H,'Source 2026'!$B:$B,$A237,'Source 2026'!$A:$A,"Quantity (units)")</f>
        <v>37</v>
      </c>
      <c r="E237" s="8" t="n">
        <f aca="false">D237*$J$5</f>
        <v>50.7428571428571</v>
      </c>
      <c r="F237" s="8" t="n">
        <f aca="false">E237-C237</f>
        <v>-33.2571428571429</v>
      </c>
      <c r="G237" s="9" t="n">
        <f aca="false">IF(AND(C237=0,E237=0),0,IF(C237=0,"New",(E237-C237)/C237))</f>
        <v>-0.395918367346939</v>
      </c>
      <c r="H237" s="8" t="n">
        <f aca="false">SUMIFS('Source 2025'!$H:$H,'Source 2025'!$B:$B,$A237,'Source 2025'!$A:$A,"Amount (NIS)")</f>
        <v>2104.6</v>
      </c>
      <c r="I237" s="8" t="n">
        <f aca="false">SUMIFS('Source 2026'!$H:$H,'Source 2026'!$B:$B,$A237,'Source 2026'!$A:$A,"Amount (NIS)")</f>
        <v>938.9</v>
      </c>
      <c r="J237" s="8" t="n">
        <f aca="false">I237*$J$5</f>
        <v>1287.63428571429</v>
      </c>
      <c r="K237" s="8" t="n">
        <f aca="false">J237-H237</f>
        <v>-816.965714285714</v>
      </c>
      <c r="L237" s="9" t="n">
        <f aca="false">IF(AND(H237=0,J237=0),0,IF(H237=0,"New",(J237-H237)/H237))</f>
        <v>-0.388180991297973</v>
      </c>
    </row>
    <row r="238" customFormat="false" ht="15" hidden="false" customHeight="false" outlineLevel="0" collapsed="false">
      <c r="A238" s="7" t="n">
        <v>4411020</v>
      </c>
      <c r="B238" s="7" t="str">
        <f aca="false">IFERROR(INDEX('Source 2026'!$C:$C,MATCH($A238,'Source 2026'!$B:$B,0)),IFERROR(INDEX('Source 2025'!$C:$C,MATCH($A238,'Source 2025'!$B:$B,0)),""))</f>
        <v>211XL כפפות לחץ</v>
      </c>
      <c r="C238" s="8" t="n">
        <f aca="false">SUMIFS('Source 2025'!$H:$H,'Source 2025'!$B:$B,$A238,'Source 2025'!$A:$A,"Quantity (units)")</f>
        <v>76</v>
      </c>
      <c r="D238" s="8" t="n">
        <f aca="false">SUMIFS('Source 2026'!$H:$H,'Source 2026'!$B:$B,$A238,'Source 2026'!$A:$A,"Quantity (units)")</f>
        <v>34</v>
      </c>
      <c r="E238" s="8" t="n">
        <f aca="false">D238*$J$5</f>
        <v>46.6285714285714</v>
      </c>
      <c r="F238" s="8" t="n">
        <f aca="false">E238-C238</f>
        <v>-29.3714285714286</v>
      </c>
      <c r="G238" s="9" t="n">
        <f aca="false">IF(AND(C238=0,E238=0),0,IF(C238=0,"New",(E238-C238)/C238))</f>
        <v>-0.386466165413534</v>
      </c>
      <c r="H238" s="8" t="n">
        <f aca="false">SUMIFS('Source 2025'!$H:$H,'Source 2025'!$B:$B,$A238,'Source 2025'!$A:$A,"Amount (NIS)")</f>
        <v>2156.6</v>
      </c>
      <c r="I238" s="8" t="n">
        <f aca="false">SUMIFS('Source 2026'!$H:$H,'Source 2026'!$B:$B,$A238,'Source 2026'!$A:$A,"Amount (NIS)")</f>
        <v>993.8</v>
      </c>
      <c r="J238" s="8" t="n">
        <f aca="false">I238*$J$5</f>
        <v>1362.92571428571</v>
      </c>
      <c r="K238" s="8" t="n">
        <f aca="false">J238-H238</f>
        <v>-793.674285714286</v>
      </c>
      <c r="L238" s="9" t="n">
        <f aca="false">IF(AND(H238=0,J238=0),0,IF(H238=0,"New",(J238-H238)/H238))</f>
        <v>-0.368021091400485</v>
      </c>
    </row>
    <row r="239" customFormat="false" ht="15" hidden="false" customHeight="false" outlineLevel="0" collapsed="false">
      <c r="A239" s="7" t="n">
        <v>4413407</v>
      </c>
      <c r="B239" s="7" t="str">
        <f aca="false">IFERROR(INDEX('Source 2026'!$C:$C,MATCH($A239,'Source 2026'!$B:$B,0)),IFERROR(INDEX('Source 2025'!$C:$C,MATCH($A239,'Source 2025'!$B:$B,0)),""))</f>
        <v>SC95 L מגן מרפק</v>
      </c>
      <c r="C239" s="8" t="n">
        <f aca="false">SUMIFS('Source 2025'!$H:$H,'Source 2025'!$B:$B,$A239,'Source 2025'!$A:$A,"Quantity (units)")</f>
        <v>26</v>
      </c>
      <c r="D239" s="8" t="n">
        <f aca="false">SUMIFS('Source 2026'!$H:$H,'Source 2026'!$B:$B,$A239,'Source 2026'!$A:$A,"Quantity (units)")</f>
        <v>11</v>
      </c>
      <c r="E239" s="8" t="n">
        <f aca="false">D239*$J$5</f>
        <v>15.0857142857143</v>
      </c>
      <c r="F239" s="8" t="n">
        <f aca="false">E239-C239</f>
        <v>-10.9142857142857</v>
      </c>
      <c r="G239" s="9" t="n">
        <f aca="false">IF(AND(C239=0,E239=0),0,IF(C239=0,"New",(E239-C239)/C239))</f>
        <v>-0.41978021978022</v>
      </c>
      <c r="H239" s="8" t="n">
        <f aca="false">SUMIFS('Source 2025'!$H:$H,'Source 2025'!$B:$B,$A239,'Source 2025'!$A:$A,"Amount (NIS)")</f>
        <v>1933</v>
      </c>
      <c r="I239" s="8" t="n">
        <f aca="false">SUMIFS('Source 2026'!$H:$H,'Source 2026'!$B:$B,$A239,'Source 2026'!$A:$A,"Amount (NIS)")</f>
        <v>832.1</v>
      </c>
      <c r="J239" s="8" t="n">
        <f aca="false">I239*$J$5</f>
        <v>1141.16571428571</v>
      </c>
      <c r="K239" s="8" t="n">
        <f aca="false">J239-H239</f>
        <v>-791.834285714286</v>
      </c>
      <c r="L239" s="9" t="n">
        <f aca="false">IF(AND(H239=0,J239=0),0,IF(H239=0,"New",(J239-H239)/H239))</f>
        <v>-0.409640085729067</v>
      </c>
    </row>
    <row r="240" customFormat="false" ht="15" hidden="false" customHeight="false" outlineLevel="0" collapsed="false">
      <c r="A240" s="7" t="n">
        <v>4415298</v>
      </c>
      <c r="B240" s="7" t="str">
        <f aca="false">IFERROR(INDEX('Source 2026'!$C:$C,MATCH($A240,'Source 2026'!$B:$B,0)),IFERROR(INDEX('Source 2025'!$C:$C,MATCH($A240,'Source 2025'!$B:$B,0)),""))</f>
        <v>388B L סד לילה שחור לבוהן שמאל</v>
      </c>
      <c r="C240" s="8" t="n">
        <f aca="false">SUMIFS('Source 2025'!$H:$H,'Source 2025'!$B:$B,$A240,'Source 2025'!$A:$A,"Quantity (units)")</f>
        <v>40</v>
      </c>
      <c r="D240" s="8" t="n">
        <f aca="false">SUMIFS('Source 2026'!$H:$H,'Source 2026'!$B:$B,$A240,'Source 2026'!$A:$A,"Quantity (units)")</f>
        <v>20</v>
      </c>
      <c r="E240" s="8" t="n">
        <f aca="false">D240*$J$5</f>
        <v>27.4285714285714</v>
      </c>
      <c r="F240" s="8" t="n">
        <f aca="false">E240-C240</f>
        <v>-12.5714285714286</v>
      </c>
      <c r="G240" s="9" t="n">
        <f aca="false">IF(AND(C240=0,E240=0),0,IF(C240=0,"New",(E240-C240)/C240))</f>
        <v>-0.314285714285714</v>
      </c>
      <c r="H240" s="8" t="n">
        <f aca="false">SUMIFS('Source 2025'!$H:$H,'Source 2025'!$B:$B,$A240,'Source 2025'!$A:$A,"Amount (NIS)")</f>
        <v>2362.3</v>
      </c>
      <c r="I240" s="8" t="n">
        <f aca="false">SUMIFS('Source 2026'!$H:$H,'Source 2026'!$B:$B,$A240,'Source 2026'!$A:$A,"Amount (NIS)")</f>
        <v>1293.3</v>
      </c>
      <c r="J240" s="8" t="n">
        <f aca="false">I240*$J$5</f>
        <v>1773.66857142857</v>
      </c>
      <c r="K240" s="8" t="n">
        <f aca="false">J240-H240</f>
        <v>-588.631428571429</v>
      </c>
      <c r="L240" s="9" t="n">
        <f aca="false">IF(AND(H240=0,J240=0),0,IF(H240=0,"New",(J240-H240)/H240))</f>
        <v>-0.249177254612635</v>
      </c>
    </row>
    <row r="241" customFormat="false" ht="15" hidden="false" customHeight="false" outlineLevel="0" collapsed="false">
      <c r="A241" s="7" t="n">
        <v>4415161</v>
      </c>
      <c r="B241" s="7" t="str">
        <f aca="false">IFERROR(INDEX('Source 2026'!$C:$C,MATCH($A241,'Source 2026'!$B:$B,0)),IFERROR(INDEX('Source 2025'!$C:$C,MATCH($A241,'Source 2025'!$B:$B,0)),""))</f>
        <v>238M סד ליישור אצבע</v>
      </c>
      <c r="C241" s="8" t="n">
        <f aca="false">SUMIFS('Source 2025'!$H:$H,'Source 2025'!$B:$B,$A241,'Source 2025'!$A:$A,"Quantity (units)")</f>
        <v>2021</v>
      </c>
      <c r="D241" s="8" t="n">
        <f aca="false">SUMIFS('Source 2026'!$H:$H,'Source 2026'!$B:$B,$A241,'Source 2026'!$A:$A,"Quantity (units)")</f>
        <v>1858</v>
      </c>
      <c r="E241" s="8" t="n">
        <f aca="false">D241*$J$5</f>
        <v>2548.11428571429</v>
      </c>
      <c r="F241" s="8" t="n">
        <f aca="false">E241-C241</f>
        <v>527.114285714286</v>
      </c>
      <c r="G241" s="9" t="n">
        <f aca="false">IF(AND(C241=0,E241=0),0,IF(C241=0,"New",(E241-C241)/C241))</f>
        <v>0.260818548102071</v>
      </c>
      <c r="H241" s="8" t="n">
        <f aca="false">SUMIFS('Source 2025'!$H:$H,'Source 2025'!$B:$B,$A241,'Source 2025'!$A:$A,"Amount (NIS)")</f>
        <v>28832.9</v>
      </c>
      <c r="I241" s="8" t="n">
        <f aca="false">SUMIFS('Source 2026'!$H:$H,'Source 2026'!$B:$B,$A241,'Source 2026'!$A:$A,"Amount (NIS)")</f>
        <v>27773.9</v>
      </c>
      <c r="J241" s="8" t="n">
        <f aca="false">I241*$J$5</f>
        <v>38089.92</v>
      </c>
      <c r="K241" s="8" t="n">
        <f aca="false">J241-H241</f>
        <v>9257.02</v>
      </c>
      <c r="L241" s="9" t="n">
        <f aca="false">IF(AND(H241=0,J241=0),0,IF(H241=0,"New",(J241-H241)/H241))</f>
        <v>0.321057541905254</v>
      </c>
    </row>
    <row r="242" customFormat="false" ht="15" hidden="false" customHeight="false" outlineLevel="0" collapsed="false">
      <c r="A242" s="7" t="n">
        <v>4403020</v>
      </c>
      <c r="B242" s="7" t="str">
        <f aca="false">IFERROR(INDEX('Source 2026'!$C:$C,MATCH($A242,'Source 2026'!$B:$B,0)),IFERROR(INDEX('Source 2025'!$C:$C,MATCH($A242,'Source 2025'!$B:$B,0)),""))</f>
        <v>394G גרב.כסף לסכרתים אפור35-38</v>
      </c>
      <c r="C242" s="8" t="n">
        <f aca="false">SUMIFS('Source 2025'!$H:$H,'Source 2025'!$B:$B,$A242,'Source 2025'!$A:$A,"Quantity (units)")</f>
        <v>42</v>
      </c>
      <c r="D242" s="8" t="n">
        <f aca="false">SUMIFS('Source 2026'!$H:$H,'Source 2026'!$B:$B,$A242,'Source 2026'!$A:$A,"Quantity (units)")</f>
        <v>-5</v>
      </c>
      <c r="E242" s="8" t="n">
        <f aca="false">D242*$J$5</f>
        <v>-6.85714285714286</v>
      </c>
      <c r="F242" s="8" t="n">
        <f aca="false">E242-C242</f>
        <v>-48.8571428571429</v>
      </c>
      <c r="G242" s="9" t="n">
        <f aca="false">IF(AND(C242=0,E242=0),0,IF(C242=0,"New",(E242-C242)/C242))</f>
        <v>-1.16326530612245</v>
      </c>
      <c r="H242" s="8" t="n">
        <f aca="false">SUMIFS('Source 2025'!$H:$H,'Source 2025'!$B:$B,$A242,'Source 2025'!$A:$A,"Amount (NIS)")</f>
        <v>939.9</v>
      </c>
      <c r="I242" s="8" t="n">
        <f aca="false">SUMIFS('Source 2026'!$H:$H,'Source 2026'!$B:$B,$A242,'Source 2026'!$A:$A,"Amount (NIS)")</f>
        <v>-107.1</v>
      </c>
      <c r="J242" s="8" t="n">
        <f aca="false">I242*$J$5</f>
        <v>-146.88</v>
      </c>
      <c r="K242" s="8" t="n">
        <f aca="false">J242-H242</f>
        <v>-1086.78</v>
      </c>
      <c r="L242" s="9" t="n">
        <f aca="false">IF(AND(H242=0,J242=0),0,IF(H242=0,"New",(J242-H242)/H242))</f>
        <v>-1.15627194382381</v>
      </c>
    </row>
    <row r="243" customFormat="false" ht="15" hidden="false" customHeight="false" outlineLevel="0" collapsed="false">
      <c r="A243" s="7" t="n">
        <v>4413442</v>
      </c>
      <c r="B243" s="7" t="str">
        <f aca="false">IFERROR(INDEX('Source 2026'!$C:$C,MATCH($A243,'Source 2026'!$B:$B,0)),IFERROR(INDEX('Source 2025'!$C:$C,MATCH($A243,'Source 2025'!$B:$B,0)),""))</f>
        <v>SC422 XXLמגן ברך</v>
      </c>
      <c r="C243" s="8" t="n">
        <f aca="false">SUMIFS('Source 2025'!$H:$H,'Source 2025'!$B:$B,$A243,'Source 2025'!$A:$A,"Quantity (units)")</f>
        <v>4</v>
      </c>
      <c r="D243" s="8" t="n">
        <f aca="false">SUMIFS('Source 2026'!$H:$H,'Source 2026'!$B:$B,$A243,'Source 2026'!$A:$A,"Quantity (units)")</f>
        <v>12</v>
      </c>
      <c r="E243" s="8" t="n">
        <f aca="false">D243*$J$5</f>
        <v>16.4571428571429</v>
      </c>
      <c r="F243" s="8" t="n">
        <f aca="false">E243-C243</f>
        <v>12.4571428571429</v>
      </c>
      <c r="G243" s="9" t="n">
        <f aca="false">IF(AND(C243=0,E243=0),0,IF(C243=0,"New",(E243-C243)/C243))</f>
        <v>3.11428571428571</v>
      </c>
      <c r="H243" s="8" t="n">
        <f aca="false">SUMIFS('Source 2025'!$H:$H,'Source 2025'!$B:$B,$A243,'Source 2025'!$A:$A,"Amount (NIS)")</f>
        <v>469.1</v>
      </c>
      <c r="I243" s="8" t="n">
        <f aca="false">SUMIFS('Source 2026'!$H:$H,'Source 2026'!$B:$B,$A243,'Source 2026'!$A:$A,"Amount (NIS)")</f>
        <v>1451</v>
      </c>
      <c r="J243" s="8" t="n">
        <f aca="false">I243*$J$5</f>
        <v>1989.94285714286</v>
      </c>
      <c r="K243" s="8" t="n">
        <f aca="false">J243-H243</f>
        <v>1520.84285714286</v>
      </c>
      <c r="L243" s="9" t="n">
        <f aca="false">IF(AND(H243=0,J243=0),0,IF(H243=0,"New",(J243-H243)/H243))</f>
        <v>3.24204403569145</v>
      </c>
    </row>
    <row r="244" customFormat="false" ht="15" hidden="false" customHeight="false" outlineLevel="0" collapsed="false">
      <c r="A244" s="7" t="n">
        <v>4413198</v>
      </c>
      <c r="B244" s="7" t="str">
        <f aca="false">IFERROR(INDEX('Source 2026'!$C:$C,MATCH($A244,'Source 2026'!$B:$B,0)),IFERROR(INDEX('Source 2025'!$C:$C,MATCH($A244,'Source 2025'!$B:$B,0)),""))</f>
        <v>87 XL מקבע כתף ויד</v>
      </c>
      <c r="C244" s="8" t="n">
        <f aca="false">SUMIFS('Source 2025'!$H:$H,'Source 2025'!$B:$B,$A244,'Source 2025'!$A:$A,"Quantity (units)")</f>
        <v>128</v>
      </c>
      <c r="D244" s="8" t="n">
        <f aca="false">SUMIFS('Source 2026'!$H:$H,'Source 2026'!$B:$B,$A244,'Source 2026'!$A:$A,"Quantity (units)")</f>
        <v>134</v>
      </c>
      <c r="E244" s="8" t="n">
        <f aca="false">D244*$J$5</f>
        <v>183.771428571429</v>
      </c>
      <c r="F244" s="8" t="n">
        <f aca="false">E244-C244</f>
        <v>55.7714285714286</v>
      </c>
      <c r="G244" s="9" t="n">
        <f aca="false">IF(AND(C244=0,E244=0),0,IF(C244=0,"New",(E244-C244)/C244))</f>
        <v>0.435714285714286</v>
      </c>
      <c r="H244" s="8" t="n">
        <f aca="false">SUMIFS('Source 2025'!$H:$H,'Source 2025'!$B:$B,$A244,'Source 2025'!$A:$A,"Amount (NIS)")</f>
        <v>20594.8</v>
      </c>
      <c r="I244" s="8" t="n">
        <f aca="false">SUMIFS('Source 2026'!$H:$H,'Source 2026'!$B:$B,$A244,'Source 2026'!$A:$A,"Amount (NIS)")</f>
        <v>21496.9</v>
      </c>
      <c r="J244" s="8" t="n">
        <f aca="false">I244*$J$5</f>
        <v>29481.4628571429</v>
      </c>
      <c r="K244" s="8" t="n">
        <f aca="false">J244-H244</f>
        <v>8886.66285714286</v>
      </c>
      <c r="L244" s="9" t="n">
        <f aca="false">IF(AND(H244=0,J244=0),0,IF(H244=0,"New",(J244-H244)/H244))</f>
        <v>0.43150032324387</v>
      </c>
    </row>
    <row r="245" customFormat="false" ht="15" hidden="false" customHeight="false" outlineLevel="0" collapsed="false">
      <c r="A245" s="7" t="n">
        <v>4413286</v>
      </c>
      <c r="B245" s="7" t="str">
        <f aca="false">IFERROR(INDEX('Source 2026'!$C:$C,MATCH($A245,'Source 2026'!$B:$B,0)),IFERROR(INDEX('Source 2025'!$C:$C,MATCH($A245,'Source 2025'!$B:$B,0)),""))</f>
        <v>T45 XXL מגן ברך רגיל</v>
      </c>
      <c r="C245" s="8" t="n">
        <f aca="false">SUMIFS('Source 2025'!$H:$H,'Source 2025'!$B:$B,$A245,'Source 2025'!$A:$A,"Quantity (units)")</f>
        <v>27</v>
      </c>
      <c r="D245" s="8" t="n">
        <f aca="false">SUMIFS('Source 2026'!$H:$H,'Source 2026'!$B:$B,$A245,'Source 2026'!$A:$A,"Quantity (units)")</f>
        <v>17</v>
      </c>
      <c r="E245" s="8" t="n">
        <f aca="false">D245*$J$5</f>
        <v>23.3142857142857</v>
      </c>
      <c r="F245" s="8" t="n">
        <f aca="false">E245-C245</f>
        <v>-3.68571428571429</v>
      </c>
      <c r="G245" s="9" t="n">
        <f aca="false">IF(AND(C245=0,E245=0),0,IF(C245=0,"New",(E245-C245)/C245))</f>
        <v>-0.136507936507937</v>
      </c>
      <c r="H245" s="8" t="n">
        <f aca="false">SUMIFS('Source 2025'!$H:$H,'Source 2025'!$B:$B,$A245,'Source 2025'!$A:$A,"Amount (NIS)")</f>
        <v>2428.2</v>
      </c>
      <c r="I245" s="8" t="n">
        <f aca="false">SUMIFS('Source 2026'!$H:$H,'Source 2026'!$B:$B,$A245,'Source 2026'!$A:$A,"Amount (NIS)")</f>
        <v>1528.5</v>
      </c>
      <c r="J245" s="8" t="n">
        <f aca="false">I245*$J$5</f>
        <v>2096.22857142857</v>
      </c>
      <c r="K245" s="8" t="n">
        <f aca="false">J245-H245</f>
        <v>-331.971428571429</v>
      </c>
      <c r="L245" s="9" t="n">
        <f aca="false">IF(AND(H245=0,J245=0),0,IF(H245=0,"New",(J245-H245)/H245))</f>
        <v>-0.13671502700413</v>
      </c>
    </row>
    <row r="246" customFormat="false" ht="15" hidden="false" customHeight="false" outlineLevel="0" collapsed="false">
      <c r="A246" s="7" t="n">
        <v>4409001</v>
      </c>
      <c r="B246" s="7" t="str">
        <f aca="false">IFERROR(INDEX('Source 2026'!$C:$C,MATCH($A246,'Source 2026'!$B:$B,0)),IFERROR(INDEX('Source 2025'!$C:$C,MATCH($A246,'Source 2025'!$B:$B,0)),""))</f>
        <v>365  X-Lטבעת אלסטית מסיליקון</v>
      </c>
      <c r="C246" s="8" t="n">
        <f aca="false">SUMIFS('Source 2025'!$H:$H,'Source 2025'!$B:$B,$A246,'Source 2025'!$A:$A,"Quantity (units)")</f>
        <v>223</v>
      </c>
      <c r="D246" s="8" t="n">
        <f aca="false">SUMIFS('Source 2026'!$H:$H,'Source 2026'!$B:$B,$A246,'Source 2026'!$A:$A,"Quantity (units)")</f>
        <v>134</v>
      </c>
      <c r="E246" s="8" t="n">
        <f aca="false">D246*$J$5</f>
        <v>183.771428571429</v>
      </c>
      <c r="F246" s="8" t="n">
        <f aca="false">E246-C246</f>
        <v>-39.2285714285714</v>
      </c>
      <c r="G246" s="9" t="n">
        <f aca="false">IF(AND(C246=0,E246=0),0,IF(C246=0,"New",(E246-C246)/C246))</f>
        <v>-0.175912876361307</v>
      </c>
      <c r="H246" s="8" t="n">
        <f aca="false">SUMIFS('Source 2025'!$H:$H,'Source 2025'!$B:$B,$A246,'Source 2025'!$A:$A,"Amount (NIS)")</f>
        <v>2310.4</v>
      </c>
      <c r="I246" s="8" t="n">
        <f aca="false">SUMIFS('Source 2026'!$H:$H,'Source 2026'!$B:$B,$A246,'Source 2026'!$A:$A,"Amount (NIS)")</f>
        <v>1413.2</v>
      </c>
      <c r="J246" s="8" t="n">
        <f aca="false">I246*$J$5</f>
        <v>1938.10285714286</v>
      </c>
      <c r="K246" s="8" t="n">
        <f aca="false">J246-H246</f>
        <v>-372.297142857143</v>
      </c>
      <c r="L246" s="9" t="n">
        <f aca="false">IF(AND(H246=0,J246=0),0,IF(H246=0,"New",(J246-H246)/H246))</f>
        <v>-0.161139691333597</v>
      </c>
    </row>
    <row r="247" customFormat="false" ht="15" hidden="false" customHeight="false" outlineLevel="0" collapsed="false">
      <c r="A247" s="7" t="n">
        <v>4413113</v>
      </c>
      <c r="B247" s="7" t="str">
        <f aca="false">IFERROR(INDEX('Source 2026'!$C:$C,MATCH($A247,'Source 2026'!$B:$B,0)),IFERROR(INDEX('Source 2025'!$C:$C,MATCH($A247,'Source 2025'!$B:$B,0)),""))</f>
        <v>49  M מגן ירך</v>
      </c>
      <c r="C247" s="8" t="n">
        <f aca="false">SUMIFS('Source 2025'!$H:$H,'Source 2025'!$B:$B,$A247,'Source 2025'!$A:$A,"Quantity (units)")</f>
        <v>54</v>
      </c>
      <c r="D247" s="8" t="n">
        <f aca="false">SUMIFS('Source 2026'!$H:$H,'Source 2026'!$B:$B,$A247,'Source 2026'!$A:$A,"Quantity (units)")</f>
        <v>23</v>
      </c>
      <c r="E247" s="8" t="n">
        <f aca="false">D247*$J$5</f>
        <v>31.5428571428571</v>
      </c>
      <c r="F247" s="8" t="n">
        <f aca="false">E247-C247</f>
        <v>-22.4571428571429</v>
      </c>
      <c r="G247" s="9" t="n">
        <f aca="false">IF(AND(C247=0,E247=0),0,IF(C247=0,"New",(E247-C247)/C247))</f>
        <v>-0.415873015873016</v>
      </c>
      <c r="H247" s="8" t="n">
        <f aca="false">SUMIFS('Source 2025'!$H:$H,'Source 2025'!$B:$B,$A247,'Source 2025'!$A:$A,"Amount (NIS)")</f>
        <v>1553.7</v>
      </c>
      <c r="I247" s="8" t="n">
        <f aca="false">SUMIFS('Source 2026'!$H:$H,'Source 2026'!$B:$B,$A247,'Source 2026'!$A:$A,"Amount (NIS)")</f>
        <v>671.6</v>
      </c>
      <c r="J247" s="8" t="n">
        <f aca="false">I247*$J$5</f>
        <v>921.051428571429</v>
      </c>
      <c r="K247" s="8" t="n">
        <f aca="false">J247-H247</f>
        <v>-632.648571428572</v>
      </c>
      <c r="L247" s="9" t="n">
        <f aca="false">IF(AND(H247=0,J247=0),0,IF(H247=0,"New",(J247-H247)/H247))</f>
        <v>-0.407188370617604</v>
      </c>
    </row>
    <row r="248" customFormat="false" ht="15" hidden="false" customHeight="false" outlineLevel="0" collapsed="false">
      <c r="A248" s="7" t="n">
        <v>4403017</v>
      </c>
      <c r="B248" s="7" t="str">
        <f aca="false">IFERROR(INDEX('Source 2026'!$C:$C,MATCH($A248,'Source 2026'!$B:$B,0)),IFERROR(INDEX('Source 2025'!$C:$C,MATCH($A248,'Source 2025'!$B:$B,0)),""))</f>
        <v>394B גרב.כסף לסכרתים שחור35-38</v>
      </c>
      <c r="C248" s="8" t="n">
        <f aca="false">SUMIFS('Source 2025'!$H:$H,'Source 2025'!$B:$B,$A248,'Source 2025'!$A:$A,"Quantity (units)")</f>
        <v>77</v>
      </c>
      <c r="D248" s="8" t="n">
        <f aca="false">SUMIFS('Source 2026'!$H:$H,'Source 2026'!$B:$B,$A248,'Source 2026'!$A:$A,"Quantity (units)")</f>
        <v>37</v>
      </c>
      <c r="E248" s="8" t="n">
        <f aca="false">D248*$J$5</f>
        <v>50.7428571428571</v>
      </c>
      <c r="F248" s="8" t="n">
        <f aca="false">E248-C248</f>
        <v>-26.2571428571429</v>
      </c>
      <c r="G248" s="9" t="n">
        <f aca="false">IF(AND(C248=0,E248=0),0,IF(C248=0,"New",(E248-C248)/C248))</f>
        <v>-0.34100185528757</v>
      </c>
      <c r="H248" s="8" t="n">
        <f aca="false">SUMIFS('Source 2025'!$H:$H,'Source 2025'!$B:$B,$A248,'Source 2025'!$A:$A,"Amount (NIS)")</f>
        <v>1714.9</v>
      </c>
      <c r="I248" s="8" t="n">
        <f aca="false">SUMIFS('Source 2026'!$H:$H,'Source 2026'!$B:$B,$A248,'Source 2026'!$A:$A,"Amount (NIS)")</f>
        <v>844.6</v>
      </c>
      <c r="J248" s="8" t="n">
        <f aca="false">I248*$J$5</f>
        <v>1158.30857142857</v>
      </c>
      <c r="K248" s="8" t="n">
        <f aca="false">J248-H248</f>
        <v>-556.591428571429</v>
      </c>
      <c r="L248" s="9" t="n">
        <f aca="false">IF(AND(H248=0,J248=0),0,IF(H248=0,"New",(J248-H248)/H248))</f>
        <v>-0.324562031938555</v>
      </c>
    </row>
    <row r="249" customFormat="false" ht="15" hidden="false" customHeight="false" outlineLevel="0" collapsed="false">
      <c r="A249" s="7" t="n">
        <v>4413069</v>
      </c>
      <c r="B249" s="7" t="str">
        <f aca="false">IFERROR(INDEX('Source 2026'!$C:$C,MATCH($A249,'Source 2026'!$B:$B,0)),IFERROR(INDEX('Source 2025'!$C:$C,MATCH($A249,'Source 2025'!$B:$B,0)),""))</f>
        <v>388L סד לילה לבוהן</v>
      </c>
      <c r="C249" s="8" t="n">
        <f aca="false">SUMIFS('Source 2025'!$H:$H,'Source 2025'!$B:$B,$A249,'Source 2025'!$A:$A,"Quantity (units)")</f>
        <v>-16</v>
      </c>
      <c r="D249" s="8" t="n">
        <f aca="false">SUMIFS('Source 2026'!$H:$H,'Source 2026'!$B:$B,$A249,'Source 2026'!$A:$A,"Quantity (units)")</f>
        <v>-3</v>
      </c>
      <c r="E249" s="8" t="n">
        <f aca="false">D249*$J$5</f>
        <v>-4.11428571428571</v>
      </c>
      <c r="F249" s="8" t="n">
        <f aca="false">E249-C249</f>
        <v>11.8857142857143</v>
      </c>
      <c r="G249" s="9" t="n">
        <f aca="false">IF(AND(C249=0,E249=0),0,IF(C249=0,"New",(E249-C249)/C249))</f>
        <v>-0.742857142857143</v>
      </c>
      <c r="H249" s="8" t="n">
        <f aca="false">SUMIFS('Source 2025'!$H:$H,'Source 2025'!$B:$B,$A249,'Source 2025'!$A:$A,"Amount (NIS)")</f>
        <v>-1026.6</v>
      </c>
      <c r="I249" s="8" t="n">
        <f aca="false">SUMIFS('Source 2026'!$H:$H,'Source 2026'!$B:$B,$A249,'Source 2026'!$A:$A,"Amount (NIS)")</f>
        <v>-192.5</v>
      </c>
      <c r="J249" s="8" t="n">
        <f aca="false">I249*$J$5</f>
        <v>-264</v>
      </c>
      <c r="K249" s="8" t="n">
        <f aca="false">J249-H249</f>
        <v>762.6</v>
      </c>
      <c r="L249" s="9" t="n">
        <f aca="false">IF(AND(H249=0,J249=0),0,IF(H249=0,"New",(J249-H249)/H249))</f>
        <v>-0.742840444184687</v>
      </c>
    </row>
    <row r="250" customFormat="false" ht="15" hidden="false" customHeight="false" outlineLevel="0" collapsed="false">
      <c r="A250" s="7" t="n">
        <v>4420027</v>
      </c>
      <c r="B250" s="7" t="str">
        <f aca="false">IFERROR(INDEX('Source 2026'!$C:$C,MATCH($A250,'Source 2026'!$B:$B,0)),IFERROR(INDEX('Source 2025'!$C:$C,MATCH($A250,'Source 2025'!$B:$B,0)),""))</f>
        <v>370K 0 רפידת לילדים אנטי ריח</v>
      </c>
      <c r="C250" s="8" t="n">
        <f aca="false">SUMIFS('Source 2025'!$H:$H,'Source 2025'!$B:$B,$A250,'Source 2025'!$A:$A,"Quantity (units)")</f>
        <v>140</v>
      </c>
      <c r="D250" s="8" t="n">
        <f aca="false">SUMIFS('Source 2026'!$H:$H,'Source 2026'!$B:$B,$A250,'Source 2026'!$A:$A,"Quantity (units)")</f>
        <v>59</v>
      </c>
      <c r="E250" s="8" t="n">
        <f aca="false">D250*$J$5</f>
        <v>80.9142857142857</v>
      </c>
      <c r="F250" s="8" t="n">
        <f aca="false">E250-C250</f>
        <v>-59.0857142857143</v>
      </c>
      <c r="G250" s="9" t="n">
        <f aca="false">IF(AND(C250=0,E250=0),0,IF(C250=0,"New",(E250-C250)/C250))</f>
        <v>-0.422040816326531</v>
      </c>
      <c r="H250" s="8" t="n">
        <f aca="false">SUMIFS('Source 2025'!$H:$H,'Source 2025'!$B:$B,$A250,'Source 2025'!$A:$A,"Amount (NIS)")</f>
        <v>1434.1</v>
      </c>
      <c r="I250" s="8" t="n">
        <f aca="false">SUMIFS('Source 2026'!$H:$H,'Source 2026'!$B:$B,$A250,'Source 2026'!$A:$A,"Amount (NIS)")</f>
        <v>608.5</v>
      </c>
      <c r="J250" s="8" t="n">
        <f aca="false">I250*$J$5</f>
        <v>834.514285714286</v>
      </c>
      <c r="K250" s="8" t="n">
        <f aca="false">J250-H250</f>
        <v>-599.585714285714</v>
      </c>
      <c r="L250" s="9" t="n">
        <f aca="false">IF(AND(H250=0,J250=0),0,IF(H250=0,"New",(J250-H250)/H250))</f>
        <v>-0.418091984021835</v>
      </c>
    </row>
    <row r="251" customFormat="false" ht="15" hidden="false" customHeight="false" outlineLevel="0" collapsed="false">
      <c r="A251" s="7" t="n">
        <v>4413182</v>
      </c>
      <c r="B251" s="7" t="str">
        <f aca="false">IFERROR(INDEX('Source 2026'!$C:$C,MATCH($A251,'Source 2026'!$B:$B,0)),IFERROR(INDEX('Source 2025'!$C:$C,MATCH($A251,'Source 2025'!$B:$B,0)),""))</f>
        <v>T45 S מגן ברך רגיל</v>
      </c>
      <c r="C251" s="8" t="n">
        <f aca="false">SUMIFS('Source 2025'!$H:$H,'Source 2025'!$B:$B,$A251,'Source 2025'!$A:$A,"Quantity (units)")</f>
        <v>-2</v>
      </c>
      <c r="D251" s="8" t="n">
        <f aca="false">SUMIFS('Source 2026'!$H:$H,'Source 2026'!$B:$B,$A251,'Source 2026'!$A:$A,"Quantity (units)")</f>
        <v>7</v>
      </c>
      <c r="E251" s="8" t="n">
        <f aca="false">D251*$J$5</f>
        <v>9.6</v>
      </c>
      <c r="F251" s="8" t="n">
        <f aca="false">E251-C251</f>
        <v>11.6</v>
      </c>
      <c r="G251" s="9" t="n">
        <f aca="false">IF(AND(C251=0,E251=0),0,IF(C251=0,"New",(E251-C251)/C251))</f>
        <v>-5.8</v>
      </c>
      <c r="H251" s="8" t="n">
        <f aca="false">SUMIFS('Source 2025'!$H:$H,'Source 2025'!$B:$B,$A251,'Source 2025'!$A:$A,"Amount (NIS)")</f>
        <v>-173.9</v>
      </c>
      <c r="I251" s="8" t="n">
        <f aca="false">SUMIFS('Source 2026'!$H:$H,'Source 2026'!$B:$B,$A251,'Source 2026'!$A:$A,"Amount (NIS)")</f>
        <v>630.7</v>
      </c>
      <c r="J251" s="8" t="n">
        <f aca="false">I251*$J$5</f>
        <v>864.96</v>
      </c>
      <c r="K251" s="8" t="n">
        <f aca="false">J251-H251</f>
        <v>1038.86</v>
      </c>
      <c r="L251" s="9" t="n">
        <f aca="false">IF(AND(H251=0,J251=0),0,IF(H251=0,"New",(J251-H251)/H251))</f>
        <v>-5.97389304197815</v>
      </c>
    </row>
    <row r="252" customFormat="false" ht="15" hidden="false" customHeight="false" outlineLevel="0" collapsed="false">
      <c r="A252" s="7" t="n">
        <v>4408092</v>
      </c>
      <c r="B252" s="7" t="str">
        <f aca="false">IFERROR(INDEX('Source 2026'!$C:$C,MATCH($A252,'Source 2026'!$B:$B,0)),IFERROR(INDEX('Source 2025'!$C:$C,MATCH($A252,'Source 2025'!$B:$B,0)),""))</f>
        <v>T11C XL חגורת גב פוג'יאמה</v>
      </c>
      <c r="C252" s="8" t="n">
        <f aca="false">SUMIFS('Source 2025'!$H:$H,'Source 2025'!$B:$B,$A252,'Source 2025'!$A:$A,"Quantity (units)")</f>
        <v>13</v>
      </c>
      <c r="D252" s="8" t="n">
        <f aca="false">SUMIFS('Source 2026'!$H:$H,'Source 2026'!$B:$B,$A252,'Source 2026'!$A:$A,"Quantity (units)")</f>
        <v>3</v>
      </c>
      <c r="E252" s="8" t="n">
        <f aca="false">D252*$J$5</f>
        <v>4.11428571428571</v>
      </c>
      <c r="F252" s="8" t="n">
        <f aca="false">E252-C252</f>
        <v>-8.88571428571429</v>
      </c>
      <c r="G252" s="9" t="n">
        <f aca="false">IF(AND(C252=0,E252=0),0,IF(C252=0,"New",(E252-C252)/C252))</f>
        <v>-0.683516483516484</v>
      </c>
      <c r="H252" s="8" t="n">
        <f aca="false">SUMIFS('Source 2025'!$H:$H,'Source 2025'!$B:$B,$A252,'Source 2025'!$A:$A,"Amount (NIS)")</f>
        <v>1052.4</v>
      </c>
      <c r="I252" s="8" t="n">
        <f aca="false">SUMIFS('Source 2026'!$H:$H,'Source 2026'!$B:$B,$A252,'Source 2026'!$A:$A,"Amount (NIS)")</f>
        <v>249.8</v>
      </c>
      <c r="J252" s="8" t="n">
        <f aca="false">I252*$J$5</f>
        <v>342.582857142857</v>
      </c>
      <c r="K252" s="8" t="n">
        <f aca="false">J252-H252</f>
        <v>-709.817142857143</v>
      </c>
      <c r="L252" s="9" t="n">
        <f aca="false">IF(AND(H252=0,J252=0),0,IF(H252=0,"New",(J252-H252)/H252))</f>
        <v>-0.674474670141717</v>
      </c>
    </row>
    <row r="253" customFormat="false" ht="15" hidden="false" customHeight="false" outlineLevel="0" collapsed="false">
      <c r="A253" s="7" t="n">
        <v>4408009</v>
      </c>
      <c r="B253" s="7" t="str">
        <f aca="false">IFERROR(INDEX('Source 2026'!$C:$C,MATCH($A253,'Source 2026'!$B:$B,0)),IFERROR(INDEX('Source 2025'!$C:$C,MATCH($A253,'Source 2025'!$B:$B,0)),""))</f>
        <v>079 S ח.גב סג. כפולה שחור+אדום</v>
      </c>
      <c r="C253" s="8" t="n">
        <f aca="false">SUMIFS('Source 2025'!$H:$H,'Source 2025'!$B:$B,$A253,'Source 2025'!$A:$A,"Quantity (units)")</f>
        <v>2</v>
      </c>
      <c r="D253" s="8" t="n">
        <f aca="false">SUMIFS('Source 2026'!$H:$H,'Source 2026'!$B:$B,$A253,'Source 2026'!$A:$A,"Quantity (units)")</f>
        <v>-6</v>
      </c>
      <c r="E253" s="8" t="n">
        <f aca="false">D253*$J$5</f>
        <v>-8.22857142857143</v>
      </c>
      <c r="F253" s="8" t="n">
        <f aca="false">E253-C253</f>
        <v>-10.2285714285714</v>
      </c>
      <c r="G253" s="9" t="n">
        <f aca="false">IF(AND(C253=0,E253=0),0,IF(C253=0,"New",(E253-C253)/C253))</f>
        <v>-5.11428571428571</v>
      </c>
      <c r="H253" s="8" t="n">
        <f aca="false">SUMIFS('Source 2025'!$H:$H,'Source 2025'!$B:$B,$A253,'Source 2025'!$A:$A,"Amount (NIS)")</f>
        <v>202.7</v>
      </c>
      <c r="I253" s="8" t="n">
        <f aca="false">SUMIFS('Source 2026'!$H:$H,'Source 2026'!$B:$B,$A253,'Source 2026'!$A:$A,"Amount (NIS)")</f>
        <v>-539</v>
      </c>
      <c r="J253" s="8" t="n">
        <f aca="false">I253*$J$5</f>
        <v>-739.2</v>
      </c>
      <c r="K253" s="8" t="n">
        <f aca="false">J253-H253</f>
        <v>-941.9</v>
      </c>
      <c r="L253" s="9" t="n">
        <f aca="false">IF(AND(H253=0,J253=0),0,IF(H253=0,"New",(J253-H253)/H253))</f>
        <v>-4.64676862358165</v>
      </c>
    </row>
    <row r="254" customFormat="false" ht="15" hidden="false" customHeight="false" outlineLevel="0" collapsed="false">
      <c r="A254" s="7" t="n">
        <v>4413159</v>
      </c>
      <c r="B254" s="7" t="str">
        <f aca="false">IFERROR(INDEX('Source 2026'!$C:$C,MATCH($A254,'Source 2026'!$B:$B,0)),IFERROR(INDEX('Source 2025'!$C:$C,MATCH($A254,'Source 2025'!$B:$B,0)),""))</f>
        <v>34+ S מגן קרסול עקב סגור+רצוע</v>
      </c>
      <c r="C254" s="8" t="n">
        <f aca="false">SUMIFS('Source 2025'!$H:$H,'Source 2025'!$B:$B,$A254,'Source 2025'!$A:$A,"Quantity (units)")</f>
        <v>53</v>
      </c>
      <c r="D254" s="8" t="n">
        <f aca="false">SUMIFS('Source 2026'!$H:$H,'Source 2026'!$B:$B,$A254,'Source 2026'!$A:$A,"Quantity (units)")</f>
        <v>38</v>
      </c>
      <c r="E254" s="8" t="n">
        <f aca="false">D254*$J$5</f>
        <v>52.1142857142857</v>
      </c>
      <c r="F254" s="8" t="n">
        <f aca="false">E254-C254</f>
        <v>-0.885714285714286</v>
      </c>
      <c r="G254" s="9" t="n">
        <f aca="false">IF(AND(C254=0,E254=0),0,IF(C254=0,"New",(E254-C254)/C254))</f>
        <v>-0.016711590296496</v>
      </c>
      <c r="H254" s="8" t="n">
        <f aca="false">SUMIFS('Source 2025'!$H:$H,'Source 2025'!$B:$B,$A254,'Source 2025'!$A:$A,"Amount (NIS)")</f>
        <v>2791.4</v>
      </c>
      <c r="I254" s="8" t="n">
        <f aca="false">SUMIFS('Source 2026'!$H:$H,'Source 2026'!$B:$B,$A254,'Source 2026'!$A:$A,"Amount (NIS)")</f>
        <v>2051.7</v>
      </c>
      <c r="J254" s="8" t="n">
        <f aca="false">I254*$J$5</f>
        <v>2813.76</v>
      </c>
      <c r="K254" s="8" t="n">
        <f aca="false">J254-H254</f>
        <v>22.3599999999997</v>
      </c>
      <c r="L254" s="9" t="n">
        <f aca="false">IF(AND(H254=0,J254=0),0,IF(H254=0,"New",(J254-H254)/H254))</f>
        <v>0.00801031740345335</v>
      </c>
    </row>
    <row r="255" customFormat="false" ht="15" hidden="false" customHeight="false" outlineLevel="0" collapsed="false">
      <c r="A255" s="7" t="n">
        <v>4413426</v>
      </c>
      <c r="B255" s="7" t="str">
        <f aca="false">IFERROR(INDEX('Source 2026'!$C:$C,MATCH($A255,'Source 2026'!$B:$B,0)),IFERROR(INDEX('Source 2025'!$C:$C,MATCH($A255,'Source 2025'!$B:$B,0)),""))</f>
        <v>SC35R  L מגן קרסול ימין</v>
      </c>
      <c r="C255" s="8" t="n">
        <f aca="false">SUMIFS('Source 2025'!$H:$H,'Source 2025'!$B:$B,$A255,'Source 2025'!$A:$A,"Quantity (units)")</f>
        <v>21</v>
      </c>
      <c r="D255" s="8" t="n">
        <f aca="false">SUMIFS('Source 2026'!$H:$H,'Source 2026'!$B:$B,$A255,'Source 2026'!$A:$A,"Quantity (units)")</f>
        <v>11</v>
      </c>
      <c r="E255" s="8" t="n">
        <f aca="false">D255*$J$5</f>
        <v>15.0857142857143</v>
      </c>
      <c r="F255" s="8" t="n">
        <f aca="false">E255-C255</f>
        <v>-5.91428571428572</v>
      </c>
      <c r="G255" s="9" t="n">
        <f aca="false">IF(AND(C255=0,E255=0),0,IF(C255=0,"New",(E255-C255)/C255))</f>
        <v>-0.281632653061225</v>
      </c>
      <c r="H255" s="8" t="n">
        <f aca="false">SUMIFS('Source 2025'!$H:$H,'Source 2025'!$B:$B,$A255,'Source 2025'!$A:$A,"Amount (NIS)")</f>
        <v>1549.4</v>
      </c>
      <c r="I255" s="8" t="n">
        <f aca="false">SUMIFS('Source 2026'!$H:$H,'Source 2026'!$B:$B,$A255,'Source 2026'!$A:$A,"Amount (NIS)")</f>
        <v>820.2</v>
      </c>
      <c r="J255" s="8" t="n">
        <f aca="false">I255*$J$5</f>
        <v>1124.84571428571</v>
      </c>
      <c r="K255" s="8" t="n">
        <f aca="false">J255-H255</f>
        <v>-424.554285714286</v>
      </c>
      <c r="L255" s="9" t="n">
        <f aca="false">IF(AND(H255=0,J255=0),0,IF(H255=0,"New",(J255-H255)/H255))</f>
        <v>-0.274012059967914</v>
      </c>
    </row>
    <row r="256" customFormat="false" ht="15" hidden="false" customHeight="false" outlineLevel="0" collapsed="false">
      <c r="A256" s="7" t="n">
        <v>4408217</v>
      </c>
      <c r="B256" s="7" t="str">
        <f aca="false">IFERROR(INDEX('Source 2026'!$C:$C,MATCH($A256,'Source 2026'!$B:$B,0)),IFERROR(INDEX('Source 2025'!$C:$C,MATCH($A256,'Source 2025'!$B:$B,0)),""))</f>
        <v>S078 חגורת גב +סגירה כפולה</v>
      </c>
      <c r="C256" s="8" t="n">
        <f aca="false">SUMIFS('Source 2025'!$H:$H,'Source 2025'!$B:$B,$A256,'Source 2025'!$A:$A,"Quantity (units)")</f>
        <v>11</v>
      </c>
      <c r="D256" s="8" t="n">
        <f aca="false">SUMIFS('Source 2026'!$H:$H,'Source 2026'!$B:$B,$A256,'Source 2026'!$A:$A,"Quantity (units)")</f>
        <v>3</v>
      </c>
      <c r="E256" s="8" t="n">
        <f aca="false">D256*$J$5</f>
        <v>4.11428571428571</v>
      </c>
      <c r="F256" s="8" t="n">
        <f aca="false">E256-C256</f>
        <v>-6.88571428571429</v>
      </c>
      <c r="G256" s="9" t="n">
        <f aca="false">IF(AND(C256=0,E256=0),0,IF(C256=0,"New",(E256-C256)/C256))</f>
        <v>-0.625974025974026</v>
      </c>
      <c r="H256" s="8" t="n">
        <f aca="false">SUMIFS('Source 2025'!$H:$H,'Source 2025'!$B:$B,$A256,'Source 2025'!$A:$A,"Amount (NIS)")</f>
        <v>1035.5</v>
      </c>
      <c r="I256" s="8" t="n">
        <f aca="false">SUMIFS('Source 2026'!$H:$H,'Source 2026'!$B:$B,$A256,'Source 2026'!$A:$A,"Amount (NIS)")</f>
        <v>314.7</v>
      </c>
      <c r="J256" s="8" t="n">
        <f aca="false">I256*$J$5</f>
        <v>431.588571428571</v>
      </c>
      <c r="K256" s="8" t="n">
        <f aca="false">J256-H256</f>
        <v>-603.911428571429</v>
      </c>
      <c r="L256" s="9" t="n">
        <f aca="false">IF(AND(H256=0,J256=0),0,IF(H256=0,"New",(J256-H256)/H256))</f>
        <v>-0.583207560184866</v>
      </c>
    </row>
    <row r="257" customFormat="false" ht="15" hidden="false" customHeight="false" outlineLevel="0" collapsed="false">
      <c r="A257" s="7" t="n">
        <v>4415028</v>
      </c>
      <c r="B257" s="7" t="str">
        <f aca="false">IFERROR(INDEX('Source 2026'!$C:$C,MATCH($A257,'Source 2026'!$B:$B,0)),IFERROR(INDEX('Source 2025'!$C:$C,MATCH($A257,'Source 2025'!$B:$B,0)),""))</f>
        <v>AC-28 סד לאגודל</v>
      </c>
      <c r="C257" s="8" t="n">
        <f aca="false">SUMIFS('Source 2025'!$H:$H,'Source 2025'!$B:$B,$A257,'Source 2025'!$A:$A,"Quantity (units)")</f>
        <v>194</v>
      </c>
      <c r="D257" s="8" t="n">
        <f aca="false">SUMIFS('Source 2026'!$H:$H,'Source 2026'!$B:$B,$A257,'Source 2026'!$A:$A,"Quantity (units)")</f>
        <v>144</v>
      </c>
      <c r="E257" s="8" t="n">
        <f aca="false">D257*$J$5</f>
        <v>197.485714285714</v>
      </c>
      <c r="F257" s="8" t="n">
        <f aca="false">E257-C257</f>
        <v>3.48571428571429</v>
      </c>
      <c r="G257" s="9" t="n">
        <f aca="false">IF(AND(C257=0,E257=0),0,IF(C257=0,"New",(E257-C257)/C257))</f>
        <v>0.0179675994108984</v>
      </c>
      <c r="H257" s="8" t="n">
        <f aca="false">SUMIFS('Source 2025'!$H:$H,'Source 2025'!$B:$B,$A257,'Source 2025'!$A:$A,"Amount (NIS)")</f>
        <v>4329.5</v>
      </c>
      <c r="I257" s="8" t="n">
        <f aca="false">SUMIFS('Source 2026'!$H:$H,'Source 2026'!$B:$B,$A257,'Source 2026'!$A:$A,"Amount (NIS)")</f>
        <v>3657.7</v>
      </c>
      <c r="J257" s="8" t="n">
        <f aca="false">I257*$J$5</f>
        <v>5016.27428571429</v>
      </c>
      <c r="K257" s="8" t="n">
        <f aca="false">J257-H257</f>
        <v>686.774285714286</v>
      </c>
      <c r="L257" s="9" t="n">
        <f aca="false">IF(AND(H257=0,J257=0),0,IF(H257=0,"New",(J257-H257)/H257))</f>
        <v>0.158626697243166</v>
      </c>
    </row>
    <row r="258" customFormat="false" ht="15" hidden="false" customHeight="false" outlineLevel="0" collapsed="false">
      <c r="A258" s="7" t="n">
        <v>4403000</v>
      </c>
      <c r="B258" s="7" t="str">
        <f aca="false">IFERROR(INDEX('Source 2026'!$C:$C,MATCH($A258,'Source 2026'!$B:$B,0)),IFERROR(INDEX('Source 2025'!$C:$C,MATCH($A258,'Source 2025'!$B:$B,0)),""))</f>
        <v>390B גרב.כסף לסכרתים שחור35-38</v>
      </c>
      <c r="C258" s="8" t="n">
        <f aca="false">SUMIFS('Source 2025'!$H:$H,'Source 2025'!$B:$B,$A258,'Source 2025'!$A:$A,"Quantity (units)")</f>
        <v>30</v>
      </c>
      <c r="D258" s="8" t="n">
        <f aca="false">SUMIFS('Source 2026'!$H:$H,'Source 2026'!$B:$B,$A258,'Source 2026'!$A:$A,"Quantity (units)")</f>
        <v>7</v>
      </c>
      <c r="E258" s="8" t="n">
        <f aca="false">D258*$J$5</f>
        <v>9.6</v>
      </c>
      <c r="F258" s="8" t="n">
        <f aca="false">E258-C258</f>
        <v>-20.4</v>
      </c>
      <c r="G258" s="9" t="n">
        <f aca="false">IF(AND(C258=0,E258=0),0,IF(C258=0,"New",(E258-C258)/C258))</f>
        <v>-0.68</v>
      </c>
      <c r="H258" s="8" t="n">
        <f aca="false">SUMIFS('Source 2025'!$H:$H,'Source 2025'!$B:$B,$A258,'Source 2025'!$A:$A,"Amount (NIS)")</f>
        <v>882.1</v>
      </c>
      <c r="I258" s="8" t="n">
        <f aca="false">SUMIFS('Source 2026'!$H:$H,'Source 2026'!$B:$B,$A258,'Source 2026'!$A:$A,"Amount (NIS)")</f>
        <v>211.3</v>
      </c>
      <c r="J258" s="8" t="n">
        <f aca="false">I258*$J$5</f>
        <v>289.782857142857</v>
      </c>
      <c r="K258" s="8" t="n">
        <f aca="false">J258-H258</f>
        <v>-592.317142857143</v>
      </c>
      <c r="L258" s="9" t="n">
        <f aca="false">IF(AND(H258=0,J258=0),0,IF(H258=0,"New",(J258-H258)/H258))</f>
        <v>-0.671485254344341</v>
      </c>
    </row>
    <row r="259" customFormat="false" ht="15" hidden="false" customHeight="false" outlineLevel="0" collapsed="false">
      <c r="A259" s="7" t="n">
        <v>4413417</v>
      </c>
      <c r="B259" s="7" t="str">
        <f aca="false">IFERROR(INDEX('Source 2026'!$C:$C,MATCH($A259,'Source 2026'!$B:$B,0)),IFERROR(INDEX('Source 2025'!$C:$C,MATCH($A259,'Source 2025'!$B:$B,0)),""))</f>
        <v>SC39  L מגן שוק</v>
      </c>
      <c r="C259" s="8" t="n">
        <f aca="false">SUMIFS('Source 2025'!$H:$H,'Source 2025'!$B:$B,$A259,'Source 2025'!$A:$A,"Quantity (units)")</f>
        <v>3</v>
      </c>
      <c r="D259" s="8" t="n">
        <f aca="false">SUMIFS('Source 2026'!$H:$H,'Source 2026'!$B:$B,$A259,'Source 2026'!$A:$A,"Quantity (units)")</f>
        <v>8</v>
      </c>
      <c r="E259" s="8" t="n">
        <f aca="false">D259*$J$5</f>
        <v>10.9714285714286</v>
      </c>
      <c r="F259" s="8" t="n">
        <f aca="false">E259-C259</f>
        <v>7.97142857142857</v>
      </c>
      <c r="G259" s="9" t="n">
        <f aca="false">IF(AND(C259=0,E259=0),0,IF(C259=0,"New",(E259-C259)/C259))</f>
        <v>2.65714285714286</v>
      </c>
      <c r="H259" s="8" t="n">
        <f aca="false">SUMIFS('Source 2025'!$H:$H,'Source 2025'!$B:$B,$A259,'Source 2025'!$A:$A,"Amount (NIS)")</f>
        <v>407.3</v>
      </c>
      <c r="I259" s="8" t="n">
        <f aca="false">SUMIFS('Source 2026'!$H:$H,'Source 2026'!$B:$B,$A259,'Source 2026'!$A:$A,"Amount (NIS)")</f>
        <v>1077</v>
      </c>
      <c r="J259" s="8" t="n">
        <f aca="false">I259*$J$5</f>
        <v>1477.02857142857</v>
      </c>
      <c r="K259" s="8" t="n">
        <f aca="false">J259-H259</f>
        <v>1069.72857142857</v>
      </c>
      <c r="L259" s="9" t="n">
        <f aca="false">IF(AND(H259=0,J259=0),0,IF(H259=0,"New",(J259-H259)/H259))</f>
        <v>2.62638981445758</v>
      </c>
    </row>
    <row r="260" customFormat="false" ht="15" hidden="false" customHeight="false" outlineLevel="0" collapsed="false">
      <c r="A260" s="7" t="n">
        <v>4413046</v>
      </c>
      <c r="B260" s="7" t="str">
        <f aca="false">IFERROR(INDEX('Source 2026'!$C:$C,MATCH($A260,'Source 2026'!$B:$B,0)),IFERROR(INDEX('Source 2025'!$C:$C,MATCH($A260,'Source 2025'!$B:$B,0)),""))</f>
        <v>34 XXL מגן קרסול עקב סגור</v>
      </c>
      <c r="C260" s="8" t="n">
        <f aca="false">SUMIFS('Source 2025'!$H:$H,'Source 2025'!$B:$B,$A260,'Source 2025'!$A:$A,"Quantity (units)")</f>
        <v>54</v>
      </c>
      <c r="D260" s="8" t="n">
        <f aca="false">SUMIFS('Source 2026'!$H:$H,'Source 2026'!$B:$B,$A260,'Source 2026'!$A:$A,"Quantity (units)")</f>
        <v>36</v>
      </c>
      <c r="E260" s="8" t="n">
        <f aca="false">D260*$J$5</f>
        <v>49.3714285714286</v>
      </c>
      <c r="F260" s="8" t="n">
        <f aca="false">E260-C260</f>
        <v>-4.62857142857143</v>
      </c>
      <c r="G260" s="9" t="n">
        <f aca="false">IF(AND(C260=0,E260=0),0,IF(C260=0,"New",(E260-C260)/C260))</f>
        <v>-0.0857142857142857</v>
      </c>
      <c r="H260" s="8" t="n">
        <f aca="false">SUMIFS('Source 2025'!$H:$H,'Source 2025'!$B:$B,$A260,'Source 2025'!$A:$A,"Amount (NIS)")</f>
        <v>2028.5</v>
      </c>
      <c r="I260" s="8" t="n">
        <f aca="false">SUMIFS('Source 2026'!$H:$H,'Source 2026'!$B:$B,$A260,'Source 2026'!$A:$A,"Amount (NIS)")</f>
        <v>1372.6</v>
      </c>
      <c r="J260" s="8" t="n">
        <f aca="false">I260*$J$5</f>
        <v>1882.42285714286</v>
      </c>
      <c r="K260" s="8" t="n">
        <f aca="false">J260-H260</f>
        <v>-146.077142857143</v>
      </c>
      <c r="L260" s="9" t="n">
        <f aca="false">IF(AND(H260=0,J260=0),0,IF(H260=0,"New",(J260-H260)/H260))</f>
        <v>-0.0720123948026339</v>
      </c>
    </row>
    <row r="261" customFormat="false" ht="15" hidden="false" customHeight="false" outlineLevel="0" collapsed="false">
      <c r="A261" s="7" t="n">
        <v>4413195</v>
      </c>
      <c r="B261" s="7" t="str">
        <f aca="false">IFERROR(INDEX('Source 2026'!$C:$C,MATCH($A261,'Source 2026'!$B:$B,0)),IFERROR(INDEX('Source 2025'!$C:$C,MATCH($A261,'Source 2025'!$B:$B,0)),""))</f>
        <v>87 S מקבע כתף ויד</v>
      </c>
      <c r="C261" s="8" t="n">
        <f aca="false">SUMIFS('Source 2025'!$H:$H,'Source 2025'!$B:$B,$A261,'Source 2025'!$A:$A,"Quantity (units)")</f>
        <v>21</v>
      </c>
      <c r="D261" s="8" t="n">
        <f aca="false">SUMIFS('Source 2026'!$H:$H,'Source 2026'!$B:$B,$A261,'Source 2026'!$A:$A,"Quantity (units)")</f>
        <v>17</v>
      </c>
      <c r="E261" s="8" t="n">
        <f aca="false">D261*$J$5</f>
        <v>23.3142857142857</v>
      </c>
      <c r="F261" s="8" t="n">
        <f aca="false">E261-C261</f>
        <v>2.31428571428571</v>
      </c>
      <c r="G261" s="9" t="n">
        <f aca="false">IF(AND(C261=0,E261=0),0,IF(C261=0,"New",(E261-C261)/C261))</f>
        <v>0.110204081632653</v>
      </c>
      <c r="H261" s="8" t="n">
        <f aca="false">SUMIFS('Source 2025'!$H:$H,'Source 2025'!$B:$B,$A261,'Source 2025'!$A:$A,"Amount (NIS)")</f>
        <v>3416.1</v>
      </c>
      <c r="I261" s="8" t="n">
        <f aca="false">SUMIFS('Source 2026'!$H:$H,'Source 2026'!$B:$B,$A261,'Source 2026'!$A:$A,"Amount (NIS)")</f>
        <v>2774.1</v>
      </c>
      <c r="J261" s="8" t="n">
        <f aca="false">I261*$J$5</f>
        <v>3804.48</v>
      </c>
      <c r="K261" s="8" t="n">
        <f aca="false">J261-H261</f>
        <v>388.38</v>
      </c>
      <c r="L261" s="9" t="n">
        <f aca="false">IF(AND(H261=0,J261=0),0,IF(H261=0,"New",(J261-H261)/H261))</f>
        <v>0.113691051198735</v>
      </c>
    </row>
    <row r="262" customFormat="false" ht="15" hidden="false" customHeight="false" outlineLevel="0" collapsed="false">
      <c r="A262" s="7" t="n">
        <v>4413056</v>
      </c>
      <c r="B262" s="7" t="str">
        <f aca="false">IFERROR(INDEX('Source 2026'!$C:$C,MATCH($A262,'Source 2026'!$B:$B,0)),IFERROR(INDEX('Source 2025'!$C:$C,MATCH($A262,'Source 2025'!$B:$B,0)),""))</f>
        <v>LF360 מדרס מטטרזלי לנעלי עקב</v>
      </c>
      <c r="C262" s="8" t="n">
        <f aca="false">SUMIFS('Source 2025'!$H:$H,'Source 2025'!$B:$B,$A262,'Source 2025'!$A:$A,"Quantity (units)")</f>
        <v>44</v>
      </c>
      <c r="D262" s="8" t="n">
        <f aca="false">SUMIFS('Source 2026'!$H:$H,'Source 2026'!$B:$B,$A262,'Source 2026'!$A:$A,"Quantity (units)")</f>
        <v>13</v>
      </c>
      <c r="E262" s="8" t="n">
        <f aca="false">D262*$J$5</f>
        <v>17.8285714285714</v>
      </c>
      <c r="F262" s="8" t="n">
        <f aca="false">E262-C262</f>
        <v>-26.1714285714286</v>
      </c>
      <c r="G262" s="9" t="n">
        <f aca="false">IF(AND(C262=0,E262=0),0,IF(C262=0,"New",(E262-C262)/C262))</f>
        <v>-0.594805194805195</v>
      </c>
      <c r="H262" s="8" t="n">
        <f aca="false">SUMIFS('Source 2025'!$H:$H,'Source 2025'!$B:$B,$A262,'Source 2025'!$A:$A,"Amount (NIS)")</f>
        <v>891.9</v>
      </c>
      <c r="I262" s="8" t="n">
        <f aca="false">SUMIFS('Source 2026'!$H:$H,'Source 2026'!$B:$B,$A262,'Source 2026'!$A:$A,"Amount (NIS)")</f>
        <v>266.4</v>
      </c>
      <c r="J262" s="8" t="n">
        <f aca="false">I262*$J$5</f>
        <v>365.348571428571</v>
      </c>
      <c r="K262" s="8" t="n">
        <f aca="false">J262-H262</f>
        <v>-526.551428571429</v>
      </c>
      <c r="L262" s="9" t="n">
        <f aca="false">IF(AND(H262=0,J262=0),0,IF(H262=0,"New",(J262-H262)/H262))</f>
        <v>-0.590370477151507</v>
      </c>
    </row>
    <row r="263" customFormat="false" ht="15" hidden="false" customHeight="false" outlineLevel="0" collapsed="false">
      <c r="A263" s="7" t="n">
        <v>4408229</v>
      </c>
      <c r="B263" s="7" t="str">
        <f aca="false">IFERROR(INDEX('Source 2026'!$C:$C,MATCH($A263,'Source 2026'!$B:$B,0)),IFERROR(INDEX('Source 2025'!$C:$C,MATCH($A263,'Source 2025'!$B:$B,0)),""))</f>
        <v>XXL 11אפורUGחגורת בטן</v>
      </c>
      <c r="C263" s="8" t="n">
        <f aca="false">SUMIFS('Source 2025'!$H:$H,'Source 2025'!$B:$B,$A263,'Source 2025'!$A:$A,"Quantity (units)")</f>
        <v>8</v>
      </c>
      <c r="D263" s="8" t="n">
        <f aca="false">SUMIFS('Source 2026'!$H:$H,'Source 2026'!$B:$B,$A263,'Source 2026'!$A:$A,"Quantity (units)")</f>
        <v>0</v>
      </c>
      <c r="E263" s="8" t="n">
        <f aca="false">D263*$J$5</f>
        <v>0</v>
      </c>
      <c r="F263" s="8" t="n">
        <f aca="false">E263-C263</f>
        <v>-8</v>
      </c>
      <c r="G263" s="9" t="n">
        <f aca="false">IF(AND(C263=0,E263=0),0,IF(C263=0,"New",(E263-C263)/C263))</f>
        <v>-1</v>
      </c>
      <c r="H263" s="8" t="n">
        <f aca="false">SUMIFS('Source 2025'!$H:$H,'Source 2025'!$B:$B,$A263,'Source 2025'!$A:$A,"Amount (NIS)")</f>
        <v>635.4</v>
      </c>
      <c r="I263" s="8" t="n">
        <f aca="false">SUMIFS('Source 2026'!$H:$H,'Source 2026'!$B:$B,$A263,'Source 2026'!$A:$A,"Amount (NIS)")</f>
        <v>17</v>
      </c>
      <c r="J263" s="8" t="n">
        <f aca="false">I263*$J$5</f>
        <v>23.3142857142857</v>
      </c>
      <c r="K263" s="8" t="n">
        <f aca="false">J263-H263</f>
        <v>-612.085714285714</v>
      </c>
      <c r="L263" s="9" t="n">
        <f aca="false">IF(AND(H263=0,J263=0),0,IF(H263=0,"New",(J263-H263)/H263))</f>
        <v>-0.963307702684473</v>
      </c>
    </row>
    <row r="264" customFormat="false" ht="15" hidden="false" customHeight="false" outlineLevel="0" collapsed="false">
      <c r="A264" s="7" t="n">
        <v>4403005</v>
      </c>
      <c r="B264" s="7" t="str">
        <f aca="false">IFERROR(INDEX('Source 2026'!$C:$C,MATCH($A264,'Source 2026'!$B:$B,0)),IFERROR(INDEX('Source 2025'!$C:$C,MATCH($A264,'Source 2025'!$B:$B,0)),""))</f>
        <v>G390.43-46 גרבי כסף לסכרת מידה</v>
      </c>
      <c r="C264" s="8" t="n">
        <f aca="false">SUMIFS('Source 2025'!$H:$H,'Source 2025'!$B:$B,$A264,'Source 2025'!$A:$A,"Quantity (units)")</f>
        <v>39</v>
      </c>
      <c r="D264" s="8" t="n">
        <f aca="false">SUMIFS('Source 2026'!$H:$H,'Source 2026'!$B:$B,$A264,'Source 2026'!$A:$A,"Quantity (units)")</f>
        <v>18</v>
      </c>
      <c r="E264" s="8" t="n">
        <f aca="false">D264*$J$5</f>
        <v>24.6857142857143</v>
      </c>
      <c r="F264" s="8" t="n">
        <f aca="false">E264-C264</f>
        <v>-14.3142857142857</v>
      </c>
      <c r="G264" s="9" t="n">
        <f aca="false">IF(AND(C264=0,E264=0),0,IF(C264=0,"New",(E264-C264)/C264))</f>
        <v>-0.367032967032967</v>
      </c>
      <c r="H264" s="8" t="n">
        <f aca="false">SUMIFS('Source 2025'!$H:$H,'Source 2025'!$B:$B,$A264,'Source 2025'!$A:$A,"Amount (NIS)")</f>
        <v>1147.9</v>
      </c>
      <c r="I264" s="8" t="n">
        <f aca="false">SUMIFS('Source 2026'!$H:$H,'Source 2026'!$B:$B,$A264,'Source 2026'!$A:$A,"Amount (NIS)")</f>
        <v>530.1</v>
      </c>
      <c r="J264" s="8" t="n">
        <f aca="false">I264*$J$5</f>
        <v>726.994285714286</v>
      </c>
      <c r="K264" s="8" t="n">
        <f aca="false">J264-H264</f>
        <v>-420.905714285714</v>
      </c>
      <c r="L264" s="9" t="n">
        <f aca="false">IF(AND(H264=0,J264=0),0,IF(H264=0,"New",(J264-H264)/H264))</f>
        <v>-0.366674548554503</v>
      </c>
    </row>
    <row r="265" customFormat="false" ht="15" hidden="false" customHeight="false" outlineLevel="0" collapsed="false">
      <c r="A265" s="7" t="n">
        <v>4415162</v>
      </c>
      <c r="B265" s="7" t="str">
        <f aca="false">IFERROR(INDEX('Source 2026'!$C:$C,MATCH($A265,'Source 2026'!$B:$B,0)),IFERROR(INDEX('Source 2025'!$C:$C,MATCH($A265,'Source 2025'!$B:$B,0)),""))</f>
        <v>238L סד ליישור אצבע</v>
      </c>
      <c r="C265" s="8" t="n">
        <f aca="false">SUMIFS('Source 2025'!$H:$H,'Source 2025'!$B:$B,$A265,'Source 2025'!$A:$A,"Quantity (units)")</f>
        <v>1840</v>
      </c>
      <c r="D265" s="8" t="n">
        <f aca="false">SUMIFS('Source 2026'!$H:$H,'Source 2026'!$B:$B,$A265,'Source 2026'!$A:$A,"Quantity (units)")</f>
        <v>1715</v>
      </c>
      <c r="E265" s="8" t="n">
        <f aca="false">D265*$J$5</f>
        <v>2352</v>
      </c>
      <c r="F265" s="8" t="n">
        <f aca="false">E265-C265</f>
        <v>512</v>
      </c>
      <c r="G265" s="9" t="n">
        <f aca="false">IF(AND(C265=0,E265=0),0,IF(C265=0,"New",(E265-C265)/C265))</f>
        <v>0.278260869565217</v>
      </c>
      <c r="H265" s="8" t="n">
        <f aca="false">SUMIFS('Source 2025'!$H:$H,'Source 2025'!$B:$B,$A265,'Source 2025'!$A:$A,"Amount (NIS)")</f>
        <v>26241.7</v>
      </c>
      <c r="I265" s="8" t="n">
        <f aca="false">SUMIFS('Source 2026'!$H:$H,'Source 2026'!$B:$B,$A265,'Source 2026'!$A:$A,"Amount (NIS)")</f>
        <v>25642.7</v>
      </c>
      <c r="J265" s="8" t="n">
        <f aca="false">I265*$J$5</f>
        <v>35167.1314285714</v>
      </c>
      <c r="K265" s="8" t="n">
        <f aca="false">J265-H265</f>
        <v>8925.43142857143</v>
      </c>
      <c r="L265" s="9" t="n">
        <f aca="false">IF(AND(H265=0,J265=0),0,IF(H265=0,"New",(J265-H265)/H265))</f>
        <v>0.34012397933714</v>
      </c>
    </row>
    <row r="266" customFormat="false" ht="15" hidden="false" customHeight="false" outlineLevel="0" collapsed="false">
      <c r="A266" s="7" t="n">
        <v>4408250</v>
      </c>
      <c r="B266" s="7" t="str">
        <f aca="false">IFERROR(INDEX('Source 2026'!$C:$C,MATCH($A266,'Source 2026'!$B:$B,0)),IFERROR(INDEX('Source 2025'!$C:$C,MATCH($A266,'Source 2025'!$B:$B,0)),""))</f>
        <v>SC25 XL חבק יד</v>
      </c>
      <c r="C266" s="8" t="n">
        <f aca="false">SUMIFS('Source 2025'!$H:$H,'Source 2025'!$B:$B,$A266,'Source 2025'!$A:$A,"Quantity (units)")</f>
        <v>15</v>
      </c>
      <c r="D266" s="8" t="n">
        <f aca="false">SUMIFS('Source 2026'!$H:$H,'Source 2026'!$B:$B,$A266,'Source 2026'!$A:$A,"Quantity (units)")</f>
        <v>7</v>
      </c>
      <c r="E266" s="8" t="n">
        <f aca="false">D266*$J$5</f>
        <v>9.6</v>
      </c>
      <c r="F266" s="8" t="n">
        <f aca="false">E266-C266</f>
        <v>-5.4</v>
      </c>
      <c r="G266" s="9" t="n">
        <f aca="false">IF(AND(C266=0,E266=0),0,IF(C266=0,"New",(E266-C266)/C266))</f>
        <v>-0.36</v>
      </c>
      <c r="H266" s="8" t="n">
        <f aca="false">SUMIFS('Source 2025'!$H:$H,'Source 2025'!$B:$B,$A266,'Source 2025'!$A:$A,"Amount (NIS)")</f>
        <v>1117.4</v>
      </c>
      <c r="I266" s="8" t="n">
        <f aca="false">SUMIFS('Source 2026'!$H:$H,'Source 2026'!$B:$B,$A266,'Source 2026'!$A:$A,"Amount (NIS)")</f>
        <v>524.4</v>
      </c>
      <c r="J266" s="8" t="n">
        <f aca="false">I266*$J$5</f>
        <v>719.177142857143</v>
      </c>
      <c r="K266" s="8" t="n">
        <f aca="false">J266-H266</f>
        <v>-398.222857142857</v>
      </c>
      <c r="L266" s="9" t="n">
        <f aca="false">IF(AND(H266=0,J266=0),0,IF(H266=0,"New",(J266-H266)/H266))</f>
        <v>-0.356383441151653</v>
      </c>
    </row>
    <row r="267" customFormat="false" ht="15" hidden="false" customHeight="false" outlineLevel="0" collapsed="false">
      <c r="A267" s="7" t="n">
        <v>4415163</v>
      </c>
      <c r="B267" s="7" t="str">
        <f aca="false">IFERROR(INDEX('Source 2026'!$C:$C,MATCH($A267,'Source 2026'!$B:$B,0)),IFERROR(INDEX('Source 2025'!$C:$C,MATCH($A267,'Source 2025'!$B:$B,0)),""))</f>
        <v>238XL סד ליישור אצבע</v>
      </c>
      <c r="C267" s="8" t="n">
        <f aca="false">SUMIFS('Source 2025'!$H:$H,'Source 2025'!$B:$B,$A267,'Source 2025'!$A:$A,"Quantity (units)")</f>
        <v>1128</v>
      </c>
      <c r="D267" s="8" t="n">
        <f aca="false">SUMIFS('Source 2026'!$H:$H,'Source 2026'!$B:$B,$A267,'Source 2026'!$A:$A,"Quantity (units)")</f>
        <v>1034</v>
      </c>
      <c r="E267" s="8" t="n">
        <f aca="false">D267*$J$5</f>
        <v>1418.05714285714</v>
      </c>
      <c r="F267" s="8" t="n">
        <f aca="false">E267-C267</f>
        <v>290.057142857143</v>
      </c>
      <c r="G267" s="9" t="n">
        <f aca="false">IF(AND(C267=0,E267=0),0,IF(C267=0,"New",(E267-C267)/C267))</f>
        <v>0.257142857142857</v>
      </c>
      <c r="H267" s="8" t="n">
        <f aca="false">SUMIFS('Source 2025'!$H:$H,'Source 2025'!$B:$B,$A267,'Source 2025'!$A:$A,"Amount (NIS)")</f>
        <v>16083.8</v>
      </c>
      <c r="I267" s="8" t="n">
        <f aca="false">SUMIFS('Source 2026'!$H:$H,'Source 2026'!$B:$B,$A267,'Source 2026'!$A:$A,"Amount (NIS)")</f>
        <v>15493.9</v>
      </c>
      <c r="J267" s="8" t="n">
        <f aca="false">I267*$J$5</f>
        <v>21248.7771428571</v>
      </c>
      <c r="K267" s="8" t="n">
        <f aca="false">J267-H267</f>
        <v>5164.97714285714</v>
      </c>
      <c r="L267" s="9" t="n">
        <f aca="false">IF(AND(H267=0,J267=0),0,IF(H267=0,"New",(J267-H267)/H267))</f>
        <v>0.321129157466342</v>
      </c>
    </row>
    <row r="268" customFormat="false" ht="15" hidden="false" customHeight="false" outlineLevel="0" collapsed="false">
      <c r="A268" s="7" t="n">
        <v>4413443</v>
      </c>
      <c r="B268" s="7" t="str">
        <f aca="false">IFERROR(INDEX('Source 2026'!$C:$C,MATCH($A268,'Source 2026'!$B:$B,0)),IFERROR(INDEX('Source 2025'!$C:$C,MATCH($A268,'Source 2025'!$B:$B,0)),""))</f>
        <v>78A XXL מגן למפרק כתף</v>
      </c>
      <c r="C268" s="8" t="n">
        <f aca="false">SUMIFS('Source 2025'!$H:$H,'Source 2025'!$B:$B,$A268,'Source 2025'!$A:$A,"Quantity (units)")</f>
        <v>-2</v>
      </c>
      <c r="D268" s="8" t="n">
        <f aca="false">SUMIFS('Source 2026'!$H:$H,'Source 2026'!$B:$B,$A268,'Source 2026'!$A:$A,"Quantity (units)")</f>
        <v>0</v>
      </c>
      <c r="E268" s="8" t="n">
        <f aca="false">D268*$J$5</f>
        <v>0</v>
      </c>
      <c r="F268" s="8" t="n">
        <f aca="false">E268-C268</f>
        <v>2</v>
      </c>
      <c r="G268" s="9" t="n">
        <f aca="false">IF(AND(C268=0,E268=0),0,IF(C268=0,"New",(E268-C268)/C268))</f>
        <v>-1</v>
      </c>
      <c r="H268" s="8" t="n">
        <f aca="false">SUMIFS('Source 2025'!$H:$H,'Source 2025'!$B:$B,$A268,'Source 2025'!$A:$A,"Amount (NIS)")</f>
        <v>-570.3</v>
      </c>
      <c r="I268" s="8" t="n">
        <f aca="false">SUMIFS('Source 2026'!$H:$H,'Source 2026'!$B:$B,$A268,'Source 2026'!$A:$A,"Amount (NIS)")</f>
        <v>0</v>
      </c>
      <c r="J268" s="8" t="n">
        <f aca="false">I268*$J$5</f>
        <v>0</v>
      </c>
      <c r="K268" s="8" t="n">
        <f aca="false">J268-H268</f>
        <v>570.3</v>
      </c>
      <c r="L268" s="9" t="n">
        <f aca="false">IF(AND(H268=0,J268=0),0,IF(H268=0,"New",(J268-H268)/H268))</f>
        <v>-1</v>
      </c>
    </row>
    <row r="269" customFormat="false" ht="15" hidden="false" customHeight="false" outlineLevel="0" collapsed="false">
      <c r="A269" s="7" t="n">
        <v>4408090</v>
      </c>
      <c r="B269" s="7" t="str">
        <f aca="false">IFERROR(INDEX('Source 2026'!$C:$C,MATCH($A269,'Source 2026'!$B:$B,0)),IFERROR(INDEX('Source 2025'!$C:$C,MATCH($A269,'Source 2025'!$B:$B,0)),""))</f>
        <v>T11C L  חגורת גב פוג'יאמה</v>
      </c>
      <c r="C269" s="8" t="n">
        <f aca="false">SUMIFS('Source 2025'!$H:$H,'Source 2025'!$B:$B,$A269,'Source 2025'!$A:$A,"Quantity (units)")</f>
        <v>9</v>
      </c>
      <c r="D269" s="8" t="n">
        <f aca="false">SUMIFS('Source 2026'!$H:$H,'Source 2026'!$B:$B,$A269,'Source 2026'!$A:$A,"Quantity (units)")</f>
        <v>2</v>
      </c>
      <c r="E269" s="8" t="n">
        <f aca="false">D269*$J$5</f>
        <v>2.74285714285714</v>
      </c>
      <c r="F269" s="8" t="n">
        <f aca="false">E269-C269</f>
        <v>-6.25714285714286</v>
      </c>
      <c r="G269" s="9" t="n">
        <f aca="false">IF(AND(C269=0,E269=0),0,IF(C269=0,"New",(E269-C269)/C269))</f>
        <v>-0.695238095238095</v>
      </c>
      <c r="H269" s="8" t="n">
        <f aca="false">SUMIFS('Source 2025'!$H:$H,'Source 2025'!$B:$B,$A269,'Source 2025'!$A:$A,"Amount (NIS)")</f>
        <v>728.9</v>
      </c>
      <c r="I269" s="8" t="n">
        <f aca="false">SUMIFS('Source 2026'!$H:$H,'Source 2026'!$B:$B,$A269,'Source 2026'!$A:$A,"Amount (NIS)")</f>
        <v>159.8</v>
      </c>
      <c r="J269" s="8" t="n">
        <f aca="false">I269*$J$5</f>
        <v>219.154285714286</v>
      </c>
      <c r="K269" s="8" t="n">
        <f aca="false">J269-H269</f>
        <v>-509.745714285714</v>
      </c>
      <c r="L269" s="9" t="n">
        <f aca="false">IF(AND(H269=0,J269=0),0,IF(H269=0,"New",(J269-H269)/H269))</f>
        <v>-0.699335593751837</v>
      </c>
    </row>
    <row r="270" customFormat="false" ht="15" hidden="false" customHeight="false" outlineLevel="0" collapsed="false">
      <c r="A270" s="7" t="n">
        <v>4421005</v>
      </c>
      <c r="B270" s="7" t="str">
        <f aca="false">IFERROR(INDEX('Source 2026'!$C:$C,MATCH($A270,'Source 2026'!$B:$B,0)),IFERROR(INDEX('Source 2025'!$C:$C,MATCH($A270,'Source 2025'!$B:$B,0)),""))</f>
        <v>שרוול לגבס קצר יד</v>
      </c>
      <c r="C270" s="8" t="n">
        <f aca="false">SUMIFS('Source 2025'!$H:$H,'Source 2025'!$B:$B,$A270,'Source 2025'!$A:$A,"Quantity (units)")</f>
        <v>382</v>
      </c>
      <c r="D270" s="8" t="n">
        <f aca="false">SUMIFS('Source 2026'!$H:$H,'Source 2026'!$B:$B,$A270,'Source 2026'!$A:$A,"Quantity (units)")</f>
        <v>404</v>
      </c>
      <c r="E270" s="8" t="n">
        <f aca="false">D270*$J$5</f>
        <v>554.057142857143</v>
      </c>
      <c r="F270" s="8" t="n">
        <f aca="false">E270-C270</f>
        <v>172.057142857143</v>
      </c>
      <c r="G270" s="9" t="n">
        <f aca="false">IF(AND(C270=0,E270=0),0,IF(C270=0,"New",(E270-C270)/C270))</f>
        <v>0.450411368735976</v>
      </c>
      <c r="H270" s="8" t="n">
        <f aca="false">SUMIFS('Source 2025'!$H:$H,'Source 2025'!$B:$B,$A270,'Source 2025'!$A:$A,"Amount (NIS)")</f>
        <v>10951.3</v>
      </c>
      <c r="I270" s="8" t="n">
        <f aca="false">SUMIFS('Source 2026'!$H:$H,'Source 2026'!$B:$B,$A270,'Source 2026'!$A:$A,"Amount (NIS)")</f>
        <v>11516.2</v>
      </c>
      <c r="J270" s="8" t="n">
        <f aca="false">I270*$J$5</f>
        <v>15793.6457142857</v>
      </c>
      <c r="K270" s="8" t="n">
        <f aca="false">J270-H270</f>
        <v>4842.34571428572</v>
      </c>
      <c r="L270" s="9" t="n">
        <f aca="false">IF(AND(H270=0,J270=0),0,IF(H270=0,"New",(J270-H270)/H270))</f>
        <v>0.442170857732481</v>
      </c>
    </row>
    <row r="271" customFormat="false" ht="15" hidden="false" customHeight="false" outlineLevel="0" collapsed="false">
      <c r="A271" s="7" t="n">
        <v>4413204</v>
      </c>
      <c r="B271" s="7" t="str">
        <f aca="false">IFERROR(INDEX('Source 2026'!$C:$C,MATCH($A271,'Source 2026'!$B:$B,0)),IFERROR(INDEX('Source 2025'!$C:$C,MATCH($A271,'Source 2025'!$B:$B,0)),""))</f>
        <v>87 XXL מקבע כתף ויד</v>
      </c>
      <c r="C271" s="8" t="n">
        <f aca="false">SUMIFS('Source 2025'!$H:$H,'Source 2025'!$B:$B,$A271,'Source 2025'!$A:$A,"Quantity (units)")</f>
        <v>49</v>
      </c>
      <c r="D271" s="8" t="n">
        <f aca="false">SUMIFS('Source 2026'!$H:$H,'Source 2026'!$B:$B,$A271,'Source 2026'!$A:$A,"Quantity (units)")</f>
        <v>52</v>
      </c>
      <c r="E271" s="8" t="n">
        <f aca="false">D271*$J$5</f>
        <v>71.3142857142857</v>
      </c>
      <c r="F271" s="8" t="n">
        <f aca="false">E271-C271</f>
        <v>22.3142857142857</v>
      </c>
      <c r="G271" s="9" t="n">
        <f aca="false">IF(AND(C271=0,E271=0),0,IF(C271=0,"New",(E271-C271)/C271))</f>
        <v>0.455393586005831</v>
      </c>
      <c r="H271" s="8" t="n">
        <f aca="false">SUMIFS('Source 2025'!$H:$H,'Source 2025'!$B:$B,$A271,'Source 2025'!$A:$A,"Amount (NIS)")</f>
        <v>7847</v>
      </c>
      <c r="I271" s="8" t="n">
        <f aca="false">SUMIFS('Source 2026'!$H:$H,'Source 2026'!$B:$B,$A271,'Source 2026'!$A:$A,"Amount (NIS)")</f>
        <v>8408.2</v>
      </c>
      <c r="J271" s="8" t="n">
        <f aca="false">I271*$J$5</f>
        <v>11531.2457142857</v>
      </c>
      <c r="K271" s="8" t="n">
        <f aca="false">J271-H271</f>
        <v>3684.24571428571</v>
      </c>
      <c r="L271" s="9" t="n">
        <f aca="false">IF(AND(H271=0,J271=0),0,IF(H271=0,"New",(J271-H271)/H271))</f>
        <v>0.469510094849715</v>
      </c>
    </row>
    <row r="272" customFormat="false" ht="15" hidden="false" customHeight="false" outlineLevel="0" collapsed="false">
      <c r="A272" s="7" t="n">
        <v>4408151</v>
      </c>
      <c r="B272" s="7" t="str">
        <f aca="false">IFERROR(INDEX('Source 2026'!$C:$C,MATCH($A272,'Source 2026'!$B:$B,0)),IFERROR(INDEX('Source 2025'!$C:$C,MATCH($A272,'Source 2025'!$B:$B,0)),""))</f>
        <v>11TO M חגורה למנותחי בית החזה</v>
      </c>
      <c r="C272" s="8" t="n">
        <f aca="false">SUMIFS('Source 2025'!$H:$H,'Source 2025'!$B:$B,$A272,'Source 2025'!$A:$A,"Quantity (units)")</f>
        <v>13</v>
      </c>
      <c r="D272" s="8" t="n">
        <f aca="false">SUMIFS('Source 2026'!$H:$H,'Source 2026'!$B:$B,$A272,'Source 2026'!$A:$A,"Quantity (units)")</f>
        <v>9</v>
      </c>
      <c r="E272" s="8" t="n">
        <f aca="false">D272*$J$5</f>
        <v>12.3428571428571</v>
      </c>
      <c r="F272" s="8" t="n">
        <f aca="false">E272-C272</f>
        <v>-0.657142857142857</v>
      </c>
      <c r="G272" s="9" t="n">
        <f aca="false">IF(AND(C272=0,E272=0),0,IF(C272=0,"New",(E272-C272)/C272))</f>
        <v>-0.0505494505494505</v>
      </c>
      <c r="H272" s="8" t="n">
        <f aca="false">SUMIFS('Source 2025'!$H:$H,'Source 2025'!$B:$B,$A272,'Source 2025'!$A:$A,"Amount (NIS)")</f>
        <v>1743.6</v>
      </c>
      <c r="I272" s="8" t="n">
        <f aca="false">SUMIFS('Source 2026'!$H:$H,'Source 2026'!$B:$B,$A272,'Source 2026'!$A:$A,"Amount (NIS)")</f>
        <v>1185.2</v>
      </c>
      <c r="J272" s="8" t="n">
        <f aca="false">I272*$J$5</f>
        <v>1625.41714285714</v>
      </c>
      <c r="K272" s="8" t="n">
        <f aca="false">J272-H272</f>
        <v>-118.182857142857</v>
      </c>
      <c r="L272" s="9" t="n">
        <f aca="false">IF(AND(H272=0,J272=0),0,IF(H272=0,"New",(J272-H272)/H272))</f>
        <v>-0.0677809458263691</v>
      </c>
    </row>
    <row r="273" customFormat="false" ht="15" hidden="false" customHeight="false" outlineLevel="0" collapsed="false">
      <c r="A273" s="7" t="n">
        <v>4408153</v>
      </c>
      <c r="B273" s="7" t="str">
        <f aca="false">IFERROR(INDEX('Source 2026'!$C:$C,MATCH($A273,'Source 2026'!$B:$B,0)),IFERROR(INDEX('Source 2025'!$C:$C,MATCH($A273,'Source 2025'!$B:$B,0)),""))</f>
        <v>11TO XLחגורה למנותחי בית החזה</v>
      </c>
      <c r="C273" s="8" t="n">
        <f aca="false">SUMIFS('Source 2025'!$H:$H,'Source 2025'!$B:$B,$A273,'Source 2025'!$A:$A,"Quantity (units)")</f>
        <v>19</v>
      </c>
      <c r="D273" s="8" t="n">
        <f aca="false">SUMIFS('Source 2026'!$H:$H,'Source 2026'!$B:$B,$A273,'Source 2026'!$A:$A,"Quantity (units)")</f>
        <v>23</v>
      </c>
      <c r="E273" s="8" t="n">
        <f aca="false">D273*$J$5</f>
        <v>31.5428571428571</v>
      </c>
      <c r="F273" s="8" t="n">
        <f aca="false">E273-C273</f>
        <v>12.5428571428571</v>
      </c>
      <c r="G273" s="9" t="n">
        <f aca="false">IF(AND(C273=0,E273=0),0,IF(C273=0,"New",(E273-C273)/C273))</f>
        <v>0.66015037593985</v>
      </c>
      <c r="H273" s="8" t="n">
        <f aca="false">SUMIFS('Source 2025'!$H:$H,'Source 2025'!$B:$B,$A273,'Source 2025'!$A:$A,"Amount (NIS)")</f>
        <v>2500.4</v>
      </c>
      <c r="I273" s="8" t="n">
        <f aca="false">SUMIFS('Source 2026'!$H:$H,'Source 2026'!$B:$B,$A273,'Source 2026'!$A:$A,"Amount (NIS)")</f>
        <v>3051.3</v>
      </c>
      <c r="J273" s="8" t="n">
        <f aca="false">I273*$J$5</f>
        <v>4184.64</v>
      </c>
      <c r="K273" s="8" t="n">
        <f aca="false">J273-H273</f>
        <v>1684.24</v>
      </c>
      <c r="L273" s="9" t="n">
        <f aca="false">IF(AND(H273=0,J273=0),0,IF(H273=0,"New",(J273-H273)/H273))</f>
        <v>0.673588225883859</v>
      </c>
    </row>
    <row r="274" customFormat="false" ht="15" hidden="false" customHeight="false" outlineLevel="0" collapsed="false">
      <c r="A274" s="7" t="n">
        <v>4413418</v>
      </c>
      <c r="B274" s="7" t="str">
        <f aca="false">IFERROR(INDEX('Source 2026'!$C:$C,MATCH($A274,'Source 2026'!$B:$B,0)),IFERROR(INDEX('Source 2025'!$C:$C,MATCH($A274,'Source 2025'!$B:$B,0)),""))</f>
        <v>SC39 XL מגן שוק</v>
      </c>
      <c r="C274" s="8" t="n">
        <f aca="false">SUMIFS('Source 2025'!$H:$H,'Source 2025'!$B:$B,$A274,'Source 2025'!$A:$A,"Quantity (units)")</f>
        <v>2</v>
      </c>
      <c r="D274" s="8" t="n">
        <f aca="false">SUMIFS('Source 2026'!$H:$H,'Source 2026'!$B:$B,$A274,'Source 2026'!$A:$A,"Quantity (units)")</f>
        <v>6</v>
      </c>
      <c r="E274" s="8" t="n">
        <f aca="false">D274*$J$5</f>
        <v>8.22857142857143</v>
      </c>
      <c r="F274" s="8" t="n">
        <f aca="false">E274-C274</f>
        <v>6.22857142857143</v>
      </c>
      <c r="G274" s="9" t="n">
        <f aca="false">IF(AND(C274=0,E274=0),0,IF(C274=0,"New",(E274-C274)/C274))</f>
        <v>3.11428571428571</v>
      </c>
      <c r="H274" s="8" t="n">
        <f aca="false">SUMIFS('Source 2025'!$H:$H,'Source 2025'!$B:$B,$A274,'Source 2025'!$A:$A,"Amount (NIS)")</f>
        <v>285.1</v>
      </c>
      <c r="I274" s="8" t="n">
        <f aca="false">SUMIFS('Source 2026'!$H:$H,'Source 2026'!$B:$B,$A274,'Source 2026'!$A:$A,"Amount (NIS)")</f>
        <v>819.1</v>
      </c>
      <c r="J274" s="8" t="n">
        <f aca="false">I274*$J$5</f>
        <v>1123.33714285714</v>
      </c>
      <c r="K274" s="8" t="n">
        <f aca="false">J274-H274</f>
        <v>838.237142857143</v>
      </c>
      <c r="L274" s="9" t="n">
        <f aca="false">IF(AND(H274=0,J274=0),0,IF(H274=0,"New",(J274-H274)/H274))</f>
        <v>2.9401513253495</v>
      </c>
    </row>
    <row r="275" customFormat="false" ht="15" hidden="false" customHeight="false" outlineLevel="0" collapsed="false">
      <c r="A275" s="7" t="n">
        <v>4408231</v>
      </c>
      <c r="B275" s="7" t="str">
        <f aca="false">IFERROR(INDEX('Source 2026'!$C:$C,MATCH($A275,'Source 2026'!$B:$B,0)),IFERROR(INDEX('Source 2025'!$C:$C,MATCH($A275,'Source 2025'!$B:$B,0)),""))</f>
        <v>16 S-M חגורת הריון</v>
      </c>
      <c r="C275" s="8" t="n">
        <f aca="false">SUMIFS('Source 2025'!$H:$H,'Source 2025'!$B:$B,$A275,'Source 2025'!$A:$A,"Quantity (units)")</f>
        <v>19</v>
      </c>
      <c r="D275" s="8" t="n">
        <f aca="false">SUMIFS('Source 2026'!$H:$H,'Source 2026'!$B:$B,$A275,'Source 2026'!$A:$A,"Quantity (units)")</f>
        <v>14</v>
      </c>
      <c r="E275" s="8" t="n">
        <f aca="false">D275*$J$5</f>
        <v>19.2</v>
      </c>
      <c r="F275" s="8" t="n">
        <f aca="false">E275-C275</f>
        <v>0.199999999999999</v>
      </c>
      <c r="G275" s="9" t="n">
        <f aca="false">IF(AND(C275=0,E275=0),0,IF(C275=0,"New",(E275-C275)/C275))</f>
        <v>0.0105263157894736</v>
      </c>
      <c r="H275" s="8" t="n">
        <f aca="false">SUMIFS('Source 2025'!$H:$H,'Source 2025'!$B:$B,$A275,'Source 2025'!$A:$A,"Amount (NIS)")</f>
        <v>1926.9</v>
      </c>
      <c r="I275" s="8" t="n">
        <f aca="false">SUMIFS('Source 2026'!$H:$H,'Source 2026'!$B:$B,$A275,'Source 2026'!$A:$A,"Amount (NIS)")</f>
        <v>1394.5</v>
      </c>
      <c r="J275" s="8" t="n">
        <f aca="false">I275*$J$5</f>
        <v>1912.45714285714</v>
      </c>
      <c r="K275" s="8" t="n">
        <f aca="false">J275-H275</f>
        <v>-14.4428571428573</v>
      </c>
      <c r="L275" s="9" t="n">
        <f aca="false">IF(AND(H275=0,J275=0),0,IF(H275=0,"New",(J275-H275)/H275))</f>
        <v>-0.00749538488912621</v>
      </c>
    </row>
    <row r="276" customFormat="false" ht="15" hidden="false" customHeight="false" outlineLevel="0" collapsed="false">
      <c r="A276" s="7" t="n">
        <v>4408030</v>
      </c>
      <c r="B276" s="7" t="str">
        <f aca="false">IFERROR(INDEX('Source 2026'!$C:$C,MATCH($A276,'Source 2026'!$B:$B,0)),IFERROR(INDEX('Source 2025'!$C:$C,MATCH($A276,'Source 2025'!$B:$B,0)),""))</f>
        <v>10 XXL""חגורת גב ""לומבו</v>
      </c>
      <c r="C276" s="8" t="n">
        <f aca="false">SUMIFS('Source 2025'!$H:$H,'Source 2025'!$B:$B,$A276,'Source 2025'!$A:$A,"Quantity (units)")</f>
        <v>4</v>
      </c>
      <c r="D276" s="8" t="n">
        <f aca="false">SUMIFS('Source 2026'!$H:$H,'Source 2026'!$B:$B,$A276,'Source 2026'!$A:$A,"Quantity (units)")</f>
        <v>0</v>
      </c>
      <c r="E276" s="8" t="n">
        <f aca="false">D276*$J$5</f>
        <v>0</v>
      </c>
      <c r="F276" s="8" t="n">
        <f aca="false">E276-C276</f>
        <v>-4</v>
      </c>
      <c r="G276" s="9" t="n">
        <f aca="false">IF(AND(C276=0,E276=0),0,IF(C276=0,"New",(E276-C276)/C276))</f>
        <v>-1</v>
      </c>
      <c r="H276" s="8" t="n">
        <f aca="false">SUMIFS('Source 2025'!$H:$H,'Source 2025'!$B:$B,$A276,'Source 2025'!$A:$A,"Amount (NIS)")</f>
        <v>524.2</v>
      </c>
      <c r="I276" s="8" t="n">
        <f aca="false">SUMIFS('Source 2026'!$H:$H,'Source 2026'!$B:$B,$A276,'Source 2026'!$A:$A,"Amount (NIS)")</f>
        <v>0</v>
      </c>
      <c r="J276" s="8" t="n">
        <f aca="false">I276*$J$5</f>
        <v>0</v>
      </c>
      <c r="K276" s="8" t="n">
        <f aca="false">J276-H276</f>
        <v>-524.2</v>
      </c>
      <c r="L276" s="9" t="n">
        <f aca="false">IF(AND(H276=0,J276=0),0,IF(H276=0,"New",(J276-H276)/H276))</f>
        <v>-1</v>
      </c>
    </row>
    <row r="277" customFormat="false" ht="15" hidden="false" customHeight="false" outlineLevel="0" collapsed="false">
      <c r="A277" s="7" t="n">
        <v>4403007</v>
      </c>
      <c r="B277" s="7" t="str">
        <f aca="false">IFERROR(INDEX('Source 2026'!$C:$C,MATCH($A277,'Source 2026'!$B:$B,0)),IFERROR(INDEX('Source 2025'!$C:$C,MATCH($A277,'Source 2025'!$B:$B,0)),""))</f>
        <v>390W גרב.כסף לסכרתיים לבן39-42</v>
      </c>
      <c r="C277" s="8" t="n">
        <f aca="false">SUMIFS('Source 2025'!$H:$H,'Source 2025'!$B:$B,$A277,'Source 2025'!$A:$A,"Quantity (units)")</f>
        <v>35</v>
      </c>
      <c r="D277" s="8" t="n">
        <f aca="false">SUMIFS('Source 2026'!$H:$H,'Source 2026'!$B:$B,$A277,'Source 2026'!$A:$A,"Quantity (units)")</f>
        <v>17</v>
      </c>
      <c r="E277" s="8" t="n">
        <f aca="false">D277*$J$5</f>
        <v>23.3142857142857</v>
      </c>
      <c r="F277" s="8" t="n">
        <f aca="false">E277-C277</f>
        <v>-11.6857142857143</v>
      </c>
      <c r="G277" s="9" t="n">
        <f aca="false">IF(AND(C277=0,E277=0),0,IF(C277=0,"New",(E277-C277)/C277))</f>
        <v>-0.333877551020408</v>
      </c>
      <c r="H277" s="8" t="n">
        <f aca="false">SUMIFS('Source 2025'!$H:$H,'Source 2025'!$B:$B,$A277,'Source 2025'!$A:$A,"Amount (NIS)")</f>
        <v>1022.4</v>
      </c>
      <c r="I277" s="8" t="n">
        <f aca="false">SUMIFS('Source 2026'!$H:$H,'Source 2026'!$B:$B,$A277,'Source 2026'!$A:$A,"Amount (NIS)")</f>
        <v>498.4</v>
      </c>
      <c r="J277" s="8" t="n">
        <f aca="false">I277*$J$5</f>
        <v>683.52</v>
      </c>
      <c r="K277" s="8" t="n">
        <f aca="false">J277-H277</f>
        <v>-338.88</v>
      </c>
      <c r="L277" s="9" t="n">
        <f aca="false">IF(AND(H277=0,J277=0),0,IF(H277=0,"New",(J277-H277)/H277))</f>
        <v>-0.331455399061033</v>
      </c>
    </row>
    <row r="278" customFormat="false" ht="15" hidden="false" customHeight="false" outlineLevel="0" collapsed="false">
      <c r="A278" s="7" t="n">
        <v>4413070</v>
      </c>
      <c r="B278" s="7" t="str">
        <f aca="false">IFERROR(INDEX('Source 2026'!$C:$C,MATCH($A278,'Source 2026'!$B:$B,0)),IFERROR(INDEX('Source 2025'!$C:$C,MATCH($A278,'Source 2025'!$B:$B,0)),""))</f>
        <v>388R סד לילה לבוהן</v>
      </c>
      <c r="C278" s="8" t="n">
        <f aca="false">SUMIFS('Source 2025'!$H:$H,'Source 2025'!$B:$B,$A278,'Source 2025'!$A:$A,"Quantity (units)")</f>
        <v>-12</v>
      </c>
      <c r="D278" s="8" t="n">
        <f aca="false">SUMIFS('Source 2026'!$H:$H,'Source 2026'!$B:$B,$A278,'Source 2026'!$A:$A,"Quantity (units)")</f>
        <v>-4</v>
      </c>
      <c r="E278" s="8" t="n">
        <f aca="false">D278*$J$5</f>
        <v>-5.48571428571429</v>
      </c>
      <c r="F278" s="8" t="n">
        <f aca="false">E278-C278</f>
        <v>6.51428571428571</v>
      </c>
      <c r="G278" s="9" t="n">
        <f aca="false">IF(AND(C278=0,E278=0),0,IF(C278=0,"New",(E278-C278)/C278))</f>
        <v>-0.542857142857143</v>
      </c>
      <c r="H278" s="8" t="n">
        <f aca="false">SUMIFS('Source 2025'!$H:$H,'Source 2025'!$B:$B,$A278,'Source 2025'!$A:$A,"Amount (NIS)")</f>
        <v>-769.9</v>
      </c>
      <c r="I278" s="8" t="n">
        <f aca="false">SUMIFS('Source 2026'!$H:$H,'Source 2026'!$B:$B,$A278,'Source 2026'!$A:$A,"Amount (NIS)")</f>
        <v>-256.6</v>
      </c>
      <c r="J278" s="8" t="n">
        <f aca="false">I278*$J$5</f>
        <v>-351.908571428571</v>
      </c>
      <c r="K278" s="8" t="n">
        <f aca="false">J278-H278</f>
        <v>417.991428571429</v>
      </c>
      <c r="L278" s="9" t="n">
        <f aca="false">IF(AND(H278=0,J278=0),0,IF(H278=0,"New",(J278-H278)/H278))</f>
        <v>-0.542916519770657</v>
      </c>
    </row>
    <row r="279" customFormat="false" ht="15" hidden="false" customHeight="false" outlineLevel="0" collapsed="false">
      <c r="A279" s="7" t="n">
        <v>4413022</v>
      </c>
      <c r="B279" s="7" t="str">
        <f aca="false">IFERROR(INDEX('Source 2026'!$C:$C,MATCH($A279,'Source 2026'!$B:$B,0)),IFERROR(INDEX('Source 2025'!$C:$C,MATCH($A279,'Source 2025'!$B:$B,0)),""))</f>
        <v>303 45-46 מדרסי סיליק.לח.סכרת</v>
      </c>
      <c r="C279" s="8" t="n">
        <f aca="false">SUMIFS('Source 2025'!$H:$H,'Source 2025'!$B:$B,$A279,'Source 2025'!$A:$A,"Quantity (units)")</f>
        <v>-5</v>
      </c>
      <c r="D279" s="8" t="n">
        <f aca="false">SUMIFS('Source 2026'!$H:$H,'Source 2026'!$B:$B,$A279,'Source 2026'!$A:$A,"Quantity (units)")</f>
        <v>0</v>
      </c>
      <c r="E279" s="8" t="n">
        <f aca="false">D279*$J$5</f>
        <v>0</v>
      </c>
      <c r="F279" s="8" t="n">
        <f aca="false">E279-C279</f>
        <v>5</v>
      </c>
      <c r="G279" s="9" t="n">
        <f aca="false">IF(AND(C279=0,E279=0),0,IF(C279=0,"New",(E279-C279)/C279))</f>
        <v>-1</v>
      </c>
      <c r="H279" s="8" t="n">
        <f aca="false">SUMIFS('Source 2025'!$H:$H,'Source 2025'!$B:$B,$A279,'Source 2025'!$A:$A,"Amount (NIS)")</f>
        <v>-513</v>
      </c>
      <c r="I279" s="8" t="n">
        <f aca="false">SUMIFS('Source 2026'!$H:$H,'Source 2026'!$B:$B,$A279,'Source 2026'!$A:$A,"Amount (NIS)")</f>
        <v>0</v>
      </c>
      <c r="J279" s="8" t="n">
        <f aca="false">I279*$J$5</f>
        <v>0</v>
      </c>
      <c r="K279" s="8" t="n">
        <f aca="false">J279-H279</f>
        <v>513</v>
      </c>
      <c r="L279" s="9" t="n">
        <f aca="false">IF(AND(H279=0,J279=0),0,IF(H279=0,"New",(J279-H279)/H279))</f>
        <v>-1</v>
      </c>
    </row>
    <row r="280" customFormat="false" ht="15" hidden="false" customHeight="false" outlineLevel="0" collapsed="false">
      <c r="A280" s="7" t="n">
        <v>4413131</v>
      </c>
      <c r="B280" s="7" t="str">
        <f aca="false">IFERROR(INDEX('Source 2026'!$C:$C,MATCH($A280,'Source 2026'!$B:$B,0)),IFERROR(INDEX('Source 2025'!$C:$C,MATCH($A280,'Source 2025'!$B:$B,0)),""))</f>
        <v>76 Sמיישר כתף יציב יישור ג.רחב</v>
      </c>
      <c r="C280" s="8" t="n">
        <f aca="false">SUMIFS('Source 2025'!$H:$H,'Source 2025'!$B:$B,$A280,'Source 2025'!$A:$A,"Quantity (units)")</f>
        <v>4</v>
      </c>
      <c r="D280" s="8" t="n">
        <f aca="false">SUMIFS('Source 2026'!$H:$H,'Source 2026'!$B:$B,$A280,'Source 2026'!$A:$A,"Quantity (units)")</f>
        <v>1</v>
      </c>
      <c r="E280" s="8" t="n">
        <f aca="false">D280*$J$5</f>
        <v>1.37142857142857</v>
      </c>
      <c r="F280" s="8" t="n">
        <f aca="false">E280-C280</f>
        <v>-2.62857142857143</v>
      </c>
      <c r="G280" s="9" t="n">
        <f aca="false">IF(AND(C280=0,E280=0),0,IF(C280=0,"New",(E280-C280)/C280))</f>
        <v>-0.657142857142857</v>
      </c>
      <c r="H280" s="8" t="n">
        <f aca="false">SUMIFS('Source 2025'!$H:$H,'Source 2025'!$B:$B,$A280,'Source 2025'!$A:$A,"Amount (NIS)")</f>
        <v>655.3</v>
      </c>
      <c r="I280" s="8" t="n">
        <f aca="false">SUMIFS('Source 2026'!$H:$H,'Source 2026'!$B:$B,$A280,'Source 2026'!$A:$A,"Amount (NIS)")</f>
        <v>163.8</v>
      </c>
      <c r="J280" s="8" t="n">
        <f aca="false">I280*$J$5</f>
        <v>224.64</v>
      </c>
      <c r="K280" s="8" t="n">
        <f aca="false">J280-H280</f>
        <v>-430.66</v>
      </c>
      <c r="L280" s="9" t="n">
        <f aca="false">IF(AND(H280=0,J280=0),0,IF(H280=0,"New",(J280-H280)/H280))</f>
        <v>-0.657195177781169</v>
      </c>
    </row>
    <row r="281" customFormat="false" ht="15" hidden="false" customHeight="false" outlineLevel="0" collapsed="false">
      <c r="A281" s="7" t="n">
        <v>4413088</v>
      </c>
      <c r="B281" s="7" t="str">
        <f aca="false">IFERROR(INDEX('Source 2026'!$C:$C,MATCH($A281,'Source 2026'!$B:$B,0)),IFERROR(INDEX('Source 2025'!$C:$C,MATCH($A281,'Source 2025'!$B:$B,0)),""))</f>
        <v>422 Mמ.ברך+כרית סיל.סביב לפיקה</v>
      </c>
      <c r="C281" s="8" t="n">
        <f aca="false">SUMIFS('Source 2025'!$H:$H,'Source 2025'!$B:$B,$A281,'Source 2025'!$A:$A,"Quantity (units)")</f>
        <v>0</v>
      </c>
      <c r="D281" s="8" t="n">
        <f aca="false">SUMIFS('Source 2026'!$H:$H,'Source 2026'!$B:$B,$A281,'Source 2026'!$A:$A,"Quantity (units)")</f>
        <v>-3</v>
      </c>
      <c r="E281" s="8" t="n">
        <f aca="false">D281*$J$5</f>
        <v>-4.11428571428571</v>
      </c>
      <c r="F281" s="8" t="n">
        <f aca="false">E281-C281</f>
        <v>-4.11428571428571</v>
      </c>
      <c r="G281" s="9" t="str">
        <f aca="false">IF(AND(C281=0,E281=0),0,IF(C281=0,"New",(E281-C281)/C281))</f>
        <v>New</v>
      </c>
      <c r="H281" s="8" t="n">
        <f aca="false">SUMIFS('Source 2025'!$H:$H,'Source 2025'!$B:$B,$A281,'Source 2025'!$A:$A,"Amount (NIS)")</f>
        <v>30.3</v>
      </c>
      <c r="I281" s="8" t="n">
        <f aca="false">SUMIFS('Source 2026'!$H:$H,'Source 2026'!$B:$B,$A281,'Source 2026'!$A:$A,"Amount (NIS)")</f>
        <v>-439.5</v>
      </c>
      <c r="J281" s="8" t="n">
        <f aca="false">I281*$J$5</f>
        <v>-602.742857142857</v>
      </c>
      <c r="K281" s="8" t="n">
        <f aca="false">J281-H281</f>
        <v>-633.042857142857</v>
      </c>
      <c r="L281" s="9" t="n">
        <f aca="false">IF(AND(H281=0,J281=0),0,IF(H281=0,"New",(J281-H281)/H281))</f>
        <v>-20.8925035360679</v>
      </c>
    </row>
    <row r="282" customFormat="false" ht="15" hidden="false" customHeight="false" outlineLevel="0" collapsed="false">
      <c r="A282" s="7" t="n">
        <v>4413091</v>
      </c>
      <c r="B282" s="7" t="str">
        <f aca="false">IFERROR(INDEX('Source 2026'!$C:$C,MATCH($A282,'Source 2026'!$B:$B,0)),IFERROR(INDEX('Source 2025'!$C:$C,MATCH($A282,'Source 2025'!$B:$B,0)),""))</f>
        <v>422 XXLמ.ברך+כרית סיל.סב. פיקה</v>
      </c>
      <c r="C282" s="8" t="n">
        <f aca="false">SUMIFS('Source 2025'!$H:$H,'Source 2025'!$B:$B,$A282,'Source 2025'!$A:$A,"Quantity (units)")</f>
        <v>2</v>
      </c>
      <c r="D282" s="8" t="n">
        <f aca="false">SUMIFS('Source 2026'!$H:$H,'Source 2026'!$B:$B,$A282,'Source 2026'!$A:$A,"Quantity (units)")</f>
        <v>-1</v>
      </c>
      <c r="E282" s="8" t="n">
        <f aca="false">D282*$J$5</f>
        <v>-1.37142857142857</v>
      </c>
      <c r="F282" s="8" t="n">
        <f aca="false">E282-C282</f>
        <v>-3.37142857142857</v>
      </c>
      <c r="G282" s="9" t="n">
        <f aca="false">IF(AND(C282=0,E282=0),0,IF(C282=0,"New",(E282-C282)/C282))</f>
        <v>-1.68571428571429</v>
      </c>
      <c r="H282" s="8" t="n">
        <f aca="false">SUMIFS('Source 2025'!$H:$H,'Source 2025'!$B:$B,$A282,'Source 2025'!$A:$A,"Amount (NIS)")</f>
        <v>303.1</v>
      </c>
      <c r="I282" s="8" t="n">
        <f aca="false">SUMIFS('Source 2026'!$H:$H,'Source 2026'!$B:$B,$A282,'Source 2026'!$A:$A,"Amount (NIS)")</f>
        <v>-144</v>
      </c>
      <c r="J282" s="8" t="n">
        <f aca="false">I282*$J$5</f>
        <v>-197.485714285714</v>
      </c>
      <c r="K282" s="8" t="n">
        <f aca="false">J282-H282</f>
        <v>-500.585714285714</v>
      </c>
      <c r="L282" s="9" t="n">
        <f aca="false">IF(AND(H282=0,J282=0),0,IF(H282=0,"New",(J282-H282)/H282))</f>
        <v>-1.65155299995287</v>
      </c>
    </row>
    <row r="283" customFormat="false" ht="15" hidden="false" customHeight="false" outlineLevel="0" collapsed="false">
      <c r="A283" s="7" t="n">
        <v>4413111</v>
      </c>
      <c r="B283" s="7" t="str">
        <f aca="false">IFERROR(INDEX('Source 2026'!$C:$C,MATCH($A283,'Source 2026'!$B:$B,0)),IFERROR(INDEX('Source 2025'!$C:$C,MATCH($A283,'Source 2025'!$B:$B,0)),""))</f>
        <v>49  S מגן ירך</v>
      </c>
      <c r="C283" s="8" t="n">
        <f aca="false">SUMIFS('Source 2025'!$H:$H,'Source 2025'!$B:$B,$A283,'Source 2025'!$A:$A,"Quantity (units)")</f>
        <v>28</v>
      </c>
      <c r="D283" s="8" t="n">
        <f aca="false">SUMIFS('Source 2026'!$H:$H,'Source 2026'!$B:$B,$A283,'Source 2026'!$A:$A,"Quantity (units)")</f>
        <v>12</v>
      </c>
      <c r="E283" s="8" t="n">
        <f aca="false">D283*$J$5</f>
        <v>16.4571428571429</v>
      </c>
      <c r="F283" s="8" t="n">
        <f aca="false">E283-C283</f>
        <v>-11.5428571428571</v>
      </c>
      <c r="G283" s="9" t="n">
        <f aca="false">IF(AND(C283=0,E283=0),0,IF(C283=0,"New",(E283-C283)/C283))</f>
        <v>-0.412244897959184</v>
      </c>
      <c r="H283" s="8" t="n">
        <f aca="false">SUMIFS('Source 2025'!$H:$H,'Source 2025'!$B:$B,$A283,'Source 2025'!$A:$A,"Amount (NIS)")</f>
        <v>799.1</v>
      </c>
      <c r="I283" s="8" t="n">
        <f aca="false">SUMIFS('Source 2026'!$H:$H,'Source 2026'!$B:$B,$A283,'Source 2026'!$A:$A,"Amount (NIS)")</f>
        <v>354</v>
      </c>
      <c r="J283" s="8" t="n">
        <f aca="false">I283*$J$5</f>
        <v>485.485714285714</v>
      </c>
      <c r="K283" s="8" t="n">
        <f aca="false">J283-H283</f>
        <v>-313.614285714286</v>
      </c>
      <c r="L283" s="9" t="n">
        <f aca="false">IF(AND(H283=0,J283=0),0,IF(H283=0,"New",(J283-H283)/H283))</f>
        <v>-0.392459373938538</v>
      </c>
    </row>
    <row r="284" customFormat="false" ht="15" hidden="false" customHeight="false" outlineLevel="0" collapsed="false">
      <c r="A284" s="7" t="n">
        <v>4413074</v>
      </c>
      <c r="B284" s="7" t="str">
        <f aca="false">IFERROR(INDEX('Source 2026'!$C:$C,MATCH($A284,'Source 2026'!$B:$B,0)),IFERROR(INDEX('Source 2025'!$C:$C,MATCH($A284,'Source 2025'!$B:$B,0)),""))</f>
        <v>41  XL.מ.ברך מוצלב+ספירלות בצד</v>
      </c>
      <c r="C284" s="8" t="n">
        <f aca="false">SUMIFS('Source 2025'!$H:$H,'Source 2025'!$B:$B,$A284,'Source 2025'!$A:$A,"Quantity (units)")</f>
        <v>3</v>
      </c>
      <c r="D284" s="8" t="n">
        <f aca="false">SUMIFS('Source 2026'!$H:$H,'Source 2026'!$B:$B,$A284,'Source 2026'!$A:$A,"Quantity (units)")</f>
        <v>-1</v>
      </c>
      <c r="E284" s="8" t="n">
        <f aca="false">D284*$J$5</f>
        <v>-1.37142857142857</v>
      </c>
      <c r="F284" s="8" t="n">
        <f aca="false">E284-C284</f>
        <v>-4.37142857142857</v>
      </c>
      <c r="G284" s="9" t="n">
        <f aca="false">IF(AND(C284=0,E284=0),0,IF(C284=0,"New",(E284-C284)/C284))</f>
        <v>-1.45714285714286</v>
      </c>
      <c r="H284" s="8" t="n">
        <f aca="false">SUMIFS('Source 2025'!$H:$H,'Source 2025'!$B:$B,$A284,'Source 2025'!$A:$A,"Amount (NIS)")</f>
        <v>319.4</v>
      </c>
      <c r="I284" s="8" t="n">
        <f aca="false">SUMIFS('Source 2026'!$H:$H,'Source 2026'!$B:$B,$A284,'Source 2026'!$A:$A,"Amount (NIS)")</f>
        <v>-106.5</v>
      </c>
      <c r="J284" s="8" t="n">
        <f aca="false">I284*$J$5</f>
        <v>-146.057142857143</v>
      </c>
      <c r="K284" s="8" t="n">
        <f aca="false">J284-H284</f>
        <v>-465.457142857143</v>
      </c>
      <c r="L284" s="9" t="n">
        <f aca="false">IF(AND(H284=0,J284=0),0,IF(H284=0,"New",(J284-H284)/H284))</f>
        <v>-1.45728598264603</v>
      </c>
    </row>
    <row r="285" customFormat="false" ht="15" hidden="false" customHeight="false" outlineLevel="0" collapsed="false">
      <c r="A285" s="7" t="n">
        <v>4413150</v>
      </c>
      <c r="B285" s="7" t="str">
        <f aca="false">IFERROR(INDEX('Source 2026'!$C:$C,MATCH($A285,'Source 2026'!$B:$B,0)),IFERROR(INDEX('Source 2025'!$C:$C,MATCH($A285,'Source 2025'!$B:$B,0)),""))</f>
        <v>PD341-מקצוע להסרת עור קשה</v>
      </c>
      <c r="C285" s="8" t="n">
        <f aca="false">SUMIFS('Source 2025'!$H:$H,'Source 2025'!$B:$B,$A285,'Source 2025'!$A:$A,"Quantity (units)")</f>
        <v>68</v>
      </c>
      <c r="D285" s="8" t="n">
        <f aca="false">SUMIFS('Source 2026'!$H:$H,'Source 2026'!$B:$B,$A285,'Source 2026'!$A:$A,"Quantity (units)")</f>
        <v>51</v>
      </c>
      <c r="E285" s="8" t="n">
        <f aca="false">D285*$J$5</f>
        <v>69.9428571428572</v>
      </c>
      <c r="F285" s="8" t="n">
        <f aca="false">E285-C285</f>
        <v>1.94285714285715</v>
      </c>
      <c r="G285" s="9" t="n">
        <f aca="false">IF(AND(C285=0,E285=0),0,IF(C285=0,"New",(E285-C285)/C285))</f>
        <v>0.0285714285714287</v>
      </c>
      <c r="H285" s="8" t="n">
        <f aca="false">SUMIFS('Source 2025'!$H:$H,'Source 2025'!$B:$B,$A285,'Source 2025'!$A:$A,"Amount (NIS)")</f>
        <v>1686.8</v>
      </c>
      <c r="I285" s="8" t="n">
        <f aca="false">SUMIFS('Source 2026'!$H:$H,'Source 2026'!$B:$B,$A285,'Source 2026'!$A:$A,"Amount (NIS)")</f>
        <v>1263.2</v>
      </c>
      <c r="J285" s="8" t="n">
        <f aca="false">I285*$J$5</f>
        <v>1732.38857142857</v>
      </c>
      <c r="K285" s="8" t="n">
        <f aca="false">J285-H285</f>
        <v>45.5885714285716</v>
      </c>
      <c r="L285" s="9" t="n">
        <f aca="false">IF(AND(H285=0,J285=0),0,IF(H285=0,"New",(J285-H285)/H285))</f>
        <v>0.0270266607947425</v>
      </c>
    </row>
    <row r="286" customFormat="false" ht="15" hidden="false" customHeight="false" outlineLevel="0" collapsed="false">
      <c r="A286" s="7" t="n">
        <v>4413133</v>
      </c>
      <c r="B286" s="7" t="str">
        <f aca="false">IFERROR(INDEX('Source 2026'!$C:$C,MATCH($A286,'Source 2026'!$B:$B,0)),IFERROR(INDEX('Source 2025'!$C:$C,MATCH($A286,'Source 2025'!$B:$B,0)),""))</f>
        <v>76 Mמיישר כתף יציב,יישור רחב</v>
      </c>
      <c r="C286" s="8" t="n">
        <f aca="false">SUMIFS('Source 2025'!$H:$H,'Source 2025'!$B:$B,$A286,'Source 2025'!$A:$A,"Quantity (units)")</f>
        <v>10</v>
      </c>
      <c r="D286" s="8" t="n">
        <f aca="false">SUMIFS('Source 2026'!$H:$H,'Source 2026'!$B:$B,$A286,'Source 2026'!$A:$A,"Quantity (units)")</f>
        <v>12</v>
      </c>
      <c r="E286" s="8" t="n">
        <f aca="false">D286*$J$5</f>
        <v>16.4571428571429</v>
      </c>
      <c r="F286" s="8" t="n">
        <f aca="false">E286-C286</f>
        <v>6.45714285714286</v>
      </c>
      <c r="G286" s="9" t="n">
        <f aca="false">IF(AND(C286=0,E286=0),0,IF(C286=0,"New",(E286-C286)/C286))</f>
        <v>0.645714285714286</v>
      </c>
      <c r="H286" s="8" t="n">
        <f aca="false">SUMIFS('Source 2025'!$H:$H,'Source 2025'!$B:$B,$A286,'Source 2025'!$A:$A,"Amount (NIS)")</f>
        <v>1638.4</v>
      </c>
      <c r="I286" s="8" t="n">
        <f aca="false">SUMIFS('Source 2026'!$H:$H,'Source 2026'!$B:$B,$A286,'Source 2026'!$A:$A,"Amount (NIS)")</f>
        <v>2060.7</v>
      </c>
      <c r="J286" s="8" t="n">
        <f aca="false">I286*$J$5</f>
        <v>2826.10285714286</v>
      </c>
      <c r="K286" s="8" t="n">
        <f aca="false">J286-H286</f>
        <v>1187.70285714286</v>
      </c>
      <c r="L286" s="9" t="n">
        <f aca="false">IF(AND(H286=0,J286=0),0,IF(H286=0,"New",(J286-H286)/H286))</f>
        <v>0.724916294642857</v>
      </c>
    </row>
    <row r="287" customFormat="false" ht="15" hidden="false" customHeight="false" outlineLevel="0" collapsed="false">
      <c r="A287" s="7" t="n">
        <v>4403003</v>
      </c>
      <c r="B287" s="7" t="str">
        <f aca="false">IFERROR(INDEX('Source 2026'!$C:$C,MATCH($A287,'Source 2026'!$B:$B,0)),IFERROR(INDEX('Source 2025'!$C:$C,MATCH($A287,'Source 2025'!$B:$B,0)),""))</f>
        <v>390G ג.כסף לסכרתיים אפור35-38</v>
      </c>
      <c r="C287" s="8" t="n">
        <f aca="false">SUMIFS('Source 2025'!$H:$H,'Source 2025'!$B:$B,$A287,'Source 2025'!$A:$A,"Quantity (units)")</f>
        <v>22</v>
      </c>
      <c r="D287" s="8" t="n">
        <f aca="false">SUMIFS('Source 2026'!$H:$H,'Source 2026'!$B:$B,$A287,'Source 2026'!$A:$A,"Quantity (units)")</f>
        <v>8</v>
      </c>
      <c r="E287" s="8" t="n">
        <f aca="false">D287*$J$5</f>
        <v>10.9714285714286</v>
      </c>
      <c r="F287" s="8" t="n">
        <f aca="false">E287-C287</f>
        <v>-11.0285714285714</v>
      </c>
      <c r="G287" s="9" t="n">
        <f aca="false">IF(AND(C287=0,E287=0),0,IF(C287=0,"New",(E287-C287)/C287))</f>
        <v>-0.501298701298701</v>
      </c>
      <c r="H287" s="8" t="n">
        <f aca="false">SUMIFS('Source 2025'!$H:$H,'Source 2025'!$B:$B,$A287,'Source 2025'!$A:$A,"Amount (NIS)")</f>
        <v>644.1</v>
      </c>
      <c r="I287" s="8" t="n">
        <f aca="false">SUMIFS('Source 2026'!$H:$H,'Source 2026'!$B:$B,$A287,'Source 2026'!$A:$A,"Amount (NIS)")</f>
        <v>229.3</v>
      </c>
      <c r="J287" s="8" t="n">
        <f aca="false">I287*$J$5</f>
        <v>314.468571428571</v>
      </c>
      <c r="K287" s="8" t="n">
        <f aca="false">J287-H287</f>
        <v>-329.631428571429</v>
      </c>
      <c r="L287" s="9" t="n">
        <f aca="false">IF(AND(H287=0,J287=0),0,IF(H287=0,"New",(J287-H287)/H287))</f>
        <v>-0.51177057688469</v>
      </c>
    </row>
    <row r="288" customFormat="false" ht="15" hidden="false" customHeight="false" outlineLevel="0" collapsed="false">
      <c r="A288" s="7" t="n">
        <v>4413114</v>
      </c>
      <c r="B288" s="7" t="str">
        <f aca="false">IFERROR(INDEX('Source 2026'!$C:$C,MATCH($A288,'Source 2026'!$B:$B,0)),IFERROR(INDEX('Source 2025'!$C:$C,MATCH($A288,'Source 2025'!$B:$B,0)),""))</f>
        <v>49 XL מגן ירך</v>
      </c>
      <c r="C288" s="8" t="n">
        <f aca="false">SUMIFS('Source 2025'!$H:$H,'Source 2025'!$B:$B,$A288,'Source 2025'!$A:$A,"Quantity (units)")</f>
        <v>53</v>
      </c>
      <c r="D288" s="8" t="n">
        <f aca="false">SUMIFS('Source 2026'!$H:$H,'Source 2026'!$B:$B,$A288,'Source 2026'!$A:$A,"Quantity (units)")</f>
        <v>38</v>
      </c>
      <c r="E288" s="8" t="n">
        <f aca="false">D288*$J$5</f>
        <v>52.1142857142857</v>
      </c>
      <c r="F288" s="8" t="n">
        <f aca="false">E288-C288</f>
        <v>-0.885714285714286</v>
      </c>
      <c r="G288" s="9" t="n">
        <f aca="false">IF(AND(C288=0,E288=0),0,IF(C288=0,"New",(E288-C288)/C288))</f>
        <v>-0.016711590296496</v>
      </c>
      <c r="H288" s="8" t="n">
        <f aca="false">SUMIFS('Source 2025'!$H:$H,'Source 2025'!$B:$B,$A288,'Source 2025'!$A:$A,"Amount (NIS)")</f>
        <v>1513.6</v>
      </c>
      <c r="I288" s="8" t="n">
        <f aca="false">SUMIFS('Source 2026'!$H:$H,'Source 2026'!$B:$B,$A288,'Source 2026'!$A:$A,"Amount (NIS)")</f>
        <v>1103</v>
      </c>
      <c r="J288" s="8" t="n">
        <f aca="false">I288*$J$5</f>
        <v>1512.68571428571</v>
      </c>
      <c r="K288" s="8" t="n">
        <f aca="false">J288-H288</f>
        <v>-0.914285714285597</v>
      </c>
      <c r="L288" s="9" t="n">
        <f aca="false">IF(AND(H288=0,J288=0),0,IF(H288=0,"New",(J288-H288)/H288))</f>
        <v>-0.000604047115674946</v>
      </c>
    </row>
    <row r="289" customFormat="false" ht="15" hidden="false" customHeight="false" outlineLevel="0" collapsed="false">
      <c r="A289" s="7" t="n">
        <v>4413438</v>
      </c>
      <c r="B289" s="7" t="str">
        <f aca="false">IFERROR(INDEX('Source 2026'!$C:$C,MATCH($A289,'Source 2026'!$B:$B,0)),IFERROR(INDEX('Source 2025'!$C:$C,MATCH($A289,'Source 2025'!$B:$B,0)),""))</f>
        <v>SC422  S מגן ברך</v>
      </c>
      <c r="C289" s="8" t="n">
        <f aca="false">SUMIFS('Source 2025'!$H:$H,'Source 2025'!$B:$B,$A289,'Source 2025'!$A:$A,"Quantity (units)")</f>
        <v>14</v>
      </c>
      <c r="D289" s="8" t="n">
        <f aca="false">SUMIFS('Source 2026'!$H:$H,'Source 2026'!$B:$B,$A289,'Source 2026'!$A:$A,"Quantity (units)")</f>
        <v>11</v>
      </c>
      <c r="E289" s="8" t="n">
        <f aca="false">D289*$J$5</f>
        <v>15.0857142857143</v>
      </c>
      <c r="F289" s="8" t="n">
        <f aca="false">E289-C289</f>
        <v>1.08571428571429</v>
      </c>
      <c r="G289" s="9" t="n">
        <f aca="false">IF(AND(C289=0,E289=0),0,IF(C289=0,"New",(E289-C289)/C289))</f>
        <v>0.0775510204081632</v>
      </c>
      <c r="H289" s="8" t="n">
        <f aca="false">SUMIFS('Source 2025'!$H:$H,'Source 2025'!$B:$B,$A289,'Source 2025'!$A:$A,"Amount (NIS)")</f>
        <v>1880.3</v>
      </c>
      <c r="I289" s="8" t="n">
        <f aca="false">SUMIFS('Source 2026'!$H:$H,'Source 2026'!$B:$B,$A289,'Source 2026'!$A:$A,"Amount (NIS)")</f>
        <v>1473.5</v>
      </c>
      <c r="J289" s="8" t="n">
        <f aca="false">I289*$J$5</f>
        <v>2020.8</v>
      </c>
      <c r="K289" s="8" t="n">
        <f aca="false">J289-H289</f>
        <v>140.5</v>
      </c>
      <c r="L289" s="9" t="n">
        <f aca="false">IF(AND(H289=0,J289=0),0,IF(H289=0,"New",(J289-H289)/H289))</f>
        <v>0.0747221188108281</v>
      </c>
    </row>
    <row r="290" customFormat="false" ht="15" hidden="false" customHeight="false" outlineLevel="0" collapsed="false">
      <c r="A290" s="7" t="n">
        <v>4415080</v>
      </c>
      <c r="B290" s="7" t="str">
        <f aca="false">IFERROR(INDEX('Source 2026'!$C:$C,MATCH($A290,'Source 2026'!$B:$B,0)),IFERROR(INDEX('Source 2025'!$C:$C,MATCH($A290,'Source 2025'!$B:$B,0)),""))</f>
        <v>PD346-10 סכינים למקצוע</v>
      </c>
      <c r="C290" s="8" t="n">
        <f aca="false">SUMIFS('Source 2025'!$H:$H,'Source 2025'!$B:$B,$A290,'Source 2025'!$A:$A,"Quantity (units)")</f>
        <v>97</v>
      </c>
      <c r="D290" s="8" t="n">
        <f aca="false">SUMIFS('Source 2026'!$H:$H,'Source 2026'!$B:$B,$A290,'Source 2026'!$A:$A,"Quantity (units)")</f>
        <v>50</v>
      </c>
      <c r="E290" s="8" t="n">
        <f aca="false">D290*$J$5</f>
        <v>68.5714285714286</v>
      </c>
      <c r="F290" s="8" t="n">
        <f aca="false">E290-C290</f>
        <v>-28.4285714285714</v>
      </c>
      <c r="G290" s="9" t="n">
        <f aca="false">IF(AND(C290=0,E290=0),0,IF(C290=0,"New",(E290-C290)/C290))</f>
        <v>-0.293078055964654</v>
      </c>
      <c r="H290" s="8" t="n">
        <f aca="false">SUMIFS('Source 2025'!$H:$H,'Source 2025'!$B:$B,$A290,'Source 2025'!$A:$A,"Amount (NIS)")</f>
        <v>791.2</v>
      </c>
      <c r="I290" s="8" t="n">
        <f aca="false">SUMIFS('Source 2026'!$H:$H,'Source 2026'!$B:$B,$A290,'Source 2026'!$A:$A,"Amount (NIS)")</f>
        <v>387.7</v>
      </c>
      <c r="J290" s="8" t="n">
        <f aca="false">I290*$J$5</f>
        <v>531.702857142857</v>
      </c>
      <c r="K290" s="8" t="n">
        <f aca="false">J290-H290</f>
        <v>-259.497142857143</v>
      </c>
      <c r="L290" s="9" t="n">
        <f aca="false">IF(AND(H290=0,J290=0),0,IF(H290=0,"New",(J290-H290)/H290))</f>
        <v>-0.327979199768886</v>
      </c>
    </row>
    <row r="291" customFormat="false" ht="15" hidden="false" customHeight="false" outlineLevel="0" collapsed="false">
      <c r="A291" s="7" t="n">
        <v>4411002</v>
      </c>
      <c r="B291" s="7" t="str">
        <f aca="false">IFERROR(INDEX('Source 2026'!$C:$C,MATCH($A291,'Source 2026'!$B:$B,0)),IFERROR(INDEX('Source 2025'!$C:$C,MATCH($A291,'Source 2025'!$B:$B,0)),""))</f>
        <v>67 כרית שינה חלומי</v>
      </c>
      <c r="C291" s="8" t="n">
        <f aca="false">SUMIFS('Source 2025'!$H:$H,'Source 2025'!$B:$B,$A291,'Source 2025'!$A:$A,"Quantity (units)")</f>
        <v>-3</v>
      </c>
      <c r="D291" s="8" t="n">
        <f aca="false">SUMIFS('Source 2026'!$H:$H,'Source 2026'!$B:$B,$A291,'Source 2026'!$A:$A,"Quantity (units)")</f>
        <v>0</v>
      </c>
      <c r="E291" s="8" t="n">
        <f aca="false">D291*$J$5</f>
        <v>0</v>
      </c>
      <c r="F291" s="8" t="n">
        <f aca="false">E291-C291</f>
        <v>3</v>
      </c>
      <c r="G291" s="9" t="n">
        <f aca="false">IF(AND(C291=0,E291=0),0,IF(C291=0,"New",(E291-C291)/C291))</f>
        <v>-1</v>
      </c>
      <c r="H291" s="8" t="n">
        <f aca="false">SUMIFS('Source 2025'!$H:$H,'Source 2025'!$B:$B,$A291,'Source 2025'!$A:$A,"Amount (NIS)")</f>
        <v>-393.2</v>
      </c>
      <c r="I291" s="8" t="n">
        <f aca="false">SUMIFS('Source 2026'!$H:$H,'Source 2026'!$B:$B,$A291,'Source 2026'!$A:$A,"Amount (NIS)")</f>
        <v>0</v>
      </c>
      <c r="J291" s="8" t="n">
        <f aca="false">I291*$J$5</f>
        <v>0</v>
      </c>
      <c r="K291" s="8" t="n">
        <f aca="false">J291-H291</f>
        <v>393.2</v>
      </c>
      <c r="L291" s="9" t="n">
        <f aca="false">IF(AND(H291=0,J291=0),0,IF(H291=0,"New",(J291-H291)/H291))</f>
        <v>-1</v>
      </c>
    </row>
    <row r="292" customFormat="false" ht="15" hidden="false" customHeight="false" outlineLevel="0" collapsed="false">
      <c r="A292" s="7" t="n">
        <v>4413107</v>
      </c>
      <c r="B292" s="7" t="str">
        <f aca="false">IFERROR(INDEX('Source 2026'!$C:$C,MATCH($A292,'Source 2026'!$B:$B,0)),IFERROR(INDEX('Source 2025'!$C:$C,MATCH($A292,'Source 2025'!$B:$B,0)),""))</f>
        <v>48 L מגן ברך מחמם</v>
      </c>
      <c r="C292" s="8" t="n">
        <f aca="false">SUMIFS('Source 2025'!$H:$H,'Source 2025'!$B:$B,$A292,'Source 2025'!$A:$A,"Quantity (units)")</f>
        <v>13</v>
      </c>
      <c r="D292" s="8" t="n">
        <f aca="false">SUMIFS('Source 2026'!$H:$H,'Source 2026'!$B:$B,$A292,'Source 2026'!$A:$A,"Quantity (units)")</f>
        <v>5</v>
      </c>
      <c r="E292" s="8" t="n">
        <f aca="false">D292*$J$5</f>
        <v>6.85714285714286</v>
      </c>
      <c r="F292" s="8" t="n">
        <f aca="false">E292-C292</f>
        <v>-6.14285714285714</v>
      </c>
      <c r="G292" s="9" t="n">
        <f aca="false">IF(AND(C292=0,E292=0),0,IF(C292=0,"New",(E292-C292)/C292))</f>
        <v>-0.472527472527473</v>
      </c>
      <c r="H292" s="8" t="n">
        <f aca="false">SUMIFS('Source 2025'!$H:$H,'Source 2025'!$B:$B,$A292,'Source 2025'!$A:$A,"Amount (NIS)")</f>
        <v>632.1</v>
      </c>
      <c r="I292" s="8" t="n">
        <f aca="false">SUMIFS('Source 2026'!$H:$H,'Source 2026'!$B:$B,$A292,'Source 2026'!$A:$A,"Amount (NIS)")</f>
        <v>243.1</v>
      </c>
      <c r="J292" s="8" t="n">
        <f aca="false">I292*$J$5</f>
        <v>333.394285714286</v>
      </c>
      <c r="K292" s="8" t="n">
        <f aca="false">J292-H292</f>
        <v>-298.705714285714</v>
      </c>
      <c r="L292" s="9" t="n">
        <f aca="false">IF(AND(H292=0,J292=0),0,IF(H292=0,"New",(J292-H292)/H292))</f>
        <v>-0.472560851583158</v>
      </c>
    </row>
    <row r="293" customFormat="false" ht="15" hidden="false" customHeight="false" outlineLevel="0" collapsed="false">
      <c r="A293" s="7" t="n">
        <v>4413109</v>
      </c>
      <c r="B293" s="7" t="str">
        <f aca="false">IFERROR(INDEX('Source 2026'!$C:$C,MATCH($A293,'Source 2026'!$B:$B,0)),IFERROR(INDEX('Source 2025'!$C:$C,MATCH($A293,'Source 2025'!$B:$B,0)),""))</f>
        <v>48 XL מגן ברך מחמם</v>
      </c>
      <c r="C293" s="8" t="n">
        <f aca="false">SUMIFS('Source 2025'!$H:$H,'Source 2025'!$B:$B,$A293,'Source 2025'!$A:$A,"Quantity (units)")</f>
        <v>8</v>
      </c>
      <c r="D293" s="8" t="n">
        <f aca="false">SUMIFS('Source 2026'!$H:$H,'Source 2026'!$B:$B,$A293,'Source 2026'!$A:$A,"Quantity (units)")</f>
        <v>0</v>
      </c>
      <c r="E293" s="8" t="n">
        <f aca="false">D293*$J$5</f>
        <v>0</v>
      </c>
      <c r="F293" s="8" t="n">
        <f aca="false">E293-C293</f>
        <v>-8</v>
      </c>
      <c r="G293" s="9" t="n">
        <f aca="false">IF(AND(C293=0,E293=0),0,IF(C293=0,"New",(E293-C293)/C293))</f>
        <v>-1</v>
      </c>
      <c r="H293" s="8" t="n">
        <f aca="false">SUMIFS('Source 2025'!$H:$H,'Source 2025'!$B:$B,$A293,'Source 2025'!$A:$A,"Amount (NIS)")</f>
        <v>389</v>
      </c>
      <c r="I293" s="8" t="n">
        <f aca="false">SUMIFS('Source 2026'!$H:$H,'Source 2026'!$B:$B,$A293,'Source 2026'!$A:$A,"Amount (NIS)")</f>
        <v>0</v>
      </c>
      <c r="J293" s="8" t="n">
        <f aca="false">I293*$J$5</f>
        <v>0</v>
      </c>
      <c r="K293" s="8" t="n">
        <f aca="false">J293-H293</f>
        <v>-389</v>
      </c>
      <c r="L293" s="9" t="n">
        <f aca="false">IF(AND(H293=0,J293=0),0,IF(H293=0,"New",(J293-H293)/H293))</f>
        <v>-1</v>
      </c>
    </row>
    <row r="294" customFormat="false" ht="15" hidden="false" customHeight="false" outlineLevel="0" collapsed="false">
      <c r="A294" s="7" t="n">
        <v>4408249</v>
      </c>
      <c r="B294" s="7" t="str">
        <f aca="false">IFERROR(INDEX('Source 2026'!$C:$C,MATCH($A294,'Source 2026'!$B:$B,0)),IFERROR(INDEX('Source 2025'!$C:$C,MATCH($A294,'Source 2025'!$B:$B,0)),""))</f>
        <v>SC25  L חבק יד</v>
      </c>
      <c r="C294" s="8" t="n">
        <f aca="false">SUMIFS('Source 2025'!$H:$H,'Source 2025'!$B:$B,$A294,'Source 2025'!$A:$A,"Quantity (units)")</f>
        <v>6</v>
      </c>
      <c r="D294" s="8" t="n">
        <f aca="false">SUMIFS('Source 2026'!$H:$H,'Source 2026'!$B:$B,$A294,'Source 2026'!$A:$A,"Quantity (units)")</f>
        <v>11</v>
      </c>
      <c r="E294" s="8" t="n">
        <f aca="false">D294*$J$5</f>
        <v>15.0857142857143</v>
      </c>
      <c r="F294" s="8" t="n">
        <f aca="false">E294-C294</f>
        <v>9.08571428571429</v>
      </c>
      <c r="G294" s="9" t="n">
        <f aca="false">IF(AND(C294=0,E294=0),0,IF(C294=0,"New",(E294-C294)/C294))</f>
        <v>1.51428571428571</v>
      </c>
      <c r="H294" s="8" t="n">
        <f aca="false">SUMIFS('Source 2025'!$H:$H,'Source 2025'!$B:$B,$A294,'Source 2025'!$A:$A,"Amount (NIS)")</f>
        <v>452.2</v>
      </c>
      <c r="I294" s="8" t="n">
        <f aca="false">SUMIFS('Source 2026'!$H:$H,'Source 2026'!$B:$B,$A294,'Source 2026'!$A:$A,"Amount (NIS)")</f>
        <v>821.7</v>
      </c>
      <c r="J294" s="8" t="n">
        <f aca="false">I294*$J$5</f>
        <v>1126.90285714286</v>
      </c>
      <c r="K294" s="8" t="n">
        <f aca="false">J294-H294</f>
        <v>674.702857142857</v>
      </c>
      <c r="L294" s="9" t="n">
        <f aca="false">IF(AND(H294=0,J294=0),0,IF(H294=0,"New",(J294-H294)/H294))</f>
        <v>1.49204523914829</v>
      </c>
    </row>
    <row r="295" customFormat="false" ht="15" hidden="false" customHeight="false" outlineLevel="0" collapsed="false">
      <c r="A295" s="7" t="n">
        <v>4408235</v>
      </c>
      <c r="B295" s="7" t="str">
        <f aca="false">IFERROR(INDEX('Source 2026'!$C:$C,MATCH($A295,'Source 2026'!$B:$B,0)),IFERROR(INDEX('Source 2025'!$C:$C,MATCH($A295,'Source 2025'!$B:$B,0)),""))</f>
        <v>078C S'חגורת גב+סגירה כפו בז</v>
      </c>
      <c r="C295" s="8" t="n">
        <f aca="false">SUMIFS('Source 2025'!$H:$H,'Source 2025'!$B:$B,$A295,'Source 2025'!$A:$A,"Quantity (units)")</f>
        <v>-10</v>
      </c>
      <c r="D295" s="8" t="n">
        <f aca="false">SUMIFS('Source 2026'!$H:$H,'Source 2026'!$B:$B,$A295,'Source 2026'!$A:$A,"Quantity (units)")</f>
        <v>-14</v>
      </c>
      <c r="E295" s="8" t="n">
        <f aca="false">D295*$J$5</f>
        <v>-19.2</v>
      </c>
      <c r="F295" s="8" t="n">
        <f aca="false">E295-C295</f>
        <v>-9.2</v>
      </c>
      <c r="G295" s="9" t="n">
        <f aca="false">IF(AND(C295=0,E295=0),0,IF(C295=0,"New",(E295-C295)/C295))</f>
        <v>0.92</v>
      </c>
      <c r="H295" s="8" t="n">
        <f aca="false">SUMIFS('Source 2025'!$H:$H,'Source 2025'!$B:$B,$A295,'Source 2025'!$A:$A,"Amount (NIS)")</f>
        <v>-921.4</v>
      </c>
      <c r="I295" s="8" t="n">
        <f aca="false">SUMIFS('Source 2026'!$H:$H,'Source 2026'!$B:$B,$A295,'Source 2026'!$A:$A,"Amount (NIS)")</f>
        <v>-1290</v>
      </c>
      <c r="J295" s="8" t="n">
        <f aca="false">I295*$J$5</f>
        <v>-1769.14285714286</v>
      </c>
      <c r="K295" s="8" t="n">
        <f aca="false">J295-H295</f>
        <v>-847.742857142857</v>
      </c>
      <c r="L295" s="9" t="n">
        <f aca="false">IF(AND(H295=0,J295=0),0,IF(H295=0,"New",(J295-H295)/H295))</f>
        <v>0.920059536729821</v>
      </c>
    </row>
    <row r="296" customFormat="false" ht="15" hidden="false" customHeight="false" outlineLevel="0" collapsed="false">
      <c r="A296" s="7" t="n">
        <v>4408114</v>
      </c>
      <c r="B296" s="7" t="str">
        <f aca="false">IFERROR(INDEX('Source 2026'!$C:$C,MATCH($A296,'Source 2026'!$B:$B,0)),IFERROR(INDEX('Source 2025'!$C:$C,MATCH($A296,'Source 2025'!$B:$B,0)),""))</f>
        <v>11EU M ח.בטן לאחר ניתוח</v>
      </c>
      <c r="C296" s="8" t="n">
        <f aca="false">SUMIFS('Source 2025'!$H:$H,'Source 2025'!$B:$B,$A296,'Source 2025'!$A:$A,"Quantity (units)")</f>
        <v>10</v>
      </c>
      <c r="D296" s="8" t="n">
        <f aca="false">SUMIFS('Source 2026'!$H:$H,'Source 2026'!$B:$B,$A296,'Source 2026'!$A:$A,"Quantity (units)")</f>
        <v>14</v>
      </c>
      <c r="E296" s="8" t="n">
        <f aca="false">D296*$J$5</f>
        <v>19.2</v>
      </c>
      <c r="F296" s="8" t="n">
        <f aca="false">E296-C296</f>
        <v>9.2</v>
      </c>
      <c r="G296" s="9" t="n">
        <f aca="false">IF(AND(C296=0,E296=0),0,IF(C296=0,"New",(E296-C296)/C296))</f>
        <v>0.92</v>
      </c>
      <c r="H296" s="8" t="n">
        <f aca="false">SUMIFS('Source 2025'!$H:$H,'Source 2025'!$B:$B,$A296,'Source 2025'!$A:$A,"Amount (NIS)")</f>
        <v>882.9</v>
      </c>
      <c r="I296" s="8" t="n">
        <f aca="false">SUMIFS('Source 2026'!$H:$H,'Source 2026'!$B:$B,$A296,'Source 2026'!$A:$A,"Amount (NIS)")</f>
        <v>1249.8</v>
      </c>
      <c r="J296" s="8" t="n">
        <f aca="false">I296*$J$5</f>
        <v>1714.01142857143</v>
      </c>
      <c r="K296" s="8" t="n">
        <f aca="false">J296-H296</f>
        <v>831.111428571429</v>
      </c>
      <c r="L296" s="9" t="n">
        <f aca="false">IF(AND(H296=0,J296=0),0,IF(H296=0,"New",(J296-H296)/H296))</f>
        <v>0.941342653269259</v>
      </c>
    </row>
    <row r="297" customFormat="false" ht="15" hidden="false" customHeight="false" outlineLevel="0" collapsed="false">
      <c r="A297" s="7" t="n">
        <v>4408248</v>
      </c>
      <c r="B297" s="7" t="str">
        <f aca="false">IFERROR(INDEX('Source 2026'!$C:$C,MATCH($A297,'Source 2026'!$B:$B,0)),IFERROR(INDEX('Source 2025'!$C:$C,MATCH($A297,'Source 2025'!$B:$B,0)),""))</f>
        <v>SC25  M חבק יד</v>
      </c>
      <c r="C297" s="8" t="n">
        <f aca="false">SUMIFS('Source 2025'!$H:$H,'Source 2025'!$B:$B,$A297,'Source 2025'!$A:$A,"Quantity (units)")</f>
        <v>13</v>
      </c>
      <c r="D297" s="8" t="n">
        <f aca="false">SUMIFS('Source 2026'!$H:$H,'Source 2026'!$B:$B,$A297,'Source 2026'!$A:$A,"Quantity (units)")</f>
        <v>8</v>
      </c>
      <c r="E297" s="8" t="n">
        <f aca="false">D297*$J$5</f>
        <v>10.9714285714286</v>
      </c>
      <c r="F297" s="8" t="n">
        <f aca="false">E297-C297</f>
        <v>-2.02857142857143</v>
      </c>
      <c r="G297" s="9" t="n">
        <f aca="false">IF(AND(C297=0,E297=0),0,IF(C297=0,"New",(E297-C297)/C297))</f>
        <v>-0.156043956043956</v>
      </c>
      <c r="H297" s="8" t="n">
        <f aca="false">SUMIFS('Source 2025'!$H:$H,'Source 2025'!$B:$B,$A297,'Source 2025'!$A:$A,"Amount (NIS)")</f>
        <v>964.7</v>
      </c>
      <c r="I297" s="8" t="n">
        <f aca="false">SUMIFS('Source 2026'!$H:$H,'Source 2026'!$B:$B,$A297,'Source 2026'!$A:$A,"Amount (NIS)")</f>
        <v>598.2</v>
      </c>
      <c r="J297" s="8" t="n">
        <f aca="false">I297*$J$5</f>
        <v>820.388571428572</v>
      </c>
      <c r="K297" s="8" t="n">
        <f aca="false">J297-H297</f>
        <v>-144.311428571429</v>
      </c>
      <c r="L297" s="9" t="n">
        <f aca="false">IF(AND(H297=0,J297=0),0,IF(H297=0,"New",(J297-H297)/H297))</f>
        <v>-0.149592027129085</v>
      </c>
    </row>
    <row r="298" customFormat="false" ht="15" hidden="false" customHeight="false" outlineLevel="0" collapsed="false">
      <c r="A298" s="7" t="n">
        <v>4413281</v>
      </c>
      <c r="B298" s="7" t="str">
        <f aca="false">IFERROR(INDEX('Source 2026'!$C:$C,MATCH($A298,'Source 2026'!$B:$B,0)),IFERROR(INDEX('Source 2025'!$C:$C,MATCH($A298,'Source 2025'!$B:$B,0)),""))</f>
        <v>422E S מגן ברך ארוך עם כרית</v>
      </c>
      <c r="C298" s="8" t="n">
        <f aca="false">SUMIFS('Source 2025'!$H:$H,'Source 2025'!$B:$B,$A298,'Source 2025'!$A:$A,"Quantity (units)")</f>
        <v>-2</v>
      </c>
      <c r="D298" s="8" t="n">
        <f aca="false">SUMIFS('Source 2026'!$H:$H,'Source 2026'!$B:$B,$A298,'Source 2026'!$A:$A,"Quantity (units)")</f>
        <v>0</v>
      </c>
      <c r="E298" s="8" t="n">
        <f aca="false">D298*$J$5</f>
        <v>0</v>
      </c>
      <c r="F298" s="8" t="n">
        <f aca="false">E298-C298</f>
        <v>2</v>
      </c>
      <c r="G298" s="9" t="n">
        <f aca="false">IF(AND(C298=0,E298=0),0,IF(C298=0,"New",(E298-C298)/C298))</f>
        <v>-1</v>
      </c>
      <c r="H298" s="8" t="n">
        <f aca="false">SUMIFS('Source 2025'!$H:$H,'Source 2025'!$B:$B,$A298,'Source 2025'!$A:$A,"Amount (NIS)")</f>
        <v>-365.4</v>
      </c>
      <c r="I298" s="8" t="n">
        <f aca="false">SUMIFS('Source 2026'!$H:$H,'Source 2026'!$B:$B,$A298,'Source 2026'!$A:$A,"Amount (NIS)")</f>
        <v>0</v>
      </c>
      <c r="J298" s="8" t="n">
        <f aca="false">I298*$J$5</f>
        <v>0</v>
      </c>
      <c r="K298" s="8" t="n">
        <f aca="false">J298-H298</f>
        <v>365.4</v>
      </c>
      <c r="L298" s="9" t="n">
        <f aca="false">IF(AND(H298=0,J298=0),0,IF(H298=0,"New",(J298-H298)/H298))</f>
        <v>-1</v>
      </c>
    </row>
    <row r="299" customFormat="false" ht="15" hidden="false" customHeight="false" outlineLevel="0" collapsed="false">
      <c r="A299" s="7" t="n">
        <v>4413282</v>
      </c>
      <c r="B299" s="7" t="str">
        <f aca="false">IFERROR(INDEX('Source 2026'!$C:$C,MATCH($A299,'Source 2026'!$B:$B,0)),IFERROR(INDEX('Source 2025'!$C:$C,MATCH($A299,'Source 2025'!$B:$B,0)),""))</f>
        <v>422E XL מגן ברך ארוך עם כרית</v>
      </c>
      <c r="C299" s="8" t="n">
        <f aca="false">SUMIFS('Source 2025'!$H:$H,'Source 2025'!$B:$B,$A299,'Source 2025'!$A:$A,"Quantity (units)")</f>
        <v>-2</v>
      </c>
      <c r="D299" s="8" t="n">
        <f aca="false">SUMIFS('Source 2026'!$H:$H,'Source 2026'!$B:$B,$A299,'Source 2026'!$A:$A,"Quantity (units)")</f>
        <v>0</v>
      </c>
      <c r="E299" s="8" t="n">
        <f aca="false">D299*$J$5</f>
        <v>0</v>
      </c>
      <c r="F299" s="8" t="n">
        <f aca="false">E299-C299</f>
        <v>2</v>
      </c>
      <c r="G299" s="9" t="n">
        <f aca="false">IF(AND(C299=0,E299=0),0,IF(C299=0,"New",(E299-C299)/C299))</f>
        <v>-1</v>
      </c>
      <c r="H299" s="8" t="n">
        <f aca="false">SUMIFS('Source 2025'!$H:$H,'Source 2025'!$B:$B,$A299,'Source 2025'!$A:$A,"Amount (NIS)")</f>
        <v>-365.4</v>
      </c>
      <c r="I299" s="8" t="n">
        <f aca="false">SUMIFS('Source 2026'!$H:$H,'Source 2026'!$B:$B,$A299,'Source 2026'!$A:$A,"Amount (NIS)")</f>
        <v>0</v>
      </c>
      <c r="J299" s="8" t="n">
        <f aca="false">I299*$J$5</f>
        <v>0</v>
      </c>
      <c r="K299" s="8" t="n">
        <f aca="false">J299-H299</f>
        <v>365.4</v>
      </c>
      <c r="L299" s="9" t="n">
        <f aca="false">IF(AND(H299=0,J299=0),0,IF(H299=0,"New",(J299-H299)/H299))</f>
        <v>-1</v>
      </c>
    </row>
    <row r="300" customFormat="false" ht="15" hidden="false" customHeight="false" outlineLevel="0" collapsed="false">
      <c r="A300" s="7" t="n">
        <v>4413179</v>
      </c>
      <c r="B300" s="7" t="str">
        <f aca="false">IFERROR(INDEX('Source 2026'!$C:$C,MATCH($A300,'Source 2026'!$B:$B,0)),IFERROR(INDEX('Source 2025'!$C:$C,MATCH($A300,'Source 2025'!$B:$B,0)),""))</f>
        <v>T39  M מגן שוק</v>
      </c>
      <c r="C300" s="8" t="n">
        <f aca="false">SUMIFS('Source 2025'!$H:$H,'Source 2025'!$B:$B,$A300,'Source 2025'!$A:$A,"Quantity (units)")</f>
        <v>-4</v>
      </c>
      <c r="D300" s="8" t="n">
        <f aca="false">SUMIFS('Source 2026'!$H:$H,'Source 2026'!$B:$B,$A300,'Source 2026'!$A:$A,"Quantity (units)")</f>
        <v>0</v>
      </c>
      <c r="E300" s="8" t="n">
        <f aca="false">D300*$J$5</f>
        <v>0</v>
      </c>
      <c r="F300" s="8" t="n">
        <f aca="false">E300-C300</f>
        <v>4</v>
      </c>
      <c r="G300" s="9" t="n">
        <f aca="false">IF(AND(C300=0,E300=0),0,IF(C300=0,"New",(E300-C300)/C300))</f>
        <v>-1</v>
      </c>
      <c r="H300" s="8" t="n">
        <f aca="false">SUMIFS('Source 2025'!$H:$H,'Source 2025'!$B:$B,$A300,'Source 2025'!$A:$A,"Amount (NIS)")</f>
        <v>-360.4</v>
      </c>
      <c r="I300" s="8" t="n">
        <f aca="false">SUMIFS('Source 2026'!$H:$H,'Source 2026'!$B:$B,$A300,'Source 2026'!$A:$A,"Amount (NIS)")</f>
        <v>0</v>
      </c>
      <c r="J300" s="8" t="n">
        <f aca="false">I300*$J$5</f>
        <v>0</v>
      </c>
      <c r="K300" s="8" t="n">
        <f aca="false">J300-H300</f>
        <v>360.4</v>
      </c>
      <c r="L300" s="9" t="n">
        <f aca="false">IF(AND(H300=0,J300=0),0,IF(H300=0,"New",(J300-H300)/H300))</f>
        <v>-1</v>
      </c>
    </row>
    <row r="301" customFormat="false" ht="15" hidden="false" customHeight="false" outlineLevel="0" collapsed="false">
      <c r="A301" s="7" t="n">
        <v>4413371</v>
      </c>
      <c r="B301" s="7" t="str">
        <f aca="false">IFERROR(INDEX('Source 2026'!$C:$C,MATCH($A301,'Source 2026'!$B:$B,0)),IFERROR(INDEX('Source 2025'!$C:$C,MATCH($A301,'Source 2025'!$B:$B,0)),""))</f>
        <v>3675    מגן זרת מסיליקון</v>
      </c>
      <c r="C301" s="8" t="n">
        <f aca="false">SUMIFS('Source 2025'!$H:$H,'Source 2025'!$B:$B,$A301,'Source 2025'!$A:$A,"Quantity (units)")</f>
        <v>84</v>
      </c>
      <c r="D301" s="8" t="n">
        <f aca="false">SUMIFS('Source 2026'!$H:$H,'Source 2026'!$B:$B,$A301,'Source 2026'!$A:$A,"Quantity (units)")</f>
        <v>70</v>
      </c>
      <c r="E301" s="8" t="n">
        <f aca="false">D301*$J$5</f>
        <v>96</v>
      </c>
      <c r="F301" s="8" t="n">
        <f aca="false">E301-C301</f>
        <v>12</v>
      </c>
      <c r="G301" s="9" t="n">
        <f aca="false">IF(AND(C301=0,E301=0),0,IF(C301=0,"New",(E301-C301)/C301))</f>
        <v>0.142857142857143</v>
      </c>
      <c r="H301" s="8" t="n">
        <f aca="false">SUMIFS('Source 2025'!$H:$H,'Source 2025'!$B:$B,$A301,'Source 2025'!$A:$A,"Amount (NIS)")</f>
        <v>2147.5</v>
      </c>
      <c r="I301" s="8" t="n">
        <f aca="false">SUMIFS('Source 2026'!$H:$H,'Source 2026'!$B:$B,$A301,'Source 2026'!$A:$A,"Amount (NIS)")</f>
        <v>1800.5</v>
      </c>
      <c r="J301" s="8" t="n">
        <f aca="false">I301*$J$5</f>
        <v>2469.25714285714</v>
      </c>
      <c r="K301" s="8" t="n">
        <f aca="false">J301-H301</f>
        <v>321.757142857143</v>
      </c>
      <c r="L301" s="9" t="n">
        <f aca="false">IF(AND(H301=0,J301=0),0,IF(H301=0,"New",(J301-H301)/H301))</f>
        <v>0.14982870447364</v>
      </c>
    </row>
    <row r="302" customFormat="false" ht="15" hidden="false" customHeight="false" outlineLevel="0" collapsed="false">
      <c r="A302" s="7" t="n">
        <v>4413425</v>
      </c>
      <c r="B302" s="7" t="str">
        <f aca="false">IFERROR(INDEX('Source 2026'!$C:$C,MATCH($A302,'Source 2026'!$B:$B,0)),IFERROR(INDEX('Source 2025'!$C:$C,MATCH($A302,'Source 2025'!$B:$B,0)),""))</f>
        <v>SC35R  M מגן קרסול ימין</v>
      </c>
      <c r="C302" s="8" t="n">
        <f aca="false">SUMIFS('Source 2025'!$H:$H,'Source 2025'!$B:$B,$A302,'Source 2025'!$A:$A,"Quantity (units)")</f>
        <v>24</v>
      </c>
      <c r="D302" s="8" t="n">
        <f aca="false">SUMIFS('Source 2026'!$H:$H,'Source 2026'!$B:$B,$A302,'Source 2026'!$A:$A,"Quantity (units)")</f>
        <v>19</v>
      </c>
      <c r="E302" s="8" t="n">
        <f aca="false">D302*$J$5</f>
        <v>26.0571428571429</v>
      </c>
      <c r="F302" s="8" t="n">
        <f aca="false">E302-C302</f>
        <v>2.05714285714286</v>
      </c>
      <c r="G302" s="9" t="n">
        <f aca="false">IF(AND(C302=0,E302=0),0,IF(C302=0,"New",(E302-C302)/C302))</f>
        <v>0.0857142857142857</v>
      </c>
      <c r="H302" s="8" t="n">
        <f aca="false">SUMIFS('Source 2025'!$H:$H,'Source 2025'!$B:$B,$A302,'Source 2025'!$A:$A,"Amount (NIS)")</f>
        <v>1772.9</v>
      </c>
      <c r="I302" s="8" t="n">
        <f aca="false">SUMIFS('Source 2026'!$H:$H,'Source 2026'!$B:$B,$A302,'Source 2026'!$A:$A,"Amount (NIS)")</f>
        <v>1427.4</v>
      </c>
      <c r="J302" s="8" t="n">
        <f aca="false">I302*$J$5</f>
        <v>1957.57714285714</v>
      </c>
      <c r="K302" s="8" t="n">
        <f aca="false">J302-H302</f>
        <v>184.677142857143</v>
      </c>
      <c r="L302" s="9" t="n">
        <f aca="false">IF(AND(H302=0,J302=0),0,IF(H302=0,"New",(J302-H302)/H302))</f>
        <v>0.104166700240929</v>
      </c>
    </row>
    <row r="303" customFormat="false" ht="15" hidden="false" customHeight="false" outlineLevel="0" collapsed="false">
      <c r="A303" s="7" t="n">
        <v>4408082</v>
      </c>
      <c r="B303" s="7" t="str">
        <f aca="false">IFERROR(INDEX('Source 2026'!$C:$C,MATCH($A303,'Source 2026'!$B:$B,0)),IFERROR(INDEX('Source 2025'!$C:$C,MATCH($A303,'Source 2025'!$B:$B,0)),""))</f>
        <v>59R XL חגורת שבר לצד ימין</v>
      </c>
      <c r="C303" s="8" t="n">
        <f aca="false">SUMIFS('Source 2025'!$H:$H,'Source 2025'!$B:$B,$A303,'Source 2025'!$A:$A,"Quantity (units)")</f>
        <v>-2</v>
      </c>
      <c r="D303" s="8" t="n">
        <f aca="false">SUMIFS('Source 2026'!$H:$H,'Source 2026'!$B:$B,$A303,'Source 2026'!$A:$A,"Quantity (units)")</f>
        <v>0</v>
      </c>
      <c r="E303" s="8" t="n">
        <f aca="false">D303*$J$5</f>
        <v>0</v>
      </c>
      <c r="F303" s="8" t="n">
        <f aca="false">E303-C303</f>
        <v>2</v>
      </c>
      <c r="G303" s="9" t="n">
        <f aca="false">IF(AND(C303=0,E303=0),0,IF(C303=0,"New",(E303-C303)/C303))</f>
        <v>-1</v>
      </c>
      <c r="H303" s="8" t="n">
        <f aca="false">SUMIFS('Source 2025'!$H:$H,'Source 2025'!$B:$B,$A303,'Source 2025'!$A:$A,"Amount (NIS)")</f>
        <v>-332.2</v>
      </c>
      <c r="I303" s="8" t="n">
        <f aca="false">SUMIFS('Source 2026'!$H:$H,'Source 2026'!$B:$B,$A303,'Source 2026'!$A:$A,"Amount (NIS)")</f>
        <v>0</v>
      </c>
      <c r="J303" s="8" t="n">
        <f aca="false">I303*$J$5</f>
        <v>0</v>
      </c>
      <c r="K303" s="8" t="n">
        <f aca="false">J303-H303</f>
        <v>332.2</v>
      </c>
      <c r="L303" s="9" t="n">
        <f aca="false">IF(AND(H303=0,J303=0),0,IF(H303=0,"New",(J303-H303)/H303))</f>
        <v>-1</v>
      </c>
    </row>
    <row r="304" customFormat="false" ht="15" hidden="false" customHeight="false" outlineLevel="0" collapsed="false">
      <c r="A304" s="7" t="n">
        <v>4403006</v>
      </c>
      <c r="B304" s="7" t="str">
        <f aca="false">IFERROR(INDEX('Source 2026'!$C:$C,MATCH($A304,'Source 2026'!$B:$B,0)),IFERROR(INDEX('Source 2025'!$C:$C,MATCH($A304,'Source 2025'!$B:$B,0)),""))</f>
        <v>390W גרב כסף לסכרתיים לבן35-38</v>
      </c>
      <c r="C304" s="8" t="n">
        <f aca="false">SUMIFS('Source 2025'!$H:$H,'Source 2025'!$B:$B,$A304,'Source 2025'!$A:$A,"Quantity (units)")</f>
        <v>20</v>
      </c>
      <c r="D304" s="8" t="n">
        <f aca="false">SUMIFS('Source 2026'!$H:$H,'Source 2026'!$B:$B,$A304,'Source 2026'!$A:$A,"Quantity (units)")</f>
        <v>9</v>
      </c>
      <c r="E304" s="8" t="n">
        <f aca="false">D304*$J$5</f>
        <v>12.3428571428571</v>
      </c>
      <c r="F304" s="8" t="n">
        <f aca="false">E304-C304</f>
        <v>-7.65714285714286</v>
      </c>
      <c r="G304" s="9" t="n">
        <f aca="false">IF(AND(C304=0,E304=0),0,IF(C304=0,"New",(E304-C304)/C304))</f>
        <v>-0.382857142857143</v>
      </c>
      <c r="H304" s="8" t="n">
        <f aca="false">SUMIFS('Source 2025'!$H:$H,'Source 2025'!$B:$B,$A304,'Source 2025'!$A:$A,"Amount (NIS)")</f>
        <v>585.7</v>
      </c>
      <c r="I304" s="8" t="n">
        <f aca="false">SUMIFS('Source 2026'!$H:$H,'Source 2026'!$B:$B,$A304,'Source 2026'!$A:$A,"Amount (NIS)")</f>
        <v>262.3</v>
      </c>
      <c r="J304" s="8" t="n">
        <f aca="false">I304*$J$5</f>
        <v>359.725714285714</v>
      </c>
      <c r="K304" s="8" t="n">
        <f aca="false">J304-H304</f>
        <v>-225.974285714286</v>
      </c>
      <c r="L304" s="9" t="n">
        <f aca="false">IF(AND(H304=0,J304=0),0,IF(H304=0,"New",(J304-H304)/H304))</f>
        <v>-0.38581916632113</v>
      </c>
    </row>
    <row r="305" customFormat="false" ht="15" hidden="false" customHeight="false" outlineLevel="0" collapsed="false">
      <c r="A305" s="7" t="n">
        <v>4408148</v>
      </c>
      <c r="B305" s="7" t="str">
        <f aca="false">IFERROR(INDEX('Source 2026'!$C:$C,MATCH($A305,'Source 2026'!$B:$B,0)),IFERROR(INDEX('Source 2025'!$C:$C,MATCH($A305,'Source 2025'!$B:$B,0)),""))</f>
        <v>11PS XLחגורה למנותחי בטן</v>
      </c>
      <c r="C305" s="8" t="n">
        <f aca="false">SUMIFS('Source 2025'!$H:$H,'Source 2025'!$B:$B,$A305,'Source 2025'!$A:$A,"Quantity (units)")</f>
        <v>3</v>
      </c>
      <c r="D305" s="8" t="n">
        <f aca="false">SUMIFS('Source 2026'!$H:$H,'Source 2026'!$B:$B,$A305,'Source 2026'!$A:$A,"Quantity (units)")</f>
        <v>0</v>
      </c>
      <c r="E305" s="8" t="n">
        <f aca="false">D305*$J$5</f>
        <v>0</v>
      </c>
      <c r="F305" s="8" t="n">
        <f aca="false">E305-C305</f>
        <v>-3</v>
      </c>
      <c r="G305" s="9" t="n">
        <f aca="false">IF(AND(C305=0,E305=0),0,IF(C305=0,"New",(E305-C305)/C305))</f>
        <v>-1</v>
      </c>
      <c r="H305" s="8" t="n">
        <f aca="false">SUMIFS('Source 2025'!$H:$H,'Source 2025'!$B:$B,$A305,'Source 2025'!$A:$A,"Amount (NIS)")</f>
        <v>315.2</v>
      </c>
      <c r="I305" s="8" t="n">
        <f aca="false">SUMIFS('Source 2026'!$H:$H,'Source 2026'!$B:$B,$A305,'Source 2026'!$A:$A,"Amount (NIS)")</f>
        <v>-5.5</v>
      </c>
      <c r="J305" s="8" t="n">
        <f aca="false">I305*$J$5</f>
        <v>-7.54285714285714</v>
      </c>
      <c r="K305" s="8" t="n">
        <f aca="false">J305-H305</f>
        <v>-322.742857142857</v>
      </c>
      <c r="L305" s="9" t="n">
        <f aca="false">IF(AND(H305=0,J305=0),0,IF(H305=0,"New",(J305-H305)/H305))</f>
        <v>-1.02393038433648</v>
      </c>
    </row>
    <row r="306" customFormat="false" ht="15" hidden="false" customHeight="false" outlineLevel="0" collapsed="false">
      <c r="A306" s="7" t="n">
        <v>4422006</v>
      </c>
      <c r="B306" s="7" t="str">
        <f aca="false">IFERROR(INDEX('Source 2026'!$C:$C,MATCH($A306,'Source 2026'!$B:$B,0)),IFERROR(INDEX('Source 2025'!$C:$C,MATCH($A306,'Source 2025'!$B:$B,0)),""))</f>
        <v>T78 L תומך זרוע וכתף</v>
      </c>
      <c r="C306" s="8" t="n">
        <f aca="false">SUMIFS('Source 2025'!$H:$H,'Source 2025'!$B:$B,$A306,'Source 2025'!$A:$A,"Quantity (units)")</f>
        <v>4</v>
      </c>
      <c r="D306" s="8" t="n">
        <f aca="false">SUMIFS('Source 2026'!$H:$H,'Source 2026'!$B:$B,$A306,'Source 2026'!$A:$A,"Quantity (units)")</f>
        <v>6</v>
      </c>
      <c r="E306" s="8" t="n">
        <f aca="false">D306*$J$5</f>
        <v>8.22857142857143</v>
      </c>
      <c r="F306" s="8" t="n">
        <f aca="false">E306-C306</f>
        <v>4.22857142857143</v>
      </c>
      <c r="G306" s="9" t="n">
        <f aca="false">IF(AND(C306=0,E306=0),0,IF(C306=0,"New",(E306-C306)/C306))</f>
        <v>1.05714285714286</v>
      </c>
      <c r="H306" s="8" t="n">
        <f aca="false">SUMIFS('Source 2025'!$H:$H,'Source 2025'!$B:$B,$A306,'Source 2025'!$A:$A,"Amount (NIS)")</f>
        <v>655.4</v>
      </c>
      <c r="I306" s="8" t="n">
        <f aca="false">SUMIFS('Source 2026'!$H:$H,'Source 2026'!$B:$B,$A306,'Source 2026'!$A:$A,"Amount (NIS)")</f>
        <v>975.3</v>
      </c>
      <c r="J306" s="8" t="n">
        <f aca="false">I306*$J$5</f>
        <v>1337.55428571429</v>
      </c>
      <c r="K306" s="8" t="n">
        <f aca="false">J306-H306</f>
        <v>682.154285714286</v>
      </c>
      <c r="L306" s="9" t="n">
        <f aca="false">IF(AND(H306=0,J306=0),0,IF(H306=0,"New",(J306-H306)/H306))</f>
        <v>1.04082130868826</v>
      </c>
    </row>
    <row r="307" customFormat="false" ht="15" hidden="false" customHeight="false" outlineLevel="0" collapsed="false">
      <c r="A307" s="7" t="n">
        <v>4422007</v>
      </c>
      <c r="B307" s="7" t="str">
        <f aca="false">IFERROR(INDEX('Source 2026'!$C:$C,MATCH($A307,'Source 2026'!$B:$B,0)),IFERROR(INDEX('Source 2025'!$C:$C,MATCH($A307,'Source 2025'!$B:$B,0)),""))</f>
        <v>T78 XLתומך זרוע וכתף</v>
      </c>
      <c r="C307" s="8" t="n">
        <f aca="false">SUMIFS('Source 2025'!$H:$H,'Source 2025'!$B:$B,$A307,'Source 2025'!$A:$A,"Quantity (units)")</f>
        <v>4</v>
      </c>
      <c r="D307" s="8" t="n">
        <f aca="false">SUMIFS('Source 2026'!$H:$H,'Source 2026'!$B:$B,$A307,'Source 2026'!$A:$A,"Quantity (units)")</f>
        <v>6</v>
      </c>
      <c r="E307" s="8" t="n">
        <f aca="false">D307*$J$5</f>
        <v>8.22857142857143</v>
      </c>
      <c r="F307" s="8" t="n">
        <f aca="false">E307-C307</f>
        <v>4.22857142857143</v>
      </c>
      <c r="G307" s="9" t="n">
        <f aca="false">IF(AND(C307=0,E307=0),0,IF(C307=0,"New",(E307-C307)/C307))</f>
        <v>1.05714285714286</v>
      </c>
      <c r="H307" s="8" t="n">
        <f aca="false">SUMIFS('Source 2025'!$H:$H,'Source 2025'!$B:$B,$A307,'Source 2025'!$A:$A,"Amount (NIS)")</f>
        <v>655.4</v>
      </c>
      <c r="I307" s="8" t="n">
        <f aca="false">SUMIFS('Source 2026'!$H:$H,'Source 2026'!$B:$B,$A307,'Source 2026'!$A:$A,"Amount (NIS)")</f>
        <v>975.3</v>
      </c>
      <c r="J307" s="8" t="n">
        <f aca="false">I307*$J$5</f>
        <v>1337.55428571429</v>
      </c>
      <c r="K307" s="8" t="n">
        <f aca="false">J307-H307</f>
        <v>682.154285714286</v>
      </c>
      <c r="L307" s="9" t="n">
        <f aca="false">IF(AND(H307=0,J307=0),0,IF(H307=0,"New",(J307-H307)/H307))</f>
        <v>1.04082130868826</v>
      </c>
    </row>
    <row r="308" customFormat="false" ht="15" hidden="false" customHeight="false" outlineLevel="0" collapsed="false">
      <c r="A308" s="7" t="n">
        <v>4408059</v>
      </c>
      <c r="B308" s="7" t="str">
        <f aca="false">IFERROR(INDEX('Source 2026'!$C:$C,MATCH($A308,'Source 2026'!$B:$B,0)),IFERROR(INDEX('Source 2025'!$C:$C,MATCH($A308,'Source 2025'!$B:$B,0)),""))</f>
        <v>25 L חבק יד אגודלי</v>
      </c>
      <c r="C308" s="8" t="n">
        <f aca="false">SUMIFS('Source 2025'!$H:$H,'Source 2025'!$B:$B,$A308,'Source 2025'!$A:$A,"Quantity (units)")</f>
        <v>-5</v>
      </c>
      <c r="D308" s="8" t="n">
        <f aca="false">SUMIFS('Source 2026'!$H:$H,'Source 2026'!$B:$B,$A308,'Source 2026'!$A:$A,"Quantity (units)")</f>
        <v>0</v>
      </c>
      <c r="E308" s="8" t="n">
        <f aca="false">D308*$J$5</f>
        <v>0</v>
      </c>
      <c r="F308" s="8" t="n">
        <f aca="false">E308-C308</f>
        <v>5</v>
      </c>
      <c r="G308" s="9" t="n">
        <f aca="false">IF(AND(C308=0,E308=0),0,IF(C308=0,"New",(E308-C308)/C308))</f>
        <v>-1</v>
      </c>
      <c r="H308" s="8" t="n">
        <f aca="false">SUMIFS('Source 2025'!$H:$H,'Source 2025'!$B:$B,$A308,'Source 2025'!$A:$A,"Amount (NIS)")</f>
        <v>-318.1</v>
      </c>
      <c r="I308" s="8" t="n">
        <f aca="false">SUMIFS('Source 2026'!$H:$H,'Source 2026'!$B:$B,$A308,'Source 2026'!$A:$A,"Amount (NIS)")</f>
        <v>0</v>
      </c>
      <c r="J308" s="8" t="n">
        <f aca="false">I308*$J$5</f>
        <v>0</v>
      </c>
      <c r="K308" s="8" t="n">
        <f aca="false">J308-H308</f>
        <v>318.1</v>
      </c>
      <c r="L308" s="9" t="n">
        <f aca="false">IF(AND(H308=0,J308=0),0,IF(H308=0,"New",(J308-H308)/H308))</f>
        <v>-1</v>
      </c>
    </row>
    <row r="309" customFormat="false" ht="15" hidden="false" customHeight="false" outlineLevel="0" collapsed="false">
      <c r="A309" s="7" t="n">
        <v>4403025</v>
      </c>
      <c r="B309" s="7" t="str">
        <f aca="false">IFERROR(INDEX('Source 2026'!$C:$C,MATCH($A309,'Source 2026'!$B:$B,0)),IFERROR(INDEX('Source 2025'!$C:$C,MATCH($A309,'Source 2025'!$B:$B,0)),""))</f>
        <v>394W 43-46 גרב.כסף לסכרתים לבן</v>
      </c>
      <c r="C309" s="8" t="n">
        <f aca="false">SUMIFS('Source 2025'!$H:$H,'Source 2025'!$B:$B,$A309,'Source 2025'!$A:$A,"Quantity (units)")</f>
        <v>85</v>
      </c>
      <c r="D309" s="8" t="n">
        <f aca="false">SUMIFS('Source 2026'!$H:$H,'Source 2026'!$B:$B,$A309,'Source 2026'!$A:$A,"Quantity (units)")</f>
        <v>69</v>
      </c>
      <c r="E309" s="8" t="n">
        <f aca="false">D309*$J$5</f>
        <v>94.6285714285714</v>
      </c>
      <c r="F309" s="8" t="n">
        <f aca="false">E309-C309</f>
        <v>9.62857142857143</v>
      </c>
      <c r="G309" s="9" t="n">
        <f aca="false">IF(AND(C309=0,E309=0),0,IF(C309=0,"New",(E309-C309)/C309))</f>
        <v>0.11327731092437</v>
      </c>
      <c r="H309" s="8" t="n">
        <f aca="false">SUMIFS('Source 2025'!$H:$H,'Source 2025'!$B:$B,$A309,'Source 2025'!$A:$A,"Amount (NIS)")</f>
        <v>1886.6</v>
      </c>
      <c r="I309" s="8" t="n">
        <f aca="false">SUMIFS('Source 2026'!$H:$H,'Source 2026'!$B:$B,$A309,'Source 2026'!$A:$A,"Amount (NIS)")</f>
        <v>1570.8</v>
      </c>
      <c r="J309" s="8" t="n">
        <f aca="false">I309*$J$5</f>
        <v>2154.24</v>
      </c>
      <c r="K309" s="8" t="n">
        <f aca="false">J309-H309</f>
        <v>267.64</v>
      </c>
      <c r="L309" s="9" t="n">
        <f aca="false">IF(AND(H309=0,J309=0),0,IF(H309=0,"New",(J309-H309)/H309))</f>
        <v>0.14186367009435</v>
      </c>
    </row>
    <row r="310" customFormat="false" ht="15" hidden="false" customHeight="false" outlineLevel="0" collapsed="false">
      <c r="A310" s="7" t="n">
        <v>4408147</v>
      </c>
      <c r="B310" s="7" t="str">
        <f aca="false">IFERROR(INDEX('Source 2026'!$C:$C,MATCH($A310,'Source 2026'!$B:$B,0)),IFERROR(INDEX('Source 2025'!$C:$C,MATCH($A310,'Source 2025'!$B:$B,0)),""))</f>
        <v>11PS Lחגורה למנותחי בטן</v>
      </c>
      <c r="C310" s="8" t="n">
        <f aca="false">SUMIFS('Source 2025'!$H:$H,'Source 2025'!$B:$B,$A310,'Source 2025'!$A:$A,"Quantity (units)")</f>
        <v>3</v>
      </c>
      <c r="D310" s="8" t="n">
        <f aca="false">SUMIFS('Source 2026'!$H:$H,'Source 2026'!$B:$B,$A310,'Source 2026'!$A:$A,"Quantity (units)")</f>
        <v>0</v>
      </c>
      <c r="E310" s="8" t="n">
        <f aca="false">D310*$J$5</f>
        <v>0</v>
      </c>
      <c r="F310" s="8" t="n">
        <f aca="false">E310-C310</f>
        <v>-3</v>
      </c>
      <c r="G310" s="9" t="n">
        <f aca="false">IF(AND(C310=0,E310=0),0,IF(C310=0,"New",(E310-C310)/C310))</f>
        <v>-1</v>
      </c>
      <c r="H310" s="8" t="n">
        <f aca="false">SUMIFS('Source 2025'!$H:$H,'Source 2025'!$B:$B,$A310,'Source 2025'!$A:$A,"Amount (NIS)")</f>
        <v>315.2</v>
      </c>
      <c r="I310" s="8" t="n">
        <f aca="false">SUMIFS('Source 2026'!$H:$H,'Source 2026'!$B:$B,$A310,'Source 2026'!$A:$A,"Amount (NIS)")</f>
        <v>0</v>
      </c>
      <c r="J310" s="8" t="n">
        <f aca="false">I310*$J$5</f>
        <v>0</v>
      </c>
      <c r="K310" s="8" t="n">
        <f aca="false">J310-H310</f>
        <v>-315.2</v>
      </c>
      <c r="L310" s="9" t="n">
        <f aca="false">IF(AND(H310=0,J310=0),0,IF(H310=0,"New",(J310-H310)/H310))</f>
        <v>-1</v>
      </c>
    </row>
    <row r="311" customFormat="false" ht="15" hidden="false" customHeight="false" outlineLevel="0" collapsed="false">
      <c r="A311" s="7" t="n">
        <v>4413422</v>
      </c>
      <c r="B311" s="7" t="str">
        <f aca="false">IFERROR(INDEX('Source 2026'!$C:$C,MATCH($A311,'Source 2026'!$B:$B,0)),IFERROR(INDEX('Source 2025'!$C:$C,MATCH($A311,'Source 2025'!$B:$B,0)),""))</f>
        <v>SC35L  L מגן קרסול שמאל</v>
      </c>
      <c r="C311" s="8" t="n">
        <f aca="false">SUMIFS('Source 2025'!$H:$H,'Source 2025'!$B:$B,$A311,'Source 2025'!$A:$A,"Quantity (units)")</f>
        <v>22</v>
      </c>
      <c r="D311" s="8" t="n">
        <f aca="false">SUMIFS('Source 2026'!$H:$H,'Source 2026'!$B:$B,$A311,'Source 2026'!$A:$A,"Quantity (units)")</f>
        <v>18</v>
      </c>
      <c r="E311" s="8" t="n">
        <f aca="false">D311*$J$5</f>
        <v>24.6857142857143</v>
      </c>
      <c r="F311" s="8" t="n">
        <f aca="false">E311-C311</f>
        <v>2.68571428571429</v>
      </c>
      <c r="G311" s="9" t="n">
        <f aca="false">IF(AND(C311=0,E311=0),0,IF(C311=0,"New",(E311-C311)/C311))</f>
        <v>0.122077922077922</v>
      </c>
      <c r="H311" s="8" t="n">
        <f aca="false">SUMIFS('Source 2025'!$H:$H,'Source 2025'!$B:$B,$A311,'Source 2025'!$A:$A,"Amount (NIS)")</f>
        <v>1638.8</v>
      </c>
      <c r="I311" s="8" t="n">
        <f aca="false">SUMIFS('Source 2026'!$H:$H,'Source 2026'!$B:$B,$A311,'Source 2026'!$A:$A,"Amount (NIS)")</f>
        <v>1356.3</v>
      </c>
      <c r="J311" s="8" t="n">
        <f aca="false">I311*$J$5</f>
        <v>1860.06857142857</v>
      </c>
      <c r="K311" s="8" t="n">
        <f aca="false">J311-H311</f>
        <v>221.268571428571</v>
      </c>
      <c r="L311" s="9" t="n">
        <f aca="false">IF(AND(H311=0,J311=0),0,IF(H311=0,"New",(J311-H311)/H311))</f>
        <v>0.135018654764811</v>
      </c>
    </row>
    <row r="312" customFormat="false" ht="15" hidden="false" customHeight="false" outlineLevel="0" collapsed="false">
      <c r="A312" s="7" t="n">
        <v>4413089</v>
      </c>
      <c r="B312" s="7" t="str">
        <f aca="false">IFERROR(INDEX('Source 2026'!$C:$C,MATCH($A312,'Source 2026'!$B:$B,0)),IFERROR(INDEX('Source 2025'!$C:$C,MATCH($A312,'Source 2025'!$B:$B,0)),""))</f>
        <v>422 Sמ.ברך+כרית סיל.סביב לפיקה</v>
      </c>
      <c r="C312" s="8" t="n">
        <f aca="false">SUMIFS('Source 2025'!$H:$H,'Source 2025'!$B:$B,$A312,'Source 2025'!$A:$A,"Quantity (units)")</f>
        <v>-3</v>
      </c>
      <c r="D312" s="8" t="n">
        <f aca="false">SUMIFS('Source 2026'!$H:$H,'Source 2026'!$B:$B,$A312,'Source 2026'!$A:$A,"Quantity (units)")</f>
        <v>-2</v>
      </c>
      <c r="E312" s="8" t="n">
        <f aca="false">D312*$J$5</f>
        <v>-2.74285714285714</v>
      </c>
      <c r="F312" s="8" t="n">
        <f aca="false">E312-C312</f>
        <v>0.257142857142857</v>
      </c>
      <c r="G312" s="9" t="n">
        <f aca="false">IF(AND(C312=0,E312=0),0,IF(C312=0,"New",(E312-C312)/C312))</f>
        <v>-0.0857142857142857</v>
      </c>
      <c r="H312" s="8" t="n">
        <f aca="false">SUMIFS('Source 2025'!$H:$H,'Source 2025'!$B:$B,$A312,'Source 2025'!$A:$A,"Amount (NIS)")</f>
        <v>-454.6</v>
      </c>
      <c r="I312" s="8" t="n">
        <f aca="false">SUMIFS('Source 2026'!$H:$H,'Source 2026'!$B:$B,$A312,'Source 2026'!$A:$A,"Amount (NIS)")</f>
        <v>-177.3</v>
      </c>
      <c r="J312" s="8" t="n">
        <f aca="false">I312*$J$5</f>
        <v>-243.154285714286</v>
      </c>
      <c r="K312" s="8" t="n">
        <f aca="false">J312-H312</f>
        <v>211.445714285714</v>
      </c>
      <c r="L312" s="9" t="n">
        <f aca="false">IF(AND(H312=0,J312=0),0,IF(H312=0,"New",(J312-H312)/H312))</f>
        <v>-0.465124756457797</v>
      </c>
    </row>
    <row r="313" customFormat="false" ht="15" hidden="false" customHeight="false" outlineLevel="0" collapsed="false">
      <c r="A313" s="7" t="n">
        <v>4408013</v>
      </c>
      <c r="B313" s="7" t="str">
        <f aca="false">IFERROR(INDEX('Source 2026'!$C:$C,MATCH($A313,'Source 2026'!$B:$B,0)),IFERROR(INDEX('Source 2025'!$C:$C,MATCH($A313,'Source 2025'!$B:$B,0)),""))</f>
        <v>079 XXLח.גב סג.כפולה שחור+אדום</v>
      </c>
      <c r="C313" s="8" t="n">
        <f aca="false">SUMIFS('Source 2025'!$H:$H,'Source 2025'!$B:$B,$A313,'Source 2025'!$A:$A,"Quantity (units)")</f>
        <v>3</v>
      </c>
      <c r="D313" s="8" t="n">
        <f aca="false">SUMIFS('Source 2026'!$H:$H,'Source 2026'!$B:$B,$A313,'Source 2026'!$A:$A,"Quantity (units)")</f>
        <v>0</v>
      </c>
      <c r="E313" s="8" t="n">
        <f aca="false">D313*$J$5</f>
        <v>0</v>
      </c>
      <c r="F313" s="8" t="n">
        <f aca="false">E313-C313</f>
        <v>-3</v>
      </c>
      <c r="G313" s="9" t="n">
        <f aca="false">IF(AND(C313=0,E313=0),0,IF(C313=0,"New",(E313-C313)/C313))</f>
        <v>-1</v>
      </c>
      <c r="H313" s="8" t="n">
        <f aca="false">SUMIFS('Source 2025'!$H:$H,'Source 2025'!$B:$B,$A313,'Source 2025'!$A:$A,"Amount (NIS)")</f>
        <v>276.4</v>
      </c>
      <c r="I313" s="8" t="n">
        <f aca="false">SUMIFS('Source 2026'!$H:$H,'Source 2026'!$B:$B,$A313,'Source 2026'!$A:$A,"Amount (NIS)")</f>
        <v>0</v>
      </c>
      <c r="J313" s="8" t="n">
        <f aca="false">I313*$J$5</f>
        <v>0</v>
      </c>
      <c r="K313" s="8" t="n">
        <f aca="false">J313-H313</f>
        <v>-276.4</v>
      </c>
      <c r="L313" s="9" t="n">
        <f aca="false">IF(AND(H313=0,J313=0),0,IF(H313=0,"New",(J313-H313)/H313))</f>
        <v>-1</v>
      </c>
    </row>
    <row r="314" customFormat="false" ht="15" hidden="false" customHeight="false" outlineLevel="0" collapsed="false">
      <c r="A314" s="7" t="n">
        <v>4413405</v>
      </c>
      <c r="B314" s="7" t="str">
        <f aca="false">IFERROR(INDEX('Source 2026'!$C:$C,MATCH($A314,'Source 2026'!$B:$B,0)),IFERROR(INDEX('Source 2025'!$C:$C,MATCH($A314,'Source 2025'!$B:$B,0)),""))</f>
        <v>SC95 S מגן מרפק</v>
      </c>
      <c r="C314" s="8" t="n">
        <f aca="false">SUMIFS('Source 2025'!$H:$H,'Source 2025'!$B:$B,$A314,'Source 2025'!$A:$A,"Quantity (units)")</f>
        <v>7</v>
      </c>
      <c r="D314" s="8" t="n">
        <f aca="false">SUMIFS('Source 2026'!$H:$H,'Source 2026'!$B:$B,$A314,'Source 2026'!$A:$A,"Quantity (units)")</f>
        <v>3</v>
      </c>
      <c r="E314" s="8" t="n">
        <f aca="false">D314*$J$5</f>
        <v>4.11428571428571</v>
      </c>
      <c r="F314" s="8" t="n">
        <f aca="false">E314-C314</f>
        <v>-2.88571428571429</v>
      </c>
      <c r="G314" s="9" t="n">
        <f aca="false">IF(AND(C314=0,E314=0),0,IF(C314=0,"New",(E314-C314)/C314))</f>
        <v>-0.412244897959184</v>
      </c>
      <c r="H314" s="8" t="n">
        <f aca="false">SUMIFS('Source 2025'!$H:$H,'Source 2025'!$B:$B,$A314,'Source 2025'!$A:$A,"Amount (NIS)")</f>
        <v>510.3</v>
      </c>
      <c r="I314" s="8" t="n">
        <f aca="false">SUMIFS('Source 2026'!$H:$H,'Source 2026'!$B:$B,$A314,'Source 2026'!$A:$A,"Amount (NIS)")</f>
        <v>239.2</v>
      </c>
      <c r="J314" s="8" t="n">
        <f aca="false">I314*$J$5</f>
        <v>328.045714285714</v>
      </c>
      <c r="K314" s="8" t="n">
        <f aca="false">J314-H314</f>
        <v>-182.254285714286</v>
      </c>
      <c r="L314" s="9" t="n">
        <f aca="false">IF(AND(H314=0,J314=0),0,IF(H314=0,"New",(J314-H314)/H314))</f>
        <v>-0.357151255563954</v>
      </c>
    </row>
    <row r="315" customFormat="false" ht="15" hidden="false" customHeight="false" outlineLevel="0" collapsed="false">
      <c r="A315" s="7" t="n">
        <v>4408042</v>
      </c>
      <c r="B315" s="7" t="str">
        <f aca="false">IFERROR(INDEX('Source 2026'!$C:$C,MATCH($A315,'Source 2026'!$B:$B,0)),IFERROR(INDEX('Source 2025'!$C:$C,MATCH($A315,'Source 2025'!$B:$B,0)),""))</f>
        <v>18 L ח.הריון מכנס למניעת כאבים</v>
      </c>
      <c r="C315" s="8" t="n">
        <f aca="false">SUMIFS('Source 2025'!$H:$H,'Source 2025'!$B:$B,$A315,'Source 2025'!$A:$A,"Quantity (units)")</f>
        <v>0</v>
      </c>
      <c r="D315" s="8" t="n">
        <f aca="false">SUMIFS('Source 2026'!$H:$H,'Source 2026'!$B:$B,$A315,'Source 2026'!$A:$A,"Quantity (units)")</f>
        <v>-1</v>
      </c>
      <c r="E315" s="8" t="n">
        <f aca="false">D315*$J$5</f>
        <v>-1.37142857142857</v>
      </c>
      <c r="F315" s="8" t="n">
        <f aca="false">E315-C315</f>
        <v>-1.37142857142857</v>
      </c>
      <c r="G315" s="9" t="str">
        <f aca="false">IF(AND(C315=0,E315=0),0,IF(C315=0,"New",(E315-C315)/C315))</f>
        <v>New</v>
      </c>
      <c r="H315" s="8" t="n">
        <f aca="false">SUMIFS('Source 2025'!$H:$H,'Source 2025'!$B:$B,$A315,'Source 2025'!$A:$A,"Amount (NIS)")</f>
        <v>0</v>
      </c>
      <c r="I315" s="8" t="n">
        <f aca="false">SUMIFS('Source 2026'!$H:$H,'Source 2026'!$B:$B,$A315,'Source 2026'!$A:$A,"Amount (NIS)")</f>
        <v>-266.2</v>
      </c>
      <c r="J315" s="8" t="n">
        <f aca="false">I315*$J$5</f>
        <v>-365.074285714286</v>
      </c>
      <c r="K315" s="8" t="n">
        <f aca="false">J315-H315</f>
        <v>-365.074285714286</v>
      </c>
      <c r="L315" s="9" t="str">
        <f aca="false">IF(AND(H315=0,J315=0),0,IF(H315=0,"New",(J315-H315)/H315))</f>
        <v>New</v>
      </c>
    </row>
    <row r="316" customFormat="false" ht="15" hidden="false" customHeight="false" outlineLevel="0" collapsed="false">
      <c r="A316" s="7" t="n">
        <v>4408085</v>
      </c>
      <c r="B316" s="7" t="str">
        <f aca="false">IFERROR(INDEX('Source 2026'!$C:$C,MATCH($A316,'Source 2026'!$B:$B,0)),IFERROR(INDEX('Source 2025'!$C:$C,MATCH($A316,'Source 2025'!$B:$B,0)),""))</f>
        <v>922M.מחבק יד לטניס כרית סילי</v>
      </c>
      <c r="C316" s="8" t="n">
        <f aca="false">SUMIFS('Source 2025'!$H:$H,'Source 2025'!$B:$B,$A316,'Source 2025'!$A:$A,"Quantity (units)")</f>
        <v>-2</v>
      </c>
      <c r="D316" s="8" t="n">
        <f aca="false">SUMIFS('Source 2026'!$H:$H,'Source 2026'!$B:$B,$A316,'Source 2026'!$A:$A,"Quantity (units)")</f>
        <v>0</v>
      </c>
      <c r="E316" s="8" t="n">
        <f aca="false">D316*$J$5</f>
        <v>0</v>
      </c>
      <c r="F316" s="8" t="n">
        <f aca="false">E316-C316</f>
        <v>2</v>
      </c>
      <c r="G316" s="9" t="n">
        <f aca="false">IF(AND(C316=0,E316=0),0,IF(C316=0,"New",(E316-C316)/C316))</f>
        <v>-1</v>
      </c>
      <c r="H316" s="8" t="n">
        <f aca="false">SUMIFS('Source 2025'!$H:$H,'Source 2025'!$B:$B,$A316,'Source 2025'!$A:$A,"Amount (NIS)")</f>
        <v>-262.1</v>
      </c>
      <c r="I316" s="8" t="n">
        <f aca="false">SUMIFS('Source 2026'!$H:$H,'Source 2026'!$B:$B,$A316,'Source 2026'!$A:$A,"Amount (NIS)")</f>
        <v>0</v>
      </c>
      <c r="J316" s="8" t="n">
        <f aca="false">I316*$J$5</f>
        <v>0</v>
      </c>
      <c r="K316" s="8" t="n">
        <f aca="false">J316-H316</f>
        <v>262.1</v>
      </c>
      <c r="L316" s="9" t="n">
        <f aca="false">IF(AND(H316=0,J316=0),0,IF(H316=0,"New",(J316-H316)/H316))</f>
        <v>-1</v>
      </c>
    </row>
    <row r="317" customFormat="false" ht="15" hidden="false" customHeight="false" outlineLevel="0" collapsed="false">
      <c r="A317" s="7" t="n">
        <v>4403024</v>
      </c>
      <c r="B317" s="7" t="str">
        <f aca="false">IFERROR(INDEX('Source 2026'!$C:$C,MATCH($A317,'Source 2026'!$B:$B,0)),IFERROR(INDEX('Source 2025'!$C:$C,MATCH($A317,'Source 2025'!$B:$B,0)),""))</f>
        <v>394W 39-42 גרב.כסף לסכרתים לבן</v>
      </c>
      <c r="C317" s="8" t="n">
        <f aca="false">SUMIFS('Source 2025'!$H:$H,'Source 2025'!$B:$B,$A317,'Source 2025'!$A:$A,"Quantity (units)")</f>
        <v>78</v>
      </c>
      <c r="D317" s="8" t="n">
        <f aca="false">SUMIFS('Source 2026'!$H:$H,'Source 2026'!$B:$B,$A317,'Source 2026'!$A:$A,"Quantity (units)")</f>
        <v>65</v>
      </c>
      <c r="E317" s="8" t="n">
        <f aca="false">D317*$J$5</f>
        <v>89.1428571428571</v>
      </c>
      <c r="F317" s="8" t="n">
        <f aca="false">E317-C317</f>
        <v>11.1428571428571</v>
      </c>
      <c r="G317" s="9" t="n">
        <f aca="false">IF(AND(C317=0,E317=0),0,IF(C317=0,"New",(E317-C317)/C317))</f>
        <v>0.142857142857143</v>
      </c>
      <c r="H317" s="8" t="n">
        <f aca="false">SUMIFS('Source 2025'!$H:$H,'Source 2025'!$B:$B,$A317,'Source 2025'!$A:$A,"Amount (NIS)")</f>
        <v>1734.3</v>
      </c>
      <c r="I317" s="8" t="n">
        <f aca="false">SUMIFS('Source 2026'!$H:$H,'Source 2026'!$B:$B,$A317,'Source 2026'!$A:$A,"Amount (NIS)")</f>
        <v>1472.3</v>
      </c>
      <c r="J317" s="8" t="n">
        <f aca="false">I317*$J$5</f>
        <v>2019.15428571429</v>
      </c>
      <c r="K317" s="8" t="n">
        <f aca="false">J317-H317</f>
        <v>284.854285714286</v>
      </c>
      <c r="L317" s="9" t="n">
        <f aca="false">IF(AND(H317=0,J317=0),0,IF(H317=0,"New",(J317-H317)/H317))</f>
        <v>0.164247411471075</v>
      </c>
    </row>
    <row r="318" customFormat="false" ht="15" hidden="false" customHeight="false" outlineLevel="0" collapsed="false">
      <c r="A318" s="7" t="n">
        <v>4408062</v>
      </c>
      <c r="B318" s="7" t="str">
        <f aca="false">IFERROR(INDEX('Source 2026'!$C:$C,MATCH($A318,'Source 2026'!$B:$B,0)),IFERROR(INDEX('Source 2025'!$C:$C,MATCH($A318,'Source 2025'!$B:$B,0)),""))</f>
        <v>25 XL חבק יד אגודלי</v>
      </c>
      <c r="C318" s="8" t="n">
        <f aca="false">SUMIFS('Source 2025'!$H:$H,'Source 2025'!$B:$B,$A318,'Source 2025'!$A:$A,"Quantity (units)")</f>
        <v>-5</v>
      </c>
      <c r="D318" s="8" t="n">
        <f aca="false">SUMIFS('Source 2026'!$H:$H,'Source 2026'!$B:$B,$A318,'Source 2026'!$A:$A,"Quantity (units)")</f>
        <v>-1</v>
      </c>
      <c r="E318" s="8" t="n">
        <f aca="false">D318*$J$5</f>
        <v>-1.37142857142857</v>
      </c>
      <c r="F318" s="8" t="n">
        <f aca="false">E318-C318</f>
        <v>3.62857142857143</v>
      </c>
      <c r="G318" s="9" t="n">
        <f aca="false">IF(AND(C318=0,E318=0),0,IF(C318=0,"New",(E318-C318)/C318))</f>
        <v>-0.725714285714286</v>
      </c>
      <c r="H318" s="8" t="n">
        <f aca="false">SUMIFS('Source 2025'!$H:$H,'Source 2025'!$B:$B,$A318,'Source 2025'!$A:$A,"Amount (NIS)")</f>
        <v>-318.1</v>
      </c>
      <c r="I318" s="8" t="n">
        <f aca="false">SUMIFS('Source 2026'!$H:$H,'Source 2026'!$B:$B,$A318,'Source 2026'!$A:$A,"Amount (NIS)")</f>
        <v>-60.4</v>
      </c>
      <c r="J318" s="8" t="n">
        <f aca="false">I318*$J$5</f>
        <v>-82.8342857142857</v>
      </c>
      <c r="K318" s="8" t="n">
        <f aca="false">J318-H318</f>
        <v>235.265714285714</v>
      </c>
      <c r="L318" s="9" t="n">
        <f aca="false">IF(AND(H318=0,J318=0),0,IF(H318=0,"New",(J318-H318)/H318))</f>
        <v>-0.739596712624063</v>
      </c>
    </row>
    <row r="319" customFormat="false" ht="15" hidden="false" customHeight="false" outlineLevel="0" collapsed="false">
      <c r="A319" s="7" t="n">
        <v>4413051</v>
      </c>
      <c r="B319" s="7" t="str">
        <f aca="false">IFERROR(INDEX('Source 2026'!$C:$C,MATCH($A319,'Source 2026'!$B:$B,0)),IFERROR(INDEX('Source 2025'!$C:$C,MATCH($A319,'Source 2025'!$B:$B,0)),""))</f>
        <v>35 XXL מגן קרסול לבן</v>
      </c>
      <c r="C319" s="8" t="n">
        <f aca="false">SUMIFS('Source 2025'!$H:$H,'Source 2025'!$B:$B,$A319,'Source 2025'!$A:$A,"Quantity (units)")</f>
        <v>88</v>
      </c>
      <c r="D319" s="8" t="n">
        <f aca="false">SUMIFS('Source 2026'!$H:$H,'Source 2026'!$B:$B,$A319,'Source 2026'!$A:$A,"Quantity (units)")</f>
        <v>77</v>
      </c>
      <c r="E319" s="8" t="n">
        <f aca="false">D319*$J$5</f>
        <v>105.6</v>
      </c>
      <c r="F319" s="8" t="n">
        <f aca="false">E319-C319</f>
        <v>17.6</v>
      </c>
      <c r="G319" s="9" t="n">
        <f aca="false">IF(AND(C319=0,E319=0),0,IF(C319=0,"New",(E319-C319)/C319))</f>
        <v>0.2</v>
      </c>
      <c r="H319" s="8" t="n">
        <f aca="false">SUMIFS('Source 2025'!$H:$H,'Source 2025'!$B:$B,$A319,'Source 2025'!$A:$A,"Amount (NIS)")</f>
        <v>2262.6</v>
      </c>
      <c r="I319" s="8" t="n">
        <f aca="false">SUMIFS('Source 2026'!$H:$H,'Source 2026'!$B:$B,$A319,'Source 2026'!$A:$A,"Amount (NIS)")</f>
        <v>2012.9</v>
      </c>
      <c r="J319" s="8" t="n">
        <f aca="false">I319*$J$5</f>
        <v>2760.54857142857</v>
      </c>
      <c r="K319" s="8" t="n">
        <f aca="false">J319-H319</f>
        <v>497.948571428572</v>
      </c>
      <c r="L319" s="9" t="n">
        <f aca="false">IF(AND(H319=0,J319=0),0,IF(H319=0,"New",(J319-H319)/H319))</f>
        <v>0.220078039171118</v>
      </c>
    </row>
    <row r="320" customFormat="false" ht="15" hidden="false" customHeight="false" outlineLevel="0" collapsed="false">
      <c r="A320" s="7" t="n">
        <v>4416009</v>
      </c>
      <c r="B320" s="7" t="str">
        <f aca="false">IFERROR(INDEX('Source 2026'!$C:$C,MATCH($A320,'Source 2026'!$B:$B,0)),IFERROR(INDEX('Source 2025'!$C:$C,MATCH($A320,'Source 2025'!$B:$B,0)),""))</f>
        <v>309 S תתמוקפאעקב סיליקון+ קשת</v>
      </c>
      <c r="C320" s="8" t="n">
        <f aca="false">SUMIFS('Source 2025'!$H:$H,'Source 2025'!$B:$B,$A320,'Source 2025'!$A:$A,"Quantity (units)")</f>
        <v>-3</v>
      </c>
      <c r="D320" s="8" t="n">
        <f aca="false">SUMIFS('Source 2026'!$H:$H,'Source 2026'!$B:$B,$A320,'Source 2026'!$A:$A,"Quantity (units)")</f>
        <v>0</v>
      </c>
      <c r="E320" s="8" t="n">
        <f aca="false">D320*$J$5</f>
        <v>0</v>
      </c>
      <c r="F320" s="8" t="n">
        <f aca="false">E320-C320</f>
        <v>3</v>
      </c>
      <c r="G320" s="9" t="n">
        <f aca="false">IF(AND(C320=0,E320=0),0,IF(C320=0,"New",(E320-C320)/C320))</f>
        <v>-1</v>
      </c>
      <c r="H320" s="8" t="n">
        <f aca="false">SUMIFS('Source 2025'!$H:$H,'Source 2025'!$B:$B,$A320,'Source 2025'!$A:$A,"Amount (NIS)")</f>
        <v>-241.3</v>
      </c>
      <c r="I320" s="8" t="n">
        <f aca="false">SUMIFS('Source 2026'!$H:$H,'Source 2026'!$B:$B,$A320,'Source 2026'!$A:$A,"Amount (NIS)")</f>
        <v>0</v>
      </c>
      <c r="J320" s="8" t="n">
        <f aca="false">I320*$J$5</f>
        <v>0</v>
      </c>
      <c r="K320" s="8" t="n">
        <f aca="false">J320-H320</f>
        <v>241.3</v>
      </c>
      <c r="L320" s="9" t="n">
        <f aca="false">IF(AND(H320=0,J320=0),0,IF(H320=0,"New",(J320-H320)/H320))</f>
        <v>-1</v>
      </c>
    </row>
    <row r="321" customFormat="false" ht="15" hidden="false" customHeight="false" outlineLevel="0" collapsed="false">
      <c r="A321" s="7" t="n">
        <v>4408012</v>
      </c>
      <c r="B321" s="7" t="str">
        <f aca="false">IFERROR(INDEX('Source 2026'!$C:$C,MATCH($A321,'Source 2026'!$B:$B,0)),IFERROR(INDEX('Source 2025'!$C:$C,MATCH($A321,'Source 2025'!$B:$B,0)),""))</f>
        <v>079 XL ח.גב סג.כפולה שחור+אדום</v>
      </c>
      <c r="C321" s="8" t="n">
        <f aca="false">SUMIFS('Source 2025'!$H:$H,'Source 2025'!$B:$B,$A321,'Source 2025'!$A:$A,"Quantity (units)")</f>
        <v>-6</v>
      </c>
      <c r="D321" s="8" t="n">
        <f aca="false">SUMIFS('Source 2026'!$H:$H,'Source 2026'!$B:$B,$A321,'Source 2026'!$A:$A,"Quantity (units)")</f>
        <v>-3</v>
      </c>
      <c r="E321" s="8" t="n">
        <f aca="false">D321*$J$5</f>
        <v>-4.11428571428571</v>
      </c>
      <c r="F321" s="8" t="n">
        <f aca="false">E321-C321</f>
        <v>1.88571428571429</v>
      </c>
      <c r="G321" s="9" t="n">
        <f aca="false">IF(AND(C321=0,E321=0),0,IF(C321=0,"New",(E321-C321)/C321))</f>
        <v>-0.314285714285714</v>
      </c>
      <c r="H321" s="8" t="n">
        <f aca="false">SUMIFS('Source 2025'!$H:$H,'Source 2025'!$B:$B,$A321,'Source 2025'!$A:$A,"Amount (NIS)")</f>
        <v>-507.7</v>
      </c>
      <c r="I321" s="8" t="n">
        <f aca="false">SUMIFS('Source 2026'!$H:$H,'Source 2026'!$B:$B,$A321,'Source 2026'!$A:$A,"Amount (NIS)")</f>
        <v>-270</v>
      </c>
      <c r="J321" s="8" t="n">
        <f aca="false">I321*$J$5</f>
        <v>-370.285714285714</v>
      </c>
      <c r="K321" s="8" t="n">
        <f aca="false">J321-H321</f>
        <v>137.414285714286</v>
      </c>
      <c r="L321" s="9" t="n">
        <f aca="false">IF(AND(H321=0,J321=0),0,IF(H321=0,"New",(J321-H321)/H321))</f>
        <v>-0.270660401249332</v>
      </c>
    </row>
    <row r="322" customFormat="false" ht="15" hidden="false" customHeight="false" outlineLevel="0" collapsed="false">
      <c r="A322" s="7" t="n">
        <v>4413408</v>
      </c>
      <c r="B322" s="7" t="str">
        <f aca="false">IFERROR(INDEX('Source 2026'!$C:$C,MATCH($A322,'Source 2026'!$B:$B,0)),IFERROR(INDEX('Source 2025'!$C:$C,MATCH($A322,'Source 2025'!$B:$B,0)),""))</f>
        <v>SC95 XLמגן מרפק</v>
      </c>
      <c r="C322" s="8" t="n">
        <f aca="false">SUMIFS('Source 2025'!$H:$H,'Source 2025'!$B:$B,$A322,'Source 2025'!$A:$A,"Quantity (units)")</f>
        <v>13</v>
      </c>
      <c r="D322" s="8" t="n">
        <f aca="false">SUMIFS('Source 2026'!$H:$H,'Source 2026'!$B:$B,$A322,'Source 2026'!$A:$A,"Quantity (units)")</f>
        <v>16</v>
      </c>
      <c r="E322" s="8" t="n">
        <f aca="false">D322*$J$5</f>
        <v>21.9428571428571</v>
      </c>
      <c r="F322" s="8" t="n">
        <f aca="false">E322-C322</f>
        <v>8.94285714285714</v>
      </c>
      <c r="G322" s="9" t="n">
        <f aca="false">IF(AND(C322=0,E322=0),0,IF(C322=0,"New",(E322-C322)/C322))</f>
        <v>0.687912087912088</v>
      </c>
      <c r="H322" s="8" t="n">
        <f aca="false">SUMIFS('Source 2025'!$H:$H,'Source 2025'!$B:$B,$A322,'Source 2025'!$A:$A,"Amount (NIS)")</f>
        <v>964.7</v>
      </c>
      <c r="I322" s="8" t="n">
        <f aca="false">SUMIFS('Source 2026'!$H:$H,'Source 2026'!$B:$B,$A322,'Source 2026'!$A:$A,"Amount (NIS)")</f>
        <v>1200.5</v>
      </c>
      <c r="J322" s="8" t="n">
        <f aca="false">I322*$J$5</f>
        <v>1646.4</v>
      </c>
      <c r="K322" s="8" t="n">
        <f aca="false">J322-H322</f>
        <v>681.7</v>
      </c>
      <c r="L322" s="9" t="n">
        <f aca="false">IF(AND(H322=0,J322=0),0,IF(H322=0,"New",(J322-H322)/H322))</f>
        <v>0.706644552710687</v>
      </c>
    </row>
    <row r="323" customFormat="false" ht="15" hidden="false" customHeight="false" outlineLevel="0" collapsed="false">
      <c r="A323" s="7" t="n">
        <v>4413154</v>
      </c>
      <c r="B323" s="7" t="str">
        <f aca="false">IFERROR(INDEX('Source 2026'!$C:$C,MATCH($A323,'Source 2026'!$B:$B,0)),IFERROR(INDEX('Source 2025'!$C:$C,MATCH($A323,'Source 2025'!$B:$B,0)),""))</f>
        <v>305GA מדרס אורטופ.מתכוון37-38</v>
      </c>
      <c r="C323" s="8" t="n">
        <f aca="false">SUMIFS('Source 2025'!$H:$H,'Source 2025'!$B:$B,$A323,'Source 2025'!$A:$A,"Quantity (units)")</f>
        <v>9</v>
      </c>
      <c r="D323" s="8" t="n">
        <f aca="false">SUMIFS('Source 2026'!$H:$H,'Source 2026'!$B:$B,$A323,'Source 2026'!$A:$A,"Quantity (units)")</f>
        <v>15</v>
      </c>
      <c r="E323" s="8" t="n">
        <f aca="false">D323*$J$5</f>
        <v>20.5714285714286</v>
      </c>
      <c r="F323" s="8" t="n">
        <f aca="false">E323-C323</f>
        <v>11.5714285714286</v>
      </c>
      <c r="G323" s="9" t="n">
        <f aca="false">IF(AND(C323=0,E323=0),0,IF(C323=0,"New",(E323-C323)/C323))</f>
        <v>1.28571428571429</v>
      </c>
      <c r="H323" s="8" t="n">
        <f aca="false">SUMIFS('Source 2025'!$H:$H,'Source 2025'!$B:$B,$A323,'Source 2025'!$A:$A,"Amount (NIS)")</f>
        <v>764</v>
      </c>
      <c r="I323" s="8" t="n">
        <f aca="false">SUMIFS('Source 2026'!$H:$H,'Source 2026'!$B:$B,$A323,'Source 2026'!$A:$A,"Amount (NIS)")</f>
        <v>984</v>
      </c>
      <c r="J323" s="8" t="n">
        <f aca="false">I323*$J$5</f>
        <v>1349.48571428571</v>
      </c>
      <c r="K323" s="8" t="n">
        <f aca="false">J323-H323</f>
        <v>585.485714285714</v>
      </c>
      <c r="L323" s="9" t="n">
        <f aca="false">IF(AND(H323=0,J323=0),0,IF(H323=0,"New",(J323-H323)/H323))</f>
        <v>0.766342557965595</v>
      </c>
    </row>
    <row r="324" customFormat="false" ht="15" hidden="false" customHeight="false" outlineLevel="0" collapsed="false">
      <c r="A324" s="7" t="n">
        <v>4420007</v>
      </c>
      <c r="B324" s="7" t="str">
        <f aca="false">IFERROR(INDEX('Source 2026'!$C:$C,MATCH($A324,'Source 2026'!$B:$B,0)),IFERROR(INDEX('Source 2025'!$C:$C,MATCH($A324,'Source 2025'!$B:$B,0)),""))</f>
        <v>377   רפ.ורטופדית ספורט זוג38</v>
      </c>
      <c r="C324" s="8" t="n">
        <f aca="false">SUMIFS('Source 2025'!$H:$H,'Source 2025'!$B:$B,$A324,'Source 2025'!$A:$A,"Quantity (units)")</f>
        <v>6</v>
      </c>
      <c r="D324" s="8" t="n">
        <f aca="false">SUMIFS('Source 2026'!$H:$H,'Source 2026'!$B:$B,$A324,'Source 2026'!$A:$A,"Quantity (units)")</f>
        <v>0</v>
      </c>
      <c r="E324" s="8" t="n">
        <f aca="false">D324*$J$5</f>
        <v>0</v>
      </c>
      <c r="F324" s="8" t="n">
        <f aca="false">E324-C324</f>
        <v>-6</v>
      </c>
      <c r="G324" s="9" t="n">
        <f aca="false">IF(AND(C324=0,E324=0),0,IF(C324=0,"New",(E324-C324)/C324))</f>
        <v>-1</v>
      </c>
      <c r="H324" s="8" t="n">
        <f aca="false">SUMIFS('Source 2025'!$H:$H,'Source 2025'!$B:$B,$A324,'Source 2025'!$A:$A,"Amount (NIS)")</f>
        <v>219.1</v>
      </c>
      <c r="I324" s="8" t="n">
        <f aca="false">SUMIFS('Source 2026'!$H:$H,'Source 2026'!$B:$B,$A324,'Source 2026'!$A:$A,"Amount (NIS)")</f>
        <v>0</v>
      </c>
      <c r="J324" s="8" t="n">
        <f aca="false">I324*$J$5</f>
        <v>0</v>
      </c>
      <c r="K324" s="8" t="n">
        <f aca="false">J324-H324</f>
        <v>-219.1</v>
      </c>
      <c r="L324" s="9" t="n">
        <f aca="false">IF(AND(H324=0,J324=0),0,IF(H324=0,"New",(J324-H324)/H324))</f>
        <v>-1</v>
      </c>
    </row>
    <row r="325" customFormat="false" ht="15" hidden="false" customHeight="false" outlineLevel="0" collapsed="false">
      <c r="A325" s="7" t="n">
        <v>4413428</v>
      </c>
      <c r="B325" s="7" t="str">
        <f aca="false">IFERROR(INDEX('Source 2026'!$C:$C,MATCH($A325,'Source 2026'!$B:$B,0)),IFERROR(INDEX('Source 2025'!$C:$C,MATCH($A325,'Source 2025'!$B:$B,0)),""))</f>
        <v>332CL'מייצב קרסול עם שרוכים בז</v>
      </c>
      <c r="C325" s="8" t="n">
        <f aca="false">SUMIFS('Source 2025'!$H:$H,'Source 2025'!$B:$B,$A325,'Source 2025'!$A:$A,"Quantity (units)")</f>
        <v>-2</v>
      </c>
      <c r="D325" s="8" t="n">
        <f aca="false">SUMIFS('Source 2026'!$H:$H,'Source 2026'!$B:$B,$A325,'Source 2026'!$A:$A,"Quantity (units)")</f>
        <v>0</v>
      </c>
      <c r="E325" s="8" t="n">
        <f aca="false">D325*$J$5</f>
        <v>0</v>
      </c>
      <c r="F325" s="8" t="n">
        <f aca="false">E325-C325</f>
        <v>2</v>
      </c>
      <c r="G325" s="9" t="n">
        <f aca="false">IF(AND(C325=0,E325=0),0,IF(C325=0,"New",(E325-C325)/C325))</f>
        <v>-1</v>
      </c>
      <c r="H325" s="8" t="n">
        <f aca="false">SUMIFS('Source 2025'!$H:$H,'Source 2025'!$B:$B,$A325,'Source 2025'!$A:$A,"Amount (NIS)")</f>
        <v>-213</v>
      </c>
      <c r="I325" s="8" t="n">
        <f aca="false">SUMIFS('Source 2026'!$H:$H,'Source 2026'!$B:$B,$A325,'Source 2026'!$A:$A,"Amount (NIS)")</f>
        <v>0</v>
      </c>
      <c r="J325" s="8" t="n">
        <f aca="false">I325*$J$5</f>
        <v>0</v>
      </c>
      <c r="K325" s="8" t="n">
        <f aca="false">J325-H325</f>
        <v>213</v>
      </c>
      <c r="L325" s="9" t="n">
        <f aca="false">IF(AND(H325=0,J325=0),0,IF(H325=0,"New",(J325-H325)/H325))</f>
        <v>-1</v>
      </c>
    </row>
    <row r="326" customFormat="false" ht="15" hidden="false" customHeight="false" outlineLevel="0" collapsed="false">
      <c r="A326" s="7" t="n">
        <v>4413403</v>
      </c>
      <c r="B326" s="7" t="str">
        <f aca="false">IFERROR(INDEX('Source 2026'!$C:$C,MATCH($A326,'Source 2026'!$B:$B,0)),IFERROR(INDEX('Source 2025'!$C:$C,MATCH($A326,'Source 2025'!$B:$B,0)),""))</f>
        <v>78A L מגן למפרק כתף</v>
      </c>
      <c r="C326" s="8" t="n">
        <f aca="false">SUMIFS('Source 2025'!$H:$H,'Source 2025'!$B:$B,$A326,'Source 2025'!$A:$A,"Quantity (units)")</f>
        <v>0</v>
      </c>
      <c r="D326" s="8" t="n">
        <f aca="false">SUMIFS('Source 2026'!$H:$H,'Source 2026'!$B:$B,$A326,'Source 2026'!$A:$A,"Quantity (units)")</f>
        <v>-1</v>
      </c>
      <c r="E326" s="8" t="n">
        <f aca="false">D326*$J$5</f>
        <v>-1.37142857142857</v>
      </c>
      <c r="F326" s="8" t="n">
        <f aca="false">E326-C326</f>
        <v>-1.37142857142857</v>
      </c>
      <c r="G326" s="9" t="str">
        <f aca="false">IF(AND(C326=0,E326=0),0,IF(C326=0,"New",(E326-C326)/C326))</f>
        <v>New</v>
      </c>
      <c r="H326" s="8" t="n">
        <f aca="false">SUMIFS('Source 2025'!$H:$H,'Source 2025'!$B:$B,$A326,'Source 2025'!$A:$A,"Amount (NIS)")</f>
        <v>0</v>
      </c>
      <c r="I326" s="8" t="n">
        <f aca="false">SUMIFS('Source 2026'!$H:$H,'Source 2026'!$B:$B,$A326,'Source 2026'!$A:$A,"Amount (NIS)")</f>
        <v>-208.4</v>
      </c>
      <c r="J326" s="8" t="n">
        <f aca="false">I326*$J$5</f>
        <v>-285.805714285714</v>
      </c>
      <c r="K326" s="8" t="n">
        <f aca="false">J326-H326</f>
        <v>-285.805714285714</v>
      </c>
      <c r="L326" s="9" t="str">
        <f aca="false">IF(AND(H326=0,J326=0),0,IF(H326=0,"New",(J326-H326)/H326))</f>
        <v>New</v>
      </c>
    </row>
    <row r="327" customFormat="false" ht="15" hidden="false" customHeight="false" outlineLevel="0" collapsed="false">
      <c r="A327" s="7" t="n">
        <v>4408104</v>
      </c>
      <c r="B327" s="7" t="str">
        <f aca="false">IFERROR(INDEX('Source 2026'!$C:$C,MATCH($A327,'Source 2026'!$B:$B,0)),IFERROR(INDEX('Source 2025'!$C:$C,MATCH($A327,'Source 2025'!$B:$B,0)),""))</f>
        <v>19 L-XLחגורת הריון בכאב.חזק</v>
      </c>
      <c r="C327" s="8" t="n">
        <f aca="false">SUMIFS('Source 2025'!$H:$H,'Source 2025'!$B:$B,$A327,'Source 2025'!$A:$A,"Quantity (units)")</f>
        <v>0</v>
      </c>
      <c r="D327" s="8" t="n">
        <f aca="false">SUMIFS('Source 2026'!$H:$H,'Source 2026'!$B:$B,$A327,'Source 2026'!$A:$A,"Quantity (units)")</f>
        <v>-1</v>
      </c>
      <c r="E327" s="8" t="n">
        <f aca="false">D327*$J$5</f>
        <v>-1.37142857142857</v>
      </c>
      <c r="F327" s="8" t="n">
        <f aca="false">E327-C327</f>
        <v>-1.37142857142857</v>
      </c>
      <c r="G327" s="9" t="str">
        <f aca="false">IF(AND(C327=0,E327=0),0,IF(C327=0,"New",(E327-C327)/C327))</f>
        <v>New</v>
      </c>
      <c r="H327" s="8" t="n">
        <f aca="false">SUMIFS('Source 2025'!$H:$H,'Source 2025'!$B:$B,$A327,'Source 2025'!$A:$A,"Amount (NIS)")</f>
        <v>0</v>
      </c>
      <c r="I327" s="8" t="n">
        <f aca="false">SUMIFS('Source 2026'!$H:$H,'Source 2026'!$B:$B,$A327,'Source 2026'!$A:$A,"Amount (NIS)")</f>
        <v>-207.2</v>
      </c>
      <c r="J327" s="8" t="n">
        <f aca="false">I327*$J$5</f>
        <v>-284.16</v>
      </c>
      <c r="K327" s="8" t="n">
        <f aca="false">J327-H327</f>
        <v>-284.16</v>
      </c>
      <c r="L327" s="9" t="str">
        <f aca="false">IF(AND(H327=0,J327=0),0,IF(H327=0,"New",(J327-H327)/H327))</f>
        <v>New</v>
      </c>
    </row>
    <row r="328" customFormat="false" ht="15" hidden="false" customHeight="false" outlineLevel="0" collapsed="false">
      <c r="A328" s="7" t="n">
        <v>4413188</v>
      </c>
      <c r="B328" s="7" t="str">
        <f aca="false">IFERROR(INDEX('Source 2026'!$C:$C,MATCH($A328,'Source 2026'!$B:$B,0)),IFERROR(INDEX('Source 2025'!$C:$C,MATCH($A328,'Source 2025'!$B:$B,0)),""))</f>
        <v>T43SKI L מגן ברך לסקי</v>
      </c>
      <c r="C328" s="8" t="n">
        <f aca="false">SUMIFS('Source 2025'!$H:$H,'Source 2025'!$B:$B,$A328,'Source 2025'!$A:$A,"Quantity (units)")</f>
        <v>0</v>
      </c>
      <c r="D328" s="8" t="n">
        <f aca="false">SUMIFS('Source 2026'!$H:$H,'Source 2026'!$B:$B,$A328,'Source 2026'!$A:$A,"Quantity (units)")</f>
        <v>-1</v>
      </c>
      <c r="E328" s="8" t="n">
        <f aca="false">D328*$J$5</f>
        <v>-1.37142857142857</v>
      </c>
      <c r="F328" s="8" t="n">
        <f aca="false">E328-C328</f>
        <v>-1.37142857142857</v>
      </c>
      <c r="G328" s="9" t="str">
        <f aca="false">IF(AND(C328=0,E328=0),0,IF(C328=0,"New",(E328-C328)/C328))</f>
        <v>New</v>
      </c>
      <c r="H328" s="8" t="n">
        <f aca="false">SUMIFS('Source 2025'!$H:$H,'Source 2025'!$B:$B,$A328,'Source 2025'!$A:$A,"Amount (NIS)")</f>
        <v>0</v>
      </c>
      <c r="I328" s="8" t="n">
        <f aca="false">SUMIFS('Source 2026'!$H:$H,'Source 2026'!$B:$B,$A328,'Source 2026'!$A:$A,"Amount (NIS)")</f>
        <v>-204.8</v>
      </c>
      <c r="J328" s="8" t="n">
        <f aca="false">I328*$J$5</f>
        <v>-280.868571428571</v>
      </c>
      <c r="K328" s="8" t="n">
        <f aca="false">J328-H328</f>
        <v>-280.868571428571</v>
      </c>
      <c r="L328" s="9" t="str">
        <f aca="false">IF(AND(H328=0,J328=0),0,IF(H328=0,"New",(J328-H328)/H328))</f>
        <v>New</v>
      </c>
    </row>
    <row r="329" customFormat="false" ht="15" hidden="false" customHeight="false" outlineLevel="0" collapsed="false">
      <c r="A329" s="7" t="n">
        <v>4416006</v>
      </c>
      <c r="B329" s="7" t="str">
        <f aca="false">IFERROR(INDEX('Source 2026'!$C:$C,MATCH($A329,'Source 2026'!$B:$B,0)),IFERROR(INDEX('Source 2025'!$C:$C,MATCH($A329,'Source 2025'!$B:$B,0)),""))</f>
        <v>308 Sעקבים סיליק.כחול לדורבן</v>
      </c>
      <c r="C329" s="8" t="n">
        <f aca="false">SUMIFS('Source 2025'!$H:$H,'Source 2025'!$B:$B,$A329,'Source 2025'!$A:$A,"Quantity (units)")</f>
        <v>-5</v>
      </c>
      <c r="D329" s="8" t="n">
        <f aca="false">SUMIFS('Source 2026'!$H:$H,'Source 2026'!$B:$B,$A329,'Source 2026'!$A:$A,"Quantity (units)")</f>
        <v>-1</v>
      </c>
      <c r="E329" s="8" t="n">
        <f aca="false">D329*$J$5</f>
        <v>-1.37142857142857</v>
      </c>
      <c r="F329" s="8" t="n">
        <f aca="false">E329-C329</f>
        <v>3.62857142857143</v>
      </c>
      <c r="G329" s="9" t="n">
        <f aca="false">IF(AND(C329=0,E329=0),0,IF(C329=0,"New",(E329-C329)/C329))</f>
        <v>-0.725714285714286</v>
      </c>
      <c r="H329" s="8" t="n">
        <f aca="false">SUMIFS('Source 2025'!$H:$H,'Source 2025'!$B:$B,$A329,'Source 2025'!$A:$A,"Amount (NIS)")</f>
        <v>-245.6</v>
      </c>
      <c r="I329" s="8" t="n">
        <f aca="false">SUMIFS('Source 2026'!$H:$H,'Source 2026'!$B:$B,$A329,'Source 2026'!$A:$A,"Amount (NIS)")</f>
        <v>-48.1</v>
      </c>
      <c r="J329" s="8" t="n">
        <f aca="false">I329*$J$5</f>
        <v>-65.9657142857143</v>
      </c>
      <c r="K329" s="8" t="n">
        <f aca="false">J329-H329</f>
        <v>179.634285714286</v>
      </c>
      <c r="L329" s="9" t="n">
        <f aca="false">IF(AND(H329=0,J329=0),0,IF(H329=0,"New",(J329-H329)/H329))</f>
        <v>-0.731409958120056</v>
      </c>
    </row>
    <row r="330" customFormat="false" ht="15" hidden="false" customHeight="false" outlineLevel="0" collapsed="false">
      <c r="A330" s="7" t="n">
        <v>4415165</v>
      </c>
      <c r="B330" s="7" t="str">
        <f aca="false">IFERROR(INDEX('Source 2026'!$C:$C,MATCH($A330,'Source 2026'!$B:$B,0)),IFERROR(INDEX('Source 2025'!$C:$C,MATCH($A330,'Source 2025'!$B:$B,0)),""))</f>
        <v>267LC   S-M'סד יד שמאל בז</v>
      </c>
      <c r="C330" s="8" t="n">
        <f aca="false">SUMIFS('Source 2025'!$H:$H,'Source 2025'!$B:$B,$A330,'Source 2025'!$A:$A,"Quantity (units)")</f>
        <v>-2</v>
      </c>
      <c r="D330" s="8" t="n">
        <f aca="false">SUMIFS('Source 2026'!$H:$H,'Source 2026'!$B:$B,$A330,'Source 2026'!$A:$A,"Quantity (units)")</f>
        <v>0</v>
      </c>
      <c r="E330" s="8" t="n">
        <f aca="false">D330*$J$5</f>
        <v>0</v>
      </c>
      <c r="F330" s="8" t="n">
        <f aca="false">E330-C330</f>
        <v>2</v>
      </c>
      <c r="G330" s="9" t="n">
        <f aca="false">IF(AND(C330=0,E330=0),0,IF(C330=0,"New",(E330-C330)/C330))</f>
        <v>-1</v>
      </c>
      <c r="H330" s="8" t="n">
        <f aca="false">SUMIFS('Source 2025'!$H:$H,'Source 2025'!$B:$B,$A330,'Source 2025'!$A:$A,"Amount (NIS)")</f>
        <v>-188.4</v>
      </c>
      <c r="I330" s="8" t="n">
        <f aca="false">SUMIFS('Source 2026'!$H:$H,'Source 2026'!$B:$B,$A330,'Source 2026'!$A:$A,"Amount (NIS)")</f>
        <v>0</v>
      </c>
      <c r="J330" s="8" t="n">
        <f aca="false">I330*$J$5</f>
        <v>0</v>
      </c>
      <c r="K330" s="8" t="n">
        <f aca="false">J330-H330</f>
        <v>188.4</v>
      </c>
      <c r="L330" s="9" t="n">
        <f aca="false">IF(AND(H330=0,J330=0),0,IF(H330=0,"New",(J330-H330)/H330))</f>
        <v>-1</v>
      </c>
    </row>
    <row r="331" customFormat="false" ht="15" hidden="false" customHeight="false" outlineLevel="0" collapsed="false">
      <c r="A331" s="7" t="n">
        <v>4413285</v>
      </c>
      <c r="B331" s="7" t="str">
        <f aca="false">IFERROR(INDEX('Source 2026'!$C:$C,MATCH($A331,'Source 2026'!$B:$B,0)),IFERROR(INDEX('Source 2025'!$C:$C,MATCH($A331,'Source 2025'!$B:$B,0)),""))</f>
        <v>305GA מדרס מתכוונן47-48</v>
      </c>
      <c r="C331" s="8" t="n">
        <f aca="false">SUMIFS('Source 2025'!$H:$H,'Source 2025'!$B:$B,$A331,'Source 2025'!$A:$A,"Quantity (units)")</f>
        <v>-3</v>
      </c>
      <c r="D331" s="8" t="n">
        <f aca="false">SUMIFS('Source 2026'!$H:$H,'Source 2026'!$B:$B,$A331,'Source 2026'!$A:$A,"Quantity (units)")</f>
        <v>0</v>
      </c>
      <c r="E331" s="8" t="n">
        <f aca="false">D331*$J$5</f>
        <v>0</v>
      </c>
      <c r="F331" s="8" t="n">
        <f aca="false">E331-C331</f>
        <v>3</v>
      </c>
      <c r="G331" s="9" t="n">
        <f aca="false">IF(AND(C331=0,E331=0),0,IF(C331=0,"New",(E331-C331)/C331))</f>
        <v>-1</v>
      </c>
      <c r="H331" s="8" t="n">
        <f aca="false">SUMIFS('Source 2025'!$H:$H,'Source 2025'!$B:$B,$A331,'Source 2025'!$A:$A,"Amount (NIS)")</f>
        <v>-185.8</v>
      </c>
      <c r="I331" s="8" t="n">
        <f aca="false">SUMIFS('Source 2026'!$H:$H,'Source 2026'!$B:$B,$A331,'Source 2026'!$A:$A,"Amount (NIS)")</f>
        <v>0</v>
      </c>
      <c r="J331" s="8" t="n">
        <f aca="false">I331*$J$5</f>
        <v>0</v>
      </c>
      <c r="K331" s="8" t="n">
        <f aca="false">J331-H331</f>
        <v>185.8</v>
      </c>
      <c r="L331" s="9" t="n">
        <f aca="false">IF(AND(H331=0,J331=0),0,IF(H331=0,"New",(J331-H331)/H331))</f>
        <v>-1</v>
      </c>
    </row>
    <row r="332" customFormat="false" ht="15" hidden="false" customHeight="false" outlineLevel="0" collapsed="false">
      <c r="A332" s="7" t="n">
        <v>4420014</v>
      </c>
      <c r="B332" s="7" t="str">
        <f aca="false">IFERROR(INDEX('Source 2026'!$C:$C,MATCH($A332,'Source 2026'!$B:$B,0)),IFERROR(INDEX('Source 2025'!$C:$C,MATCH($A332,'Source 2025'!$B:$B,0)),""))</f>
        <v>377 רפ.אורטופדית ספורט זוג45</v>
      </c>
      <c r="C332" s="8" t="n">
        <f aca="false">SUMIFS('Source 2025'!$H:$H,'Source 2025'!$B:$B,$A332,'Source 2025'!$A:$A,"Quantity (units)")</f>
        <v>-5</v>
      </c>
      <c r="D332" s="8" t="n">
        <f aca="false">SUMIFS('Source 2026'!$H:$H,'Source 2026'!$B:$B,$A332,'Source 2026'!$A:$A,"Quantity (units)")</f>
        <v>0</v>
      </c>
      <c r="E332" s="8" t="n">
        <f aca="false">D332*$J$5</f>
        <v>0</v>
      </c>
      <c r="F332" s="8" t="n">
        <f aca="false">E332-C332</f>
        <v>5</v>
      </c>
      <c r="G332" s="9" t="n">
        <f aca="false">IF(AND(C332=0,E332=0),0,IF(C332=0,"New",(E332-C332)/C332))</f>
        <v>-1</v>
      </c>
      <c r="H332" s="8" t="n">
        <f aca="false">SUMIFS('Source 2025'!$H:$H,'Source 2025'!$B:$B,$A332,'Source 2025'!$A:$A,"Amount (NIS)")</f>
        <v>-182.6</v>
      </c>
      <c r="I332" s="8" t="n">
        <f aca="false">SUMIFS('Source 2026'!$H:$H,'Source 2026'!$B:$B,$A332,'Source 2026'!$A:$A,"Amount (NIS)")</f>
        <v>0</v>
      </c>
      <c r="J332" s="8" t="n">
        <f aca="false">I332*$J$5</f>
        <v>0</v>
      </c>
      <c r="K332" s="8" t="n">
        <f aca="false">J332-H332</f>
        <v>182.6</v>
      </c>
      <c r="L332" s="9" t="n">
        <f aca="false">IF(AND(H332=0,J332=0),0,IF(H332=0,"New",(J332-H332)/H332))</f>
        <v>-1</v>
      </c>
    </row>
    <row r="333" customFormat="false" ht="15" hidden="false" customHeight="false" outlineLevel="0" collapsed="false">
      <c r="A333" s="7" t="n">
        <v>4413517</v>
      </c>
      <c r="B333" s="7" t="str">
        <f aca="false">IFERROR(INDEX('Source 2026'!$C:$C,MATCH($A333,'Source 2026'!$B:$B,0)),IFERROR(INDEX('Source 2025'!$C:$C,MATCH($A333,'Source 2025'!$B:$B,0)),""))</f>
        <v>85B M מתלה רשת לזרוע שחור</v>
      </c>
      <c r="C333" s="8" t="n">
        <f aca="false">SUMIFS('Source 2025'!$H:$H,'Source 2025'!$B:$B,$A333,'Source 2025'!$A:$A,"Quantity (units)")</f>
        <v>802</v>
      </c>
      <c r="D333" s="8" t="n">
        <f aca="false">SUMIFS('Source 2026'!$H:$H,'Source 2026'!$B:$B,$A333,'Source 2026'!$A:$A,"Quantity (units)")</f>
        <v>805</v>
      </c>
      <c r="E333" s="8" t="n">
        <f aca="false">D333*$J$5</f>
        <v>1104</v>
      </c>
      <c r="F333" s="8" t="n">
        <f aca="false">E333-C333</f>
        <v>302</v>
      </c>
      <c r="G333" s="9" t="n">
        <f aca="false">IF(AND(C333=0,E333=0),0,IF(C333=0,"New",(E333-C333)/C333))</f>
        <v>0.376558603491272</v>
      </c>
      <c r="H333" s="8" t="n">
        <f aca="false">SUMIFS('Source 2025'!$H:$H,'Source 2025'!$B:$B,$A333,'Source 2025'!$A:$A,"Amount (NIS)")</f>
        <v>39247.7</v>
      </c>
      <c r="I333" s="8" t="n">
        <f aca="false">SUMIFS('Source 2026'!$H:$H,'Source 2026'!$B:$B,$A333,'Source 2026'!$A:$A,"Amount (NIS)")</f>
        <v>39426.8</v>
      </c>
      <c r="J333" s="8" t="n">
        <f aca="false">I333*$J$5</f>
        <v>54071.04</v>
      </c>
      <c r="K333" s="8" t="n">
        <f aca="false">J333-H333</f>
        <v>14823.34</v>
      </c>
      <c r="L333" s="9" t="n">
        <f aca="false">IF(AND(H333=0,J333=0),0,IF(H333=0,"New",(J333-H333)/H333))</f>
        <v>0.377686845343804</v>
      </c>
    </row>
    <row r="334" customFormat="false" ht="15" hidden="false" customHeight="false" outlineLevel="0" collapsed="false">
      <c r="A334" s="7" t="n">
        <v>4408038</v>
      </c>
      <c r="B334" s="7" t="str">
        <f aca="false">IFERROR(INDEX('Source 2026'!$C:$C,MATCH($A334,'Source 2026'!$B:$B,0)),IFERROR(INDEX('Source 2025'!$C:$C,MATCH($A334,'Source 2025'!$B:$B,0)),""))</f>
        <v>12 M ח.גב מגנטית+מוטות תמיכה</v>
      </c>
      <c r="C334" s="8" t="n">
        <f aca="false">SUMIFS('Source 2025'!$H:$H,'Source 2025'!$B:$B,$A334,'Source 2025'!$A:$A,"Quantity (units)")</f>
        <v>-1</v>
      </c>
      <c r="D334" s="8" t="n">
        <f aca="false">SUMIFS('Source 2026'!$H:$H,'Source 2026'!$B:$B,$A334,'Source 2026'!$A:$A,"Quantity (units)")</f>
        <v>0</v>
      </c>
      <c r="E334" s="8" t="n">
        <f aca="false">D334*$J$5</f>
        <v>0</v>
      </c>
      <c r="F334" s="8" t="n">
        <f aca="false">E334-C334</f>
        <v>1</v>
      </c>
      <c r="G334" s="9" t="n">
        <f aca="false">IF(AND(C334=0,E334=0),0,IF(C334=0,"New",(E334-C334)/C334))</f>
        <v>-1</v>
      </c>
      <c r="H334" s="8" t="n">
        <f aca="false">SUMIFS('Source 2025'!$H:$H,'Source 2025'!$B:$B,$A334,'Source 2025'!$A:$A,"Amount (NIS)")</f>
        <v>-178.6</v>
      </c>
      <c r="I334" s="8" t="n">
        <f aca="false">SUMIFS('Source 2026'!$H:$H,'Source 2026'!$B:$B,$A334,'Source 2026'!$A:$A,"Amount (NIS)")</f>
        <v>0</v>
      </c>
      <c r="J334" s="8" t="n">
        <f aca="false">I334*$J$5</f>
        <v>0</v>
      </c>
      <c r="K334" s="8" t="n">
        <f aca="false">J334-H334</f>
        <v>178.6</v>
      </c>
      <c r="L334" s="9" t="n">
        <f aca="false">IF(AND(H334=0,J334=0),0,IF(H334=0,"New",(J334-H334)/H334))</f>
        <v>-1</v>
      </c>
    </row>
    <row r="335" customFormat="false" ht="15" hidden="false" customHeight="false" outlineLevel="0" collapsed="false">
      <c r="A335" s="7" t="n">
        <v>4408039</v>
      </c>
      <c r="B335" s="7" t="str">
        <f aca="false">IFERROR(INDEX('Source 2026'!$C:$C,MATCH($A335,'Source 2026'!$B:$B,0)),IFERROR(INDEX('Source 2025'!$C:$C,MATCH($A335,'Source 2025'!$B:$B,0)),""))</f>
        <v>12 XL ח.גב מגנטית+מוטות תמיכה</v>
      </c>
      <c r="C335" s="8" t="n">
        <f aca="false">SUMIFS('Source 2025'!$H:$H,'Source 2025'!$B:$B,$A335,'Source 2025'!$A:$A,"Quantity (units)")</f>
        <v>0</v>
      </c>
      <c r="D335" s="8" t="n">
        <f aca="false">SUMIFS('Source 2026'!$H:$H,'Source 2026'!$B:$B,$A335,'Source 2026'!$A:$A,"Quantity (units)")</f>
        <v>-1</v>
      </c>
      <c r="E335" s="8" t="n">
        <f aca="false">D335*$J$5</f>
        <v>-1.37142857142857</v>
      </c>
      <c r="F335" s="8" t="n">
        <f aca="false">E335-C335</f>
        <v>-1.37142857142857</v>
      </c>
      <c r="G335" s="9" t="str">
        <f aca="false">IF(AND(C335=0,E335=0),0,IF(C335=0,"New",(E335-C335)/C335))</f>
        <v>New</v>
      </c>
      <c r="H335" s="8" t="n">
        <f aca="false">SUMIFS('Source 2025'!$H:$H,'Source 2025'!$B:$B,$A335,'Source 2025'!$A:$A,"Amount (NIS)")</f>
        <v>0</v>
      </c>
      <c r="I335" s="8" t="n">
        <f aca="false">SUMIFS('Source 2026'!$H:$H,'Source 2026'!$B:$B,$A335,'Source 2026'!$A:$A,"Amount (NIS)")</f>
        <v>-178.6</v>
      </c>
      <c r="J335" s="8" t="n">
        <f aca="false">I335*$J$5</f>
        <v>-244.937142857143</v>
      </c>
      <c r="K335" s="8" t="n">
        <f aca="false">J335-H335</f>
        <v>-244.937142857143</v>
      </c>
      <c r="L335" s="9" t="str">
        <f aca="false">IF(AND(H335=0,J335=0),0,IF(H335=0,"New",(J335-H335)/H335))</f>
        <v>New</v>
      </c>
    </row>
    <row r="336" customFormat="false" ht="15" hidden="false" customHeight="false" outlineLevel="0" collapsed="false">
      <c r="A336" s="7" t="n">
        <v>4403008</v>
      </c>
      <c r="B336" s="7" t="str">
        <f aca="false">IFERROR(INDEX('Source 2026'!$C:$C,MATCH($A336,'Source 2026'!$B:$B,0)),IFERROR(INDEX('Source 2025'!$C:$C,MATCH($A336,'Source 2025'!$B:$B,0)),""))</f>
        <v>390W גרב.כסף לסכרתיים לבן43-46</v>
      </c>
      <c r="C336" s="8" t="n">
        <f aca="false">SUMIFS('Source 2025'!$H:$H,'Source 2025'!$B:$B,$A336,'Source 2025'!$A:$A,"Quantity (units)")</f>
        <v>34</v>
      </c>
      <c r="D336" s="8" t="n">
        <f aca="false">SUMIFS('Source 2026'!$H:$H,'Source 2026'!$B:$B,$A336,'Source 2026'!$A:$A,"Quantity (units)")</f>
        <v>28</v>
      </c>
      <c r="E336" s="8" t="n">
        <f aca="false">D336*$J$5</f>
        <v>38.4</v>
      </c>
      <c r="F336" s="8" t="n">
        <f aca="false">E336-C336</f>
        <v>4.4</v>
      </c>
      <c r="G336" s="9" t="n">
        <f aca="false">IF(AND(C336=0,E336=0),0,IF(C336=0,"New",(E336-C336)/C336))</f>
        <v>0.129411764705882</v>
      </c>
      <c r="H336" s="8" t="n">
        <f aca="false">SUMIFS('Source 2025'!$H:$H,'Source 2025'!$B:$B,$A336,'Source 2025'!$A:$A,"Amount (NIS)")</f>
        <v>992.3</v>
      </c>
      <c r="I336" s="8" t="n">
        <f aca="false">SUMIFS('Source 2026'!$H:$H,'Source 2026'!$B:$B,$A336,'Source 2026'!$A:$A,"Amount (NIS)")</f>
        <v>814.5</v>
      </c>
      <c r="J336" s="8" t="n">
        <f aca="false">I336*$J$5</f>
        <v>1117.02857142857</v>
      </c>
      <c r="K336" s="8" t="n">
        <f aca="false">J336-H336</f>
        <v>124.728571428572</v>
      </c>
      <c r="L336" s="9" t="n">
        <f aca="false">IF(AND(H336=0,J336=0),0,IF(H336=0,"New",(J336-H336)/H336))</f>
        <v>0.125696433970142</v>
      </c>
    </row>
    <row r="337" customFormat="false" ht="15" hidden="false" customHeight="false" outlineLevel="0" collapsed="false">
      <c r="A337" s="7" t="n">
        <v>4409002</v>
      </c>
      <c r="B337" s="7" t="str">
        <f aca="false">IFERROR(INDEX('Source 2026'!$C:$C,MATCH($A337,'Source 2026'!$B:$B,0)),IFERROR(INDEX('Source 2025'!$C:$C,MATCH($A337,'Source 2025'!$B:$B,0)),""))</f>
        <v>FC341-טיפות נגד פטרת הציפורן</v>
      </c>
      <c r="C337" s="8" t="n">
        <f aca="false">SUMIFS('Source 2025'!$H:$H,'Source 2025'!$B:$B,$A337,'Source 2025'!$A:$A,"Quantity (units)")</f>
        <v>-8</v>
      </c>
      <c r="D337" s="8" t="n">
        <f aca="false">SUMIFS('Source 2026'!$H:$H,'Source 2026'!$B:$B,$A337,'Source 2026'!$A:$A,"Quantity (units)")</f>
        <v>-2</v>
      </c>
      <c r="E337" s="8" t="n">
        <f aca="false">D337*$J$5</f>
        <v>-2.74285714285714</v>
      </c>
      <c r="F337" s="8" t="n">
        <f aca="false">E337-C337</f>
        <v>5.25714285714286</v>
      </c>
      <c r="G337" s="9" t="n">
        <f aca="false">IF(AND(C337=0,E337=0),0,IF(C337=0,"New",(E337-C337)/C337))</f>
        <v>-0.657142857142857</v>
      </c>
      <c r="H337" s="8" t="n">
        <f aca="false">SUMIFS('Source 2025'!$H:$H,'Source 2025'!$B:$B,$A337,'Source 2025'!$A:$A,"Amount (NIS)")</f>
        <v>-235.1</v>
      </c>
      <c r="I337" s="8" t="n">
        <f aca="false">SUMIFS('Source 2026'!$H:$H,'Source 2026'!$B:$B,$A337,'Source 2026'!$A:$A,"Amount (NIS)")</f>
        <v>-57.8</v>
      </c>
      <c r="J337" s="8" t="n">
        <f aca="false">I337*$J$5</f>
        <v>-79.2685714285714</v>
      </c>
      <c r="K337" s="8" t="n">
        <f aca="false">J337-H337</f>
        <v>155.831428571429</v>
      </c>
      <c r="L337" s="9" t="n">
        <f aca="false">IF(AND(H337=0,J337=0),0,IF(H337=0,"New",(J337-H337)/H337))</f>
        <v>-0.662830406513945</v>
      </c>
    </row>
    <row r="338" customFormat="false" ht="15" hidden="false" customHeight="false" outlineLevel="0" collapsed="false">
      <c r="A338" s="7" t="n">
        <v>4408091</v>
      </c>
      <c r="B338" s="7" t="str">
        <f aca="false">IFERROR(INDEX('Source 2026'!$C:$C,MATCH($A338,'Source 2026'!$B:$B,0)),IFERROR(INDEX('Source 2025'!$C:$C,MATCH($A338,'Source 2025'!$B:$B,0)),""))</f>
        <v>T11C M  חגורת גב פוג'יאמה</v>
      </c>
      <c r="C338" s="8" t="n">
        <f aca="false">SUMIFS('Source 2025'!$H:$H,'Source 2025'!$B:$B,$A338,'Source 2025'!$A:$A,"Quantity (units)")</f>
        <v>7</v>
      </c>
      <c r="D338" s="8" t="n">
        <f aca="false">SUMIFS('Source 2026'!$H:$H,'Source 2026'!$B:$B,$A338,'Source 2026'!$A:$A,"Quantity (units)")</f>
        <v>5</v>
      </c>
      <c r="E338" s="8" t="n">
        <f aca="false">D338*$J$5</f>
        <v>6.85714285714286</v>
      </c>
      <c r="F338" s="8" t="n">
        <f aca="false">E338-C338</f>
        <v>-0.142857142857142</v>
      </c>
      <c r="G338" s="9" t="n">
        <f aca="false">IF(AND(C338=0,E338=0),0,IF(C338=0,"New",(E338-C338)/C338))</f>
        <v>-0.0204081632653061</v>
      </c>
      <c r="H338" s="8" t="n">
        <f aca="false">SUMIFS('Source 2025'!$H:$H,'Source 2025'!$B:$B,$A338,'Source 2025'!$A:$A,"Amount (NIS)")</f>
        <v>573.3</v>
      </c>
      <c r="I338" s="8" t="n">
        <f aca="false">SUMIFS('Source 2026'!$H:$H,'Source 2026'!$B:$B,$A338,'Source 2026'!$A:$A,"Amount (NIS)")</f>
        <v>401.3</v>
      </c>
      <c r="J338" s="8" t="n">
        <f aca="false">I338*$J$5</f>
        <v>550.354285714286</v>
      </c>
      <c r="K338" s="8" t="n">
        <f aca="false">J338-H338</f>
        <v>-22.9457142857142</v>
      </c>
      <c r="L338" s="9" t="n">
        <f aca="false">IF(AND(H338=0,J338=0),0,IF(H338=0,"New",(J338-H338)/H338))</f>
        <v>-0.0400239216565746</v>
      </c>
    </row>
    <row r="339" customFormat="false" ht="15" hidden="false" customHeight="false" outlineLevel="0" collapsed="false">
      <c r="A339" s="7" t="n">
        <v>4408077</v>
      </c>
      <c r="B339" s="7" t="str">
        <f aca="false">IFERROR(INDEX('Source 2026'!$C:$C,MATCH($A339,'Source 2026'!$B:$B,0)),IFERROR(INDEX('Source 2025'!$C:$C,MATCH($A339,'Source 2025'!$B:$B,0)),""))</f>
        <v>59L M חגורת שבר לצד שמאל</v>
      </c>
      <c r="C339" s="8" t="n">
        <f aca="false">SUMIFS('Source 2025'!$H:$H,'Source 2025'!$B:$B,$A339,'Source 2025'!$A:$A,"Quantity (units)")</f>
        <v>-1</v>
      </c>
      <c r="D339" s="8" t="n">
        <f aca="false">SUMIFS('Source 2026'!$H:$H,'Source 2026'!$B:$B,$A339,'Source 2026'!$A:$A,"Quantity (units)")</f>
        <v>0</v>
      </c>
      <c r="E339" s="8" t="n">
        <f aca="false">D339*$J$5</f>
        <v>0</v>
      </c>
      <c r="F339" s="8" t="n">
        <f aca="false">E339-C339</f>
        <v>1</v>
      </c>
      <c r="G339" s="9" t="n">
        <f aca="false">IF(AND(C339=0,E339=0),0,IF(C339=0,"New",(E339-C339)/C339))</f>
        <v>-1</v>
      </c>
      <c r="H339" s="8" t="n">
        <f aca="false">SUMIFS('Source 2025'!$H:$H,'Source 2025'!$B:$B,$A339,'Source 2025'!$A:$A,"Amount (NIS)")</f>
        <v>-166.1</v>
      </c>
      <c r="I339" s="8" t="n">
        <f aca="false">SUMIFS('Source 2026'!$H:$H,'Source 2026'!$B:$B,$A339,'Source 2026'!$A:$A,"Amount (NIS)")</f>
        <v>0</v>
      </c>
      <c r="J339" s="8" t="n">
        <f aca="false">I339*$J$5</f>
        <v>0</v>
      </c>
      <c r="K339" s="8" t="n">
        <f aca="false">J339-H339</f>
        <v>166.1</v>
      </c>
      <c r="L339" s="9" t="n">
        <f aca="false">IF(AND(H339=0,J339=0),0,IF(H339=0,"New",(J339-H339)/H339))</f>
        <v>-1</v>
      </c>
    </row>
    <row r="340" customFormat="false" ht="15" hidden="false" customHeight="false" outlineLevel="0" collapsed="false">
      <c r="A340" s="7" t="n">
        <v>4408080</v>
      </c>
      <c r="B340" s="7" t="str">
        <f aca="false">IFERROR(INDEX('Source 2026'!$C:$C,MATCH($A340,'Source 2026'!$B:$B,0)),IFERROR(INDEX('Source 2025'!$C:$C,MATCH($A340,'Source 2025'!$B:$B,0)),""))</f>
        <v>59R L חגורת שבר לצד ימין</v>
      </c>
      <c r="C340" s="8" t="n">
        <f aca="false">SUMIFS('Source 2025'!$H:$H,'Source 2025'!$B:$B,$A340,'Source 2025'!$A:$A,"Quantity (units)")</f>
        <v>1</v>
      </c>
      <c r="D340" s="8" t="n">
        <f aca="false">SUMIFS('Source 2026'!$H:$H,'Source 2026'!$B:$B,$A340,'Source 2026'!$A:$A,"Quantity (units)")</f>
        <v>0</v>
      </c>
      <c r="E340" s="8" t="n">
        <f aca="false">D340*$J$5</f>
        <v>0</v>
      </c>
      <c r="F340" s="8" t="n">
        <f aca="false">E340-C340</f>
        <v>-1</v>
      </c>
      <c r="G340" s="9" t="n">
        <f aca="false">IF(AND(C340=0,E340=0),0,IF(C340=0,"New",(E340-C340)/C340))</f>
        <v>-1</v>
      </c>
      <c r="H340" s="8" t="n">
        <f aca="false">SUMIFS('Source 2025'!$H:$H,'Source 2025'!$B:$B,$A340,'Source 2025'!$A:$A,"Amount (NIS)")</f>
        <v>166.1</v>
      </c>
      <c r="I340" s="8" t="n">
        <f aca="false">SUMIFS('Source 2026'!$H:$H,'Source 2026'!$B:$B,$A340,'Source 2026'!$A:$A,"Amount (NIS)")</f>
        <v>0</v>
      </c>
      <c r="J340" s="8" t="n">
        <f aca="false">I340*$J$5</f>
        <v>0</v>
      </c>
      <c r="K340" s="8" t="n">
        <f aca="false">J340-H340</f>
        <v>-166.1</v>
      </c>
      <c r="L340" s="9" t="n">
        <f aca="false">IF(AND(H340=0,J340=0),0,IF(H340=0,"New",(J340-H340)/H340))</f>
        <v>-1</v>
      </c>
    </row>
    <row r="341" customFormat="false" ht="15" hidden="false" customHeight="false" outlineLevel="0" collapsed="false">
      <c r="A341" s="7" t="n">
        <v>4408081</v>
      </c>
      <c r="B341" s="7" t="str">
        <f aca="false">IFERROR(INDEX('Source 2026'!$C:$C,MATCH($A341,'Source 2026'!$B:$B,0)),IFERROR(INDEX('Source 2025'!$C:$C,MATCH($A341,'Source 2025'!$B:$B,0)),""))</f>
        <v>59R M חגורת שבר לצד ימין</v>
      </c>
      <c r="C341" s="8" t="n">
        <f aca="false">SUMIFS('Source 2025'!$H:$H,'Source 2025'!$B:$B,$A341,'Source 2025'!$A:$A,"Quantity (units)")</f>
        <v>-1</v>
      </c>
      <c r="D341" s="8" t="n">
        <f aca="false">SUMIFS('Source 2026'!$H:$H,'Source 2026'!$B:$B,$A341,'Source 2026'!$A:$A,"Quantity (units)")</f>
        <v>0</v>
      </c>
      <c r="E341" s="8" t="n">
        <f aca="false">D341*$J$5</f>
        <v>0</v>
      </c>
      <c r="F341" s="8" t="n">
        <f aca="false">E341-C341</f>
        <v>1</v>
      </c>
      <c r="G341" s="9" t="n">
        <f aca="false">IF(AND(C341=0,E341=0),0,IF(C341=0,"New",(E341-C341)/C341))</f>
        <v>-1</v>
      </c>
      <c r="H341" s="8" t="n">
        <f aca="false">SUMIFS('Source 2025'!$H:$H,'Source 2025'!$B:$B,$A341,'Source 2025'!$A:$A,"Amount (NIS)")</f>
        <v>-166.1</v>
      </c>
      <c r="I341" s="8" t="n">
        <f aca="false">SUMIFS('Source 2026'!$H:$H,'Source 2026'!$B:$B,$A341,'Source 2026'!$A:$A,"Amount (NIS)")</f>
        <v>0</v>
      </c>
      <c r="J341" s="8" t="n">
        <f aca="false">I341*$J$5</f>
        <v>0</v>
      </c>
      <c r="K341" s="8" t="n">
        <f aca="false">J341-H341</f>
        <v>166.1</v>
      </c>
      <c r="L341" s="9" t="n">
        <f aca="false">IF(AND(H341=0,J341=0),0,IF(H341=0,"New",(J341-H341)/H341))</f>
        <v>-1</v>
      </c>
    </row>
    <row r="342" customFormat="false" ht="15" hidden="false" customHeight="false" outlineLevel="0" collapsed="false">
      <c r="A342" s="7" t="n">
        <v>4415004</v>
      </c>
      <c r="B342" s="7" t="str">
        <f aca="false">IFERROR(INDEX('Source 2026'!$C:$C,MATCH($A342,'Source 2026'!$B:$B,0)),IFERROR(INDEX('Source 2025'!$C:$C,MATCH($A342,'Source 2025'!$B:$B,0)),""))</f>
        <v>26 XXL סד ליד דו צדדי לאחר שבר</v>
      </c>
      <c r="C342" s="8" t="n">
        <f aca="false">SUMIFS('Source 2025'!$H:$H,'Source 2025'!$B:$B,$A342,'Source 2025'!$A:$A,"Quantity (units)")</f>
        <v>2</v>
      </c>
      <c r="D342" s="8" t="n">
        <f aca="false">SUMIFS('Source 2026'!$H:$H,'Source 2026'!$B:$B,$A342,'Source 2026'!$A:$A,"Quantity (units)")</f>
        <v>0</v>
      </c>
      <c r="E342" s="8" t="n">
        <f aca="false">D342*$J$5</f>
        <v>0</v>
      </c>
      <c r="F342" s="8" t="n">
        <f aca="false">E342-C342</f>
        <v>-2</v>
      </c>
      <c r="G342" s="9" t="n">
        <f aca="false">IF(AND(C342=0,E342=0),0,IF(C342=0,"New",(E342-C342)/C342))</f>
        <v>-1</v>
      </c>
      <c r="H342" s="8" t="n">
        <f aca="false">SUMIFS('Source 2025'!$H:$H,'Source 2025'!$B:$B,$A342,'Source 2025'!$A:$A,"Amount (NIS)")</f>
        <v>163.8</v>
      </c>
      <c r="I342" s="8" t="n">
        <f aca="false">SUMIFS('Source 2026'!$H:$H,'Source 2026'!$B:$B,$A342,'Source 2026'!$A:$A,"Amount (NIS)")</f>
        <v>0</v>
      </c>
      <c r="J342" s="8" t="n">
        <f aca="false">I342*$J$5</f>
        <v>0</v>
      </c>
      <c r="K342" s="8" t="n">
        <f aca="false">J342-H342</f>
        <v>-163.8</v>
      </c>
      <c r="L342" s="9" t="n">
        <f aca="false">IF(AND(H342=0,J342=0),0,IF(H342=0,"New",(J342-H342)/H342))</f>
        <v>-1</v>
      </c>
    </row>
    <row r="343" customFormat="false" ht="15" hidden="false" customHeight="false" outlineLevel="0" collapsed="false">
      <c r="A343" s="7" t="n">
        <v>4413278</v>
      </c>
      <c r="B343" s="7" t="str">
        <f aca="false">IFERROR(INDEX('Source 2026'!$C:$C,MATCH($A343,'Source 2026'!$B:$B,0)),IFERROR(INDEX('Source 2025'!$C:$C,MATCH($A343,'Source 2025'!$B:$B,0)),""))</f>
        <v>LF377 S-מדרס סיליקון לנעלי עקב</v>
      </c>
      <c r="C343" s="8" t="n">
        <f aca="false">SUMIFS('Source 2025'!$H:$H,'Source 2025'!$B:$B,$A343,'Source 2025'!$A:$A,"Quantity (units)")</f>
        <v>-1</v>
      </c>
      <c r="D343" s="8" t="n">
        <f aca="false">SUMIFS('Source 2026'!$H:$H,'Source 2026'!$B:$B,$A343,'Source 2026'!$A:$A,"Quantity (units)")</f>
        <v>3</v>
      </c>
      <c r="E343" s="8" t="n">
        <f aca="false">D343*$J$5</f>
        <v>4.11428571428571</v>
      </c>
      <c r="F343" s="8" t="n">
        <f aca="false">E343-C343</f>
        <v>5.11428571428571</v>
      </c>
      <c r="G343" s="9" t="n">
        <f aca="false">IF(AND(C343=0,E343=0),0,IF(C343=0,"New",(E343-C343)/C343))</f>
        <v>-5.11428571428571</v>
      </c>
      <c r="H343" s="8" t="n">
        <f aca="false">SUMIFS('Source 2025'!$H:$H,'Source 2025'!$B:$B,$A343,'Source 2025'!$A:$A,"Amount (NIS)")</f>
        <v>-40.6</v>
      </c>
      <c r="I343" s="8" t="n">
        <f aca="false">SUMIFS('Source 2026'!$H:$H,'Source 2026'!$B:$B,$A343,'Source 2026'!$A:$A,"Amount (NIS)")</f>
        <v>122.2</v>
      </c>
      <c r="J343" s="8" t="n">
        <f aca="false">I343*$J$5</f>
        <v>167.588571428571</v>
      </c>
      <c r="K343" s="8" t="n">
        <f aca="false">J343-H343</f>
        <v>208.188571428571</v>
      </c>
      <c r="L343" s="9" t="n">
        <f aca="false">IF(AND(H343=0,J343=0),0,IF(H343=0,"New",(J343-H343)/H343))</f>
        <v>-5.12779732582688</v>
      </c>
    </row>
    <row r="344" customFormat="false" ht="15" hidden="false" customHeight="false" outlineLevel="0" collapsed="false">
      <c r="A344" s="7" t="n">
        <v>4408076</v>
      </c>
      <c r="B344" s="7" t="str">
        <f aca="false">IFERROR(INDEX('Source 2026'!$C:$C,MATCH($A344,'Source 2026'!$B:$B,0)),IFERROR(INDEX('Source 2025'!$C:$C,MATCH($A344,'Source 2025'!$B:$B,0)),""))</f>
        <v>59L L חגורת שבר לצד שמאל</v>
      </c>
      <c r="C344" s="8" t="n">
        <f aca="false">SUMIFS('Source 2025'!$H:$H,'Source 2025'!$B:$B,$A344,'Source 2025'!$A:$A,"Quantity (units)")</f>
        <v>0</v>
      </c>
      <c r="D344" s="8" t="n">
        <f aca="false">SUMIFS('Source 2026'!$H:$H,'Source 2026'!$B:$B,$A344,'Source 2026'!$A:$A,"Quantity (units)")</f>
        <v>1</v>
      </c>
      <c r="E344" s="8" t="n">
        <f aca="false">D344*$J$5</f>
        <v>1.37142857142857</v>
      </c>
      <c r="F344" s="8" t="n">
        <f aca="false">E344-C344</f>
        <v>1.37142857142857</v>
      </c>
      <c r="G344" s="9" t="str">
        <f aca="false">IF(AND(C344=0,E344=0),0,IF(C344=0,"New",(E344-C344)/C344))</f>
        <v>New</v>
      </c>
      <c r="H344" s="8" t="n">
        <f aca="false">SUMIFS('Source 2025'!$H:$H,'Source 2025'!$B:$B,$A344,'Source 2025'!$A:$A,"Amount (NIS)")</f>
        <v>0</v>
      </c>
      <c r="I344" s="8" t="n">
        <f aca="false">SUMIFS('Source 2026'!$H:$H,'Source 2026'!$B:$B,$A344,'Source 2026'!$A:$A,"Amount (NIS)")</f>
        <v>162.5</v>
      </c>
      <c r="J344" s="8" t="n">
        <f aca="false">I344*$J$5</f>
        <v>222.857142857143</v>
      </c>
      <c r="K344" s="8" t="n">
        <f aca="false">J344-H344</f>
        <v>222.857142857143</v>
      </c>
      <c r="L344" s="9" t="str">
        <f aca="false">IF(AND(H344=0,J344=0),0,IF(H344=0,"New",(J344-H344)/H344))</f>
        <v>New</v>
      </c>
    </row>
    <row r="345" customFormat="false" ht="15" hidden="false" customHeight="false" outlineLevel="0" collapsed="false">
      <c r="A345" s="7" t="n">
        <v>4413090</v>
      </c>
      <c r="B345" s="7" t="str">
        <f aca="false">IFERROR(INDEX('Source 2026'!$C:$C,MATCH($A345,'Source 2026'!$B:$B,0)),IFERROR(INDEX('Source 2025'!$C:$C,MATCH($A345,'Source 2025'!$B:$B,0)),""))</f>
        <v>422 XLמ.ברך+כרית סיל.סביב לפיק</v>
      </c>
      <c r="C345" s="8" t="n">
        <f aca="false">SUMIFS('Source 2025'!$H:$H,'Source 2025'!$B:$B,$A345,'Source 2025'!$A:$A,"Quantity (units)")</f>
        <v>0</v>
      </c>
      <c r="D345" s="8" t="n">
        <f aca="false">SUMIFS('Source 2026'!$H:$H,'Source 2026'!$B:$B,$A345,'Source 2026'!$A:$A,"Quantity (units)")</f>
        <v>-1</v>
      </c>
      <c r="E345" s="8" t="n">
        <f aca="false">D345*$J$5</f>
        <v>-1.37142857142857</v>
      </c>
      <c r="F345" s="8" t="n">
        <f aca="false">E345-C345</f>
        <v>-1.37142857142857</v>
      </c>
      <c r="G345" s="9" t="str">
        <f aca="false">IF(AND(C345=0,E345=0),0,IF(C345=0,"New",(E345-C345)/C345))</f>
        <v>New</v>
      </c>
      <c r="H345" s="8" t="n">
        <f aca="false">SUMIFS('Source 2025'!$H:$H,'Source 2025'!$B:$B,$A345,'Source 2025'!$A:$A,"Amount (NIS)")</f>
        <v>7.6</v>
      </c>
      <c r="I345" s="8" t="n">
        <f aca="false">SUMIFS('Source 2026'!$H:$H,'Source 2026'!$B:$B,$A345,'Source 2026'!$A:$A,"Amount (NIS)")</f>
        <v>-151.6</v>
      </c>
      <c r="J345" s="8" t="n">
        <f aca="false">I345*$J$5</f>
        <v>-207.908571428571</v>
      </c>
      <c r="K345" s="8" t="n">
        <f aca="false">J345-H345</f>
        <v>-215.508571428571</v>
      </c>
      <c r="L345" s="9" t="n">
        <f aca="false">IF(AND(H345=0,J345=0),0,IF(H345=0,"New",(J345-H345)/H345))</f>
        <v>-28.3563909774436</v>
      </c>
    </row>
    <row r="346" customFormat="false" ht="15" hidden="false" customHeight="false" outlineLevel="0" collapsed="false">
      <c r="A346" s="7" t="n">
        <v>4413132</v>
      </c>
      <c r="B346" s="7" t="str">
        <f aca="false">IFERROR(INDEX('Source 2026'!$C:$C,MATCH($A346,'Source 2026'!$B:$B,0)),IFERROR(INDEX('Source 2025'!$C:$C,MATCH($A346,'Source 2025'!$B:$B,0)),""))</f>
        <v>76 Lמיישר כתף יציב יישור רחב</v>
      </c>
      <c r="C346" s="8" t="n">
        <f aca="false">SUMIFS('Source 2025'!$H:$H,'Source 2025'!$B:$B,$A346,'Source 2025'!$A:$A,"Quantity (units)")</f>
        <v>6</v>
      </c>
      <c r="D346" s="8" t="n">
        <f aca="false">SUMIFS('Source 2026'!$H:$H,'Source 2026'!$B:$B,$A346,'Source 2026'!$A:$A,"Quantity (units)")</f>
        <v>5</v>
      </c>
      <c r="E346" s="8" t="n">
        <f aca="false">D346*$J$5</f>
        <v>6.85714285714286</v>
      </c>
      <c r="F346" s="8" t="n">
        <f aca="false">E346-C346</f>
        <v>0.857142857142858</v>
      </c>
      <c r="G346" s="9" t="n">
        <f aca="false">IF(AND(C346=0,E346=0),0,IF(C346=0,"New",(E346-C346)/C346))</f>
        <v>0.142857142857143</v>
      </c>
      <c r="H346" s="8" t="n">
        <f aca="false">SUMIFS('Source 2025'!$H:$H,'Source 2025'!$B:$B,$A346,'Source 2025'!$A:$A,"Amount (NIS)")</f>
        <v>983</v>
      </c>
      <c r="I346" s="8" t="n">
        <f aca="false">SUMIFS('Source 2026'!$H:$H,'Source 2026'!$B:$B,$A346,'Source 2026'!$A:$A,"Amount (NIS)")</f>
        <v>829</v>
      </c>
      <c r="J346" s="8" t="n">
        <f aca="false">I346*$J$5</f>
        <v>1136.91428571429</v>
      </c>
      <c r="K346" s="8" t="n">
        <f aca="false">J346-H346</f>
        <v>153.914285714286</v>
      </c>
      <c r="L346" s="9" t="n">
        <f aca="false">IF(AND(H346=0,J346=0),0,IF(H346=0,"New",(J346-H346)/H346))</f>
        <v>0.156576079058277</v>
      </c>
    </row>
    <row r="347" customFormat="false" ht="15" hidden="false" customHeight="false" outlineLevel="0" collapsed="false">
      <c r="A347" s="7" t="n">
        <v>4408005</v>
      </c>
      <c r="B347" s="7" t="str">
        <f aca="false">IFERROR(INDEX('Source 2026'!$C:$C,MATCH($A347,'Source 2026'!$B:$B,0)),IFERROR(INDEX('Source 2025'!$C:$C,MATCH($A347,'Source 2025'!$B:$B,0)),""))</f>
        <v>06 XXL ""ח.גב קלה ""מיקדו</v>
      </c>
      <c r="C347" s="8" t="n">
        <f aca="false">SUMIFS('Source 2025'!$H:$H,'Source 2025'!$B:$B,$A347,'Source 2025'!$A:$A,"Quantity (units)")</f>
        <v>-1</v>
      </c>
      <c r="D347" s="8" t="n">
        <f aca="false">SUMIFS('Source 2026'!$H:$H,'Source 2026'!$B:$B,$A347,'Source 2026'!$A:$A,"Quantity (units)")</f>
        <v>0</v>
      </c>
      <c r="E347" s="8" t="n">
        <f aca="false">D347*$J$5</f>
        <v>0</v>
      </c>
      <c r="F347" s="8" t="n">
        <f aca="false">E347-C347</f>
        <v>1</v>
      </c>
      <c r="G347" s="9" t="n">
        <f aca="false">IF(AND(C347=0,E347=0),0,IF(C347=0,"New",(E347-C347)/C347))</f>
        <v>-1</v>
      </c>
      <c r="H347" s="8" t="n">
        <f aca="false">SUMIFS('Source 2025'!$H:$H,'Source 2025'!$B:$B,$A347,'Source 2025'!$A:$A,"Amount (NIS)")</f>
        <v>-147.4</v>
      </c>
      <c r="I347" s="8" t="n">
        <f aca="false">SUMIFS('Source 2026'!$H:$H,'Source 2026'!$B:$B,$A347,'Source 2026'!$A:$A,"Amount (NIS)")</f>
        <v>0</v>
      </c>
      <c r="J347" s="8" t="n">
        <f aca="false">I347*$J$5</f>
        <v>0</v>
      </c>
      <c r="K347" s="8" t="n">
        <f aca="false">J347-H347</f>
        <v>147.4</v>
      </c>
      <c r="L347" s="9" t="n">
        <f aca="false">IF(AND(H347=0,J347=0),0,IF(H347=0,"New",(J347-H347)/H347))</f>
        <v>-1</v>
      </c>
    </row>
    <row r="348" customFormat="false" ht="15" hidden="false" customHeight="false" outlineLevel="0" collapsed="false">
      <c r="A348" s="7" t="n">
        <v>4420019</v>
      </c>
      <c r="B348" s="7" t="str">
        <f aca="false">IFERROR(INDEX('Source 2026'!$C:$C,MATCH($A348,'Source 2026'!$B:$B,0)),IFERROR(INDEX('Source 2025'!$C:$C,MATCH($A348,'Source 2025'!$B:$B,0)),""))</f>
        <v>T91  L-XL רצועת טניס אלבו</v>
      </c>
      <c r="C348" s="8" t="n">
        <f aca="false">SUMIFS('Source 2025'!$H:$H,'Source 2025'!$B:$B,$A348,'Source 2025'!$A:$A,"Quantity (units)")</f>
        <v>2</v>
      </c>
      <c r="D348" s="8" t="n">
        <f aca="false">SUMIFS('Source 2026'!$H:$H,'Source 2026'!$B:$B,$A348,'Source 2026'!$A:$A,"Quantity (units)")</f>
        <v>-1</v>
      </c>
      <c r="E348" s="8" t="n">
        <f aca="false">D348*$J$5</f>
        <v>-1.37142857142857</v>
      </c>
      <c r="F348" s="8" t="n">
        <f aca="false">E348-C348</f>
        <v>-3.37142857142857</v>
      </c>
      <c r="G348" s="9" t="n">
        <f aca="false">IF(AND(C348=0,E348=0),0,IF(C348=0,"New",(E348-C348)/C348))</f>
        <v>-1.68571428571429</v>
      </c>
      <c r="H348" s="8" t="n">
        <f aca="false">SUMIFS('Source 2025'!$H:$H,'Source 2025'!$B:$B,$A348,'Source 2025'!$A:$A,"Amount (NIS)")</f>
        <v>98.2</v>
      </c>
      <c r="I348" s="8" t="n">
        <f aca="false">SUMIFS('Source 2026'!$H:$H,'Source 2026'!$B:$B,$A348,'Source 2026'!$A:$A,"Amount (NIS)")</f>
        <v>-49.1</v>
      </c>
      <c r="J348" s="8" t="n">
        <f aca="false">I348*$J$5</f>
        <v>-67.3371428571429</v>
      </c>
      <c r="K348" s="8" t="n">
        <f aca="false">J348-H348</f>
        <v>-165.537142857143</v>
      </c>
      <c r="L348" s="9" t="n">
        <f aca="false">IF(AND(H348=0,J348=0),0,IF(H348=0,"New",(J348-H348)/H348))</f>
        <v>-1.68571428571429</v>
      </c>
    </row>
    <row r="349" customFormat="false" ht="15" hidden="false" customHeight="false" outlineLevel="0" collapsed="false">
      <c r="A349" s="7" t="n">
        <v>4420012</v>
      </c>
      <c r="B349" s="7" t="str">
        <f aca="false">IFERROR(INDEX('Source 2026'!$C:$C,MATCH($A349,'Source 2026'!$B:$B,0)),IFERROR(INDEX('Source 2025'!$C:$C,MATCH($A349,'Source 2025'!$B:$B,0)),""))</f>
        <v>377   רפידה אורט.ספורט זוג43</v>
      </c>
      <c r="C349" s="8" t="n">
        <f aca="false">SUMIFS('Source 2025'!$H:$H,'Source 2025'!$B:$B,$A349,'Source 2025'!$A:$A,"Quantity (units)")</f>
        <v>3</v>
      </c>
      <c r="D349" s="8" t="n">
        <f aca="false">SUMIFS('Source 2026'!$H:$H,'Source 2026'!$B:$B,$A349,'Source 2026'!$A:$A,"Quantity (units)")</f>
        <v>-1</v>
      </c>
      <c r="E349" s="8" t="n">
        <f aca="false">D349*$J$5</f>
        <v>-1.37142857142857</v>
      </c>
      <c r="F349" s="8" t="n">
        <f aca="false">E349-C349</f>
        <v>-4.37142857142857</v>
      </c>
      <c r="G349" s="9" t="n">
        <f aca="false">IF(AND(C349=0,E349=0),0,IF(C349=0,"New",(E349-C349)/C349))</f>
        <v>-1.45714285714286</v>
      </c>
      <c r="H349" s="8" t="n">
        <f aca="false">SUMIFS('Source 2025'!$H:$H,'Source 2025'!$B:$B,$A349,'Source 2025'!$A:$A,"Amount (NIS)")</f>
        <v>109.6</v>
      </c>
      <c r="I349" s="8" t="n">
        <f aca="false">SUMIFS('Source 2026'!$H:$H,'Source 2026'!$B:$B,$A349,'Source 2026'!$A:$A,"Amount (NIS)")</f>
        <v>-36.5</v>
      </c>
      <c r="J349" s="8" t="n">
        <f aca="false">I349*$J$5</f>
        <v>-50.0571428571429</v>
      </c>
      <c r="K349" s="8" t="n">
        <f aca="false">J349-H349</f>
        <v>-159.657142857143</v>
      </c>
      <c r="L349" s="9" t="n">
        <f aca="false">IF(AND(H349=0,J349=0),0,IF(H349=0,"New",(J349-H349)/H349))</f>
        <v>-1.45672575599583</v>
      </c>
    </row>
    <row r="350" customFormat="false" ht="15" hidden="false" customHeight="false" outlineLevel="0" collapsed="false">
      <c r="A350" s="7" t="n">
        <v>4408069</v>
      </c>
      <c r="B350" s="7" t="str">
        <f aca="false">IFERROR(INDEX('Source 2026'!$C:$C,MATCH($A350,'Source 2026'!$B:$B,0)),IFERROR(INDEX('Source 2025'!$C:$C,MATCH($A350,'Source 2025'!$B:$B,0)),""))</f>
        <v>38 .חבישת""הלוקס ולגוס""לאחר נית</v>
      </c>
      <c r="C350" s="8" t="n">
        <f aca="false">SUMIFS('Source 2025'!$H:$H,'Source 2025'!$B:$B,$A350,'Source 2025'!$A:$A,"Quantity (units)")</f>
        <v>-2</v>
      </c>
      <c r="D350" s="8" t="n">
        <f aca="false">SUMIFS('Source 2026'!$H:$H,'Source 2026'!$B:$B,$A350,'Source 2026'!$A:$A,"Quantity (units)")</f>
        <v>0</v>
      </c>
      <c r="E350" s="8" t="n">
        <f aca="false">D350*$J$5</f>
        <v>0</v>
      </c>
      <c r="F350" s="8" t="n">
        <f aca="false">E350-C350</f>
        <v>2</v>
      </c>
      <c r="G350" s="9" t="n">
        <f aca="false">IF(AND(C350=0,E350=0),0,IF(C350=0,"New",(E350-C350)/C350))</f>
        <v>-1</v>
      </c>
      <c r="H350" s="8" t="n">
        <f aca="false">SUMIFS('Source 2025'!$H:$H,'Source 2025'!$B:$B,$A350,'Source 2025'!$A:$A,"Amount (NIS)")</f>
        <v>-136.3</v>
      </c>
      <c r="I350" s="8" t="n">
        <f aca="false">SUMIFS('Source 2026'!$H:$H,'Source 2026'!$B:$B,$A350,'Source 2026'!$A:$A,"Amount (NIS)")</f>
        <v>0</v>
      </c>
      <c r="J350" s="8" t="n">
        <f aca="false">I350*$J$5</f>
        <v>0</v>
      </c>
      <c r="K350" s="8" t="n">
        <f aca="false">J350-H350</f>
        <v>136.3</v>
      </c>
      <c r="L350" s="9" t="n">
        <f aca="false">IF(AND(H350=0,J350=0),0,IF(H350=0,"New",(J350-H350)/H350))</f>
        <v>-1</v>
      </c>
    </row>
    <row r="351" customFormat="false" ht="15" hidden="false" customHeight="false" outlineLevel="0" collapsed="false">
      <c r="A351" s="7" t="n">
        <v>4413337</v>
      </c>
      <c r="B351" s="7" t="str">
        <f aca="false">IFERROR(INDEX('Source 2026'!$C:$C,MATCH($A351,'Source 2026'!$B:$B,0)),IFERROR(INDEX('Source 2025'!$C:$C,MATCH($A351,'Source 2025'!$B:$B,0)),""))</f>
        <v>322XL מגן קרסול+כרית סילקון</v>
      </c>
      <c r="C351" s="8" t="n">
        <f aca="false">SUMIFS('Source 2025'!$H:$H,'Source 2025'!$B:$B,$A351,'Source 2025'!$A:$A,"Quantity (units)")</f>
        <v>-1</v>
      </c>
      <c r="D351" s="8" t="n">
        <f aca="false">SUMIFS('Source 2026'!$H:$H,'Source 2026'!$B:$B,$A351,'Source 2026'!$A:$A,"Quantity (units)")</f>
        <v>0</v>
      </c>
      <c r="E351" s="8" t="n">
        <f aca="false">D351*$J$5</f>
        <v>0</v>
      </c>
      <c r="F351" s="8" t="n">
        <f aca="false">E351-C351</f>
        <v>1</v>
      </c>
      <c r="G351" s="9" t="n">
        <f aca="false">IF(AND(C351=0,E351=0),0,IF(C351=0,"New",(E351-C351)/C351))</f>
        <v>-1</v>
      </c>
      <c r="H351" s="8" t="n">
        <f aca="false">SUMIFS('Source 2025'!$H:$H,'Source 2025'!$B:$B,$A351,'Source 2025'!$A:$A,"Amount (NIS)")</f>
        <v>-131.1</v>
      </c>
      <c r="I351" s="8" t="n">
        <f aca="false">SUMIFS('Source 2026'!$H:$H,'Source 2026'!$B:$B,$A351,'Source 2026'!$A:$A,"Amount (NIS)")</f>
        <v>0</v>
      </c>
      <c r="J351" s="8" t="n">
        <f aca="false">I351*$J$5</f>
        <v>0</v>
      </c>
      <c r="K351" s="8" t="n">
        <f aca="false">J351-H351</f>
        <v>131.1</v>
      </c>
      <c r="L351" s="9" t="n">
        <f aca="false">IF(AND(H351=0,J351=0),0,IF(H351=0,"New",(J351-H351)/H351))</f>
        <v>-1</v>
      </c>
    </row>
    <row r="352" customFormat="false" ht="15" hidden="false" customHeight="false" outlineLevel="0" collapsed="false">
      <c r="A352" s="7" t="n">
        <v>4413338</v>
      </c>
      <c r="B352" s="7" t="str">
        <f aca="false">IFERROR(INDEX('Source 2026'!$C:$C,MATCH($A352,'Source 2026'!$B:$B,0)),IFERROR(INDEX('Source 2025'!$C:$C,MATCH($A352,'Source 2025'!$B:$B,0)),""))</f>
        <v>322XXLמגן קרסול+כרית סילקון</v>
      </c>
      <c r="C352" s="8" t="n">
        <f aca="false">SUMIFS('Source 2025'!$H:$H,'Source 2025'!$B:$B,$A352,'Source 2025'!$A:$A,"Quantity (units)")</f>
        <v>0</v>
      </c>
      <c r="D352" s="8" t="n">
        <f aca="false">SUMIFS('Source 2026'!$H:$H,'Source 2026'!$B:$B,$A352,'Source 2026'!$A:$A,"Quantity (units)")</f>
        <v>-1</v>
      </c>
      <c r="E352" s="8" t="n">
        <f aca="false">D352*$J$5</f>
        <v>-1.37142857142857</v>
      </c>
      <c r="F352" s="8" t="n">
        <f aca="false">E352-C352</f>
        <v>-1.37142857142857</v>
      </c>
      <c r="G352" s="9" t="str">
        <f aca="false">IF(AND(C352=0,E352=0),0,IF(C352=0,"New",(E352-C352)/C352))</f>
        <v>New</v>
      </c>
      <c r="H352" s="8" t="n">
        <f aca="false">SUMIFS('Source 2025'!$H:$H,'Source 2025'!$B:$B,$A352,'Source 2025'!$A:$A,"Amount (NIS)")</f>
        <v>0</v>
      </c>
      <c r="I352" s="8" t="n">
        <f aca="false">SUMIFS('Source 2026'!$H:$H,'Source 2026'!$B:$B,$A352,'Source 2026'!$A:$A,"Amount (NIS)")</f>
        <v>-131.1</v>
      </c>
      <c r="J352" s="8" t="n">
        <f aca="false">I352*$J$5</f>
        <v>-179.794285714286</v>
      </c>
      <c r="K352" s="8" t="n">
        <f aca="false">J352-H352</f>
        <v>-179.794285714286</v>
      </c>
      <c r="L352" s="9" t="str">
        <f aca="false">IF(AND(H352=0,J352=0),0,IF(H352=0,"New",(J352-H352)/H352))</f>
        <v>New</v>
      </c>
    </row>
    <row r="353" customFormat="false" ht="15" hidden="false" customHeight="false" outlineLevel="0" collapsed="false">
      <c r="A353" s="7" t="n">
        <v>4413347</v>
      </c>
      <c r="B353" s="7" t="str">
        <f aca="false">IFERROR(INDEX('Source 2026'!$C:$C,MATCH($A353,'Source 2026'!$B:$B,0)),IFERROR(INDEX('Source 2025'!$C:$C,MATCH($A353,'Source 2025'!$B:$B,0)),""))</f>
        <v>322-L מגן קרסול+כרית סילקון</v>
      </c>
      <c r="C353" s="8" t="n">
        <f aca="false">SUMIFS('Source 2025'!$H:$H,'Source 2025'!$B:$B,$A353,'Source 2025'!$A:$A,"Quantity (units)")</f>
        <v>-1</v>
      </c>
      <c r="D353" s="8" t="n">
        <f aca="false">SUMIFS('Source 2026'!$H:$H,'Source 2026'!$B:$B,$A353,'Source 2026'!$A:$A,"Quantity (units)")</f>
        <v>0</v>
      </c>
      <c r="E353" s="8" t="n">
        <f aca="false">D353*$J$5</f>
        <v>0</v>
      </c>
      <c r="F353" s="8" t="n">
        <f aca="false">E353-C353</f>
        <v>1</v>
      </c>
      <c r="G353" s="9" t="n">
        <f aca="false">IF(AND(C353=0,E353=0),0,IF(C353=0,"New",(E353-C353)/C353))</f>
        <v>-1</v>
      </c>
      <c r="H353" s="8" t="n">
        <f aca="false">SUMIFS('Source 2025'!$H:$H,'Source 2025'!$B:$B,$A353,'Source 2025'!$A:$A,"Amount (NIS)")</f>
        <v>-131.1</v>
      </c>
      <c r="I353" s="8" t="n">
        <f aca="false">SUMIFS('Source 2026'!$H:$H,'Source 2026'!$B:$B,$A353,'Source 2026'!$A:$A,"Amount (NIS)")</f>
        <v>0</v>
      </c>
      <c r="J353" s="8" t="n">
        <f aca="false">I353*$J$5</f>
        <v>0</v>
      </c>
      <c r="K353" s="8" t="n">
        <f aca="false">J353-H353</f>
        <v>131.1</v>
      </c>
      <c r="L353" s="9" t="n">
        <f aca="false">IF(AND(H353=0,J353=0),0,IF(H353=0,"New",(J353-H353)/H353))</f>
        <v>-1</v>
      </c>
    </row>
    <row r="354" customFormat="false" ht="15" hidden="false" customHeight="false" outlineLevel="0" collapsed="false">
      <c r="A354" s="7" t="n">
        <v>4413130</v>
      </c>
      <c r="B354" s="7" t="str">
        <f aca="false">IFERROR(INDEX('Source 2026'!$C:$C,MATCH($A354,'Source 2026'!$B:$B,0)),IFERROR(INDEX('Source 2025'!$C:$C,MATCH($A354,'Source 2025'!$B:$B,0)),""))</f>
        <v>75  XXL מיישר כתף יציב ישור צר</v>
      </c>
      <c r="C354" s="8" t="n">
        <f aca="false">SUMIFS('Source 2025'!$H:$H,'Source 2025'!$B:$B,$A354,'Source 2025'!$A:$A,"Quantity (units)")</f>
        <v>-2</v>
      </c>
      <c r="D354" s="8" t="n">
        <f aca="false">SUMIFS('Source 2026'!$H:$H,'Source 2026'!$B:$B,$A354,'Source 2026'!$A:$A,"Quantity (units)")</f>
        <v>-1</v>
      </c>
      <c r="E354" s="8" t="n">
        <f aca="false">D354*$J$5</f>
        <v>-1.37142857142857</v>
      </c>
      <c r="F354" s="8" t="n">
        <f aca="false">E354-C354</f>
        <v>0.628571428571429</v>
      </c>
      <c r="G354" s="9" t="n">
        <f aca="false">IF(AND(C354=0,E354=0),0,IF(C354=0,"New",(E354-C354)/C354))</f>
        <v>-0.314285714285714</v>
      </c>
      <c r="H354" s="8" t="n">
        <f aca="false">SUMIFS('Source 2025'!$H:$H,'Source 2025'!$B:$B,$A354,'Source 2025'!$A:$A,"Amount (NIS)")</f>
        <v>-262.1</v>
      </c>
      <c r="I354" s="8" t="n">
        <f aca="false">SUMIFS('Source 2026'!$H:$H,'Source 2026'!$B:$B,$A354,'Source 2026'!$A:$A,"Amount (NIS)")</f>
        <v>-131.1</v>
      </c>
      <c r="J354" s="8" t="n">
        <f aca="false">I354*$J$5</f>
        <v>-179.794285714286</v>
      </c>
      <c r="K354" s="8" t="n">
        <f aca="false">J354-H354</f>
        <v>82.3057142857143</v>
      </c>
      <c r="L354" s="9" t="n">
        <f aca="false">IF(AND(H354=0,J354=0),0,IF(H354=0,"New",(J354-H354)/H354))</f>
        <v>-0.314024091132065</v>
      </c>
    </row>
    <row r="355" customFormat="false" ht="15" hidden="false" customHeight="false" outlineLevel="0" collapsed="false">
      <c r="A355" s="7" t="n">
        <v>4408265</v>
      </c>
      <c r="B355" s="7" t="str">
        <f aca="false">IFERROR(INDEX('Source 2026'!$C:$C,MATCH($A355,'Source 2026'!$B:$B,0)),IFERROR(INDEX('Source 2025'!$C:$C,MATCH($A355,'Source 2025'!$B:$B,0)),""))</f>
        <v>078XXL חגורת גב +סגירה כפולה</v>
      </c>
      <c r="C355" s="8" t="n">
        <f aca="false">SUMIFS('Source 2025'!$H:$H,'Source 2025'!$B:$B,$A355,'Source 2025'!$A:$A,"Quantity (units)")</f>
        <v>28</v>
      </c>
      <c r="D355" s="8" t="n">
        <f aca="false">SUMIFS('Source 2026'!$H:$H,'Source 2026'!$B:$B,$A355,'Source 2026'!$A:$A,"Quantity (units)")</f>
        <v>26</v>
      </c>
      <c r="E355" s="8" t="n">
        <f aca="false">D355*$J$5</f>
        <v>35.6571428571429</v>
      </c>
      <c r="F355" s="8" t="n">
        <f aca="false">E355-C355</f>
        <v>7.65714285714286</v>
      </c>
      <c r="G355" s="9" t="n">
        <f aca="false">IF(AND(C355=0,E355=0),0,IF(C355=0,"New",(E355-C355)/C355))</f>
        <v>0.273469387755102</v>
      </c>
      <c r="H355" s="8" t="n">
        <f aca="false">SUMIFS('Source 2025'!$H:$H,'Source 2025'!$B:$B,$A355,'Source 2025'!$A:$A,"Amount (NIS)")</f>
        <v>2640.1</v>
      </c>
      <c r="I355" s="8" t="n">
        <f aca="false">SUMIFS('Source 2026'!$H:$H,'Source 2026'!$B:$B,$A355,'Source 2026'!$A:$A,"Amount (NIS)")</f>
        <v>2509.6</v>
      </c>
      <c r="J355" s="8" t="n">
        <f aca="false">I355*$J$5</f>
        <v>3441.73714285714</v>
      </c>
      <c r="K355" s="8" t="n">
        <f aca="false">J355-H355</f>
        <v>801.637142857143</v>
      </c>
      <c r="L355" s="9" t="n">
        <f aca="false">IF(AND(H355=0,J355=0),0,IF(H355=0,"New",(J355-H355)/H355))</f>
        <v>0.303638931425758</v>
      </c>
    </row>
    <row r="356" customFormat="false" ht="15" hidden="false" customHeight="false" outlineLevel="0" collapsed="false">
      <c r="A356" s="7" t="n">
        <v>4413126</v>
      </c>
      <c r="B356" s="7" t="str">
        <f aca="false">IFERROR(INDEX('Source 2026'!$C:$C,MATCH($A356,'Source 2026'!$B:$B,0)),IFERROR(INDEX('Source 2025'!$C:$C,MATCH($A356,'Source 2025'!$B:$B,0)),""))</f>
        <v>75 Sמיישר כתף יציב יישור גב צר</v>
      </c>
      <c r="C356" s="8" t="n">
        <f aca="false">SUMIFS('Source 2025'!$H:$H,'Source 2025'!$B:$B,$A356,'Source 2025'!$A:$A,"Quantity (units)")</f>
        <v>18</v>
      </c>
      <c r="D356" s="8" t="n">
        <f aca="false">SUMIFS('Source 2026'!$H:$H,'Source 2026'!$B:$B,$A356,'Source 2026'!$A:$A,"Quantity (units)")</f>
        <v>14</v>
      </c>
      <c r="E356" s="8" t="n">
        <f aca="false">D356*$J$5</f>
        <v>19.2</v>
      </c>
      <c r="F356" s="8" t="n">
        <f aca="false">E356-C356</f>
        <v>1.2</v>
      </c>
      <c r="G356" s="9" t="n">
        <f aca="false">IF(AND(C356=0,E356=0),0,IF(C356=0,"New",(E356-C356)/C356))</f>
        <v>0.0666666666666666</v>
      </c>
      <c r="H356" s="8" t="n">
        <f aca="false">SUMIFS('Source 2025'!$H:$H,'Source 2025'!$B:$B,$A356,'Source 2025'!$A:$A,"Amount (NIS)")</f>
        <v>2437.9</v>
      </c>
      <c r="I356" s="8" t="n">
        <f aca="false">SUMIFS('Source 2026'!$H:$H,'Source 2026'!$B:$B,$A356,'Source 2026'!$A:$A,"Amount (NIS)")</f>
        <v>2567.5</v>
      </c>
      <c r="J356" s="8" t="n">
        <f aca="false">I356*$J$5</f>
        <v>3521.14285714286</v>
      </c>
      <c r="K356" s="8" t="n">
        <f aca="false">J356-H356</f>
        <v>1083.24285714286</v>
      </c>
      <c r="L356" s="9" t="n">
        <f aca="false">IF(AND(H356=0,J356=0),0,IF(H356=0,"New",(J356-H356)/H356))</f>
        <v>0.444334409591393</v>
      </c>
    </row>
    <row r="357" customFormat="false" ht="15" hidden="false" customHeight="false" outlineLevel="0" collapsed="false">
      <c r="A357" s="7" t="n">
        <v>4408150</v>
      </c>
      <c r="B357" s="7" t="str">
        <f aca="false">IFERROR(INDEX('Source 2026'!$C:$C,MATCH($A357,'Source 2026'!$B:$B,0)),IFERROR(INDEX('Source 2025'!$C:$C,MATCH($A357,'Source 2025'!$B:$B,0)),""))</f>
        <v>11TO S חגורה למנותחי בית החזה</v>
      </c>
      <c r="C357" s="8" t="n">
        <f aca="false">SUMIFS('Source 2025'!$H:$H,'Source 2025'!$B:$B,$A357,'Source 2025'!$A:$A,"Quantity (units)")</f>
        <v>0</v>
      </c>
      <c r="D357" s="8" t="n">
        <f aca="false">SUMIFS('Source 2026'!$H:$H,'Source 2026'!$B:$B,$A357,'Source 2026'!$A:$A,"Quantity (units)")</f>
        <v>-1</v>
      </c>
      <c r="E357" s="8" t="n">
        <f aca="false">D357*$J$5</f>
        <v>-1.37142857142857</v>
      </c>
      <c r="F357" s="8" t="n">
        <f aca="false">E357-C357</f>
        <v>-1.37142857142857</v>
      </c>
      <c r="G357" s="9" t="str">
        <f aca="false">IF(AND(C357=0,E357=0),0,IF(C357=0,"New",(E357-C357)/C357))</f>
        <v>New</v>
      </c>
      <c r="H357" s="8" t="n">
        <f aca="false">SUMIFS('Source 2025'!$H:$H,'Source 2025'!$B:$B,$A357,'Source 2025'!$A:$A,"Amount (NIS)")</f>
        <v>0</v>
      </c>
      <c r="I357" s="8" t="n">
        <f aca="false">SUMIFS('Source 2026'!$H:$H,'Source 2026'!$B:$B,$A357,'Source 2026'!$A:$A,"Amount (NIS)")</f>
        <v>-128.4</v>
      </c>
      <c r="J357" s="8" t="n">
        <f aca="false">I357*$J$5</f>
        <v>-176.091428571429</v>
      </c>
      <c r="K357" s="8" t="n">
        <f aca="false">J357-H357</f>
        <v>-176.091428571429</v>
      </c>
      <c r="L357" s="9" t="str">
        <f aca="false">IF(AND(H357=0,J357=0),0,IF(H357=0,"New",(J357-H357)/H357))</f>
        <v>New</v>
      </c>
    </row>
    <row r="358" customFormat="false" ht="15" hidden="false" customHeight="false" outlineLevel="0" collapsed="false">
      <c r="A358" s="7" t="n">
        <v>4415064</v>
      </c>
      <c r="B358" s="7" t="str">
        <f aca="false">IFERROR(INDEX('Source 2026'!$C:$C,MATCH($A358,'Source 2026'!$B:$B,0)),IFERROR(INDEX('Source 2025'!$C:$C,MATCH($A358,'Source 2025'!$B:$B,0)),""))</f>
        <v>T28 S סד לאגודל כפפה</v>
      </c>
      <c r="C358" s="8" t="n">
        <f aca="false">SUMIFS('Source 2025'!$H:$H,'Source 2025'!$B:$B,$A358,'Source 2025'!$A:$A,"Quantity (units)")</f>
        <v>2</v>
      </c>
      <c r="D358" s="8" t="n">
        <f aca="false">SUMIFS('Source 2026'!$H:$H,'Source 2026'!$B:$B,$A358,'Source 2026'!$A:$A,"Quantity (units)")</f>
        <v>0</v>
      </c>
      <c r="E358" s="8" t="n">
        <f aca="false">D358*$J$5</f>
        <v>0</v>
      </c>
      <c r="F358" s="8" t="n">
        <f aca="false">E358-C358</f>
        <v>-2</v>
      </c>
      <c r="G358" s="9" t="n">
        <f aca="false">IF(AND(C358=0,E358=0),0,IF(C358=0,"New",(E358-C358)/C358))</f>
        <v>-1</v>
      </c>
      <c r="H358" s="8" t="n">
        <f aca="false">SUMIFS('Source 2025'!$H:$H,'Source 2025'!$B:$B,$A358,'Source 2025'!$A:$A,"Amount (NIS)")</f>
        <v>122.8</v>
      </c>
      <c r="I358" s="8" t="n">
        <f aca="false">SUMIFS('Source 2026'!$H:$H,'Source 2026'!$B:$B,$A358,'Source 2026'!$A:$A,"Amount (NIS)")</f>
        <v>0</v>
      </c>
      <c r="J358" s="8" t="n">
        <f aca="false">I358*$J$5</f>
        <v>0</v>
      </c>
      <c r="K358" s="8" t="n">
        <f aca="false">J358-H358</f>
        <v>-122.8</v>
      </c>
      <c r="L358" s="9" t="n">
        <f aca="false">IF(AND(H358=0,J358=0),0,IF(H358=0,"New",(J358-H358)/H358))</f>
        <v>-1</v>
      </c>
    </row>
    <row r="359" customFormat="false" ht="15" hidden="false" customHeight="false" outlineLevel="0" collapsed="false">
      <c r="A359" s="7" t="n">
        <v>4413143</v>
      </c>
      <c r="B359" s="7" t="str">
        <f aca="false">IFERROR(INDEX('Source 2026'!$C:$C,MATCH($A359,'Source 2026'!$B:$B,0)),IFERROR(INDEX('Source 2025'!$C:$C,MATCH($A359,'Source 2025'!$B:$B,0)),""))</f>
        <v>95 XS מגן מרפק רגיל לבן</v>
      </c>
      <c r="C359" s="8" t="n">
        <f aca="false">SUMIFS('Source 2025'!$H:$H,'Source 2025'!$B:$B,$A359,'Source 2025'!$A:$A,"Quantity (units)")</f>
        <v>37</v>
      </c>
      <c r="D359" s="8" t="n">
        <f aca="false">SUMIFS('Source 2026'!$H:$H,'Source 2026'!$B:$B,$A359,'Source 2026'!$A:$A,"Quantity (units)")</f>
        <v>32</v>
      </c>
      <c r="E359" s="8" t="n">
        <f aca="false">D359*$J$5</f>
        <v>43.8857142857143</v>
      </c>
      <c r="F359" s="8" t="n">
        <f aca="false">E359-C359</f>
        <v>6.88571428571429</v>
      </c>
      <c r="G359" s="9" t="n">
        <f aca="false">IF(AND(C359=0,E359=0),0,IF(C359=0,"New",(E359-C359)/C359))</f>
        <v>0.186100386100386</v>
      </c>
      <c r="H359" s="8" t="n">
        <f aca="false">SUMIFS('Source 2025'!$H:$H,'Source 2025'!$B:$B,$A359,'Source 2025'!$A:$A,"Amount (NIS)")</f>
        <v>953.5</v>
      </c>
      <c r="I359" s="8" t="n">
        <f aca="false">SUMIFS('Source 2026'!$H:$H,'Source 2026'!$B:$B,$A359,'Source 2026'!$A:$A,"Amount (NIS)")</f>
        <v>832.7</v>
      </c>
      <c r="J359" s="8" t="n">
        <f aca="false">I359*$J$5</f>
        <v>1141.98857142857</v>
      </c>
      <c r="K359" s="8" t="n">
        <f aca="false">J359-H359</f>
        <v>188.488571428572</v>
      </c>
      <c r="L359" s="9" t="n">
        <f aca="false">IF(AND(H359=0,J359=0),0,IF(H359=0,"New",(J359-H359)/H359))</f>
        <v>0.197680725147951</v>
      </c>
    </row>
    <row r="360" customFormat="false" ht="15" hidden="false" customHeight="false" outlineLevel="0" collapsed="false">
      <c r="A360" s="7" t="n">
        <v>4408251</v>
      </c>
      <c r="B360" s="7" t="str">
        <f aca="false">IFERROR(INDEX('Source 2026'!$C:$C,MATCH($A360,'Source 2026'!$B:$B,0)),IFERROR(INDEX('Source 2025'!$C:$C,MATCH($A360,'Source 2025'!$B:$B,0)),""))</f>
        <v>S-M 099 חגורת גב שרוכים</v>
      </c>
      <c r="C360" s="8" t="n">
        <f aca="false">SUMIFS('Source 2025'!$H:$H,'Source 2025'!$B:$B,$A360,'Source 2025'!$A:$A,"Quantity (units)")</f>
        <v>0</v>
      </c>
      <c r="D360" s="8" t="n">
        <f aca="false">SUMIFS('Source 2026'!$H:$H,'Source 2026'!$B:$B,$A360,'Source 2026'!$A:$A,"Quantity (units)")</f>
        <v>-1</v>
      </c>
      <c r="E360" s="8" t="n">
        <f aca="false">D360*$J$5</f>
        <v>-1.37142857142857</v>
      </c>
      <c r="F360" s="8" t="n">
        <f aca="false">E360-C360</f>
        <v>-1.37142857142857</v>
      </c>
      <c r="G360" s="9" t="str">
        <f aca="false">IF(AND(C360=0,E360=0),0,IF(C360=0,"New",(E360-C360)/C360))</f>
        <v>New</v>
      </c>
      <c r="H360" s="8" t="n">
        <f aca="false">SUMIFS('Source 2025'!$H:$H,'Source 2025'!$B:$B,$A360,'Source 2025'!$A:$A,"Amount (NIS)")</f>
        <v>0</v>
      </c>
      <c r="I360" s="8" t="n">
        <f aca="false">SUMIFS('Source 2026'!$H:$H,'Source 2026'!$B:$B,$A360,'Source 2026'!$A:$A,"Amount (NIS)")</f>
        <v>-118.8</v>
      </c>
      <c r="J360" s="8" t="n">
        <f aca="false">I360*$J$5</f>
        <v>-162.925714285714</v>
      </c>
      <c r="K360" s="8" t="n">
        <f aca="false">J360-H360</f>
        <v>-162.925714285714</v>
      </c>
      <c r="L360" s="9" t="str">
        <f aca="false">IF(AND(H360=0,J360=0),0,IF(H360=0,"New",(J360-H360)/H360))</f>
        <v>New</v>
      </c>
    </row>
    <row r="361" customFormat="false" ht="15" hidden="false" customHeight="false" outlineLevel="0" collapsed="false">
      <c r="A361" s="7" t="n">
        <v>4408252</v>
      </c>
      <c r="B361" s="7" t="str">
        <f aca="false">IFERROR(INDEX('Source 2026'!$C:$C,MATCH($A361,'Source 2026'!$B:$B,0)),IFERROR(INDEX('Source 2025'!$C:$C,MATCH($A361,'Source 2025'!$B:$B,0)),""))</f>
        <v>L-XL 099 חגורת גב שרוכים</v>
      </c>
      <c r="C361" s="8" t="n">
        <f aca="false">SUMIFS('Source 2025'!$H:$H,'Source 2025'!$B:$B,$A361,'Source 2025'!$A:$A,"Quantity (units)")</f>
        <v>0</v>
      </c>
      <c r="D361" s="8" t="n">
        <f aca="false">SUMIFS('Source 2026'!$H:$H,'Source 2026'!$B:$B,$A361,'Source 2026'!$A:$A,"Quantity (units)")</f>
        <v>-1</v>
      </c>
      <c r="E361" s="8" t="n">
        <f aca="false">D361*$J$5</f>
        <v>-1.37142857142857</v>
      </c>
      <c r="F361" s="8" t="n">
        <f aca="false">E361-C361</f>
        <v>-1.37142857142857</v>
      </c>
      <c r="G361" s="9" t="str">
        <f aca="false">IF(AND(C361=0,E361=0),0,IF(C361=0,"New",(E361-C361)/C361))</f>
        <v>New</v>
      </c>
      <c r="H361" s="8" t="n">
        <f aca="false">SUMIFS('Source 2025'!$H:$H,'Source 2025'!$B:$B,$A361,'Source 2025'!$A:$A,"Amount (NIS)")</f>
        <v>0</v>
      </c>
      <c r="I361" s="8" t="n">
        <f aca="false">SUMIFS('Source 2026'!$H:$H,'Source 2026'!$B:$B,$A361,'Source 2026'!$A:$A,"Amount (NIS)")</f>
        <v>-118.8</v>
      </c>
      <c r="J361" s="8" t="n">
        <f aca="false">I361*$J$5</f>
        <v>-162.925714285714</v>
      </c>
      <c r="K361" s="8" t="n">
        <f aca="false">J361-H361</f>
        <v>-162.925714285714</v>
      </c>
      <c r="L361" s="9" t="str">
        <f aca="false">IF(AND(H361=0,J361=0),0,IF(H361=0,"New",(J361-H361)/H361))</f>
        <v>New</v>
      </c>
    </row>
    <row r="362" customFormat="false" ht="15" hidden="false" customHeight="false" outlineLevel="0" collapsed="false">
      <c r="A362" s="7" t="n">
        <v>4413079</v>
      </c>
      <c r="B362" s="7" t="str">
        <f aca="false">IFERROR(INDEX('Source 2026'!$C:$C,MATCH($A362,'Source 2026'!$B:$B,0)),IFERROR(INDEX('Source 2025'!$C:$C,MATCH($A362,'Source 2025'!$B:$B,0)),""))</f>
        <v>41X XL מגן ברך מוצלב+מוט</v>
      </c>
      <c r="C362" s="8" t="n">
        <f aca="false">SUMIFS('Source 2025'!$H:$H,'Source 2025'!$B:$B,$A362,'Source 2025'!$A:$A,"Quantity (units)")</f>
        <v>0</v>
      </c>
      <c r="D362" s="8" t="n">
        <f aca="false">SUMIFS('Source 2026'!$H:$H,'Source 2026'!$B:$B,$A362,'Source 2026'!$A:$A,"Quantity (units)")</f>
        <v>-1</v>
      </c>
      <c r="E362" s="8" t="n">
        <f aca="false">D362*$J$5</f>
        <v>-1.37142857142857</v>
      </c>
      <c r="F362" s="8" t="n">
        <f aca="false">E362-C362</f>
        <v>-1.37142857142857</v>
      </c>
      <c r="G362" s="9" t="str">
        <f aca="false">IF(AND(C362=0,E362=0),0,IF(C362=0,"New",(E362-C362)/C362))</f>
        <v>New</v>
      </c>
      <c r="H362" s="8" t="n">
        <f aca="false">SUMIFS('Source 2025'!$H:$H,'Source 2025'!$B:$B,$A362,'Source 2025'!$A:$A,"Amount (NIS)")</f>
        <v>0</v>
      </c>
      <c r="I362" s="8" t="n">
        <f aca="false">SUMIFS('Source 2026'!$H:$H,'Source 2026'!$B:$B,$A362,'Source 2026'!$A:$A,"Amount (NIS)")</f>
        <v>-116.7</v>
      </c>
      <c r="J362" s="8" t="n">
        <f aca="false">I362*$J$5</f>
        <v>-160.045714285714</v>
      </c>
      <c r="K362" s="8" t="n">
        <f aca="false">J362-H362</f>
        <v>-160.045714285714</v>
      </c>
      <c r="L362" s="9" t="str">
        <f aca="false">IF(AND(H362=0,J362=0),0,IF(H362=0,"New",(J362-H362)/H362))</f>
        <v>New</v>
      </c>
    </row>
    <row r="363" customFormat="false" ht="15" hidden="false" customHeight="false" outlineLevel="0" collapsed="false">
      <c r="A363" s="7" t="n">
        <v>4413416</v>
      </c>
      <c r="B363" s="7" t="str">
        <f aca="false">IFERROR(INDEX('Source 2026'!$C:$C,MATCH($A363,'Source 2026'!$B:$B,0)),IFERROR(INDEX('Source 2025'!$C:$C,MATCH($A363,'Source 2025'!$B:$B,0)),""))</f>
        <v>SC39  M מגן שוק</v>
      </c>
      <c r="C363" s="8" t="n">
        <f aca="false">SUMIFS('Source 2025'!$H:$H,'Source 2025'!$B:$B,$A363,'Source 2025'!$A:$A,"Quantity (units)")</f>
        <v>11</v>
      </c>
      <c r="D363" s="8" t="n">
        <f aca="false">SUMIFS('Source 2026'!$H:$H,'Source 2026'!$B:$B,$A363,'Source 2026'!$A:$A,"Quantity (units)")</f>
        <v>12</v>
      </c>
      <c r="E363" s="8" t="n">
        <f aca="false">D363*$J$5</f>
        <v>16.4571428571429</v>
      </c>
      <c r="F363" s="8" t="n">
        <f aca="false">E363-C363</f>
        <v>5.45714285714286</v>
      </c>
      <c r="G363" s="9" t="n">
        <f aca="false">IF(AND(C363=0,E363=0),0,IF(C363=0,"New",(E363-C363)/C363))</f>
        <v>0.496103896103896</v>
      </c>
      <c r="H363" s="8" t="n">
        <f aca="false">SUMIFS('Source 2025'!$H:$H,'Source 2025'!$B:$B,$A363,'Source 2025'!$A:$A,"Amount (NIS)")</f>
        <v>1479.8</v>
      </c>
      <c r="I363" s="8" t="n">
        <f aca="false">SUMIFS('Source 2026'!$H:$H,'Source 2026'!$B:$B,$A363,'Source 2026'!$A:$A,"Amount (NIS)")</f>
        <v>1593.7</v>
      </c>
      <c r="J363" s="8" t="n">
        <f aca="false">I363*$J$5</f>
        <v>2185.64571428571</v>
      </c>
      <c r="K363" s="8" t="n">
        <f aca="false">J363-H363</f>
        <v>705.845714285714</v>
      </c>
      <c r="L363" s="9" t="n">
        <f aca="false">IF(AND(H363=0,J363=0),0,IF(H363=0,"New",(J363-H363)/H363))</f>
        <v>0.476987237657599</v>
      </c>
    </row>
    <row r="364" customFormat="false" ht="15" hidden="false" customHeight="false" outlineLevel="0" collapsed="false">
      <c r="A364" s="7" t="n">
        <v>4415019</v>
      </c>
      <c r="B364" s="7" t="str">
        <f aca="false">IFERROR(INDEX('Source 2026'!$C:$C,MATCH($A364,'Source 2026'!$B:$B,0)),IFERROR(INDEX('Source 2025'!$C:$C,MATCH($A364,'Source 2025'!$B:$B,0)),""))</f>
        <v>333 סד לקרסול עם כריות אויר</v>
      </c>
      <c r="C364" s="8" t="n">
        <f aca="false">SUMIFS('Source 2025'!$H:$H,'Source 2025'!$B:$B,$A364,'Source 2025'!$A:$A,"Quantity (units)")</f>
        <v>1</v>
      </c>
      <c r="D364" s="8" t="n">
        <f aca="false">SUMIFS('Source 2026'!$H:$H,'Source 2026'!$B:$B,$A364,'Source 2026'!$A:$A,"Quantity (units)")</f>
        <v>4</v>
      </c>
      <c r="E364" s="8" t="n">
        <f aca="false">D364*$J$5</f>
        <v>5.48571428571429</v>
      </c>
      <c r="F364" s="8" t="n">
        <f aca="false">E364-C364</f>
        <v>4.48571428571429</v>
      </c>
      <c r="G364" s="9" t="n">
        <f aca="false">IF(AND(C364=0,E364=0),0,IF(C364=0,"New",(E364-C364)/C364))</f>
        <v>4.48571428571429</v>
      </c>
      <c r="H364" s="8" t="n">
        <f aca="false">SUMIFS('Source 2025'!$H:$H,'Source 2025'!$B:$B,$A364,'Source 2025'!$A:$A,"Amount (NIS)")</f>
        <v>143.4</v>
      </c>
      <c r="I364" s="8" t="n">
        <f aca="false">SUMIFS('Source 2026'!$H:$H,'Source 2026'!$B:$B,$A364,'Source 2026'!$A:$A,"Amount (NIS)")</f>
        <v>257.2</v>
      </c>
      <c r="J364" s="8" t="n">
        <f aca="false">I364*$J$5</f>
        <v>352.731428571429</v>
      </c>
      <c r="K364" s="8" t="n">
        <f aca="false">J364-H364</f>
        <v>209.331428571429</v>
      </c>
      <c r="L364" s="9" t="n">
        <f aca="false">IF(AND(H364=0,J364=0),0,IF(H364=0,"New",(J364-H364)/H364))</f>
        <v>1.45977286312014</v>
      </c>
    </row>
    <row r="365" customFormat="false" ht="15" hidden="false" customHeight="false" outlineLevel="0" collapsed="false">
      <c r="A365" s="7" t="n">
        <v>4420023</v>
      </c>
      <c r="B365" s="7" t="str">
        <f aca="false">IFERROR(INDEX('Source 2026'!$C:$C,MATCH($A365,'Source 2026'!$B:$B,0)),IFERROR(INDEX('Source 2025'!$C:$C,MATCH($A365,'Source 2025'!$B:$B,0)),""))</f>
        <v>LF371 ריפוד סיליקון לנעלי אצבע</v>
      </c>
      <c r="C365" s="8" t="n">
        <f aca="false">SUMIFS('Source 2025'!$H:$H,'Source 2025'!$B:$B,$A365,'Source 2025'!$A:$A,"Quantity (units)")</f>
        <v>-3</v>
      </c>
      <c r="D365" s="8" t="n">
        <f aca="false">SUMIFS('Source 2026'!$H:$H,'Source 2026'!$B:$B,$A365,'Source 2026'!$A:$A,"Quantity (units)")</f>
        <v>1</v>
      </c>
      <c r="E365" s="8" t="n">
        <f aca="false">D365*$J$5</f>
        <v>1.37142857142857</v>
      </c>
      <c r="F365" s="8" t="n">
        <f aca="false">E365-C365</f>
        <v>4.37142857142857</v>
      </c>
      <c r="G365" s="9" t="n">
        <f aca="false">IF(AND(C365=0,E365=0),0,IF(C365=0,"New",(E365-C365)/C365))</f>
        <v>-1.45714285714286</v>
      </c>
      <c r="H365" s="8" t="n">
        <f aca="false">SUMIFS('Source 2025'!$H:$H,'Source 2025'!$B:$B,$A365,'Source 2025'!$A:$A,"Amount (NIS)")</f>
        <v>-85.8</v>
      </c>
      <c r="I365" s="8" t="n">
        <f aca="false">SUMIFS('Source 2026'!$H:$H,'Source 2026'!$B:$B,$A365,'Source 2026'!$A:$A,"Amount (NIS)")</f>
        <v>24.3</v>
      </c>
      <c r="J365" s="8" t="n">
        <f aca="false">I365*$J$5</f>
        <v>33.3257142857143</v>
      </c>
      <c r="K365" s="8" t="n">
        <f aca="false">J365-H365</f>
        <v>119.125714285714</v>
      </c>
      <c r="L365" s="9" t="n">
        <f aca="false">IF(AND(H365=0,J365=0),0,IF(H365=0,"New",(J365-H365)/H365))</f>
        <v>-1.38841158841159</v>
      </c>
    </row>
    <row r="366" customFormat="false" ht="15" hidden="false" customHeight="false" outlineLevel="0" collapsed="false">
      <c r="A366" s="7" t="n">
        <v>4420008</v>
      </c>
      <c r="B366" s="7" t="str">
        <f aca="false">IFERROR(INDEX('Source 2026'!$C:$C,MATCH($A366,'Source 2026'!$B:$B,0)),IFERROR(INDEX('Source 2025'!$C:$C,MATCH($A366,'Source 2025'!$B:$B,0)),""))</f>
        <v>377  רפ.אורטופדית ספורט זוג39</v>
      </c>
      <c r="C366" s="8" t="n">
        <f aca="false">SUMIFS('Source 2025'!$H:$H,'Source 2025'!$B:$B,$A366,'Source 2025'!$A:$A,"Quantity (units)")</f>
        <v>3</v>
      </c>
      <c r="D366" s="8" t="n">
        <f aca="false">SUMIFS('Source 2026'!$H:$H,'Source 2026'!$B:$B,$A366,'Source 2026'!$A:$A,"Quantity (units)")</f>
        <v>0</v>
      </c>
      <c r="E366" s="8" t="n">
        <f aca="false">D366*$J$5</f>
        <v>0</v>
      </c>
      <c r="F366" s="8" t="n">
        <f aca="false">E366-C366</f>
        <v>-3</v>
      </c>
      <c r="G366" s="9" t="n">
        <f aca="false">IF(AND(C366=0,E366=0),0,IF(C366=0,"New",(E366-C366)/C366))</f>
        <v>-1</v>
      </c>
      <c r="H366" s="8" t="n">
        <f aca="false">SUMIFS('Source 2025'!$H:$H,'Source 2025'!$B:$B,$A366,'Source 2025'!$A:$A,"Amount (NIS)")</f>
        <v>109.6</v>
      </c>
      <c r="I366" s="8" t="n">
        <f aca="false">SUMIFS('Source 2026'!$H:$H,'Source 2026'!$B:$B,$A366,'Source 2026'!$A:$A,"Amount (NIS)")</f>
        <v>0</v>
      </c>
      <c r="J366" s="8" t="n">
        <f aca="false">I366*$J$5</f>
        <v>0</v>
      </c>
      <c r="K366" s="8" t="n">
        <f aca="false">J366-H366</f>
        <v>-109.6</v>
      </c>
      <c r="L366" s="9" t="n">
        <f aca="false">IF(AND(H366=0,J366=0),0,IF(H366=0,"New",(J366-H366)/H366))</f>
        <v>-1</v>
      </c>
    </row>
    <row r="367" customFormat="false" ht="15" hidden="false" customHeight="false" outlineLevel="0" collapsed="false">
      <c r="A367" s="7" t="n">
        <v>4413073</v>
      </c>
      <c r="B367" s="7" t="str">
        <f aca="false">IFERROR(INDEX('Source 2026'!$C:$C,MATCH($A367,'Source 2026'!$B:$B,0)),IFERROR(INDEX('Source 2025'!$C:$C,MATCH($A367,'Source 2025'!$B:$B,0)),""))</f>
        <v>41 Mמ.ברך מוצלב+ספירלות בצדדים</v>
      </c>
      <c r="C367" s="8" t="n">
        <f aca="false">SUMIFS('Source 2025'!$H:$H,'Source 2025'!$B:$B,$A367,'Source 2025'!$A:$A,"Quantity (units)")</f>
        <v>1</v>
      </c>
      <c r="D367" s="8" t="n">
        <f aca="false">SUMIFS('Source 2026'!$H:$H,'Source 2026'!$B:$B,$A367,'Source 2026'!$A:$A,"Quantity (units)")</f>
        <v>2</v>
      </c>
      <c r="E367" s="8" t="n">
        <f aca="false">D367*$J$5</f>
        <v>2.74285714285714</v>
      </c>
      <c r="F367" s="8" t="n">
        <f aca="false">E367-C367</f>
        <v>1.74285714285714</v>
      </c>
      <c r="G367" s="9" t="n">
        <f aca="false">IF(AND(C367=0,E367=0),0,IF(C367=0,"New",(E367-C367)/C367))</f>
        <v>1.74285714285714</v>
      </c>
      <c r="H367" s="8" t="n">
        <f aca="false">SUMIFS('Source 2025'!$H:$H,'Source 2025'!$B:$B,$A367,'Source 2025'!$A:$A,"Amount (NIS)")</f>
        <v>106.5</v>
      </c>
      <c r="I367" s="8" t="n">
        <f aca="false">SUMIFS('Source 2026'!$H:$H,'Source 2026'!$B:$B,$A367,'Source 2026'!$A:$A,"Amount (NIS)")</f>
        <v>213</v>
      </c>
      <c r="J367" s="8" t="n">
        <f aca="false">I367*$J$5</f>
        <v>292.114285714286</v>
      </c>
      <c r="K367" s="8" t="n">
        <f aca="false">J367-H367</f>
        <v>185.614285714286</v>
      </c>
      <c r="L367" s="9" t="n">
        <f aca="false">IF(AND(H367=0,J367=0),0,IF(H367=0,"New",(J367-H367)/H367))</f>
        <v>1.74285714285714</v>
      </c>
    </row>
    <row r="368" customFormat="false" ht="15" hidden="false" customHeight="false" outlineLevel="0" collapsed="false">
      <c r="A368" s="7" t="n">
        <v>4413429</v>
      </c>
      <c r="B368" s="7" t="str">
        <f aca="false">IFERROR(INDEX('Source 2026'!$C:$C,MATCH($A368,'Source 2026'!$B:$B,0)),IFERROR(INDEX('Source 2025'!$C:$C,MATCH($A368,'Source 2025'!$B:$B,0)),""))</f>
        <v>332CM'מייצב קרסול עם שרוכים בז</v>
      </c>
      <c r="C368" s="8" t="n">
        <f aca="false">SUMIFS('Source 2025'!$H:$H,'Source 2025'!$B:$B,$A368,'Source 2025'!$A:$A,"Quantity (units)")</f>
        <v>-1</v>
      </c>
      <c r="D368" s="8" t="n">
        <f aca="false">SUMIFS('Source 2026'!$H:$H,'Source 2026'!$B:$B,$A368,'Source 2026'!$A:$A,"Quantity (units)")</f>
        <v>0</v>
      </c>
      <c r="E368" s="8" t="n">
        <f aca="false">D368*$J$5</f>
        <v>0</v>
      </c>
      <c r="F368" s="8" t="n">
        <f aca="false">E368-C368</f>
        <v>1</v>
      </c>
      <c r="G368" s="9" t="n">
        <f aca="false">IF(AND(C368=0,E368=0),0,IF(C368=0,"New",(E368-C368)/C368))</f>
        <v>-1</v>
      </c>
      <c r="H368" s="8" t="n">
        <f aca="false">SUMIFS('Source 2025'!$H:$H,'Source 2025'!$B:$B,$A368,'Source 2025'!$A:$A,"Amount (NIS)")</f>
        <v>-106.5</v>
      </c>
      <c r="I368" s="8" t="n">
        <f aca="false">SUMIFS('Source 2026'!$H:$H,'Source 2026'!$B:$B,$A368,'Source 2026'!$A:$A,"Amount (NIS)")</f>
        <v>0</v>
      </c>
      <c r="J368" s="8" t="n">
        <f aca="false">I368*$J$5</f>
        <v>0</v>
      </c>
      <c r="K368" s="8" t="n">
        <f aca="false">J368-H368</f>
        <v>106.5</v>
      </c>
      <c r="L368" s="9" t="n">
        <f aca="false">IF(AND(H368=0,J368=0),0,IF(H368=0,"New",(J368-H368)/H368))</f>
        <v>-1</v>
      </c>
    </row>
    <row r="369" customFormat="false" ht="15" hidden="false" customHeight="false" outlineLevel="0" collapsed="false">
      <c r="A369" s="7" t="n">
        <v>4413430</v>
      </c>
      <c r="B369" s="7" t="str">
        <f aca="false">IFERROR(INDEX('Source 2026'!$C:$C,MATCH($A369,'Source 2026'!$B:$B,0)),IFERROR(INDEX('Source 2025'!$C:$C,MATCH($A369,'Source 2025'!$B:$B,0)),""))</f>
        <v>332CS'מייצב קרסול עם שרוכים בז</v>
      </c>
      <c r="C369" s="8" t="n">
        <f aca="false">SUMIFS('Source 2025'!$H:$H,'Source 2025'!$B:$B,$A369,'Source 2025'!$A:$A,"Quantity (units)")</f>
        <v>-1</v>
      </c>
      <c r="D369" s="8" t="n">
        <f aca="false">SUMIFS('Source 2026'!$H:$H,'Source 2026'!$B:$B,$A369,'Source 2026'!$A:$A,"Quantity (units)")</f>
        <v>0</v>
      </c>
      <c r="E369" s="8" t="n">
        <f aca="false">D369*$J$5</f>
        <v>0</v>
      </c>
      <c r="F369" s="8" t="n">
        <f aca="false">E369-C369</f>
        <v>1</v>
      </c>
      <c r="G369" s="9" t="n">
        <f aca="false">IF(AND(C369=0,E369=0),0,IF(C369=0,"New",(E369-C369)/C369))</f>
        <v>-1</v>
      </c>
      <c r="H369" s="8" t="n">
        <f aca="false">SUMIFS('Source 2025'!$H:$H,'Source 2025'!$B:$B,$A369,'Source 2025'!$A:$A,"Amount (NIS)")</f>
        <v>-106.5</v>
      </c>
      <c r="I369" s="8" t="n">
        <f aca="false">SUMIFS('Source 2026'!$H:$H,'Source 2026'!$B:$B,$A369,'Source 2026'!$A:$A,"Amount (NIS)")</f>
        <v>0</v>
      </c>
      <c r="J369" s="8" t="n">
        <f aca="false">I369*$J$5</f>
        <v>0</v>
      </c>
      <c r="K369" s="8" t="n">
        <f aca="false">J369-H369</f>
        <v>106.5</v>
      </c>
      <c r="L369" s="9" t="n">
        <f aca="false">IF(AND(H369=0,J369=0),0,IF(H369=0,"New",(J369-H369)/H369))</f>
        <v>-1</v>
      </c>
    </row>
    <row r="370" customFormat="false" ht="15" hidden="false" customHeight="false" outlineLevel="0" collapsed="false">
      <c r="A370" s="7" t="n">
        <v>4413431</v>
      </c>
      <c r="B370" s="7" t="str">
        <f aca="false">IFERROR(INDEX('Source 2026'!$C:$C,MATCH($A370,'Source 2026'!$B:$B,0)),IFERROR(INDEX('Source 2025'!$C:$C,MATCH($A370,'Source 2025'!$B:$B,0)),""))</f>
        <v>332CXLמייצב קרסול עם שרוכים בז</v>
      </c>
      <c r="C370" s="8" t="n">
        <f aca="false">SUMIFS('Source 2025'!$H:$H,'Source 2025'!$B:$B,$A370,'Source 2025'!$A:$A,"Quantity (units)")</f>
        <v>-1</v>
      </c>
      <c r="D370" s="8" t="n">
        <f aca="false">SUMIFS('Source 2026'!$H:$H,'Source 2026'!$B:$B,$A370,'Source 2026'!$A:$A,"Quantity (units)")</f>
        <v>0</v>
      </c>
      <c r="E370" s="8" t="n">
        <f aca="false">D370*$J$5</f>
        <v>0</v>
      </c>
      <c r="F370" s="8" t="n">
        <f aca="false">E370-C370</f>
        <v>1</v>
      </c>
      <c r="G370" s="9" t="n">
        <f aca="false">IF(AND(C370=0,E370=0),0,IF(C370=0,"New",(E370-C370)/C370))</f>
        <v>-1</v>
      </c>
      <c r="H370" s="8" t="n">
        <f aca="false">SUMIFS('Source 2025'!$H:$H,'Source 2025'!$B:$B,$A370,'Source 2025'!$A:$A,"Amount (NIS)")</f>
        <v>-106.5</v>
      </c>
      <c r="I370" s="8" t="n">
        <f aca="false">SUMIFS('Source 2026'!$H:$H,'Source 2026'!$B:$B,$A370,'Source 2026'!$A:$A,"Amount (NIS)")</f>
        <v>0</v>
      </c>
      <c r="J370" s="8" t="n">
        <f aca="false">I370*$J$5</f>
        <v>0</v>
      </c>
      <c r="K370" s="8" t="n">
        <f aca="false">J370-H370</f>
        <v>106.5</v>
      </c>
      <c r="L370" s="9" t="n">
        <f aca="false">IF(AND(H370=0,J370=0),0,IF(H370=0,"New",(J370-H370)/H370))</f>
        <v>-1</v>
      </c>
    </row>
    <row r="371" customFormat="false" ht="15" hidden="false" customHeight="false" outlineLevel="0" collapsed="false">
      <c r="A371" s="7" t="n">
        <v>4408145</v>
      </c>
      <c r="B371" s="7" t="str">
        <f aca="false">IFERROR(INDEX('Source 2026'!$C:$C,MATCH($A371,'Source 2026'!$B:$B,0)),IFERROR(INDEX('Source 2025'!$C:$C,MATCH($A371,'Source 2025'!$B:$B,0)),""))</f>
        <v>11PS Sחגורה למנותחי בטן</v>
      </c>
      <c r="C371" s="8" t="n">
        <f aca="false">SUMIFS('Source 2025'!$H:$H,'Source 2025'!$B:$B,$A371,'Source 2025'!$A:$A,"Quantity (units)")</f>
        <v>0</v>
      </c>
      <c r="D371" s="8" t="n">
        <f aca="false">SUMIFS('Source 2026'!$H:$H,'Source 2026'!$B:$B,$A371,'Source 2026'!$A:$A,"Quantity (units)")</f>
        <v>1</v>
      </c>
      <c r="E371" s="8" t="n">
        <f aca="false">D371*$J$5</f>
        <v>1.37142857142857</v>
      </c>
      <c r="F371" s="8" t="n">
        <f aca="false">E371-C371</f>
        <v>1.37142857142857</v>
      </c>
      <c r="G371" s="9" t="str">
        <f aca="false">IF(AND(C371=0,E371=0),0,IF(C371=0,"New",(E371-C371)/C371))</f>
        <v>New</v>
      </c>
      <c r="H371" s="8" t="n">
        <f aca="false">SUMIFS('Source 2025'!$H:$H,'Source 2025'!$B:$B,$A371,'Source 2025'!$A:$A,"Amount (NIS)")</f>
        <v>0</v>
      </c>
      <c r="I371" s="8" t="n">
        <f aca="false">SUMIFS('Source 2026'!$H:$H,'Source 2026'!$B:$B,$A371,'Source 2026'!$A:$A,"Amount (NIS)")</f>
        <v>104.7</v>
      </c>
      <c r="J371" s="8" t="n">
        <f aca="false">I371*$J$5</f>
        <v>143.588571428571</v>
      </c>
      <c r="K371" s="8" t="n">
        <f aca="false">J371-H371</f>
        <v>143.588571428571</v>
      </c>
      <c r="L371" s="9" t="str">
        <f aca="false">IF(AND(H371=0,J371=0),0,IF(H371=0,"New",(J371-H371)/H371))</f>
        <v>New</v>
      </c>
    </row>
    <row r="372" customFormat="false" ht="15" hidden="false" customHeight="false" outlineLevel="0" collapsed="false">
      <c r="A372" s="7" t="n">
        <v>4413072</v>
      </c>
      <c r="B372" s="7" t="str">
        <f aca="false">IFERROR(INDEX('Source 2026'!$C:$C,MATCH($A372,'Source 2026'!$B:$B,0)),IFERROR(INDEX('Source 2025'!$C:$C,MATCH($A372,'Source 2025'!$B:$B,0)),""))</f>
        <v>41 Lמ.ברך מוצלב+ספירלות בצדדים</v>
      </c>
      <c r="C372" s="8" t="n">
        <f aca="false">SUMIFS('Source 2025'!$H:$H,'Source 2025'!$B:$B,$A372,'Source 2025'!$A:$A,"Quantity (units)")</f>
        <v>3</v>
      </c>
      <c r="D372" s="8" t="n">
        <f aca="false">SUMIFS('Source 2026'!$H:$H,'Source 2026'!$B:$B,$A372,'Source 2026'!$A:$A,"Quantity (units)")</f>
        <v>2</v>
      </c>
      <c r="E372" s="8" t="n">
        <f aca="false">D372*$J$5</f>
        <v>2.74285714285714</v>
      </c>
      <c r="F372" s="8" t="n">
        <f aca="false">E372-C372</f>
        <v>-0.257142857142857</v>
      </c>
      <c r="G372" s="9" t="n">
        <f aca="false">IF(AND(C372=0,E372=0),0,IF(C372=0,"New",(E372-C372)/C372))</f>
        <v>-0.0857142857142857</v>
      </c>
      <c r="H372" s="8" t="n">
        <f aca="false">SUMIFS('Source 2025'!$H:$H,'Source 2025'!$B:$B,$A372,'Source 2025'!$A:$A,"Amount (NIS)")</f>
        <v>319.4</v>
      </c>
      <c r="I372" s="8" t="n">
        <f aca="false">SUMIFS('Source 2026'!$H:$H,'Source 2026'!$B:$B,$A372,'Source 2026'!$A:$A,"Amount (NIS)")</f>
        <v>216.1</v>
      </c>
      <c r="J372" s="8" t="n">
        <f aca="false">I372*$J$5</f>
        <v>296.365714285714</v>
      </c>
      <c r="K372" s="8" t="n">
        <f aca="false">J372-H372</f>
        <v>-23.0342857142857</v>
      </c>
      <c r="L372" s="9" t="n">
        <f aca="false">IF(AND(H372=0,J372=0),0,IF(H372=0,"New",(J372-H372)/H372))</f>
        <v>-0.072117362912604</v>
      </c>
    </row>
    <row r="373" customFormat="false" ht="15" hidden="false" customHeight="false" outlineLevel="0" collapsed="false">
      <c r="A373" s="7" t="n">
        <v>4413020</v>
      </c>
      <c r="B373" s="7" t="str">
        <f aca="false">IFERROR(INDEX('Source 2026'!$C:$C,MATCH($A373,'Source 2026'!$B:$B,0)),IFERROR(INDEX('Source 2025'!$C:$C,MATCH($A373,'Source 2025'!$B:$B,0)),""))</f>
        <v>303 41-42 מדרסי סיליק.לח.סכרת</v>
      </c>
      <c r="C373" s="8" t="n">
        <f aca="false">SUMIFS('Source 2025'!$H:$H,'Source 2025'!$B:$B,$A373,'Source 2025'!$A:$A,"Quantity (units)")</f>
        <v>-1</v>
      </c>
      <c r="D373" s="8" t="n">
        <f aca="false">SUMIFS('Source 2026'!$H:$H,'Source 2026'!$B:$B,$A373,'Source 2026'!$A:$A,"Quantity (units)")</f>
        <v>0</v>
      </c>
      <c r="E373" s="8" t="n">
        <f aca="false">D373*$J$5</f>
        <v>0</v>
      </c>
      <c r="F373" s="8" t="n">
        <f aca="false">E373-C373</f>
        <v>1</v>
      </c>
      <c r="G373" s="9" t="n">
        <f aca="false">IF(AND(C373=0,E373=0),0,IF(C373=0,"New",(E373-C373)/C373))</f>
        <v>-1</v>
      </c>
      <c r="H373" s="8" t="n">
        <f aca="false">SUMIFS('Source 2025'!$H:$H,'Source 2025'!$B:$B,$A373,'Source 2025'!$A:$A,"Amount (NIS)")</f>
        <v>-102.6</v>
      </c>
      <c r="I373" s="8" t="n">
        <f aca="false">SUMIFS('Source 2026'!$H:$H,'Source 2026'!$B:$B,$A373,'Source 2026'!$A:$A,"Amount (NIS)")</f>
        <v>0</v>
      </c>
      <c r="J373" s="8" t="n">
        <f aca="false">I373*$J$5</f>
        <v>0</v>
      </c>
      <c r="K373" s="8" t="n">
        <f aca="false">J373-H373</f>
        <v>102.6</v>
      </c>
      <c r="L373" s="9" t="n">
        <f aca="false">IF(AND(H373=0,J373=0),0,IF(H373=0,"New",(J373-H373)/H373))</f>
        <v>-1</v>
      </c>
    </row>
    <row r="374" customFormat="false" ht="15" hidden="false" customHeight="false" outlineLevel="0" collapsed="false">
      <c r="A374" s="7" t="n">
        <v>4416003</v>
      </c>
      <c r="B374" s="7" t="str">
        <f aca="false">IFERROR(INDEX('Source 2026'!$C:$C,MATCH($A374,'Source 2026'!$B:$B,0)),IFERROR(INDEX('Source 2025'!$C:$C,MATCH($A374,'Source 2025'!$B:$B,0)),""))</f>
        <v>308 Lעקבים סיליקון כחול לדורבן</v>
      </c>
      <c r="C374" s="8" t="n">
        <f aca="false">SUMIFS('Source 2025'!$H:$H,'Source 2025'!$B:$B,$A374,'Source 2025'!$A:$A,"Quantity (units)")</f>
        <v>0</v>
      </c>
      <c r="D374" s="8" t="n">
        <f aca="false">SUMIFS('Source 2026'!$H:$H,'Source 2026'!$B:$B,$A374,'Source 2026'!$A:$A,"Quantity (units)")</f>
        <v>-2</v>
      </c>
      <c r="E374" s="8" t="n">
        <f aca="false">D374*$J$5</f>
        <v>-2.74285714285714</v>
      </c>
      <c r="F374" s="8" t="n">
        <f aca="false">E374-C374</f>
        <v>-2.74285714285714</v>
      </c>
      <c r="G374" s="9" t="str">
        <f aca="false">IF(AND(C374=0,E374=0),0,IF(C374=0,"New",(E374-C374)/C374))</f>
        <v>New</v>
      </c>
      <c r="H374" s="8" t="n">
        <f aca="false">SUMIFS('Source 2025'!$H:$H,'Source 2025'!$B:$B,$A374,'Source 2025'!$A:$A,"Amount (NIS)")</f>
        <v>0</v>
      </c>
      <c r="I374" s="8" t="n">
        <f aca="false">SUMIFS('Source 2026'!$H:$H,'Source 2026'!$B:$B,$A374,'Source 2026'!$A:$A,"Amount (NIS)")</f>
        <v>-101.3</v>
      </c>
      <c r="J374" s="8" t="n">
        <f aca="false">I374*$J$5</f>
        <v>-138.925714285714</v>
      </c>
      <c r="K374" s="8" t="n">
        <f aca="false">J374-H374</f>
        <v>-138.925714285714</v>
      </c>
      <c r="L374" s="9" t="str">
        <f aca="false">IF(AND(H374=0,J374=0),0,IF(H374=0,"New",(J374-H374)/H374))</f>
        <v>New</v>
      </c>
    </row>
    <row r="375" customFormat="false" ht="15" hidden="false" customHeight="false" outlineLevel="0" collapsed="false">
      <c r="A375" s="7" t="n">
        <v>4408232</v>
      </c>
      <c r="B375" s="7" t="str">
        <f aca="false">IFERROR(INDEX('Source 2026'!$C:$C,MATCH($A375,'Source 2026'!$B:$B,0)),IFERROR(INDEX('Source 2025'!$C:$C,MATCH($A375,'Source 2025'!$B:$B,0)),""))</f>
        <v>16 XXL חגורת הריון</v>
      </c>
      <c r="C375" s="8" t="n">
        <f aca="false">SUMIFS('Source 2025'!$H:$H,'Source 2025'!$B:$B,$A375,'Source 2025'!$A:$A,"Quantity (units)")</f>
        <v>-1</v>
      </c>
      <c r="D375" s="8" t="n">
        <f aca="false">SUMIFS('Source 2026'!$H:$H,'Source 2026'!$B:$B,$A375,'Source 2026'!$A:$A,"Quantity (units)")</f>
        <v>0</v>
      </c>
      <c r="E375" s="8" t="n">
        <f aca="false">D375*$J$5</f>
        <v>0</v>
      </c>
      <c r="F375" s="8" t="n">
        <f aca="false">E375-C375</f>
        <v>1</v>
      </c>
      <c r="G375" s="9" t="n">
        <f aca="false">IF(AND(C375=0,E375=0),0,IF(C375=0,"New",(E375-C375)/C375))</f>
        <v>-1</v>
      </c>
      <c r="H375" s="8" t="n">
        <f aca="false">SUMIFS('Source 2025'!$H:$H,'Source 2025'!$B:$B,$A375,'Source 2025'!$A:$A,"Amount (NIS)")</f>
        <v>-101.1</v>
      </c>
      <c r="I375" s="8" t="n">
        <f aca="false">SUMIFS('Source 2026'!$H:$H,'Source 2026'!$B:$B,$A375,'Source 2026'!$A:$A,"Amount (NIS)")</f>
        <v>0</v>
      </c>
      <c r="J375" s="8" t="n">
        <f aca="false">I375*$J$5</f>
        <v>0</v>
      </c>
      <c r="K375" s="8" t="n">
        <f aca="false">J375-H375</f>
        <v>101.1</v>
      </c>
      <c r="L375" s="9" t="n">
        <f aca="false">IF(AND(H375=0,J375=0),0,IF(H375=0,"New",(J375-H375)/H375))</f>
        <v>-1</v>
      </c>
    </row>
    <row r="376" customFormat="false" ht="15" hidden="false" customHeight="false" outlineLevel="0" collapsed="false">
      <c r="A376" s="7" t="n">
        <v>4411024</v>
      </c>
      <c r="B376" s="7" t="str">
        <f aca="false">IFERROR(INDEX('Source 2026'!$C:$C,MATCH($A376,'Source 2026'!$B:$B,0)),IFERROR(INDEX('Source 2025'!$C:$C,MATCH($A376,'Source 2025'!$B:$B,0)),""))</f>
        <v>212XL כפפות אגודל לחץ</v>
      </c>
      <c r="C376" s="8" t="n">
        <f aca="false">SUMIFS('Source 2025'!$H:$H,'Source 2025'!$B:$B,$A376,'Source 2025'!$A:$A,"Quantity (units)")</f>
        <v>62</v>
      </c>
      <c r="D376" s="8" t="n">
        <f aca="false">SUMIFS('Source 2026'!$H:$H,'Source 2026'!$B:$B,$A376,'Source 2026'!$A:$A,"Quantity (units)")</f>
        <v>56</v>
      </c>
      <c r="E376" s="8" t="n">
        <f aca="false">D376*$J$5</f>
        <v>76.8</v>
      </c>
      <c r="F376" s="8" t="n">
        <f aca="false">E376-C376</f>
        <v>14.8</v>
      </c>
      <c r="G376" s="9" t="n">
        <f aca="false">IF(AND(C376=0,E376=0),0,IF(C376=0,"New",(E376-C376)/C376))</f>
        <v>0.238709677419355</v>
      </c>
      <c r="H376" s="8" t="n">
        <f aca="false">SUMIFS('Source 2025'!$H:$H,'Source 2025'!$B:$B,$A376,'Source 2025'!$A:$A,"Amount (NIS)")</f>
        <v>1770</v>
      </c>
      <c r="I376" s="8" t="n">
        <f aca="false">SUMIFS('Source 2026'!$H:$H,'Source 2026'!$B:$B,$A376,'Source 2026'!$A:$A,"Amount (NIS)")</f>
        <v>1669</v>
      </c>
      <c r="J376" s="8" t="n">
        <f aca="false">I376*$J$5</f>
        <v>2288.91428571429</v>
      </c>
      <c r="K376" s="8" t="n">
        <f aca="false">J376-H376</f>
        <v>518.914285714286</v>
      </c>
      <c r="L376" s="9" t="n">
        <f aca="false">IF(AND(H376=0,J376=0),0,IF(H376=0,"New",(J376-H376)/H376))</f>
        <v>0.29317191283293</v>
      </c>
    </row>
    <row r="377" customFormat="false" ht="15" hidden="false" customHeight="false" outlineLevel="0" collapsed="false">
      <c r="A377" s="7" t="n">
        <v>4413110</v>
      </c>
      <c r="B377" s="7" t="str">
        <f aca="false">IFERROR(INDEX('Source 2026'!$C:$C,MATCH($A377,'Source 2026'!$B:$B,0)),IFERROR(INDEX('Source 2025'!$C:$C,MATCH($A377,'Source 2025'!$B:$B,0)),""))</f>
        <v>48 XXL מגן ברך מחמם</v>
      </c>
      <c r="C377" s="8" t="n">
        <f aca="false">SUMIFS('Source 2025'!$H:$H,'Source 2025'!$B:$B,$A377,'Source 2025'!$A:$A,"Quantity (units)")</f>
        <v>2</v>
      </c>
      <c r="D377" s="8" t="n">
        <f aca="false">SUMIFS('Source 2026'!$H:$H,'Source 2026'!$B:$B,$A377,'Source 2026'!$A:$A,"Quantity (units)")</f>
        <v>0</v>
      </c>
      <c r="E377" s="8" t="n">
        <f aca="false">D377*$J$5</f>
        <v>0</v>
      </c>
      <c r="F377" s="8" t="n">
        <f aca="false">E377-C377</f>
        <v>-2</v>
      </c>
      <c r="G377" s="9" t="n">
        <f aca="false">IF(AND(C377=0,E377=0),0,IF(C377=0,"New",(E377-C377)/C377))</f>
        <v>-1</v>
      </c>
      <c r="H377" s="8" t="n">
        <f aca="false">SUMIFS('Source 2025'!$H:$H,'Source 2025'!$B:$B,$A377,'Source 2025'!$A:$A,"Amount (NIS)")</f>
        <v>97.2</v>
      </c>
      <c r="I377" s="8" t="n">
        <f aca="false">SUMIFS('Source 2026'!$H:$H,'Source 2026'!$B:$B,$A377,'Source 2026'!$A:$A,"Amount (NIS)")</f>
        <v>0</v>
      </c>
      <c r="J377" s="8" t="n">
        <f aca="false">I377*$J$5</f>
        <v>0</v>
      </c>
      <c r="K377" s="8" t="n">
        <f aca="false">J377-H377</f>
        <v>-97.2</v>
      </c>
      <c r="L377" s="9" t="n">
        <f aca="false">IF(AND(H377=0,J377=0),0,IF(H377=0,"New",(J377-H377)/H377))</f>
        <v>-1</v>
      </c>
    </row>
    <row r="378" customFormat="false" ht="15" hidden="false" customHeight="false" outlineLevel="0" collapsed="false">
      <c r="A378" s="7" t="n">
        <v>4413106</v>
      </c>
      <c r="B378" s="7" t="str">
        <f aca="false">IFERROR(INDEX('Source 2026'!$C:$C,MATCH($A378,'Source 2026'!$B:$B,0)),IFERROR(INDEX('Source 2025'!$C:$C,MATCH($A378,'Source 2025'!$B:$B,0)),""))</f>
        <v>48 S מגן ברך מחמם</v>
      </c>
      <c r="C378" s="8" t="n">
        <f aca="false">SUMIFS('Source 2025'!$H:$H,'Source 2025'!$B:$B,$A378,'Source 2025'!$A:$A,"Quantity (units)")</f>
        <v>2</v>
      </c>
      <c r="D378" s="8" t="n">
        <f aca="false">SUMIFS('Source 2026'!$H:$H,'Source 2026'!$B:$B,$A378,'Source 2026'!$A:$A,"Quantity (units)")</f>
        <v>0</v>
      </c>
      <c r="E378" s="8" t="n">
        <f aca="false">D378*$J$5</f>
        <v>0</v>
      </c>
      <c r="F378" s="8" t="n">
        <f aca="false">E378-C378</f>
        <v>-2</v>
      </c>
      <c r="G378" s="9" t="n">
        <f aca="false">IF(AND(C378=0,E378=0),0,IF(C378=0,"New",(E378-C378)/C378))</f>
        <v>-1</v>
      </c>
      <c r="H378" s="8" t="n">
        <f aca="false">SUMIFS('Source 2025'!$H:$H,'Source 2025'!$B:$B,$A378,'Source 2025'!$A:$A,"Amount (NIS)")</f>
        <v>97.2</v>
      </c>
      <c r="I378" s="8" t="n">
        <f aca="false">SUMIFS('Source 2026'!$H:$H,'Source 2026'!$B:$B,$A378,'Source 2026'!$A:$A,"Amount (NIS)")</f>
        <v>0</v>
      </c>
      <c r="J378" s="8" t="n">
        <f aca="false">I378*$J$5</f>
        <v>0</v>
      </c>
      <c r="K378" s="8" t="n">
        <f aca="false">J378-H378</f>
        <v>-97.2</v>
      </c>
      <c r="L378" s="9" t="n">
        <f aca="false">IF(AND(H378=0,J378=0),0,IF(H378=0,"New",(J378-H378)/H378))</f>
        <v>-1</v>
      </c>
    </row>
    <row r="379" customFormat="false" ht="15" hidden="false" customHeight="false" outlineLevel="0" collapsed="false">
      <c r="A379" s="7" t="n">
        <v>4413117</v>
      </c>
      <c r="B379" s="7" t="str">
        <f aca="false">IFERROR(INDEX('Source 2026'!$C:$C,MATCH($A379,'Source 2026'!$B:$B,0)),IFERROR(INDEX('Source 2025'!$C:$C,MATCH($A379,'Source 2025'!$B:$B,0)),""))</f>
        <v>50 L מתלה אשכים לאחר ניתוח</v>
      </c>
      <c r="C379" s="8" t="n">
        <f aca="false">SUMIFS('Source 2025'!$H:$H,'Source 2025'!$B:$B,$A379,'Source 2025'!$A:$A,"Quantity (units)")</f>
        <v>0</v>
      </c>
      <c r="D379" s="8" t="n">
        <f aca="false">SUMIFS('Source 2026'!$H:$H,'Source 2026'!$B:$B,$A379,'Source 2026'!$A:$A,"Quantity (units)")</f>
        <v>-1</v>
      </c>
      <c r="E379" s="8" t="n">
        <f aca="false">D379*$J$5</f>
        <v>-1.37142857142857</v>
      </c>
      <c r="F379" s="8" t="n">
        <f aca="false">E379-C379</f>
        <v>-1.37142857142857</v>
      </c>
      <c r="G379" s="9" t="str">
        <f aca="false">IF(AND(C379=0,E379=0),0,IF(C379=0,"New",(E379-C379)/C379))</f>
        <v>New</v>
      </c>
      <c r="H379" s="8" t="n">
        <f aca="false">SUMIFS('Source 2025'!$H:$H,'Source 2025'!$B:$B,$A379,'Source 2025'!$A:$A,"Amount (NIS)")</f>
        <v>0</v>
      </c>
      <c r="I379" s="8" t="n">
        <f aca="false">SUMIFS('Source 2026'!$H:$H,'Source 2026'!$B:$B,$A379,'Source 2026'!$A:$A,"Amount (NIS)")</f>
        <v>-96.8</v>
      </c>
      <c r="J379" s="8" t="n">
        <f aca="false">I379*$J$5</f>
        <v>-132.754285714286</v>
      </c>
      <c r="K379" s="8" t="n">
        <f aca="false">J379-H379</f>
        <v>-132.754285714286</v>
      </c>
      <c r="L379" s="9" t="str">
        <f aca="false">IF(AND(H379=0,J379=0),0,IF(H379=0,"New",(J379-H379)/H379))</f>
        <v>New</v>
      </c>
    </row>
    <row r="380" customFormat="false" ht="15" hidden="false" customHeight="false" outlineLevel="0" collapsed="false">
      <c r="A380" s="7" t="n">
        <v>4413119</v>
      </c>
      <c r="B380" s="7" t="str">
        <f aca="false">IFERROR(INDEX('Source 2026'!$C:$C,MATCH($A380,'Source 2026'!$B:$B,0)),IFERROR(INDEX('Source 2025'!$C:$C,MATCH($A380,'Source 2025'!$B:$B,0)),""))</f>
        <v>50 XL מתלה אשכים לאחר ניתוח</v>
      </c>
      <c r="C380" s="8" t="n">
        <f aca="false">SUMIFS('Source 2025'!$H:$H,'Source 2025'!$B:$B,$A380,'Source 2025'!$A:$A,"Quantity (units)")</f>
        <v>0</v>
      </c>
      <c r="D380" s="8" t="n">
        <f aca="false">SUMIFS('Source 2026'!$H:$H,'Source 2026'!$B:$B,$A380,'Source 2026'!$A:$A,"Quantity (units)")</f>
        <v>-1</v>
      </c>
      <c r="E380" s="8" t="n">
        <f aca="false">D380*$J$5</f>
        <v>-1.37142857142857</v>
      </c>
      <c r="F380" s="8" t="n">
        <f aca="false">E380-C380</f>
        <v>-1.37142857142857</v>
      </c>
      <c r="G380" s="9" t="str">
        <f aca="false">IF(AND(C380=0,E380=0),0,IF(C380=0,"New",(E380-C380)/C380))</f>
        <v>New</v>
      </c>
      <c r="H380" s="8" t="n">
        <f aca="false">SUMIFS('Source 2025'!$H:$H,'Source 2025'!$B:$B,$A380,'Source 2025'!$A:$A,"Amount (NIS)")</f>
        <v>0</v>
      </c>
      <c r="I380" s="8" t="n">
        <f aca="false">SUMIFS('Source 2026'!$H:$H,'Source 2026'!$B:$B,$A380,'Source 2026'!$A:$A,"Amount (NIS)")</f>
        <v>-96.8</v>
      </c>
      <c r="J380" s="8" t="n">
        <f aca="false">I380*$J$5</f>
        <v>-132.754285714286</v>
      </c>
      <c r="K380" s="8" t="n">
        <f aca="false">J380-H380</f>
        <v>-132.754285714286</v>
      </c>
      <c r="L380" s="9" t="str">
        <f aca="false">IF(AND(H380=0,J380=0),0,IF(H380=0,"New",(J380-H380)/H380))</f>
        <v>New</v>
      </c>
    </row>
    <row r="381" customFormat="false" ht="15" hidden="false" customHeight="false" outlineLevel="0" collapsed="false">
      <c r="A381" s="7" t="n">
        <v>4415164</v>
      </c>
      <c r="B381" s="7" t="str">
        <f aca="false">IFERROR(INDEX('Source 2026'!$C:$C,MATCH($A381,'Source 2026'!$B:$B,0)),IFERROR(INDEX('Source 2025'!$C:$C,MATCH($A381,'Source 2025'!$B:$B,0)),""))</f>
        <v>267LC  L-XL 'סד יד שמאל בז</v>
      </c>
      <c r="C381" s="8" t="n">
        <f aca="false">SUMIFS('Source 2025'!$H:$H,'Source 2025'!$B:$B,$A381,'Source 2025'!$A:$A,"Quantity (units)")</f>
        <v>0</v>
      </c>
      <c r="D381" s="8" t="n">
        <f aca="false">SUMIFS('Source 2026'!$H:$H,'Source 2026'!$B:$B,$A381,'Source 2026'!$A:$A,"Quantity (units)")</f>
        <v>-1</v>
      </c>
      <c r="E381" s="8" t="n">
        <f aca="false">D381*$J$5</f>
        <v>-1.37142857142857</v>
      </c>
      <c r="F381" s="8" t="n">
        <f aca="false">E381-C381</f>
        <v>-1.37142857142857</v>
      </c>
      <c r="G381" s="9" t="str">
        <f aca="false">IF(AND(C381=0,E381=0),0,IF(C381=0,"New",(E381-C381)/C381))</f>
        <v>New</v>
      </c>
      <c r="H381" s="8" t="n">
        <f aca="false">SUMIFS('Source 2025'!$H:$H,'Source 2025'!$B:$B,$A381,'Source 2025'!$A:$A,"Amount (NIS)")</f>
        <v>0</v>
      </c>
      <c r="I381" s="8" t="n">
        <f aca="false">SUMIFS('Source 2026'!$H:$H,'Source 2026'!$B:$B,$A381,'Source 2026'!$A:$A,"Amount (NIS)")</f>
        <v>-94.2</v>
      </c>
      <c r="J381" s="8" t="n">
        <f aca="false">I381*$J$5</f>
        <v>-129.188571428571</v>
      </c>
      <c r="K381" s="8" t="n">
        <f aca="false">J381-H381</f>
        <v>-129.188571428571</v>
      </c>
      <c r="L381" s="9" t="str">
        <f aca="false">IF(AND(H381=0,J381=0),0,IF(H381=0,"New",(J381-H381)/H381))</f>
        <v>New</v>
      </c>
    </row>
    <row r="382" customFormat="false" ht="15" hidden="false" customHeight="false" outlineLevel="0" collapsed="false">
      <c r="A382" s="7" t="n">
        <v>4408236</v>
      </c>
      <c r="B382" s="7" t="str">
        <f aca="false">IFERROR(INDEX('Source 2026'!$C:$C,MATCH($A382,'Source 2026'!$B:$B,0)),IFERROR(INDEX('Source 2025'!$C:$C,MATCH($A382,'Source 2025'!$B:$B,0)),""))</f>
        <v>078C XLתתחגורת גב+סגירה כפו בז</v>
      </c>
      <c r="C382" s="8" t="n">
        <f aca="false">SUMIFS('Source 2025'!$H:$H,'Source 2025'!$B:$B,$A382,'Source 2025'!$A:$A,"Quantity (units)")</f>
        <v>0</v>
      </c>
      <c r="D382" s="8" t="n">
        <f aca="false">SUMIFS('Source 2026'!$H:$H,'Source 2026'!$B:$B,$A382,'Source 2026'!$A:$A,"Quantity (units)")</f>
        <v>-1</v>
      </c>
      <c r="E382" s="8" t="n">
        <f aca="false">D382*$J$5</f>
        <v>-1.37142857142857</v>
      </c>
      <c r="F382" s="8" t="n">
        <f aca="false">E382-C382</f>
        <v>-1.37142857142857</v>
      </c>
      <c r="G382" s="9" t="str">
        <f aca="false">IF(AND(C382=0,E382=0),0,IF(C382=0,"New",(E382-C382)/C382))</f>
        <v>New</v>
      </c>
      <c r="H382" s="8" t="n">
        <f aca="false">SUMIFS('Source 2025'!$H:$H,'Source 2025'!$B:$B,$A382,'Source 2025'!$A:$A,"Amount (NIS)")</f>
        <v>0</v>
      </c>
      <c r="I382" s="8" t="n">
        <f aca="false">SUMIFS('Source 2026'!$H:$H,'Source 2026'!$B:$B,$A382,'Source 2026'!$A:$A,"Amount (NIS)")</f>
        <v>-92.1</v>
      </c>
      <c r="J382" s="8" t="n">
        <f aca="false">I382*$J$5</f>
        <v>-126.308571428571</v>
      </c>
      <c r="K382" s="8" t="n">
        <f aca="false">J382-H382</f>
        <v>-126.308571428571</v>
      </c>
      <c r="L382" s="9" t="str">
        <f aca="false">IF(AND(H382=0,J382=0),0,IF(H382=0,"New",(J382-H382)/H382))</f>
        <v>New</v>
      </c>
    </row>
    <row r="383" customFormat="false" ht="15" hidden="false" customHeight="false" outlineLevel="0" collapsed="false">
      <c r="A383" s="7" t="n">
        <v>4413108</v>
      </c>
      <c r="B383" s="7" t="str">
        <f aca="false">IFERROR(INDEX('Source 2026'!$C:$C,MATCH($A383,'Source 2026'!$B:$B,0)),IFERROR(INDEX('Source 2025'!$C:$C,MATCH($A383,'Source 2025'!$B:$B,0)),""))</f>
        <v>48 M מגן ברך מחמם</v>
      </c>
      <c r="C383" s="8" t="n">
        <f aca="false">SUMIFS('Source 2025'!$H:$H,'Source 2025'!$B:$B,$A383,'Source 2025'!$A:$A,"Quantity (units)")</f>
        <v>5</v>
      </c>
      <c r="D383" s="8" t="n">
        <f aca="false">SUMIFS('Source 2026'!$H:$H,'Source 2026'!$B:$B,$A383,'Source 2026'!$A:$A,"Quantity (units)")</f>
        <v>3</v>
      </c>
      <c r="E383" s="8" t="n">
        <f aca="false">D383*$J$5</f>
        <v>4.11428571428571</v>
      </c>
      <c r="F383" s="8" t="n">
        <f aca="false">E383-C383</f>
        <v>-0.885714285714286</v>
      </c>
      <c r="G383" s="9" t="n">
        <f aca="false">IF(AND(C383=0,E383=0),0,IF(C383=0,"New",(E383-C383)/C383))</f>
        <v>-0.177142857142857</v>
      </c>
      <c r="H383" s="8" t="n">
        <f aca="false">SUMIFS('Source 2025'!$H:$H,'Source 2025'!$B:$B,$A383,'Source 2025'!$A:$A,"Amount (NIS)")</f>
        <v>243.1</v>
      </c>
      <c r="I383" s="8" t="n">
        <f aca="false">SUMIFS('Source 2026'!$H:$H,'Source 2026'!$B:$B,$A383,'Source 2026'!$A:$A,"Amount (NIS)")</f>
        <v>152.7</v>
      </c>
      <c r="J383" s="8" t="n">
        <f aca="false">I383*$J$5</f>
        <v>209.417142857143</v>
      </c>
      <c r="K383" s="8" t="n">
        <f aca="false">J383-H383</f>
        <v>-33.6828571428572</v>
      </c>
      <c r="L383" s="9" t="n">
        <f aca="false">IF(AND(H383=0,J383=0),0,IF(H383=0,"New",(J383-H383)/H383))</f>
        <v>-0.138555562084974</v>
      </c>
    </row>
    <row r="384" customFormat="false" ht="15" hidden="false" customHeight="false" outlineLevel="0" collapsed="false">
      <c r="A384" s="7" t="n">
        <v>4415093</v>
      </c>
      <c r="B384" s="7" t="str">
        <f aca="false">IFERROR(INDEX('Source 2026'!$C:$C,MATCH($A384,'Source 2026'!$B:$B,0)),IFERROR(INDEX('Source 2025'!$C:$C,MATCH($A384,'Source 2025'!$B:$B,0)),""))</f>
        <v>27 R-M סד ליד ימין</v>
      </c>
      <c r="C384" s="8" t="n">
        <f aca="false">SUMIFS('Source 2025'!$H:$H,'Source 2025'!$B:$B,$A384,'Source 2025'!$A:$A,"Quantity (units)")</f>
        <v>0</v>
      </c>
      <c r="D384" s="8" t="n">
        <f aca="false">SUMIFS('Source 2026'!$H:$H,'Source 2026'!$B:$B,$A384,'Source 2026'!$A:$A,"Quantity (units)")</f>
        <v>-1</v>
      </c>
      <c r="E384" s="8" t="n">
        <f aca="false">D384*$J$5</f>
        <v>-1.37142857142857</v>
      </c>
      <c r="F384" s="8" t="n">
        <f aca="false">E384-C384</f>
        <v>-1.37142857142857</v>
      </c>
      <c r="G384" s="9" t="str">
        <f aca="false">IF(AND(C384=0,E384=0),0,IF(C384=0,"New",(E384-C384)/C384))</f>
        <v>New</v>
      </c>
      <c r="H384" s="8" t="n">
        <f aca="false">SUMIFS('Source 2025'!$H:$H,'Source 2025'!$B:$B,$A384,'Source 2025'!$A:$A,"Amount (NIS)")</f>
        <v>0</v>
      </c>
      <c r="I384" s="8" t="n">
        <f aca="false">SUMIFS('Source 2026'!$H:$H,'Source 2026'!$B:$B,$A384,'Source 2026'!$A:$A,"Amount (NIS)")</f>
        <v>-90.1</v>
      </c>
      <c r="J384" s="8" t="n">
        <f aca="false">I384*$J$5</f>
        <v>-123.565714285714</v>
      </c>
      <c r="K384" s="8" t="n">
        <f aca="false">J384-H384</f>
        <v>-123.565714285714</v>
      </c>
      <c r="L384" s="9" t="str">
        <f aca="false">IF(AND(H384=0,J384=0),0,IF(H384=0,"New",(J384-H384)/H384))</f>
        <v>New</v>
      </c>
    </row>
    <row r="385" customFormat="false" ht="15" hidden="false" customHeight="false" outlineLevel="0" collapsed="false">
      <c r="A385" s="7" t="n">
        <v>4413181</v>
      </c>
      <c r="B385" s="7" t="str">
        <f aca="false">IFERROR(INDEX('Source 2026'!$C:$C,MATCH($A385,'Source 2026'!$B:$B,0)),IFERROR(INDEX('Source 2025'!$C:$C,MATCH($A385,'Source 2025'!$B:$B,0)),""))</f>
        <v>T39  L מגן שוק</v>
      </c>
      <c r="C385" s="8" t="n">
        <f aca="false">SUMIFS('Source 2025'!$H:$H,'Source 2025'!$B:$B,$A385,'Source 2025'!$A:$A,"Quantity (units)")</f>
        <v>-1</v>
      </c>
      <c r="D385" s="8" t="n">
        <f aca="false">SUMIFS('Source 2026'!$H:$H,'Source 2026'!$B:$B,$A385,'Source 2026'!$A:$A,"Quantity (units)")</f>
        <v>0</v>
      </c>
      <c r="E385" s="8" t="n">
        <f aca="false">D385*$J$5</f>
        <v>0</v>
      </c>
      <c r="F385" s="8" t="n">
        <f aca="false">E385-C385</f>
        <v>1</v>
      </c>
      <c r="G385" s="9" t="n">
        <f aca="false">IF(AND(C385=0,E385=0),0,IF(C385=0,"New",(E385-C385)/C385))</f>
        <v>-1</v>
      </c>
      <c r="H385" s="8" t="n">
        <f aca="false">SUMIFS('Source 2025'!$H:$H,'Source 2025'!$B:$B,$A385,'Source 2025'!$A:$A,"Amount (NIS)")</f>
        <v>-90.1</v>
      </c>
      <c r="I385" s="8" t="n">
        <f aca="false">SUMIFS('Source 2026'!$H:$H,'Source 2026'!$B:$B,$A385,'Source 2026'!$A:$A,"Amount (NIS)")</f>
        <v>0</v>
      </c>
      <c r="J385" s="8" t="n">
        <f aca="false">I385*$J$5</f>
        <v>0</v>
      </c>
      <c r="K385" s="8" t="n">
        <f aca="false">J385-H385</f>
        <v>90.1</v>
      </c>
      <c r="L385" s="9" t="n">
        <f aca="false">IF(AND(H385=0,J385=0),0,IF(H385=0,"New",(J385-H385)/H385))</f>
        <v>-1</v>
      </c>
    </row>
    <row r="386" customFormat="false" ht="15" hidden="false" customHeight="false" outlineLevel="0" collapsed="false">
      <c r="A386" s="7" t="n">
        <v>4418016</v>
      </c>
      <c r="B386" s="7" t="str">
        <f aca="false">IFERROR(INDEX('Source 2026'!$C:$C,MATCH($A386,'Source 2026'!$B:$B,0)),IFERROR(INDEX('Source 2025'!$C:$C,MATCH($A386,'Source 2025'!$B:$B,0)),""))</f>
        <v>60XS צוארון ספוגי</v>
      </c>
      <c r="C386" s="8" t="n">
        <f aca="false">SUMIFS('Source 2025'!$H:$H,'Source 2025'!$B:$B,$A386,'Source 2025'!$A:$A,"Quantity (units)")</f>
        <v>-3</v>
      </c>
      <c r="D386" s="8" t="n">
        <f aca="false">SUMIFS('Source 2026'!$H:$H,'Source 2026'!$B:$B,$A386,'Source 2026'!$A:$A,"Quantity (units)")</f>
        <v>0</v>
      </c>
      <c r="E386" s="8" t="n">
        <f aca="false">D386*$J$5</f>
        <v>0</v>
      </c>
      <c r="F386" s="8" t="n">
        <f aca="false">E386-C386</f>
        <v>3</v>
      </c>
      <c r="G386" s="9" t="n">
        <f aca="false">IF(AND(C386=0,E386=0),0,IF(C386=0,"New",(E386-C386)/C386))</f>
        <v>-1</v>
      </c>
      <c r="H386" s="8" t="n">
        <f aca="false">SUMIFS('Source 2025'!$H:$H,'Source 2025'!$B:$B,$A386,'Source 2025'!$A:$A,"Amount (NIS)")</f>
        <v>-90</v>
      </c>
      <c r="I386" s="8" t="n">
        <f aca="false">SUMIFS('Source 2026'!$H:$H,'Source 2026'!$B:$B,$A386,'Source 2026'!$A:$A,"Amount (NIS)")</f>
        <v>0</v>
      </c>
      <c r="J386" s="8" t="n">
        <f aca="false">I386*$J$5</f>
        <v>0</v>
      </c>
      <c r="K386" s="8" t="n">
        <f aca="false">J386-H386</f>
        <v>90</v>
      </c>
      <c r="L386" s="9" t="n">
        <f aca="false">IF(AND(H386=0,J386=0),0,IF(H386=0,"New",(J386-H386)/H386))</f>
        <v>-1</v>
      </c>
    </row>
    <row r="387" customFormat="false" ht="15" hidden="false" customHeight="false" outlineLevel="0" collapsed="false">
      <c r="A387" s="7" t="n">
        <v>4408234</v>
      </c>
      <c r="B387" s="7" t="str">
        <f aca="false">IFERROR(INDEX('Source 2026'!$C:$C,MATCH($A387,'Source 2026'!$B:$B,0)),IFERROR(INDEX('Source 2025'!$C:$C,MATCH($A387,'Source 2025'!$B:$B,0)),""))</f>
        <v>078C M'חגורת גב+סגירה כפו בז</v>
      </c>
      <c r="C387" s="8" t="n">
        <f aca="false">SUMIFS('Source 2025'!$H:$H,'Source 2025'!$B:$B,$A387,'Source 2025'!$A:$A,"Quantity (units)")</f>
        <v>-1</v>
      </c>
      <c r="D387" s="8" t="n">
        <f aca="false">SUMIFS('Source 2026'!$H:$H,'Source 2026'!$B:$B,$A387,'Source 2026'!$A:$A,"Quantity (units)")</f>
        <v>-2</v>
      </c>
      <c r="E387" s="8" t="n">
        <f aca="false">D387*$J$5</f>
        <v>-2.74285714285714</v>
      </c>
      <c r="F387" s="8" t="n">
        <f aca="false">E387-C387</f>
        <v>-1.74285714285714</v>
      </c>
      <c r="G387" s="9" t="n">
        <f aca="false">IF(AND(C387=0,E387=0),0,IF(C387=0,"New",(E387-C387)/C387))</f>
        <v>1.74285714285714</v>
      </c>
      <c r="H387" s="8" t="n">
        <f aca="false">SUMIFS('Source 2025'!$H:$H,'Source 2025'!$B:$B,$A387,'Source 2025'!$A:$A,"Amount (NIS)")</f>
        <v>-92.1</v>
      </c>
      <c r="I387" s="8" t="n">
        <f aca="false">SUMIFS('Source 2026'!$H:$H,'Source 2026'!$B:$B,$A387,'Source 2026'!$A:$A,"Amount (NIS)")</f>
        <v>-179.7</v>
      </c>
      <c r="J387" s="8" t="n">
        <f aca="false">I387*$J$5</f>
        <v>-246.445714285714</v>
      </c>
      <c r="K387" s="8" t="n">
        <f aca="false">J387-H387</f>
        <v>-154.345714285714</v>
      </c>
      <c r="L387" s="9" t="n">
        <f aca="false">IF(AND(H387=0,J387=0),0,IF(H387=0,"New",(J387-H387)/H387))</f>
        <v>1.67584923220102</v>
      </c>
    </row>
    <row r="388" customFormat="false" ht="15" hidden="false" customHeight="false" outlineLevel="0" collapsed="false">
      <c r="A388" s="7" t="n">
        <v>4408233</v>
      </c>
      <c r="B388" s="7" t="str">
        <f aca="false">IFERROR(INDEX('Source 2026'!$C:$C,MATCH($A388,'Source 2026'!$B:$B,0)),IFERROR(INDEX('Source 2025'!$C:$C,MATCH($A388,'Source 2025'!$B:$B,0)),""))</f>
        <v>078C L'חגורת גב+סגירה כפו בז</v>
      </c>
      <c r="C388" s="8" t="n">
        <f aca="false">SUMIFS('Source 2025'!$H:$H,'Source 2025'!$B:$B,$A388,'Source 2025'!$A:$A,"Quantity (units)")</f>
        <v>-1</v>
      </c>
      <c r="D388" s="8" t="n">
        <f aca="false">SUMIFS('Source 2026'!$H:$H,'Source 2026'!$B:$B,$A388,'Source 2026'!$A:$A,"Quantity (units)")</f>
        <v>0</v>
      </c>
      <c r="E388" s="8" t="n">
        <f aca="false">D388*$J$5</f>
        <v>0</v>
      </c>
      <c r="F388" s="8" t="n">
        <f aca="false">E388-C388</f>
        <v>1</v>
      </c>
      <c r="G388" s="9" t="n">
        <f aca="false">IF(AND(C388=0,E388=0),0,IF(C388=0,"New",(E388-C388)/C388))</f>
        <v>-1</v>
      </c>
      <c r="H388" s="8" t="n">
        <f aca="false">SUMIFS('Source 2025'!$H:$H,'Source 2025'!$B:$B,$A388,'Source 2025'!$A:$A,"Amount (NIS)")</f>
        <v>-85.7</v>
      </c>
      <c r="I388" s="8" t="n">
        <f aca="false">SUMIFS('Source 2026'!$H:$H,'Source 2026'!$B:$B,$A388,'Source 2026'!$A:$A,"Amount (NIS)")</f>
        <v>0</v>
      </c>
      <c r="J388" s="8" t="n">
        <f aca="false">I388*$J$5</f>
        <v>0</v>
      </c>
      <c r="K388" s="8" t="n">
        <f aca="false">J388-H388</f>
        <v>85.7</v>
      </c>
      <c r="L388" s="9" t="n">
        <f aca="false">IF(AND(H388=0,J388=0),0,IF(H388=0,"New",(J388-H388)/H388))</f>
        <v>-1</v>
      </c>
    </row>
    <row r="389" customFormat="false" ht="15" hidden="false" customHeight="false" outlineLevel="0" collapsed="false">
      <c r="A389" s="7" t="n">
        <v>4413175</v>
      </c>
      <c r="B389" s="7" t="str">
        <f aca="false">IFERROR(INDEX('Source 2026'!$C:$C,MATCH($A389,'Source 2026'!$B:$B,0)),IFERROR(INDEX('Source 2025'!$C:$C,MATCH($A389,'Source 2025'!$B:$B,0)),""))</f>
        <v>85+ Mמתלה ליד)כיס(+רצועת חיזוק</v>
      </c>
      <c r="C389" s="8" t="n">
        <f aca="false">SUMIFS('Source 2025'!$H:$H,'Source 2025'!$B:$B,$A389,'Source 2025'!$A:$A,"Quantity (units)")</f>
        <v>1</v>
      </c>
      <c r="D389" s="8" t="n">
        <f aca="false">SUMIFS('Source 2026'!$H:$H,'Source 2026'!$B:$B,$A389,'Source 2026'!$A:$A,"Quantity (units)")</f>
        <v>0</v>
      </c>
      <c r="E389" s="8" t="n">
        <f aca="false">D389*$J$5</f>
        <v>0</v>
      </c>
      <c r="F389" s="8" t="n">
        <f aca="false">E389-C389</f>
        <v>-1</v>
      </c>
      <c r="G389" s="9" t="n">
        <f aca="false">IF(AND(C389=0,E389=0),0,IF(C389=0,"New",(E389-C389)/C389))</f>
        <v>-1</v>
      </c>
      <c r="H389" s="8" t="n">
        <f aca="false">SUMIFS('Source 2025'!$H:$H,'Source 2025'!$B:$B,$A389,'Source 2025'!$A:$A,"Amount (NIS)")</f>
        <v>84.9</v>
      </c>
      <c r="I389" s="8" t="n">
        <f aca="false">SUMIFS('Source 2026'!$H:$H,'Source 2026'!$B:$B,$A389,'Source 2026'!$A:$A,"Amount (NIS)")</f>
        <v>0</v>
      </c>
      <c r="J389" s="8" t="n">
        <f aca="false">I389*$J$5</f>
        <v>0</v>
      </c>
      <c r="K389" s="8" t="n">
        <f aca="false">J389-H389</f>
        <v>-84.9</v>
      </c>
      <c r="L389" s="9" t="n">
        <f aca="false">IF(AND(H389=0,J389=0),0,IF(H389=0,"New",(J389-H389)/H389))</f>
        <v>-1</v>
      </c>
    </row>
    <row r="390" customFormat="false" ht="15" hidden="false" customHeight="false" outlineLevel="0" collapsed="false">
      <c r="A390" s="7" t="n">
        <v>4403023</v>
      </c>
      <c r="B390" s="7" t="str">
        <f aca="false">IFERROR(INDEX('Source 2026'!$C:$C,MATCH($A390,'Source 2026'!$B:$B,0)),IFERROR(INDEX('Source 2025'!$C:$C,MATCH($A390,'Source 2025'!$B:$B,0)),""))</f>
        <v>394W 35-38 גרב.כסף לסכרתים לבן</v>
      </c>
      <c r="C390" s="8" t="n">
        <f aca="false">SUMIFS('Source 2025'!$H:$H,'Source 2025'!$B:$B,$A390,'Source 2025'!$A:$A,"Quantity (units)")</f>
        <v>25</v>
      </c>
      <c r="D390" s="8" t="n">
        <f aca="false">SUMIFS('Source 2026'!$H:$H,'Source 2026'!$B:$B,$A390,'Source 2026'!$A:$A,"Quantity (units)")</f>
        <v>21</v>
      </c>
      <c r="E390" s="8" t="n">
        <f aca="false">D390*$J$5</f>
        <v>28.8</v>
      </c>
      <c r="F390" s="8" t="n">
        <f aca="false">E390-C390</f>
        <v>3.8</v>
      </c>
      <c r="G390" s="9" t="n">
        <f aca="false">IF(AND(C390=0,E390=0),0,IF(C390=0,"New",(E390-C390)/C390))</f>
        <v>0.152</v>
      </c>
      <c r="H390" s="8" t="n">
        <f aca="false">SUMIFS('Source 2025'!$H:$H,'Source 2025'!$B:$B,$A390,'Source 2025'!$A:$A,"Amount (NIS)")</f>
        <v>561.1</v>
      </c>
      <c r="I390" s="8" t="n">
        <f aca="false">SUMIFS('Source 2026'!$H:$H,'Source 2026'!$B:$B,$A390,'Source 2026'!$A:$A,"Amount (NIS)")</f>
        <v>476.7</v>
      </c>
      <c r="J390" s="8" t="n">
        <f aca="false">I390*$J$5</f>
        <v>653.76</v>
      </c>
      <c r="K390" s="8" t="n">
        <f aca="false">J390-H390</f>
        <v>92.66</v>
      </c>
      <c r="L390" s="9" t="n">
        <f aca="false">IF(AND(H390=0,J390=0),0,IF(H390=0,"New",(J390-H390)/H390))</f>
        <v>0.16513990376047</v>
      </c>
    </row>
    <row r="391" customFormat="false" ht="15" hidden="false" customHeight="false" outlineLevel="0" collapsed="false">
      <c r="A391" s="7" t="n">
        <v>4408093</v>
      </c>
      <c r="B391" s="7" t="str">
        <f aca="false">IFERROR(INDEX('Source 2026'!$C:$C,MATCH($A391,'Source 2026'!$B:$B,0)),IFERROR(INDEX('Source 2025'!$C:$C,MATCH($A391,'Source 2025'!$B:$B,0)),""))</f>
        <v>T11C XXL חגורת גב פוג'יאמה</v>
      </c>
      <c r="C391" s="8" t="n">
        <f aca="false">SUMIFS('Source 2025'!$H:$H,'Source 2025'!$B:$B,$A391,'Source 2025'!$A:$A,"Quantity (units)")</f>
        <v>0</v>
      </c>
      <c r="D391" s="8" t="n">
        <f aca="false">SUMIFS('Source 2026'!$H:$H,'Source 2026'!$B:$B,$A391,'Source 2026'!$A:$A,"Quantity (units)")</f>
        <v>-1</v>
      </c>
      <c r="E391" s="8" t="n">
        <f aca="false">D391*$J$5</f>
        <v>-1.37142857142857</v>
      </c>
      <c r="F391" s="8" t="n">
        <f aca="false">E391-C391</f>
        <v>-1.37142857142857</v>
      </c>
      <c r="G391" s="9" t="str">
        <f aca="false">IF(AND(C391=0,E391=0),0,IF(C391=0,"New",(E391-C391)/C391))</f>
        <v>New</v>
      </c>
      <c r="H391" s="8" t="n">
        <f aca="false">SUMIFS('Source 2025'!$H:$H,'Source 2025'!$B:$B,$A391,'Source 2025'!$A:$A,"Amount (NIS)")</f>
        <v>0</v>
      </c>
      <c r="I391" s="8" t="n">
        <f aca="false">SUMIFS('Source 2026'!$H:$H,'Source 2026'!$B:$B,$A391,'Source 2026'!$A:$A,"Amount (NIS)")</f>
        <v>-81.9</v>
      </c>
      <c r="J391" s="8" t="n">
        <f aca="false">I391*$J$5</f>
        <v>-112.32</v>
      </c>
      <c r="K391" s="8" t="n">
        <f aca="false">J391-H391</f>
        <v>-112.32</v>
      </c>
      <c r="L391" s="9" t="str">
        <f aca="false">IF(AND(H391=0,J391=0),0,IF(H391=0,"New",(J391-H391)/H391))</f>
        <v>New</v>
      </c>
    </row>
    <row r="392" customFormat="false" ht="15" hidden="false" customHeight="false" outlineLevel="0" collapsed="false">
      <c r="A392" s="7" t="n">
        <v>4413169</v>
      </c>
      <c r="B392" s="7" t="str">
        <f aca="false">IFERROR(INDEX('Source 2026'!$C:$C,MATCH($A392,'Source 2026'!$B:$B,0)),IFERROR(INDEX('Source 2025'!$C:$C,MATCH($A392,'Source 2025'!$B:$B,0)),""))</f>
        <v>T402 S מיצב פיקה</v>
      </c>
      <c r="C392" s="8" t="n">
        <f aca="false">SUMIFS('Source 2025'!$H:$H,'Source 2025'!$B:$B,$A392,'Source 2025'!$A:$A,"Quantity (units)")</f>
        <v>-1</v>
      </c>
      <c r="D392" s="8" t="n">
        <f aca="false">SUMIFS('Source 2026'!$H:$H,'Source 2026'!$B:$B,$A392,'Source 2026'!$A:$A,"Quantity (units)")</f>
        <v>0</v>
      </c>
      <c r="E392" s="8" t="n">
        <f aca="false">D392*$J$5</f>
        <v>0</v>
      </c>
      <c r="F392" s="8" t="n">
        <f aca="false">E392-C392</f>
        <v>1</v>
      </c>
      <c r="G392" s="9" t="n">
        <f aca="false">IF(AND(C392=0,E392=0),0,IF(C392=0,"New",(E392-C392)/C392))</f>
        <v>-1</v>
      </c>
      <c r="H392" s="8" t="n">
        <f aca="false">SUMIFS('Source 2025'!$H:$H,'Source 2025'!$B:$B,$A392,'Source 2025'!$A:$A,"Amount (NIS)")</f>
        <v>-81.9</v>
      </c>
      <c r="I392" s="8" t="n">
        <f aca="false">SUMIFS('Source 2026'!$H:$H,'Source 2026'!$B:$B,$A392,'Source 2026'!$A:$A,"Amount (NIS)")</f>
        <v>0</v>
      </c>
      <c r="J392" s="8" t="n">
        <f aca="false">I392*$J$5</f>
        <v>0</v>
      </c>
      <c r="K392" s="8" t="n">
        <f aca="false">J392-H392</f>
        <v>81.9</v>
      </c>
      <c r="L392" s="9" t="n">
        <f aca="false">IF(AND(H392=0,J392=0),0,IF(H392=0,"New",(J392-H392)/H392))</f>
        <v>-1</v>
      </c>
    </row>
    <row r="393" customFormat="false" ht="15" hidden="false" customHeight="false" outlineLevel="0" collapsed="false">
      <c r="A393" s="7" t="n">
        <v>4413171</v>
      </c>
      <c r="B393" s="7" t="str">
        <f aca="false">IFERROR(INDEX('Source 2026'!$C:$C,MATCH($A393,'Source 2026'!$B:$B,0)),IFERROR(INDEX('Source 2025'!$C:$C,MATCH($A393,'Source 2025'!$B:$B,0)),""))</f>
        <v>T402 L מיצב פיקה</v>
      </c>
      <c r="C393" s="8" t="n">
        <f aca="false">SUMIFS('Source 2025'!$H:$H,'Source 2025'!$B:$B,$A393,'Source 2025'!$A:$A,"Quantity (units)")</f>
        <v>0</v>
      </c>
      <c r="D393" s="8" t="n">
        <f aca="false">SUMIFS('Source 2026'!$H:$H,'Source 2026'!$B:$B,$A393,'Source 2026'!$A:$A,"Quantity (units)")</f>
        <v>-1</v>
      </c>
      <c r="E393" s="8" t="n">
        <f aca="false">D393*$J$5</f>
        <v>-1.37142857142857</v>
      </c>
      <c r="F393" s="8" t="n">
        <f aca="false">E393-C393</f>
        <v>-1.37142857142857</v>
      </c>
      <c r="G393" s="9" t="str">
        <f aca="false">IF(AND(C393=0,E393=0),0,IF(C393=0,"New",(E393-C393)/C393))</f>
        <v>New</v>
      </c>
      <c r="H393" s="8" t="n">
        <f aca="false">SUMIFS('Source 2025'!$H:$H,'Source 2025'!$B:$B,$A393,'Source 2025'!$A:$A,"Amount (NIS)")</f>
        <v>0</v>
      </c>
      <c r="I393" s="8" t="n">
        <f aca="false">SUMIFS('Source 2026'!$H:$H,'Source 2026'!$B:$B,$A393,'Source 2026'!$A:$A,"Amount (NIS)")</f>
        <v>-81.9</v>
      </c>
      <c r="J393" s="8" t="n">
        <f aca="false">I393*$J$5</f>
        <v>-112.32</v>
      </c>
      <c r="K393" s="8" t="n">
        <f aca="false">J393-H393</f>
        <v>-112.32</v>
      </c>
      <c r="L393" s="9" t="str">
        <f aca="false">IF(AND(H393=0,J393=0),0,IF(H393=0,"New",(J393-H393)/H393))</f>
        <v>New</v>
      </c>
    </row>
    <row r="394" customFormat="false" ht="15" hidden="false" customHeight="false" outlineLevel="0" collapsed="false">
      <c r="A394" s="7" t="n">
        <v>4413176</v>
      </c>
      <c r="B394" s="7" t="str">
        <f aca="false">IFERROR(INDEX('Source 2026'!$C:$C,MATCH($A394,'Source 2026'!$B:$B,0)),IFERROR(INDEX('Source 2025'!$C:$C,MATCH($A394,'Source 2025'!$B:$B,0)),""))</f>
        <v>85+ Lמתלה ליד)כיס(+רצועת חיזוק</v>
      </c>
      <c r="C394" s="8" t="n">
        <f aca="false">SUMIFS('Source 2025'!$H:$H,'Source 2025'!$B:$B,$A394,'Source 2025'!$A:$A,"Quantity (units)")</f>
        <v>1</v>
      </c>
      <c r="D394" s="8" t="n">
        <f aca="false">SUMIFS('Source 2026'!$H:$H,'Source 2026'!$B:$B,$A394,'Source 2026'!$A:$A,"Quantity (units)")</f>
        <v>0</v>
      </c>
      <c r="E394" s="8" t="n">
        <f aca="false">D394*$J$5</f>
        <v>0</v>
      </c>
      <c r="F394" s="8" t="n">
        <f aca="false">E394-C394</f>
        <v>-1</v>
      </c>
      <c r="G394" s="9" t="n">
        <f aca="false">IF(AND(C394=0,E394=0),0,IF(C394=0,"New",(E394-C394)/C394))</f>
        <v>-1</v>
      </c>
      <c r="H394" s="8" t="n">
        <f aca="false">SUMIFS('Source 2025'!$H:$H,'Source 2025'!$B:$B,$A394,'Source 2025'!$A:$A,"Amount (NIS)")</f>
        <v>81.9</v>
      </c>
      <c r="I394" s="8" t="n">
        <f aca="false">SUMIFS('Source 2026'!$H:$H,'Source 2026'!$B:$B,$A394,'Source 2026'!$A:$A,"Amount (NIS)")</f>
        <v>0</v>
      </c>
      <c r="J394" s="8" t="n">
        <f aca="false">I394*$J$5</f>
        <v>0</v>
      </c>
      <c r="K394" s="8" t="n">
        <f aca="false">J394-H394</f>
        <v>-81.9</v>
      </c>
      <c r="L394" s="9" t="n">
        <f aca="false">IF(AND(H394=0,J394=0),0,IF(H394=0,"New",(J394-H394)/H394))</f>
        <v>-1</v>
      </c>
    </row>
    <row r="395" customFormat="false" ht="15" hidden="false" customHeight="false" outlineLevel="0" collapsed="false">
      <c r="A395" s="7" t="n">
        <v>4413177</v>
      </c>
      <c r="B395" s="7" t="str">
        <f aca="false">IFERROR(INDEX('Source 2026'!$C:$C,MATCH($A395,'Source 2026'!$B:$B,0)),IFERROR(INDEX('Source 2025'!$C:$C,MATCH($A395,'Source 2025'!$B:$B,0)),""))</f>
        <v>85+ XLמתלה ליד)כיס(רצועת חיזוק</v>
      </c>
      <c r="C395" s="8" t="n">
        <f aca="false">SUMIFS('Source 2025'!$H:$H,'Source 2025'!$B:$B,$A395,'Source 2025'!$A:$A,"Quantity (units)")</f>
        <v>1</v>
      </c>
      <c r="D395" s="8" t="n">
        <f aca="false">SUMIFS('Source 2026'!$H:$H,'Source 2026'!$B:$B,$A395,'Source 2026'!$A:$A,"Quantity (units)")</f>
        <v>0</v>
      </c>
      <c r="E395" s="8" t="n">
        <f aca="false">D395*$J$5</f>
        <v>0</v>
      </c>
      <c r="F395" s="8" t="n">
        <f aca="false">E395-C395</f>
        <v>-1</v>
      </c>
      <c r="G395" s="9" t="n">
        <f aca="false">IF(AND(C395=0,E395=0),0,IF(C395=0,"New",(E395-C395)/C395))</f>
        <v>-1</v>
      </c>
      <c r="H395" s="8" t="n">
        <f aca="false">SUMIFS('Source 2025'!$H:$H,'Source 2025'!$B:$B,$A395,'Source 2025'!$A:$A,"Amount (NIS)")</f>
        <v>81.9</v>
      </c>
      <c r="I395" s="8" t="n">
        <f aca="false">SUMIFS('Source 2026'!$H:$H,'Source 2026'!$B:$B,$A395,'Source 2026'!$A:$A,"Amount (NIS)")</f>
        <v>0</v>
      </c>
      <c r="J395" s="8" t="n">
        <f aca="false">I395*$J$5</f>
        <v>0</v>
      </c>
      <c r="K395" s="8" t="n">
        <f aca="false">J395-H395</f>
        <v>-81.9</v>
      </c>
      <c r="L395" s="9" t="n">
        <f aca="false">IF(AND(H395=0,J395=0),0,IF(H395=0,"New",(J395-H395)/H395))</f>
        <v>-1</v>
      </c>
    </row>
    <row r="396" customFormat="false" ht="15" hidden="false" customHeight="false" outlineLevel="0" collapsed="false">
      <c r="A396" s="7" t="n">
        <v>4417000</v>
      </c>
      <c r="B396" s="7" t="str">
        <f aca="false">IFERROR(INDEX('Source 2026'!$C:$C,MATCH($A396,'Source 2026'!$B:$B,0)),IFERROR(INDEX('Source 2025'!$C:$C,MATCH($A396,'Source 2025'!$B:$B,0)),""))</f>
        <v>PD342-פומפיה להסרת עור קשה</v>
      </c>
      <c r="C396" s="8" t="n">
        <f aca="false">SUMIFS('Source 2025'!$H:$H,'Source 2025'!$B:$B,$A396,'Source 2025'!$A:$A,"Quantity (units)")</f>
        <v>0</v>
      </c>
      <c r="D396" s="8" t="n">
        <f aca="false">SUMIFS('Source 2026'!$H:$H,'Source 2026'!$B:$B,$A396,'Source 2026'!$A:$A,"Quantity (units)")</f>
        <v>-4</v>
      </c>
      <c r="E396" s="8" t="n">
        <f aca="false">D396*$J$5</f>
        <v>-5.48571428571429</v>
      </c>
      <c r="F396" s="8" t="n">
        <f aca="false">E396-C396</f>
        <v>-5.48571428571429</v>
      </c>
      <c r="G396" s="9" t="str">
        <f aca="false">IF(AND(C396=0,E396=0),0,IF(C396=0,"New",(E396-C396)/C396))</f>
        <v>New</v>
      </c>
      <c r="H396" s="8" t="n">
        <f aca="false">SUMIFS('Source 2025'!$H:$H,'Source 2025'!$B:$B,$A396,'Source 2025'!$A:$A,"Amount (NIS)")</f>
        <v>0</v>
      </c>
      <c r="I396" s="8" t="n">
        <f aca="false">SUMIFS('Source 2026'!$H:$H,'Source 2026'!$B:$B,$A396,'Source 2026'!$A:$A,"Amount (NIS)")</f>
        <v>-81.2</v>
      </c>
      <c r="J396" s="8" t="n">
        <f aca="false">I396*$J$5</f>
        <v>-111.36</v>
      </c>
      <c r="K396" s="8" t="n">
        <f aca="false">J396-H396</f>
        <v>-111.36</v>
      </c>
      <c r="L396" s="9" t="str">
        <f aca="false">IF(AND(H396=0,J396=0),0,IF(H396=0,"New",(J396-H396)/H396))</f>
        <v>New</v>
      </c>
    </row>
    <row r="397" customFormat="false" ht="15" hidden="false" customHeight="false" outlineLevel="0" collapsed="false">
      <c r="A397" s="7" t="n">
        <v>4420005</v>
      </c>
      <c r="B397" s="7" t="str">
        <f aca="false">IFERROR(INDEX('Source 2026'!$C:$C,MATCH($A397,'Source 2026'!$B:$B,0)),IFERROR(INDEX('Source 2025'!$C:$C,MATCH($A397,'Source 2025'!$B:$B,0)),""))</f>
        <v>377 רפ.אורטופדית ספורט זוג36</v>
      </c>
      <c r="C397" s="8" t="n">
        <f aca="false">SUMIFS('Source 2025'!$H:$H,'Source 2025'!$B:$B,$A397,'Source 2025'!$A:$A,"Quantity (units)")</f>
        <v>0</v>
      </c>
      <c r="D397" s="8" t="n">
        <f aca="false">SUMIFS('Source 2026'!$H:$H,'Source 2026'!$B:$B,$A397,'Source 2026'!$A:$A,"Quantity (units)")</f>
        <v>-2</v>
      </c>
      <c r="E397" s="8" t="n">
        <f aca="false">D397*$J$5</f>
        <v>-2.74285714285714</v>
      </c>
      <c r="F397" s="8" t="n">
        <f aca="false">E397-C397</f>
        <v>-2.74285714285714</v>
      </c>
      <c r="G397" s="9" t="str">
        <f aca="false">IF(AND(C397=0,E397=0),0,IF(C397=0,"New",(E397-C397)/C397))</f>
        <v>New</v>
      </c>
      <c r="H397" s="8" t="n">
        <f aca="false">SUMIFS('Source 2025'!$H:$H,'Source 2025'!$B:$B,$A397,'Source 2025'!$A:$A,"Amount (NIS)")</f>
        <v>7.7</v>
      </c>
      <c r="I397" s="8" t="n">
        <f aca="false">SUMIFS('Source 2026'!$H:$H,'Source 2026'!$B:$B,$A397,'Source 2026'!$A:$A,"Amount (NIS)")</f>
        <v>-73</v>
      </c>
      <c r="J397" s="8" t="n">
        <f aca="false">I397*$J$5</f>
        <v>-100.114285714286</v>
      </c>
      <c r="K397" s="8" t="n">
        <f aca="false">J397-H397</f>
        <v>-107.814285714286</v>
      </c>
      <c r="L397" s="9" t="n">
        <f aca="false">IF(AND(H397=0,J397=0),0,IF(H397=0,"New",(J397-H397)/H397))</f>
        <v>-14.0018552875696</v>
      </c>
    </row>
    <row r="398" customFormat="false" ht="15" hidden="false" customHeight="false" outlineLevel="0" collapsed="false">
      <c r="A398" s="7" t="n">
        <v>4408240</v>
      </c>
      <c r="B398" s="7" t="str">
        <f aca="false">IFERROR(INDEX('Source 2026'!$C:$C,MATCH($A398,'Source 2026'!$B:$B,0)),IFERROR(INDEX('Source 2025'!$C:$C,MATCH($A398,'Source 2025'!$B:$B,0)),""))</f>
        <v>11UC S'תתחגורת בטן עממית בז</v>
      </c>
      <c r="C398" s="8" t="n">
        <f aca="false">SUMIFS('Source 2025'!$H:$H,'Source 2025'!$B:$B,$A398,'Source 2025'!$A:$A,"Quantity (units)")</f>
        <v>0</v>
      </c>
      <c r="D398" s="8" t="n">
        <f aca="false">SUMIFS('Source 2026'!$H:$H,'Source 2026'!$B:$B,$A398,'Source 2026'!$A:$A,"Quantity (units)")</f>
        <v>-1</v>
      </c>
      <c r="E398" s="8" t="n">
        <f aca="false">D398*$J$5</f>
        <v>-1.37142857142857</v>
      </c>
      <c r="F398" s="8" t="n">
        <f aca="false">E398-C398</f>
        <v>-1.37142857142857</v>
      </c>
      <c r="G398" s="9" t="str">
        <f aca="false">IF(AND(C398=0,E398=0),0,IF(C398=0,"New",(E398-C398)/C398))</f>
        <v>New</v>
      </c>
      <c r="H398" s="8" t="n">
        <f aca="false">SUMIFS('Source 2025'!$H:$H,'Source 2025'!$B:$B,$A398,'Source 2025'!$A:$A,"Amount (NIS)")</f>
        <v>0</v>
      </c>
      <c r="I398" s="8" t="n">
        <f aca="false">SUMIFS('Source 2026'!$H:$H,'Source 2026'!$B:$B,$A398,'Source 2026'!$A:$A,"Amount (NIS)")</f>
        <v>-77.8</v>
      </c>
      <c r="J398" s="8" t="n">
        <f aca="false">I398*$J$5</f>
        <v>-106.697142857143</v>
      </c>
      <c r="K398" s="8" t="n">
        <f aca="false">J398-H398</f>
        <v>-106.697142857143</v>
      </c>
      <c r="L398" s="9" t="str">
        <f aca="false">IF(AND(H398=0,J398=0),0,IF(H398=0,"New",(J398-H398)/H398))</f>
        <v>New</v>
      </c>
    </row>
    <row r="399" customFormat="false" ht="15" hidden="false" customHeight="false" outlineLevel="0" collapsed="false">
      <c r="A399" s="7" t="n">
        <v>4420021</v>
      </c>
      <c r="B399" s="7" t="str">
        <f aca="false">IFERROR(INDEX('Source 2026'!$C:$C,MATCH($A399,'Source 2026'!$B:$B,0)),IFERROR(INDEX('Source 2025'!$C:$C,MATCH($A399,'Source 2025'!$B:$B,0)),""))</f>
        <v>T40 רצועת פיקה לברך</v>
      </c>
      <c r="C399" s="8" t="n">
        <f aca="false">SUMIFS('Source 2025'!$H:$H,'Source 2025'!$B:$B,$A399,'Source 2025'!$A:$A,"Quantity (units)")</f>
        <v>-1</v>
      </c>
      <c r="D399" s="8" t="n">
        <f aca="false">SUMIFS('Source 2026'!$H:$H,'Source 2026'!$B:$B,$A399,'Source 2026'!$A:$A,"Quantity (units)")</f>
        <v>-2</v>
      </c>
      <c r="E399" s="8" t="n">
        <f aca="false">D399*$J$5</f>
        <v>-2.74285714285714</v>
      </c>
      <c r="F399" s="8" t="n">
        <f aca="false">E399-C399</f>
        <v>-1.74285714285714</v>
      </c>
      <c r="G399" s="9" t="n">
        <f aca="false">IF(AND(C399=0,E399=0),0,IF(C399=0,"New",(E399-C399)/C399))</f>
        <v>1.74285714285714</v>
      </c>
      <c r="H399" s="8" t="n">
        <f aca="false">SUMIFS('Source 2025'!$H:$H,'Source 2025'!$B:$B,$A399,'Source 2025'!$A:$A,"Amount (NIS)")</f>
        <v>-73.9</v>
      </c>
      <c r="I399" s="8" t="n">
        <f aca="false">SUMIFS('Source 2026'!$H:$H,'Source 2026'!$B:$B,$A399,'Source 2026'!$A:$A,"Amount (NIS)")</f>
        <v>-147.8</v>
      </c>
      <c r="J399" s="8" t="n">
        <f aca="false">I399*$J$5</f>
        <v>-202.697142857143</v>
      </c>
      <c r="K399" s="8" t="n">
        <f aca="false">J399-H399</f>
        <v>-128.797142857143</v>
      </c>
      <c r="L399" s="9" t="n">
        <f aca="false">IF(AND(H399=0,J399=0),0,IF(H399=0,"New",(J399-H399)/H399))</f>
        <v>1.74285714285714</v>
      </c>
    </row>
    <row r="400" customFormat="false" ht="15" hidden="false" customHeight="false" outlineLevel="0" collapsed="false">
      <c r="A400" s="7" t="n">
        <v>4413276</v>
      </c>
      <c r="B400" s="7" t="str">
        <f aca="false">IFERROR(INDEX('Source 2026'!$C:$C,MATCH($A400,'Source 2026'!$B:$B,0)),IFERROR(INDEX('Source 2025'!$C:$C,MATCH($A400,'Source 2025'!$B:$B,0)),""))</f>
        <v>LF377 L-מדרס סיליקון לנעלי עקב</v>
      </c>
      <c r="C400" s="8" t="n">
        <f aca="false">SUMIFS('Source 2025'!$H:$H,'Source 2025'!$B:$B,$A400,'Source 2025'!$A:$A,"Quantity (units)")</f>
        <v>1</v>
      </c>
      <c r="D400" s="8" t="n">
        <f aca="false">SUMIFS('Source 2026'!$H:$H,'Source 2026'!$B:$B,$A400,'Source 2026'!$A:$A,"Quantity (units)")</f>
        <v>3</v>
      </c>
      <c r="E400" s="8" t="n">
        <f aca="false">D400*$J$5</f>
        <v>4.11428571428571</v>
      </c>
      <c r="F400" s="8" t="n">
        <f aca="false">E400-C400</f>
        <v>3.11428571428571</v>
      </c>
      <c r="G400" s="9" t="n">
        <f aca="false">IF(AND(C400=0,E400=0),0,IF(C400=0,"New",(E400-C400)/C400))</f>
        <v>3.11428571428571</v>
      </c>
      <c r="H400" s="8" t="n">
        <f aca="false">SUMIFS('Source 2025'!$H:$H,'Source 2025'!$B:$B,$A400,'Source 2025'!$A:$A,"Amount (NIS)")</f>
        <v>40.6</v>
      </c>
      <c r="I400" s="8" t="n">
        <f aca="false">SUMIFS('Source 2026'!$H:$H,'Source 2026'!$B:$B,$A400,'Source 2026'!$A:$A,"Amount (NIS)")</f>
        <v>114</v>
      </c>
      <c r="J400" s="8" t="n">
        <f aca="false">I400*$J$5</f>
        <v>156.342857142857</v>
      </c>
      <c r="K400" s="8" t="n">
        <f aca="false">J400-H400</f>
        <v>115.742857142857</v>
      </c>
      <c r="L400" s="9" t="n">
        <f aca="false">IF(AND(H400=0,J400=0),0,IF(H400=0,"New",(J400-H400)/H400))</f>
        <v>2.85080928923294</v>
      </c>
    </row>
    <row r="401" customFormat="false" ht="15" hidden="false" customHeight="false" outlineLevel="0" collapsed="false">
      <c r="A401" s="7" t="n">
        <v>4420015</v>
      </c>
      <c r="B401" s="7" t="str">
        <f aca="false">IFERROR(INDEX('Source 2026'!$C:$C,MATCH($A401,'Source 2026'!$B:$B,0)),IFERROR(INDEX('Source 2025'!$C:$C,MATCH($A401,'Source 2025'!$B:$B,0)),""))</f>
        <v>377  רפ.אורטופדית ספורט זוג46</v>
      </c>
      <c r="C401" s="8" t="n">
        <f aca="false">SUMIFS('Source 2025'!$H:$H,'Source 2025'!$B:$B,$A401,'Source 2025'!$A:$A,"Quantity (units)")</f>
        <v>-3</v>
      </c>
      <c r="D401" s="8" t="n">
        <f aca="false">SUMIFS('Source 2026'!$H:$H,'Source 2026'!$B:$B,$A401,'Source 2026'!$A:$A,"Quantity (units)")</f>
        <v>-1</v>
      </c>
      <c r="E401" s="8" t="n">
        <f aca="false">D401*$J$5</f>
        <v>-1.37142857142857</v>
      </c>
      <c r="F401" s="8" t="n">
        <f aca="false">E401-C401</f>
        <v>1.62857142857143</v>
      </c>
      <c r="G401" s="9" t="n">
        <f aca="false">IF(AND(C401=0,E401=0),0,IF(C401=0,"New",(E401-C401)/C401))</f>
        <v>-0.542857142857143</v>
      </c>
      <c r="H401" s="8" t="n">
        <f aca="false">SUMIFS('Source 2025'!$H:$H,'Source 2025'!$B:$B,$A401,'Source 2025'!$A:$A,"Amount (NIS)")</f>
        <v>-109.6</v>
      </c>
      <c r="I401" s="8" t="n">
        <f aca="false">SUMIFS('Source 2026'!$H:$H,'Source 2026'!$B:$B,$A401,'Source 2026'!$A:$A,"Amount (NIS)")</f>
        <v>-36.5</v>
      </c>
      <c r="J401" s="8" t="n">
        <f aca="false">I401*$J$5</f>
        <v>-50.0571428571429</v>
      </c>
      <c r="K401" s="8" t="n">
        <f aca="false">J401-H401</f>
        <v>59.5428571428571</v>
      </c>
      <c r="L401" s="9" t="n">
        <f aca="false">IF(AND(H401=0,J401=0),0,IF(H401=0,"New",(J401-H401)/H401))</f>
        <v>-0.543274244004171</v>
      </c>
    </row>
    <row r="402" customFormat="false" ht="15" hidden="false" customHeight="false" outlineLevel="0" collapsed="false">
      <c r="A402" s="7" t="n">
        <v>4408050</v>
      </c>
      <c r="B402" s="7" t="str">
        <f aca="false">IFERROR(INDEX('Source 2026'!$C:$C,MATCH($A402,'Source 2026'!$B:$B,0)),IFERROR(INDEX('Source 2025'!$C:$C,MATCH($A402,'Source 2025'!$B:$B,0)),""))</f>
        <v>20 XXL חבק יד מתכוון עם צמדן</v>
      </c>
      <c r="C402" s="8" t="n">
        <f aca="false">SUMIFS('Source 2025'!$H:$H,'Source 2025'!$B:$B,$A402,'Source 2025'!$A:$A,"Quantity (units)")</f>
        <v>1</v>
      </c>
      <c r="D402" s="8" t="n">
        <f aca="false">SUMIFS('Source 2026'!$H:$H,'Source 2026'!$B:$B,$A402,'Source 2026'!$A:$A,"Quantity (units)")</f>
        <v>-2</v>
      </c>
      <c r="E402" s="8" t="n">
        <f aca="false">D402*$J$5</f>
        <v>-2.74285714285714</v>
      </c>
      <c r="F402" s="8" t="n">
        <f aca="false">E402-C402</f>
        <v>-3.74285714285714</v>
      </c>
      <c r="G402" s="9" t="n">
        <f aca="false">IF(AND(C402=0,E402=0),0,IF(C402=0,"New",(E402-C402)/C402))</f>
        <v>-3.74285714285714</v>
      </c>
      <c r="H402" s="8" t="n">
        <f aca="false">SUMIFS('Source 2025'!$H:$H,'Source 2025'!$B:$B,$A402,'Source 2025'!$A:$A,"Amount (NIS)")</f>
        <v>25.2</v>
      </c>
      <c r="I402" s="8" t="n">
        <f aca="false">SUMIFS('Source 2026'!$H:$H,'Source 2026'!$B:$B,$A402,'Source 2026'!$A:$A,"Amount (NIS)")</f>
        <v>-47.9</v>
      </c>
      <c r="J402" s="8" t="n">
        <f aca="false">I402*$J$5</f>
        <v>-65.6914285714286</v>
      </c>
      <c r="K402" s="8" t="n">
        <f aca="false">J402-H402</f>
        <v>-90.8914285714286</v>
      </c>
      <c r="L402" s="9" t="n">
        <f aca="false">IF(AND(H402=0,J402=0),0,IF(H402=0,"New",(J402-H402)/H402))</f>
        <v>-3.60680272108844</v>
      </c>
    </row>
    <row r="403" customFormat="false" ht="15" hidden="false" customHeight="false" outlineLevel="0" collapsed="false">
      <c r="A403" s="7" t="n">
        <v>4420011</v>
      </c>
      <c r="B403" s="7" t="str">
        <f aca="false">IFERROR(INDEX('Source 2026'!$C:$C,MATCH($A403,'Source 2026'!$B:$B,0)),IFERROR(INDEX('Source 2025'!$C:$C,MATCH($A403,'Source 2025'!$B:$B,0)),""))</f>
        <v>377 רפידה אורטופ.ספורט זוג42</v>
      </c>
      <c r="C403" s="8" t="n">
        <f aca="false">SUMIFS('Source 2025'!$H:$H,'Source 2025'!$B:$B,$A403,'Source 2025'!$A:$A,"Quantity (units)")</f>
        <v>-2</v>
      </c>
      <c r="D403" s="8" t="n">
        <f aca="false">SUMIFS('Source 2026'!$H:$H,'Source 2026'!$B:$B,$A403,'Source 2026'!$A:$A,"Quantity (units)")</f>
        <v>0</v>
      </c>
      <c r="E403" s="8" t="n">
        <f aca="false">D403*$J$5</f>
        <v>0</v>
      </c>
      <c r="F403" s="8" t="n">
        <f aca="false">E403-C403</f>
        <v>2</v>
      </c>
      <c r="G403" s="9" t="n">
        <f aca="false">IF(AND(C403=0,E403=0),0,IF(C403=0,"New",(E403-C403)/C403))</f>
        <v>-1</v>
      </c>
      <c r="H403" s="8" t="n">
        <f aca="false">SUMIFS('Source 2025'!$H:$H,'Source 2025'!$B:$B,$A403,'Source 2025'!$A:$A,"Amount (NIS)")</f>
        <v>-73</v>
      </c>
      <c r="I403" s="8" t="n">
        <f aca="false">SUMIFS('Source 2026'!$H:$H,'Source 2026'!$B:$B,$A403,'Source 2026'!$A:$A,"Amount (NIS)")</f>
        <v>0</v>
      </c>
      <c r="J403" s="8" t="n">
        <f aca="false">I403*$J$5</f>
        <v>0</v>
      </c>
      <c r="K403" s="8" t="n">
        <f aca="false">J403-H403</f>
        <v>73</v>
      </c>
      <c r="L403" s="9" t="n">
        <f aca="false">IF(AND(H403=0,J403=0),0,IF(H403=0,"New",(J403-H403)/H403))</f>
        <v>-1</v>
      </c>
    </row>
    <row r="404" customFormat="false" ht="15" hidden="false" customHeight="false" outlineLevel="0" collapsed="false">
      <c r="A404" s="7" t="n">
        <v>4413406</v>
      </c>
      <c r="B404" s="7" t="str">
        <f aca="false">IFERROR(INDEX('Source 2026'!$C:$C,MATCH($A404,'Source 2026'!$B:$B,0)),IFERROR(INDEX('Source 2025'!$C:$C,MATCH($A404,'Source 2025'!$B:$B,0)),""))</f>
        <v>SC95 M מגן מרפק</v>
      </c>
      <c r="C404" s="8" t="n">
        <f aca="false">SUMIFS('Source 2025'!$H:$H,'Source 2025'!$B:$B,$A404,'Source 2025'!$A:$A,"Quantity (units)")</f>
        <v>8</v>
      </c>
      <c r="D404" s="8" t="n">
        <f aca="false">SUMIFS('Source 2026'!$H:$H,'Source 2026'!$B:$B,$A404,'Source 2026'!$A:$A,"Quantity (units)")</f>
        <v>9</v>
      </c>
      <c r="E404" s="8" t="n">
        <f aca="false">D404*$J$5</f>
        <v>12.3428571428571</v>
      </c>
      <c r="F404" s="8" t="n">
        <f aca="false">E404-C404</f>
        <v>4.34285714285714</v>
      </c>
      <c r="G404" s="9" t="n">
        <f aca="false">IF(AND(C404=0,E404=0),0,IF(C404=0,"New",(E404-C404)/C404))</f>
        <v>0.542857142857143</v>
      </c>
      <c r="H404" s="8" t="n">
        <f aca="false">SUMIFS('Source 2025'!$H:$H,'Source 2025'!$B:$B,$A404,'Source 2025'!$A:$A,"Amount (NIS)")</f>
        <v>607.1</v>
      </c>
      <c r="I404" s="8" t="n">
        <f aca="false">SUMIFS('Source 2026'!$H:$H,'Source 2026'!$B:$B,$A404,'Source 2026'!$A:$A,"Amount (NIS)")</f>
        <v>679.4</v>
      </c>
      <c r="J404" s="8" t="n">
        <f aca="false">I404*$J$5</f>
        <v>931.748571428571</v>
      </c>
      <c r="K404" s="8" t="n">
        <f aca="false">J404-H404</f>
        <v>324.648571428571</v>
      </c>
      <c r="L404" s="9" t="n">
        <f aca="false">IF(AND(H404=0,J404=0),0,IF(H404=0,"New",(J404-H404)/H404))</f>
        <v>0.534753041391157</v>
      </c>
    </row>
    <row r="405" customFormat="false" ht="15" hidden="false" customHeight="false" outlineLevel="0" collapsed="false">
      <c r="A405" s="7" t="n">
        <v>4413122</v>
      </c>
      <c r="B405" s="7" t="str">
        <f aca="false">IFERROR(INDEX('Source 2026'!$C:$C,MATCH($A405,'Source 2026'!$B:$B,0)),IFERROR(INDEX('Source 2025'!$C:$C,MATCH($A405,'Source 2025'!$B:$B,0)),""))</f>
        <v>55 L מתלה אשכים לספורטאים</v>
      </c>
      <c r="C405" s="8" t="n">
        <f aca="false">SUMIFS('Source 2025'!$H:$H,'Source 2025'!$B:$B,$A405,'Source 2025'!$A:$A,"Quantity (units)")</f>
        <v>-1</v>
      </c>
      <c r="D405" s="8" t="n">
        <f aca="false">SUMIFS('Source 2026'!$H:$H,'Source 2026'!$B:$B,$A405,'Source 2026'!$A:$A,"Quantity (units)")</f>
        <v>0</v>
      </c>
      <c r="E405" s="8" t="n">
        <f aca="false">D405*$J$5</f>
        <v>0</v>
      </c>
      <c r="F405" s="8" t="n">
        <f aca="false">E405-C405</f>
        <v>1</v>
      </c>
      <c r="G405" s="9" t="n">
        <f aca="false">IF(AND(C405=0,E405=0),0,IF(C405=0,"New",(E405-C405)/C405))</f>
        <v>-1</v>
      </c>
      <c r="H405" s="8" t="n">
        <f aca="false">SUMIFS('Source 2025'!$H:$H,'Source 2025'!$B:$B,$A405,'Source 2025'!$A:$A,"Amount (NIS)")</f>
        <v>-71.3</v>
      </c>
      <c r="I405" s="8" t="n">
        <f aca="false">SUMIFS('Source 2026'!$H:$H,'Source 2026'!$B:$B,$A405,'Source 2026'!$A:$A,"Amount (NIS)")</f>
        <v>0</v>
      </c>
      <c r="J405" s="8" t="n">
        <f aca="false">I405*$J$5</f>
        <v>0</v>
      </c>
      <c r="K405" s="8" t="n">
        <f aca="false">J405-H405</f>
        <v>71.3</v>
      </c>
      <c r="L405" s="9" t="n">
        <f aca="false">IF(AND(H405=0,J405=0),0,IF(H405=0,"New",(J405-H405)/H405))</f>
        <v>-1</v>
      </c>
    </row>
    <row r="406" customFormat="false" ht="15" hidden="false" customHeight="false" outlineLevel="0" collapsed="false">
      <c r="A406" s="7" t="n">
        <v>4422003</v>
      </c>
      <c r="B406" s="7" t="str">
        <f aca="false">IFERROR(INDEX('Source 2026'!$C:$C,MATCH($A406,'Source 2026'!$B:$B,0)),IFERROR(INDEX('Source 2025'!$C:$C,MATCH($A406,'Source 2025'!$B:$B,0)),""))</f>
        <v>FC331Z- 120 תתתרסיס מרענן לרגל</v>
      </c>
      <c r="C406" s="8" t="n">
        <f aca="false">SUMIFS('Source 2025'!$H:$H,'Source 2025'!$B:$B,$A406,'Source 2025'!$A:$A,"Quantity (units)")</f>
        <v>-3</v>
      </c>
      <c r="D406" s="8" t="n">
        <f aca="false">SUMIFS('Source 2026'!$H:$H,'Source 2026'!$B:$B,$A406,'Source 2026'!$A:$A,"Quantity (units)")</f>
        <v>0</v>
      </c>
      <c r="E406" s="8" t="n">
        <f aca="false">D406*$J$5</f>
        <v>0</v>
      </c>
      <c r="F406" s="8" t="n">
        <f aca="false">E406-C406</f>
        <v>3</v>
      </c>
      <c r="G406" s="9" t="n">
        <f aca="false">IF(AND(C406=0,E406=0),0,IF(C406=0,"New",(E406-C406)/C406))</f>
        <v>-1</v>
      </c>
      <c r="H406" s="8" t="n">
        <f aca="false">SUMIFS('Source 2025'!$H:$H,'Source 2025'!$B:$B,$A406,'Source 2025'!$A:$A,"Amount (NIS)")</f>
        <v>-70.7</v>
      </c>
      <c r="I406" s="8" t="n">
        <f aca="false">SUMIFS('Source 2026'!$H:$H,'Source 2026'!$B:$B,$A406,'Source 2026'!$A:$A,"Amount (NIS)")</f>
        <v>0</v>
      </c>
      <c r="J406" s="8" t="n">
        <f aca="false">I406*$J$5</f>
        <v>0</v>
      </c>
      <c r="K406" s="8" t="n">
        <f aca="false">J406-H406</f>
        <v>70.7</v>
      </c>
      <c r="L406" s="9" t="n">
        <f aca="false">IF(AND(H406=0,J406=0),0,IF(H406=0,"New",(J406-H406)/H406))</f>
        <v>-1</v>
      </c>
    </row>
    <row r="407" customFormat="false" ht="15" hidden="false" customHeight="false" outlineLevel="0" collapsed="false">
      <c r="A407" s="7" t="n">
        <v>4420010</v>
      </c>
      <c r="B407" s="7" t="str">
        <f aca="false">IFERROR(INDEX('Source 2026'!$C:$C,MATCH($A407,'Source 2026'!$B:$B,0)),IFERROR(INDEX('Source 2025'!$C:$C,MATCH($A407,'Source 2025'!$B:$B,0)),""))</f>
        <v>377  רפידה אורטופ.ספורט זוג41</v>
      </c>
      <c r="C407" s="8" t="n">
        <f aca="false">SUMIFS('Source 2025'!$H:$H,'Source 2025'!$B:$B,$A407,'Source 2025'!$A:$A,"Quantity (units)")</f>
        <v>1</v>
      </c>
      <c r="D407" s="8" t="n">
        <f aca="false">SUMIFS('Source 2026'!$H:$H,'Source 2026'!$B:$B,$A407,'Source 2026'!$A:$A,"Quantity (units)")</f>
        <v>-1</v>
      </c>
      <c r="E407" s="8" t="n">
        <f aca="false">D407*$J$5</f>
        <v>-1.37142857142857</v>
      </c>
      <c r="F407" s="8" t="n">
        <f aca="false">E407-C407</f>
        <v>-2.37142857142857</v>
      </c>
      <c r="G407" s="9" t="n">
        <f aca="false">IF(AND(C407=0,E407=0),0,IF(C407=0,"New",(E407-C407)/C407))</f>
        <v>-2.37142857142857</v>
      </c>
      <c r="H407" s="8" t="n">
        <f aca="false">SUMIFS('Source 2025'!$H:$H,'Source 2025'!$B:$B,$A407,'Source 2025'!$A:$A,"Amount (NIS)")</f>
        <v>36.5</v>
      </c>
      <c r="I407" s="8" t="n">
        <f aca="false">SUMIFS('Source 2026'!$H:$H,'Source 2026'!$B:$B,$A407,'Source 2026'!$A:$A,"Amount (NIS)")</f>
        <v>-32.7</v>
      </c>
      <c r="J407" s="8" t="n">
        <f aca="false">I407*$J$5</f>
        <v>-44.8457142857143</v>
      </c>
      <c r="K407" s="8" t="n">
        <f aca="false">J407-H407</f>
        <v>-81.3457142857143</v>
      </c>
      <c r="L407" s="9" t="n">
        <f aca="false">IF(AND(H407=0,J407=0),0,IF(H407=0,"New",(J407-H407)/H407))</f>
        <v>-2.22864970645793</v>
      </c>
    </row>
    <row r="408" customFormat="false" ht="15" hidden="false" customHeight="false" outlineLevel="0" collapsed="false">
      <c r="A408" s="7" t="n">
        <v>4413516</v>
      </c>
      <c r="B408" s="7" t="str">
        <f aca="false">IFERROR(INDEX('Source 2026'!$C:$C,MATCH($A408,'Source 2026'!$B:$B,0)),IFERROR(INDEX('Source 2025'!$C:$C,MATCH($A408,'Source 2025'!$B:$B,0)),""))</f>
        <v>85B L מתלה רשת לזרוע שחור</v>
      </c>
      <c r="C408" s="8" t="n">
        <f aca="false">SUMIFS('Source 2025'!$H:$H,'Source 2025'!$B:$B,$A408,'Source 2025'!$A:$A,"Quantity (units)")</f>
        <v>935</v>
      </c>
      <c r="D408" s="8" t="n">
        <f aca="false">SUMIFS('Source 2026'!$H:$H,'Source 2026'!$B:$B,$A408,'Source 2026'!$A:$A,"Quantity (units)")</f>
        <v>937</v>
      </c>
      <c r="E408" s="8" t="n">
        <f aca="false">D408*$J$5</f>
        <v>1285.02857142857</v>
      </c>
      <c r="F408" s="8" t="n">
        <f aca="false">E408-C408</f>
        <v>350.028571428571</v>
      </c>
      <c r="G408" s="9" t="n">
        <f aca="false">IF(AND(C408=0,E408=0),0,IF(C408=0,"New",(E408-C408)/C408))</f>
        <v>0.374362108479756</v>
      </c>
      <c r="H408" s="8" t="n">
        <f aca="false">SUMIFS('Source 2025'!$H:$H,'Source 2025'!$B:$B,$A408,'Source 2025'!$A:$A,"Amount (NIS)")</f>
        <v>45804.2</v>
      </c>
      <c r="I408" s="8" t="n">
        <f aca="false">SUMIFS('Source 2026'!$H:$H,'Source 2026'!$B:$B,$A408,'Source 2026'!$A:$A,"Amount (NIS)")</f>
        <v>45872.3</v>
      </c>
      <c r="J408" s="8" t="n">
        <f aca="false">I408*$J$5</f>
        <v>62910.5828571429</v>
      </c>
      <c r="K408" s="8" t="n">
        <f aca="false">J408-H408</f>
        <v>17106.3828571429</v>
      </c>
      <c r="L408" s="9" t="n">
        <f aca="false">IF(AND(H408=0,J408=0),0,IF(H408=0,"New",(J408-H408)/H408))</f>
        <v>0.373467560990976</v>
      </c>
    </row>
    <row r="409" customFormat="false" ht="15" hidden="false" customHeight="false" outlineLevel="0" collapsed="false">
      <c r="A409" s="7" t="n">
        <v>4415070</v>
      </c>
      <c r="B409" s="7" t="str">
        <f aca="false">IFERROR(INDEX('Source 2026'!$C:$C,MATCH($A409,'Source 2026'!$B:$B,0)),IFERROR(INDEX('Source 2025'!$C:$C,MATCH($A409,'Source 2025'!$B:$B,0)),""))</f>
        <v>T28C M סד לאגודל כפפה</v>
      </c>
      <c r="C409" s="8" t="n">
        <f aca="false">SUMIFS('Source 2025'!$H:$H,'Source 2025'!$B:$B,$A409,'Source 2025'!$A:$A,"Quantity (units)")</f>
        <v>0</v>
      </c>
      <c r="D409" s="8" t="n">
        <f aca="false">SUMIFS('Source 2026'!$H:$H,'Source 2026'!$B:$B,$A409,'Source 2026'!$A:$A,"Quantity (units)")</f>
        <v>-1</v>
      </c>
      <c r="E409" s="8" t="n">
        <f aca="false">D409*$J$5</f>
        <v>-1.37142857142857</v>
      </c>
      <c r="F409" s="8" t="n">
        <f aca="false">E409-C409</f>
        <v>-1.37142857142857</v>
      </c>
      <c r="G409" s="9" t="str">
        <f aca="false">IF(AND(C409=0,E409=0),0,IF(C409=0,"New",(E409-C409)/C409))</f>
        <v>New</v>
      </c>
      <c r="H409" s="8" t="n">
        <f aca="false">SUMIFS('Source 2025'!$H:$H,'Source 2025'!$B:$B,$A409,'Source 2025'!$A:$A,"Amount (NIS)")</f>
        <v>0</v>
      </c>
      <c r="I409" s="8" t="n">
        <f aca="false">SUMIFS('Source 2026'!$H:$H,'Source 2026'!$B:$B,$A409,'Source 2026'!$A:$A,"Amount (NIS)")</f>
        <v>-58.3</v>
      </c>
      <c r="J409" s="8" t="n">
        <f aca="false">I409*$J$5</f>
        <v>-79.9542857142857</v>
      </c>
      <c r="K409" s="8" t="n">
        <f aca="false">J409-H409</f>
        <v>-79.9542857142857</v>
      </c>
      <c r="L409" s="9" t="str">
        <f aca="false">IF(AND(H409=0,J409=0),0,IF(H409=0,"New",(J409-H409)/H409))</f>
        <v>New</v>
      </c>
    </row>
    <row r="410" customFormat="false" ht="15" hidden="false" customHeight="false" outlineLevel="0" collapsed="false">
      <c r="A410" s="7" t="n">
        <v>4415297</v>
      </c>
      <c r="B410" s="7" t="str">
        <f aca="false">IFERROR(INDEX('Source 2026'!$C:$C,MATCH($A410,'Source 2026'!$B:$B,0)),IFERROR(INDEX('Source 2025'!$C:$C,MATCH($A410,'Source 2025'!$B:$B,0)),""))</f>
        <v>313 סט פלסטרים נגד שפשופים</v>
      </c>
      <c r="C410" s="8" t="n">
        <f aca="false">SUMIFS('Source 2025'!$H:$H,'Source 2025'!$B:$B,$A410,'Source 2025'!$A:$A,"Quantity (units)")</f>
        <v>0</v>
      </c>
      <c r="D410" s="8" t="n">
        <f aca="false">SUMIFS('Source 2026'!$H:$H,'Source 2026'!$B:$B,$A410,'Source 2026'!$A:$A,"Quantity (units)")</f>
        <v>-3</v>
      </c>
      <c r="E410" s="8" t="n">
        <f aca="false">D410*$J$5</f>
        <v>-4.11428571428571</v>
      </c>
      <c r="F410" s="8" t="n">
        <f aca="false">E410-C410</f>
        <v>-4.11428571428571</v>
      </c>
      <c r="G410" s="9" t="str">
        <f aca="false">IF(AND(C410=0,E410=0),0,IF(C410=0,"New",(E410-C410)/C410))</f>
        <v>New</v>
      </c>
      <c r="H410" s="8" t="n">
        <f aca="false">SUMIFS('Source 2025'!$H:$H,'Source 2025'!$B:$B,$A410,'Source 2025'!$A:$A,"Amount (NIS)")</f>
        <v>0</v>
      </c>
      <c r="I410" s="8" t="n">
        <f aca="false">SUMIFS('Source 2026'!$H:$H,'Source 2026'!$B:$B,$A410,'Source 2026'!$A:$A,"Amount (NIS)")</f>
        <v>-58.3</v>
      </c>
      <c r="J410" s="8" t="n">
        <f aca="false">I410*$J$5</f>
        <v>-79.9542857142857</v>
      </c>
      <c r="K410" s="8" t="n">
        <f aca="false">J410-H410</f>
        <v>-79.9542857142857</v>
      </c>
      <c r="L410" s="9" t="str">
        <f aca="false">IF(AND(H410=0,J410=0),0,IF(H410=0,"New",(J410-H410)/H410))</f>
        <v>New</v>
      </c>
    </row>
    <row r="411" customFormat="false" ht="15" hidden="false" customHeight="false" outlineLevel="0" collapsed="false">
      <c r="A411" s="7" t="n">
        <v>4420001</v>
      </c>
      <c r="B411" s="7" t="str">
        <f aca="false">IFERROR(INDEX('Source 2026'!$C:$C,MATCH($A411,'Source 2026'!$B:$B,0)),IFERROR(INDEX('Source 2025'!$C:$C,MATCH($A411,'Source 2025'!$B:$B,0)),""))</f>
        <v>371 רפידת מגבת כותנה-זוג</v>
      </c>
      <c r="C411" s="8" t="n">
        <f aca="false">SUMIFS('Source 2025'!$H:$H,'Source 2025'!$B:$B,$A411,'Source 2025'!$A:$A,"Quantity (units)")</f>
        <v>34</v>
      </c>
      <c r="D411" s="8" t="n">
        <f aca="false">SUMIFS('Source 2026'!$H:$H,'Source 2026'!$B:$B,$A411,'Source 2026'!$A:$A,"Quantity (units)")</f>
        <v>28</v>
      </c>
      <c r="E411" s="8" t="n">
        <f aca="false">D411*$J$5</f>
        <v>38.4</v>
      </c>
      <c r="F411" s="8" t="n">
        <f aca="false">E411-C411</f>
        <v>4.4</v>
      </c>
      <c r="G411" s="9" t="n">
        <f aca="false">IF(AND(C411=0,E411=0),0,IF(C411=0,"New",(E411-C411)/C411))</f>
        <v>0.129411764705882</v>
      </c>
      <c r="H411" s="8" t="n">
        <f aca="false">SUMIFS('Source 2025'!$H:$H,'Source 2025'!$B:$B,$A411,'Source 2025'!$A:$A,"Amount (NIS)")</f>
        <v>336.9</v>
      </c>
      <c r="I411" s="8" t="n">
        <f aca="false">SUMIFS('Source 2026'!$H:$H,'Source 2026'!$B:$B,$A411,'Source 2026'!$A:$A,"Amount (NIS)")</f>
        <v>279.9</v>
      </c>
      <c r="J411" s="8" t="n">
        <f aca="false">I411*$J$5</f>
        <v>383.862857142857</v>
      </c>
      <c r="K411" s="8" t="n">
        <f aca="false">J411-H411</f>
        <v>46.9628571428572</v>
      </c>
      <c r="L411" s="9" t="n">
        <f aca="false">IF(AND(H411=0,J411=0),0,IF(H411=0,"New",(J411-H411)/H411))</f>
        <v>0.139397023279481</v>
      </c>
    </row>
    <row r="412" customFormat="false" ht="15" hidden="false" customHeight="false" outlineLevel="0" collapsed="false">
      <c r="A412" s="7" t="n">
        <v>4413059</v>
      </c>
      <c r="B412" s="7" t="str">
        <f aca="false">IFERROR(INDEX('Source 2026'!$C:$C,MATCH($A412,'Source 2026'!$B:$B,0)),IFERROR(INDEX('Source 2025'!$C:$C,MATCH($A412,'Source 2025'!$B:$B,0)),""))</f>
        <v>364S Lמפר.אצבע סיליק. ליבל.זוג</v>
      </c>
      <c r="C412" s="8" t="n">
        <f aca="false">SUMIFS('Source 2025'!$H:$H,'Source 2025'!$B:$B,$A412,'Source 2025'!$A:$A,"Quantity (units)")</f>
        <v>-4</v>
      </c>
      <c r="D412" s="8" t="n">
        <f aca="false">SUMIFS('Source 2026'!$H:$H,'Source 2026'!$B:$B,$A412,'Source 2026'!$A:$A,"Quantity (units)")</f>
        <v>0</v>
      </c>
      <c r="E412" s="8" t="n">
        <f aca="false">D412*$J$5</f>
        <v>0</v>
      </c>
      <c r="F412" s="8" t="n">
        <f aca="false">E412-C412</f>
        <v>4</v>
      </c>
      <c r="G412" s="9" t="n">
        <f aca="false">IF(AND(C412=0,E412=0),0,IF(C412=0,"New",(E412-C412)/C412))</f>
        <v>-1</v>
      </c>
      <c r="H412" s="8" t="n">
        <f aca="false">SUMIFS('Source 2025'!$H:$H,'Source 2025'!$B:$B,$A412,'Source 2025'!$A:$A,"Amount (NIS)")</f>
        <v>-47.7</v>
      </c>
      <c r="I412" s="8" t="n">
        <f aca="false">SUMIFS('Source 2026'!$H:$H,'Source 2026'!$B:$B,$A412,'Source 2026'!$A:$A,"Amount (NIS)")</f>
        <v>0</v>
      </c>
      <c r="J412" s="8" t="n">
        <f aca="false">I412*$J$5</f>
        <v>0</v>
      </c>
      <c r="K412" s="8" t="n">
        <f aca="false">J412-H412</f>
        <v>47.7</v>
      </c>
      <c r="L412" s="9" t="n">
        <f aca="false">IF(AND(H412=0,J412=0),0,IF(H412=0,"New",(J412-H412)/H412))</f>
        <v>-1</v>
      </c>
    </row>
    <row r="413" customFormat="false" ht="15" hidden="false" customHeight="false" outlineLevel="0" collapsed="false">
      <c r="A413" s="7" t="n">
        <v>4404000</v>
      </c>
      <c r="B413" s="7" t="str">
        <f aca="false">IFERROR(INDEX('Source 2026'!$C:$C,MATCH($A413,'Source 2026'!$B:$B,0)),IFERROR(INDEX('Source 2025'!$C:$C,MATCH($A413,'Source 2025'!$B:$B,0)),""))</f>
        <v>FC330Z-תתדאו'אנטי בקט.לנעל120</v>
      </c>
      <c r="C413" s="8" t="n">
        <f aca="false">SUMIFS('Source 2025'!$H:$H,'Source 2025'!$B:$B,$A413,'Source 2025'!$A:$A,"Quantity (units)")</f>
        <v>-2</v>
      </c>
      <c r="D413" s="8" t="n">
        <f aca="false">SUMIFS('Source 2026'!$H:$H,'Source 2026'!$B:$B,$A413,'Source 2026'!$A:$A,"Quantity (units)")</f>
        <v>0</v>
      </c>
      <c r="E413" s="8" t="n">
        <f aca="false">D413*$J$5</f>
        <v>0</v>
      </c>
      <c r="F413" s="8" t="n">
        <f aca="false">E413-C413</f>
        <v>2</v>
      </c>
      <c r="G413" s="9" t="n">
        <f aca="false">IF(AND(C413=0,E413=0),0,IF(C413=0,"New",(E413-C413)/C413))</f>
        <v>-1</v>
      </c>
      <c r="H413" s="8" t="n">
        <f aca="false">SUMIFS('Source 2025'!$H:$H,'Source 2025'!$B:$B,$A413,'Source 2025'!$A:$A,"Amount (NIS)")</f>
        <v>-47.1</v>
      </c>
      <c r="I413" s="8" t="n">
        <f aca="false">SUMIFS('Source 2026'!$H:$H,'Source 2026'!$B:$B,$A413,'Source 2026'!$A:$A,"Amount (NIS)")</f>
        <v>0</v>
      </c>
      <c r="J413" s="8" t="n">
        <f aca="false">I413*$J$5</f>
        <v>0</v>
      </c>
      <c r="K413" s="8" t="n">
        <f aca="false">J413-H413</f>
        <v>47.1</v>
      </c>
      <c r="L413" s="9" t="n">
        <f aca="false">IF(AND(H413=0,J413=0),0,IF(H413=0,"New",(J413-H413)/H413))</f>
        <v>-1</v>
      </c>
    </row>
    <row r="414" customFormat="false" ht="15" hidden="false" customHeight="false" outlineLevel="0" collapsed="false">
      <c r="A414" s="7" t="n">
        <v>4413115</v>
      </c>
      <c r="B414" s="7" t="str">
        <f aca="false">IFERROR(INDEX('Source 2026'!$C:$C,MATCH($A414,'Source 2026'!$B:$B,0)),IFERROR(INDEX('Source 2025'!$C:$C,MATCH($A414,'Source 2025'!$B:$B,0)),""))</f>
        <v>49 XXL מגן ירך</v>
      </c>
      <c r="C414" s="8" t="n">
        <f aca="false">SUMIFS('Source 2025'!$H:$H,'Source 2025'!$B:$B,$A414,'Source 2025'!$A:$A,"Quantity (units)")</f>
        <v>1</v>
      </c>
      <c r="D414" s="8" t="n">
        <f aca="false">SUMIFS('Source 2026'!$H:$H,'Source 2026'!$B:$B,$A414,'Source 2026'!$A:$A,"Quantity (units)")</f>
        <v>2</v>
      </c>
      <c r="E414" s="8" t="n">
        <f aca="false">D414*$J$5</f>
        <v>2.74285714285714</v>
      </c>
      <c r="F414" s="8" t="n">
        <f aca="false">E414-C414</f>
        <v>1.74285714285714</v>
      </c>
      <c r="G414" s="9" t="n">
        <f aca="false">IF(AND(C414=0,E414=0),0,IF(C414=0,"New",(E414-C414)/C414))</f>
        <v>1.74285714285714</v>
      </c>
      <c r="H414" s="8" t="n">
        <f aca="false">SUMIFS('Source 2025'!$H:$H,'Source 2025'!$B:$B,$A414,'Source 2025'!$A:$A,"Amount (NIS)")</f>
        <v>28.6</v>
      </c>
      <c r="I414" s="8" t="n">
        <f aca="false">SUMIFS('Source 2026'!$H:$H,'Source 2026'!$B:$B,$A414,'Source 2026'!$A:$A,"Amount (NIS)")</f>
        <v>73.3</v>
      </c>
      <c r="J414" s="8" t="n">
        <f aca="false">I414*$J$5</f>
        <v>100.525714285714</v>
      </c>
      <c r="K414" s="8" t="n">
        <f aca="false">J414-H414</f>
        <v>71.9257142857143</v>
      </c>
      <c r="L414" s="9" t="n">
        <f aca="false">IF(AND(H414=0,J414=0),0,IF(H414=0,"New",(J414-H414)/H414))</f>
        <v>2.51488511488512</v>
      </c>
    </row>
    <row r="415" customFormat="false" ht="15" hidden="false" customHeight="false" outlineLevel="0" collapsed="false">
      <c r="A415" s="7" t="n">
        <v>4413277</v>
      </c>
      <c r="B415" s="7" t="str">
        <f aca="false">IFERROR(INDEX('Source 2026'!$C:$C,MATCH($A415,'Source 2026'!$B:$B,0)),IFERROR(INDEX('Source 2025'!$C:$C,MATCH($A415,'Source 2025'!$B:$B,0)),""))</f>
        <v>LF377 M-מדרס סיליקון לנעלי עקב</v>
      </c>
      <c r="C415" s="8" t="n">
        <f aca="false">SUMIFS('Source 2025'!$H:$H,'Source 2025'!$B:$B,$A415,'Source 2025'!$A:$A,"Quantity (units)")</f>
        <v>-2</v>
      </c>
      <c r="D415" s="8" t="n">
        <f aca="false">SUMIFS('Source 2026'!$H:$H,'Source 2026'!$B:$B,$A415,'Source 2026'!$A:$A,"Quantity (units)")</f>
        <v>-3</v>
      </c>
      <c r="E415" s="8" t="n">
        <f aca="false">D415*$J$5</f>
        <v>-4.11428571428571</v>
      </c>
      <c r="F415" s="8" t="n">
        <f aca="false">E415-C415</f>
        <v>-2.11428571428571</v>
      </c>
      <c r="G415" s="9" t="n">
        <f aca="false">IF(AND(C415=0,E415=0),0,IF(C415=0,"New",(E415-C415)/C415))</f>
        <v>1.05714285714286</v>
      </c>
      <c r="H415" s="8" t="n">
        <f aca="false">SUMIFS('Source 2025'!$H:$H,'Source 2025'!$B:$B,$A415,'Source 2025'!$A:$A,"Amount (NIS)")</f>
        <v>-79.1</v>
      </c>
      <c r="I415" s="8" t="n">
        <f aca="false">SUMIFS('Source 2026'!$H:$H,'Source 2026'!$B:$B,$A415,'Source 2026'!$A:$A,"Amount (NIS)")</f>
        <v>-121.7</v>
      </c>
      <c r="J415" s="8" t="n">
        <f aca="false">I415*$J$5</f>
        <v>-166.902857142857</v>
      </c>
      <c r="K415" s="8" t="n">
        <f aca="false">J415-H415</f>
        <v>-87.8028571428572</v>
      </c>
      <c r="L415" s="9" t="n">
        <f aca="false">IF(AND(H415=0,J415=0),0,IF(H415=0,"New",(J415-H415)/H415))</f>
        <v>1.11002347841792</v>
      </c>
    </row>
    <row r="416" customFormat="false" ht="15" hidden="false" customHeight="false" outlineLevel="0" collapsed="false">
      <c r="A416" s="7" t="n">
        <v>4422005</v>
      </c>
      <c r="B416" s="7" t="str">
        <f aca="false">IFERROR(INDEX('Source 2026'!$C:$C,MATCH($A416,'Source 2026'!$B:$B,0)),IFERROR(INDEX('Source 2025'!$C:$C,MATCH($A416,'Source 2025'!$B:$B,0)),""))</f>
        <v>T78 M תומך זרוע וכתף</v>
      </c>
      <c r="C416" s="8" t="n">
        <f aca="false">SUMIFS('Source 2025'!$H:$H,'Source 2025'!$B:$B,$A416,'Source 2025'!$A:$A,"Quantity (units)")</f>
        <v>5</v>
      </c>
      <c r="D416" s="8" t="n">
        <f aca="false">SUMIFS('Source 2026'!$H:$H,'Source 2026'!$B:$B,$A416,'Source 2026'!$A:$A,"Quantity (units)")</f>
        <v>6</v>
      </c>
      <c r="E416" s="8" t="n">
        <f aca="false">D416*$J$5</f>
        <v>8.22857142857143</v>
      </c>
      <c r="F416" s="8" t="n">
        <f aca="false">E416-C416</f>
        <v>3.22857142857143</v>
      </c>
      <c r="G416" s="9" t="n">
        <f aca="false">IF(AND(C416=0,E416=0),0,IF(C416=0,"New",(E416-C416)/C416))</f>
        <v>0.645714285714286</v>
      </c>
      <c r="H416" s="8" t="n">
        <f aca="false">SUMIFS('Source 2025'!$H:$H,'Source 2025'!$B:$B,$A416,'Source 2025'!$A:$A,"Amount (NIS)")</f>
        <v>827.4</v>
      </c>
      <c r="I416" s="8" t="n">
        <f aca="false">SUMIFS('Source 2026'!$H:$H,'Source 2026'!$B:$B,$A416,'Source 2026'!$A:$A,"Amount (NIS)")</f>
        <v>790.4</v>
      </c>
      <c r="J416" s="8" t="n">
        <f aca="false">I416*$J$5</f>
        <v>1083.97714285714</v>
      </c>
      <c r="K416" s="8" t="n">
        <f aca="false">J416-H416</f>
        <v>256.577142857143</v>
      </c>
      <c r="L416" s="9" t="n">
        <f aca="false">IF(AND(H416=0,J416=0),0,IF(H416=0,"New",(J416-H416)/H416))</f>
        <v>0.310100486895266</v>
      </c>
    </row>
    <row r="417" customFormat="false" ht="15" hidden="false" customHeight="false" outlineLevel="0" collapsed="false">
      <c r="A417" s="7" t="n">
        <v>4420006</v>
      </c>
      <c r="B417" s="7" t="str">
        <f aca="false">IFERROR(INDEX('Source 2026'!$C:$C,MATCH($A417,'Source 2026'!$B:$B,0)),IFERROR(INDEX('Source 2025'!$C:$C,MATCH($A417,'Source 2025'!$B:$B,0)),""))</f>
        <v>377  רפ.אורטופדית ספורט זוג37</v>
      </c>
      <c r="C417" s="8" t="n">
        <f aca="false">SUMIFS('Source 2025'!$H:$H,'Source 2025'!$B:$B,$A417,'Source 2025'!$A:$A,"Quantity (units)")</f>
        <v>0</v>
      </c>
      <c r="D417" s="8" t="n">
        <f aca="false">SUMIFS('Source 2026'!$H:$H,'Source 2026'!$B:$B,$A417,'Source 2026'!$A:$A,"Quantity (units)")</f>
        <v>-1</v>
      </c>
      <c r="E417" s="8" t="n">
        <f aca="false">D417*$J$5</f>
        <v>-1.37142857142857</v>
      </c>
      <c r="F417" s="8" t="n">
        <f aca="false">E417-C417</f>
        <v>-1.37142857142857</v>
      </c>
      <c r="G417" s="9" t="str">
        <f aca="false">IF(AND(C417=0,E417=0),0,IF(C417=0,"New",(E417-C417)/C417))</f>
        <v>New</v>
      </c>
      <c r="H417" s="8" t="n">
        <f aca="false">SUMIFS('Source 2025'!$H:$H,'Source 2025'!$B:$B,$A417,'Source 2025'!$A:$A,"Amount (NIS)")</f>
        <v>0</v>
      </c>
      <c r="I417" s="8" t="n">
        <f aca="false">SUMIFS('Source 2026'!$H:$H,'Source 2026'!$B:$B,$A417,'Source 2026'!$A:$A,"Amount (NIS)")</f>
        <v>-36.5</v>
      </c>
      <c r="J417" s="8" t="n">
        <f aca="false">I417*$J$5</f>
        <v>-50.0571428571429</v>
      </c>
      <c r="K417" s="8" t="n">
        <f aca="false">J417-H417</f>
        <v>-50.0571428571429</v>
      </c>
      <c r="L417" s="9" t="str">
        <f aca="false">IF(AND(H417=0,J417=0),0,IF(H417=0,"New",(J417-H417)/H417))</f>
        <v>New</v>
      </c>
    </row>
    <row r="418" customFormat="false" ht="15" hidden="false" customHeight="false" outlineLevel="0" collapsed="false">
      <c r="A418" s="7" t="n">
        <v>4413167</v>
      </c>
      <c r="B418" s="7" t="str">
        <f aca="false">IFERROR(INDEX('Source 2026'!$C:$C,MATCH($A418,'Source 2026'!$B:$B,0)),IFERROR(INDEX('Source 2025'!$C:$C,MATCH($A418,'Source 2025'!$B:$B,0)),""))</f>
        <v>80 M תתמתלה ליד רצועה</v>
      </c>
      <c r="C418" s="8" t="n">
        <f aca="false">SUMIFS('Source 2025'!$H:$H,'Source 2025'!$B:$B,$A418,'Source 2025'!$A:$A,"Quantity (units)")</f>
        <v>-1</v>
      </c>
      <c r="D418" s="8" t="n">
        <f aca="false">SUMIFS('Source 2026'!$H:$H,'Source 2026'!$B:$B,$A418,'Source 2026'!$A:$A,"Quantity (units)")</f>
        <v>0</v>
      </c>
      <c r="E418" s="8" t="n">
        <f aca="false">D418*$J$5</f>
        <v>0</v>
      </c>
      <c r="F418" s="8" t="n">
        <f aca="false">E418-C418</f>
        <v>1</v>
      </c>
      <c r="G418" s="9" t="n">
        <f aca="false">IF(AND(C418=0,E418=0),0,IF(C418=0,"New",(E418-C418)/C418))</f>
        <v>-1</v>
      </c>
      <c r="H418" s="8" t="n">
        <f aca="false">SUMIFS('Source 2025'!$H:$H,'Source 2025'!$B:$B,$A418,'Source 2025'!$A:$A,"Amount (NIS)")</f>
        <v>-32.3</v>
      </c>
      <c r="I418" s="8" t="n">
        <f aca="false">SUMIFS('Source 2026'!$H:$H,'Source 2026'!$B:$B,$A418,'Source 2026'!$A:$A,"Amount (NIS)")</f>
        <v>0</v>
      </c>
      <c r="J418" s="8" t="n">
        <f aca="false">I418*$J$5</f>
        <v>0</v>
      </c>
      <c r="K418" s="8" t="n">
        <f aca="false">J418-H418</f>
        <v>32.3</v>
      </c>
      <c r="L418" s="9" t="n">
        <f aca="false">IF(AND(H418=0,J418=0),0,IF(H418=0,"New",(J418-H418)/H418))</f>
        <v>-1</v>
      </c>
    </row>
    <row r="419" customFormat="false" ht="15" hidden="false" customHeight="false" outlineLevel="0" collapsed="false">
      <c r="A419" s="7" t="n">
        <v>4418004</v>
      </c>
      <c r="B419" s="7" t="str">
        <f aca="false">IFERROR(INDEX('Source 2026'!$C:$C,MATCH($A419,'Source 2026'!$B:$B,0)),IFERROR(INDEX('Source 2025'!$C:$C,MATCH($A419,'Source 2025'!$B:$B,0)),""))</f>
        <v>60 XXL צוארון ספוגי</v>
      </c>
      <c r="C419" s="8" t="n">
        <f aca="false">SUMIFS('Source 2025'!$H:$H,'Source 2025'!$B:$B,$A419,'Source 2025'!$A:$A,"Quantity (units)")</f>
        <v>1</v>
      </c>
      <c r="D419" s="8" t="n">
        <f aca="false">SUMIFS('Source 2026'!$H:$H,'Source 2026'!$B:$B,$A419,'Source 2026'!$A:$A,"Quantity (units)")</f>
        <v>0</v>
      </c>
      <c r="E419" s="8" t="n">
        <f aca="false">D419*$J$5</f>
        <v>0</v>
      </c>
      <c r="F419" s="8" t="n">
        <f aca="false">E419-C419</f>
        <v>-1</v>
      </c>
      <c r="G419" s="9" t="n">
        <f aca="false">IF(AND(C419=0,E419=0),0,IF(C419=0,"New",(E419-C419)/C419))</f>
        <v>-1</v>
      </c>
      <c r="H419" s="8" t="n">
        <f aca="false">SUMIFS('Source 2025'!$H:$H,'Source 2025'!$B:$B,$A419,'Source 2025'!$A:$A,"Amount (NIS)")</f>
        <v>30</v>
      </c>
      <c r="I419" s="8" t="n">
        <f aca="false">SUMIFS('Source 2026'!$H:$H,'Source 2026'!$B:$B,$A419,'Source 2026'!$A:$A,"Amount (NIS)")</f>
        <v>0</v>
      </c>
      <c r="J419" s="8" t="n">
        <f aca="false">I419*$J$5</f>
        <v>0</v>
      </c>
      <c r="K419" s="8" t="n">
        <f aca="false">J419-H419</f>
        <v>-30</v>
      </c>
      <c r="L419" s="9" t="n">
        <f aca="false">IF(AND(H419=0,J419=0),0,IF(H419=0,"New",(J419-H419)/H419))</f>
        <v>-1</v>
      </c>
    </row>
    <row r="420" customFormat="false" ht="15" hidden="false" customHeight="false" outlineLevel="0" collapsed="false">
      <c r="A420" s="7" t="n">
        <v>4413060</v>
      </c>
      <c r="B420" s="7" t="str">
        <f aca="false">IFERROR(INDEX('Source 2026'!$C:$C,MATCH($A420,'Source 2026'!$B:$B,0)),IFERROR(INDEX('Source 2025'!$C:$C,MATCH($A420,'Source 2025'!$B:$B,0)),""))</f>
        <v>364 XLמפריד אצבע סיליקון ליבלת</v>
      </c>
      <c r="C420" s="8" t="n">
        <f aca="false">SUMIFS('Source 2025'!$H:$H,'Source 2025'!$B:$B,$A420,'Source 2025'!$A:$A,"Quantity (units)")</f>
        <v>0</v>
      </c>
      <c r="D420" s="8" t="n">
        <f aca="false">SUMIFS('Source 2026'!$H:$H,'Source 2026'!$B:$B,$A420,'Source 2026'!$A:$A,"Quantity (units)")</f>
        <v>-2</v>
      </c>
      <c r="E420" s="8" t="n">
        <f aca="false">D420*$J$5</f>
        <v>-2.74285714285714</v>
      </c>
      <c r="F420" s="8" t="n">
        <f aca="false">E420-C420</f>
        <v>-2.74285714285714</v>
      </c>
      <c r="G420" s="9" t="str">
        <f aca="false">IF(AND(C420=0,E420=0),0,IF(C420=0,"New",(E420-C420)/C420))</f>
        <v>New</v>
      </c>
      <c r="H420" s="8" t="n">
        <f aca="false">SUMIFS('Source 2025'!$H:$H,'Source 2025'!$B:$B,$A420,'Source 2025'!$A:$A,"Amount (NIS)")</f>
        <v>0</v>
      </c>
      <c r="I420" s="8" t="n">
        <f aca="false">SUMIFS('Source 2026'!$H:$H,'Source 2026'!$B:$B,$A420,'Source 2026'!$A:$A,"Amount (NIS)")</f>
        <v>-25.1</v>
      </c>
      <c r="J420" s="8" t="n">
        <f aca="false">I420*$J$5</f>
        <v>-34.4228571428572</v>
      </c>
      <c r="K420" s="8" t="n">
        <f aca="false">J420-H420</f>
        <v>-34.4228571428572</v>
      </c>
      <c r="L420" s="9" t="str">
        <f aca="false">IF(AND(H420=0,J420=0),0,IF(H420=0,"New",(J420-H420)/H420))</f>
        <v>New</v>
      </c>
    </row>
    <row r="421" customFormat="false" ht="15" hidden="false" customHeight="false" outlineLevel="0" collapsed="false">
      <c r="A421" s="7" t="n">
        <v>4419006</v>
      </c>
      <c r="B421" s="7" t="str">
        <f aca="false">IFERROR(INDEX('Source 2026'!$C:$C,MATCH($A421,'Source 2026'!$B:$B,0)),IFERROR(INDEX('Source 2025'!$C:$C,MATCH($A421,'Source 2025'!$B:$B,0)),""))</f>
        <v>PD340-קוצץ ציפורניים</v>
      </c>
      <c r="C421" s="8" t="n">
        <f aca="false">SUMIFS('Source 2025'!$H:$H,'Source 2025'!$B:$B,$A421,'Source 2025'!$A:$A,"Quantity (units)")</f>
        <v>0</v>
      </c>
      <c r="D421" s="8" t="n">
        <f aca="false">SUMIFS('Source 2026'!$H:$H,'Source 2026'!$B:$B,$A421,'Source 2026'!$A:$A,"Quantity (units)")</f>
        <v>-2</v>
      </c>
      <c r="E421" s="8" t="n">
        <f aca="false">D421*$J$5</f>
        <v>-2.74285714285714</v>
      </c>
      <c r="F421" s="8" t="n">
        <f aca="false">E421-C421</f>
        <v>-2.74285714285714</v>
      </c>
      <c r="G421" s="9" t="str">
        <f aca="false">IF(AND(C421=0,E421=0),0,IF(C421=0,"New",(E421-C421)/C421))</f>
        <v>New</v>
      </c>
      <c r="H421" s="8" t="n">
        <f aca="false">SUMIFS('Source 2025'!$H:$H,'Source 2025'!$B:$B,$A421,'Source 2025'!$A:$A,"Amount (NIS)")</f>
        <v>0</v>
      </c>
      <c r="I421" s="8" t="n">
        <f aca="false">SUMIFS('Source 2026'!$H:$H,'Source 2026'!$B:$B,$A421,'Source 2026'!$A:$A,"Amount (NIS)")</f>
        <v>-24.4</v>
      </c>
      <c r="J421" s="8" t="n">
        <f aca="false">I421*$J$5</f>
        <v>-33.4628571428571</v>
      </c>
      <c r="K421" s="8" t="n">
        <f aca="false">J421-H421</f>
        <v>-33.4628571428571</v>
      </c>
      <c r="L421" s="9" t="str">
        <f aca="false">IF(AND(H421=0,J421=0),0,IF(H421=0,"New",(J421-H421)/H421))</f>
        <v>New</v>
      </c>
    </row>
    <row r="422" customFormat="false" ht="15" hidden="false" customHeight="false" outlineLevel="0" collapsed="false">
      <c r="A422" s="7" t="n">
        <v>4409000</v>
      </c>
      <c r="B422" s="7" t="str">
        <f aca="false">IFERROR(INDEX('Source 2026'!$C:$C,MATCH($A422,'Source 2026'!$B:$B,0)),IFERROR(INDEX('Source 2025'!$C:$C,MATCH($A422,'Source 2025'!$B:$B,0)),""))</f>
        <v>365 S-Lטבעת אלסטית מסיליקון</v>
      </c>
      <c r="C422" s="8" t="n">
        <f aca="false">SUMIFS('Source 2025'!$H:$H,'Source 2025'!$B:$B,$A422,'Source 2025'!$A:$A,"Quantity (units)")</f>
        <v>0</v>
      </c>
      <c r="D422" s="8" t="n">
        <f aca="false">SUMIFS('Source 2026'!$H:$H,'Source 2026'!$B:$B,$A422,'Source 2026'!$A:$A,"Quantity (units)")</f>
        <v>-2</v>
      </c>
      <c r="E422" s="8" t="n">
        <f aca="false">D422*$J$5</f>
        <v>-2.74285714285714</v>
      </c>
      <c r="F422" s="8" t="n">
        <f aca="false">E422-C422</f>
        <v>-2.74285714285714</v>
      </c>
      <c r="G422" s="9" t="str">
        <f aca="false">IF(AND(C422=0,E422=0),0,IF(C422=0,"New",(E422-C422)/C422))</f>
        <v>New</v>
      </c>
      <c r="H422" s="8" t="n">
        <f aca="false">SUMIFS('Source 2025'!$H:$H,'Source 2025'!$B:$B,$A422,'Source 2025'!$A:$A,"Amount (NIS)")</f>
        <v>0</v>
      </c>
      <c r="I422" s="8" t="n">
        <f aca="false">SUMIFS('Source 2026'!$H:$H,'Source 2026'!$B:$B,$A422,'Source 2026'!$A:$A,"Amount (NIS)")</f>
        <v>-23.1</v>
      </c>
      <c r="J422" s="8" t="n">
        <f aca="false">I422*$J$5</f>
        <v>-31.68</v>
      </c>
      <c r="K422" s="8" t="n">
        <f aca="false">J422-H422</f>
        <v>-31.68</v>
      </c>
      <c r="L422" s="9" t="str">
        <f aca="false">IF(AND(H422=0,J422=0),0,IF(H422=0,"New",(J422-H422)/H422))</f>
        <v>New</v>
      </c>
    </row>
    <row r="423" customFormat="false" ht="15" hidden="false" customHeight="false" outlineLevel="0" collapsed="false">
      <c r="A423" s="7" t="n">
        <v>4413087</v>
      </c>
      <c r="B423" s="7" t="str">
        <f aca="false">IFERROR(INDEX('Source 2026'!$C:$C,MATCH($A423,'Source 2026'!$B:$B,0)),IFERROR(INDEX('Source 2025'!$C:$C,MATCH($A423,'Source 2025'!$B:$B,0)),""))</f>
        <v>422 Lמ.ברך+כרית סיל.סביב לפיקה</v>
      </c>
      <c r="C423" s="8" t="n">
        <f aca="false">SUMIFS('Source 2025'!$H:$H,'Source 2025'!$B:$B,$A423,'Source 2025'!$A:$A,"Quantity (units)")</f>
        <v>-2</v>
      </c>
      <c r="D423" s="8" t="n">
        <f aca="false">SUMIFS('Source 2026'!$H:$H,'Source 2026'!$B:$B,$A423,'Source 2026'!$A:$A,"Quantity (units)")</f>
        <v>-2</v>
      </c>
      <c r="E423" s="8" t="n">
        <f aca="false">D423*$J$5</f>
        <v>-2.74285714285714</v>
      </c>
      <c r="F423" s="8" t="n">
        <f aca="false">E423-C423</f>
        <v>-0.742857142857143</v>
      </c>
      <c r="G423" s="9" t="n">
        <f aca="false">IF(AND(C423=0,E423=0),0,IF(C423=0,"New",(E423-C423)/C423))</f>
        <v>0.371428571428571</v>
      </c>
      <c r="H423" s="8" t="n">
        <f aca="false">SUMIFS('Source 2025'!$H:$H,'Source 2025'!$B:$B,$A423,'Source 2025'!$A:$A,"Amount (NIS)")</f>
        <v>-272.8</v>
      </c>
      <c r="I423" s="8" t="n">
        <f aca="false">SUMIFS('Source 2026'!$H:$H,'Source 2026'!$B:$B,$A423,'Source 2026'!$A:$A,"Amount (NIS)")</f>
        <v>-295.5</v>
      </c>
      <c r="J423" s="8" t="n">
        <f aca="false">I423*$J$5</f>
        <v>-405.257142857143</v>
      </c>
      <c r="K423" s="8" t="n">
        <f aca="false">J423-H423</f>
        <v>-132.457142857143</v>
      </c>
      <c r="L423" s="9" t="n">
        <f aca="false">IF(AND(H423=0,J423=0),0,IF(H423=0,"New",(J423-H423)/H423))</f>
        <v>0.485546711353163</v>
      </c>
    </row>
    <row r="424" customFormat="false" ht="15" hidden="false" customHeight="false" outlineLevel="0" collapsed="false">
      <c r="A424" s="7" t="n">
        <v>4408011</v>
      </c>
      <c r="B424" s="7" t="str">
        <f aca="false">IFERROR(INDEX('Source 2026'!$C:$C,MATCH($A424,'Source 2026'!$B:$B,0)),IFERROR(INDEX('Source 2025'!$C:$C,MATCH($A424,'Source 2025'!$B:$B,0)),""))</f>
        <v>079  M ח.גב סג.כפולה שחור+אדום</v>
      </c>
      <c r="C424" s="8" t="n">
        <f aca="false">SUMIFS('Source 2025'!$H:$H,'Source 2025'!$B:$B,$A424,'Source 2025'!$A:$A,"Quantity (units)")</f>
        <v>-2</v>
      </c>
      <c r="D424" s="8" t="n">
        <f aca="false">SUMIFS('Source 2026'!$H:$H,'Source 2026'!$B:$B,$A424,'Source 2026'!$A:$A,"Quantity (units)")</f>
        <v>-2</v>
      </c>
      <c r="E424" s="8" t="n">
        <f aca="false">D424*$J$5</f>
        <v>-2.74285714285714</v>
      </c>
      <c r="F424" s="8" t="n">
        <f aca="false">E424-C424</f>
        <v>-0.742857142857143</v>
      </c>
      <c r="G424" s="9" t="n">
        <f aca="false">IF(AND(C424=0,E424=0),0,IF(C424=0,"New",(E424-C424)/C424))</f>
        <v>0.371428571428571</v>
      </c>
      <c r="H424" s="8" t="n">
        <f aca="false">SUMIFS('Source 2025'!$H:$H,'Source 2025'!$B:$B,$A424,'Source 2025'!$A:$A,"Amount (NIS)")</f>
        <v>-151.1</v>
      </c>
      <c r="I424" s="8" t="n">
        <f aca="false">SUMIFS('Source 2026'!$H:$H,'Source 2026'!$B:$B,$A424,'Source 2026'!$A:$A,"Amount (NIS)")</f>
        <v>-173.2</v>
      </c>
      <c r="J424" s="8" t="n">
        <f aca="false">I424*$J$5</f>
        <v>-237.531428571429</v>
      </c>
      <c r="K424" s="8" t="n">
        <f aca="false">J424-H424</f>
        <v>-86.4314285714286</v>
      </c>
      <c r="L424" s="9" t="n">
        <f aca="false">IF(AND(H424=0,J424=0),0,IF(H424=0,"New",(J424-H424)/H424))</f>
        <v>0.572014748983644</v>
      </c>
    </row>
    <row r="425" customFormat="false" ht="15" hidden="false" customHeight="false" outlineLevel="0" collapsed="false">
      <c r="A425" s="7" t="n">
        <v>4420025</v>
      </c>
      <c r="B425" s="7" t="str">
        <f aca="false">IFERROR(INDEX('Source 2026'!$C:$C,MATCH($A425,'Source 2026'!$B:$B,0)),IFERROR(INDEX('Source 2025'!$C:$C,MATCH($A425,'Source 2025'!$B:$B,0)),""))</f>
        <v>LF374 ריפוד סיליק.לעקב תחתון</v>
      </c>
      <c r="C425" s="8" t="n">
        <f aca="false">SUMIFS('Source 2025'!$H:$H,'Source 2025'!$B:$B,$A425,'Source 2025'!$A:$A,"Quantity (units)")</f>
        <v>-2</v>
      </c>
      <c r="D425" s="8" t="n">
        <f aca="false">SUMIFS('Source 2026'!$H:$H,'Source 2026'!$B:$B,$A425,'Source 2026'!$A:$A,"Quantity (units)")</f>
        <v>-3</v>
      </c>
      <c r="E425" s="8" t="n">
        <f aca="false">D425*$J$5</f>
        <v>-4.11428571428571</v>
      </c>
      <c r="F425" s="8" t="n">
        <f aca="false">E425-C425</f>
        <v>-2.11428571428571</v>
      </c>
      <c r="G425" s="9" t="n">
        <f aca="false">IF(AND(C425=0,E425=0),0,IF(C425=0,"New",(E425-C425)/C425))</f>
        <v>1.05714285714286</v>
      </c>
      <c r="H425" s="8" t="n">
        <f aca="false">SUMIFS('Source 2025'!$H:$H,'Source 2025'!$B:$B,$A425,'Source 2025'!$A:$A,"Amount (NIS)")</f>
        <v>-40.5</v>
      </c>
      <c r="I425" s="8" t="n">
        <f aca="false">SUMIFS('Source 2026'!$H:$H,'Source 2026'!$B:$B,$A425,'Source 2026'!$A:$A,"Amount (NIS)")</f>
        <v>-60.8</v>
      </c>
      <c r="J425" s="8" t="n">
        <f aca="false">I425*$J$5</f>
        <v>-83.3828571428571</v>
      </c>
      <c r="K425" s="8" t="n">
        <f aca="false">J425-H425</f>
        <v>-42.8828571428571</v>
      </c>
      <c r="L425" s="9" t="n">
        <f aca="false">IF(AND(H425=0,J425=0),0,IF(H425=0,"New",(J425-H425)/H425))</f>
        <v>1.05883597883598</v>
      </c>
    </row>
    <row r="426" customFormat="false" ht="15" hidden="false" customHeight="false" outlineLevel="0" collapsed="false">
      <c r="A426" s="7" t="n">
        <v>4413441</v>
      </c>
      <c r="B426" s="7" t="str">
        <f aca="false">IFERROR(INDEX('Source 2026'!$C:$C,MATCH($A426,'Source 2026'!$B:$B,0)),IFERROR(INDEX('Source 2025'!$C:$C,MATCH($A426,'Source 2025'!$B:$B,0)),""))</f>
        <v>SC422 XL מגן ברך</v>
      </c>
      <c r="C426" s="8" t="n">
        <f aca="false">SUMIFS('Source 2025'!$H:$H,'Source 2025'!$B:$B,$A426,'Source 2025'!$A:$A,"Quantity (units)")</f>
        <v>13</v>
      </c>
      <c r="D426" s="8" t="n">
        <f aca="false">SUMIFS('Source 2026'!$H:$H,'Source 2026'!$B:$B,$A426,'Source 2026'!$A:$A,"Quantity (units)")</f>
        <v>13</v>
      </c>
      <c r="E426" s="8" t="n">
        <f aca="false">D426*$J$5</f>
        <v>17.8285714285714</v>
      </c>
      <c r="F426" s="8" t="n">
        <f aca="false">E426-C426</f>
        <v>4.82857142857143</v>
      </c>
      <c r="G426" s="9" t="n">
        <f aca="false">IF(AND(C426=0,E426=0),0,IF(C426=0,"New",(E426-C426)/C426))</f>
        <v>0.371428571428572</v>
      </c>
      <c r="H426" s="8" t="n">
        <f aca="false">SUMIFS('Source 2025'!$H:$H,'Source 2025'!$B:$B,$A426,'Source 2025'!$A:$A,"Amount (NIS)")</f>
        <v>1751.3</v>
      </c>
      <c r="I426" s="8" t="n">
        <f aca="false">SUMIFS('Source 2026'!$H:$H,'Source 2026'!$B:$B,$A426,'Source 2026'!$A:$A,"Amount (NIS)")</f>
        <v>1735.5</v>
      </c>
      <c r="J426" s="8" t="n">
        <f aca="false">I426*$J$5</f>
        <v>2380.11428571429</v>
      </c>
      <c r="K426" s="8" t="n">
        <f aca="false">J426-H426</f>
        <v>628.814285714286</v>
      </c>
      <c r="L426" s="9" t="n">
        <f aca="false">IF(AND(H426=0,J426=0),0,IF(H426=0,"New",(J426-H426)/H426))</f>
        <v>0.359055721871916</v>
      </c>
    </row>
    <row r="427" customFormat="false" ht="15" hidden="false" customHeight="false" outlineLevel="0" collapsed="false">
      <c r="A427" s="7" t="n">
        <v>4408010</v>
      </c>
      <c r="B427" s="7" t="str">
        <f aca="false">IFERROR(INDEX('Source 2026'!$C:$C,MATCH($A427,'Source 2026'!$B:$B,0)),IFERROR(INDEX('Source 2025'!$C:$C,MATCH($A427,'Source 2025'!$B:$B,0)),""))</f>
        <v>079 L ח.גב סג.כפולה שחור+אדום</v>
      </c>
      <c r="C427" s="8" t="n">
        <f aca="false">SUMIFS('Source 2025'!$H:$H,'Source 2025'!$B:$B,$A427,'Source 2025'!$A:$A,"Quantity (units)")</f>
        <v>-3</v>
      </c>
      <c r="D427" s="8" t="n">
        <f aca="false">SUMIFS('Source 2026'!$H:$H,'Source 2026'!$B:$B,$A427,'Source 2026'!$A:$A,"Quantity (units)")</f>
        <v>-3</v>
      </c>
      <c r="E427" s="8" t="n">
        <f aca="false">D427*$J$5</f>
        <v>-4.11428571428571</v>
      </c>
      <c r="F427" s="8" t="n">
        <f aca="false">E427-C427</f>
        <v>-1.11428571428571</v>
      </c>
      <c r="G427" s="9" t="n">
        <f aca="false">IF(AND(C427=0,E427=0),0,IF(C427=0,"New",(E427-C427)/C427))</f>
        <v>0.371428571428571</v>
      </c>
      <c r="H427" s="8" t="n">
        <f aca="false">SUMIFS('Source 2025'!$H:$H,'Source 2025'!$B:$B,$A427,'Source 2025'!$A:$A,"Amount (NIS)")</f>
        <v>-265.4</v>
      </c>
      <c r="I427" s="8" t="n">
        <f aca="false">SUMIFS('Source 2026'!$H:$H,'Source 2026'!$B:$B,$A427,'Source 2026'!$A:$A,"Amount (NIS)")</f>
        <v>-276.4</v>
      </c>
      <c r="J427" s="8" t="n">
        <f aca="false">I427*$J$5</f>
        <v>-379.062857142857</v>
      </c>
      <c r="K427" s="8" t="n">
        <f aca="false">J427-H427</f>
        <v>-113.662857142857</v>
      </c>
      <c r="L427" s="9" t="n">
        <f aca="false">IF(AND(H427=0,J427=0),0,IF(H427=0,"New",(J427-H427)/H427))</f>
        <v>0.428269996770374</v>
      </c>
    </row>
    <row r="428" customFormat="false" ht="15" hidden="false" customHeight="false" outlineLevel="0" collapsed="false">
      <c r="A428" s="7" t="n">
        <v>4413427</v>
      </c>
      <c r="B428" s="7" t="str">
        <f aca="false">IFERROR(INDEX('Source 2026'!$C:$C,MATCH($A428,'Source 2026'!$B:$B,0)),IFERROR(INDEX('Source 2025'!$C:$C,MATCH($A428,'Source 2025'!$B:$B,0)),""))</f>
        <v>SC35R  XLמגן קרסול ימין</v>
      </c>
      <c r="C428" s="8" t="n">
        <f aca="false">SUMIFS('Source 2025'!$H:$H,'Source 2025'!$B:$B,$A428,'Source 2025'!$A:$A,"Quantity (units)")</f>
        <v>11</v>
      </c>
      <c r="D428" s="8" t="n">
        <f aca="false">SUMIFS('Source 2026'!$H:$H,'Source 2026'!$B:$B,$A428,'Source 2026'!$A:$A,"Quantity (units)")</f>
        <v>11</v>
      </c>
      <c r="E428" s="8" t="n">
        <f aca="false">D428*$J$5</f>
        <v>15.0857142857143</v>
      </c>
      <c r="F428" s="8" t="n">
        <f aca="false">E428-C428</f>
        <v>4.08571428571429</v>
      </c>
      <c r="G428" s="9" t="n">
        <f aca="false">IF(AND(C428=0,E428=0),0,IF(C428=0,"New",(E428-C428)/C428))</f>
        <v>0.371428571428571</v>
      </c>
      <c r="H428" s="8" t="n">
        <f aca="false">SUMIFS('Source 2025'!$H:$H,'Source 2025'!$B:$B,$A428,'Source 2025'!$A:$A,"Amount (NIS)")</f>
        <v>815.7</v>
      </c>
      <c r="I428" s="8" t="n">
        <f aca="false">SUMIFS('Source 2026'!$H:$H,'Source 2026'!$B:$B,$A428,'Source 2026'!$A:$A,"Amount (NIS)")</f>
        <v>823.6</v>
      </c>
      <c r="J428" s="8" t="n">
        <f aca="false">I428*$J$5</f>
        <v>1129.50857142857</v>
      </c>
      <c r="K428" s="8" t="n">
        <f aca="false">J428-H428</f>
        <v>313.808571428571</v>
      </c>
      <c r="L428" s="9" t="n">
        <f aca="false">IF(AND(H428=0,J428=0),0,IF(H428=0,"New",(J428-H428)/H428))</f>
        <v>0.384710765512531</v>
      </c>
    </row>
    <row r="429" customFormat="false" ht="15" hidden="false" customHeight="false" outlineLevel="0" collapsed="false">
      <c r="A429" s="7" t="n">
        <v>4413144</v>
      </c>
      <c r="B429" s="7" t="str">
        <f aca="false">IFERROR(INDEX('Source 2026'!$C:$C,MATCH($A429,'Source 2026'!$B:$B,0)),IFERROR(INDEX('Source 2025'!$C:$C,MATCH($A429,'Source 2025'!$B:$B,0)),""))</f>
        <v>95 XXL מגן מרפק רגיל לבן</v>
      </c>
      <c r="C429" s="8" t="n">
        <f aca="false">SUMIFS('Source 2025'!$H:$H,'Source 2025'!$B:$B,$A429,'Source 2025'!$A:$A,"Quantity (units)")</f>
        <v>5</v>
      </c>
      <c r="D429" s="8" t="n">
        <f aca="false">SUMIFS('Source 2026'!$H:$H,'Source 2026'!$B:$B,$A429,'Source 2026'!$A:$A,"Quantity (units)")</f>
        <v>5</v>
      </c>
      <c r="E429" s="8" t="n">
        <f aca="false">D429*$J$5</f>
        <v>6.85714285714286</v>
      </c>
      <c r="F429" s="8" t="n">
        <f aca="false">E429-C429</f>
        <v>1.85714285714286</v>
      </c>
      <c r="G429" s="9" t="n">
        <f aca="false">IF(AND(C429=0,E429=0),0,IF(C429=0,"New",(E429-C429)/C429))</f>
        <v>0.371428571428572</v>
      </c>
      <c r="H429" s="8" t="n">
        <f aca="false">SUMIFS('Source 2025'!$H:$H,'Source 2025'!$B:$B,$A429,'Source 2025'!$A:$A,"Amount (NIS)")</f>
        <v>128.9</v>
      </c>
      <c r="I429" s="8" t="n">
        <f aca="false">SUMIFS('Source 2026'!$H:$H,'Source 2026'!$B:$B,$A429,'Source 2026'!$A:$A,"Amount (NIS)")</f>
        <v>136.7</v>
      </c>
      <c r="J429" s="8" t="n">
        <f aca="false">I429*$J$5</f>
        <v>187.474285714286</v>
      </c>
      <c r="K429" s="8" t="n">
        <f aca="false">J429-H429</f>
        <v>58.5742857142857</v>
      </c>
      <c r="L429" s="9" t="n">
        <f aca="false">IF(AND(H429=0,J429=0),0,IF(H429=0,"New",(J429-H429)/H429))</f>
        <v>0.454416491189183</v>
      </c>
    </row>
    <row r="430" customFormat="false" ht="15" hidden="false" customHeight="false" outlineLevel="0" collapsed="false">
      <c r="A430" s="7" t="n">
        <v>4420013</v>
      </c>
      <c r="B430" s="7" t="str">
        <f aca="false">IFERROR(INDEX('Source 2026'!$C:$C,MATCH($A430,'Source 2026'!$B:$B,0)),IFERROR(INDEX('Source 2025'!$C:$C,MATCH($A430,'Source 2025'!$B:$B,0)),""))</f>
        <v>377  רפידה אורט.ספורט זוג44</v>
      </c>
      <c r="C430" s="8" t="n">
        <f aca="false">SUMIFS('Source 2025'!$H:$H,'Source 2025'!$B:$B,$A430,'Source 2025'!$A:$A,"Quantity (units)")</f>
        <v>0</v>
      </c>
      <c r="D430" s="8" t="n">
        <f aca="false">SUMIFS('Source 2026'!$H:$H,'Source 2026'!$B:$B,$A430,'Source 2026'!$A:$A,"Quantity (units)")</f>
        <v>0</v>
      </c>
      <c r="E430" s="8" t="n">
        <f aca="false">D430*$J$5</f>
        <v>0</v>
      </c>
      <c r="F430" s="8" t="n">
        <f aca="false">E430-C430</f>
        <v>0</v>
      </c>
      <c r="G430" s="9" t="n">
        <f aca="false">IF(AND(C430=0,E430=0),0,IF(C430=0,"New",(E430-C430)/C430))</f>
        <v>0</v>
      </c>
      <c r="H430" s="8" t="n">
        <f aca="false">SUMIFS('Source 2025'!$H:$H,'Source 2025'!$B:$B,$A430,'Source 2025'!$A:$A,"Amount (NIS)")</f>
        <v>3.7</v>
      </c>
      <c r="I430" s="8" t="n">
        <f aca="false">SUMIFS('Source 2026'!$H:$H,'Source 2026'!$B:$B,$A430,'Source 2026'!$A:$A,"Amount (NIS)")</f>
        <v>0</v>
      </c>
      <c r="J430" s="8" t="n">
        <f aca="false">I430*$J$5</f>
        <v>0</v>
      </c>
      <c r="K430" s="8" t="n">
        <f aca="false">J430-H430</f>
        <v>-3.7</v>
      </c>
      <c r="L430" s="9" t="n">
        <f aca="false">IF(AND(H430=0,J430=0),0,IF(H430=0,"New",(J430-H430)/H430))</f>
        <v>-1</v>
      </c>
    </row>
    <row r="431" customFormat="false" ht="15" hidden="false" customHeight="false" outlineLevel="0" collapsed="false">
      <c r="A431" s="7" t="n">
        <v>4403011</v>
      </c>
      <c r="B431" s="7" t="str">
        <f aca="false">IFERROR(INDEX('Source 2026'!$C:$C,MATCH($A431,'Source 2026'!$B:$B,0)),IFERROR(INDEX('Source 2025'!$C:$C,MATCH($A431,'Source 2025'!$B:$B,0)),""))</f>
        <v>3444 0   גרביים+סיליקון</v>
      </c>
      <c r="C431" s="8" t="n">
        <f aca="false">SUMIFS('Source 2025'!$H:$H,'Source 2025'!$B:$B,$A431,'Source 2025'!$A:$A,"Quantity (units)")</f>
        <v>-1</v>
      </c>
      <c r="D431" s="8" t="n">
        <f aca="false">SUMIFS('Source 2026'!$H:$H,'Source 2026'!$B:$B,$A431,'Source 2026'!$A:$A,"Quantity (units)")</f>
        <v>-1</v>
      </c>
      <c r="E431" s="8" t="n">
        <f aca="false">D431*$J$5</f>
        <v>-1.37142857142857</v>
      </c>
      <c r="F431" s="8" t="n">
        <f aca="false">E431-C431</f>
        <v>-0.371428571428571</v>
      </c>
      <c r="G431" s="9" t="n">
        <f aca="false">IF(AND(C431=0,E431=0),0,IF(C431=0,"New",(E431-C431)/C431))</f>
        <v>0.371428571428571</v>
      </c>
      <c r="H431" s="8" t="n">
        <f aca="false">SUMIFS('Source 2025'!$H:$H,'Source 2025'!$B:$B,$A431,'Source 2025'!$A:$A,"Amount (NIS)")</f>
        <v>-28.4</v>
      </c>
      <c r="I431" s="8" t="n">
        <f aca="false">SUMIFS('Source 2026'!$H:$H,'Source 2026'!$B:$B,$A431,'Source 2026'!$A:$A,"Amount (NIS)")</f>
        <v>-31.9</v>
      </c>
      <c r="J431" s="8" t="n">
        <f aca="false">I431*$J$5</f>
        <v>-43.7485714285714</v>
      </c>
      <c r="K431" s="8" t="n">
        <f aca="false">J431-H431</f>
        <v>-15.3485714285714</v>
      </c>
      <c r="L431" s="9" t="n">
        <f aca="false">IF(AND(H431=0,J431=0),0,IF(H431=0,"New",(J431-H431)/H431))</f>
        <v>0.540442655935614</v>
      </c>
    </row>
    <row r="432" customFormat="false" ht="15" hidden="false" customHeight="false" outlineLevel="0" collapsed="false">
      <c r="A432" s="7" t="n">
        <v>4413439</v>
      </c>
      <c r="B432" s="7" t="str">
        <f aca="false">IFERROR(INDEX('Source 2026'!$C:$C,MATCH($A432,'Source 2026'!$B:$B,0)),IFERROR(INDEX('Source 2025'!$C:$C,MATCH($A432,'Source 2025'!$B:$B,0)),""))</f>
        <v>SC422  M מגן ברך</v>
      </c>
      <c r="C432" s="8" t="n">
        <f aca="false">SUMIFS('Source 2025'!$H:$H,'Source 2025'!$B:$B,$A432,'Source 2025'!$A:$A,"Quantity (units)")</f>
        <v>20</v>
      </c>
      <c r="D432" s="8" t="n">
        <f aca="false">SUMIFS('Source 2026'!$H:$H,'Source 2026'!$B:$B,$A432,'Source 2026'!$A:$A,"Quantity (units)")</f>
        <v>20</v>
      </c>
      <c r="E432" s="8" t="n">
        <f aca="false">D432*$J$5</f>
        <v>27.4285714285714</v>
      </c>
      <c r="F432" s="8" t="n">
        <f aca="false">E432-C432</f>
        <v>7.42857142857143</v>
      </c>
      <c r="G432" s="9" t="n">
        <f aca="false">IF(AND(C432=0,E432=0),0,IF(C432=0,"New",(E432-C432)/C432))</f>
        <v>0.371428571428572</v>
      </c>
      <c r="H432" s="8" t="n">
        <f aca="false">SUMIFS('Source 2025'!$H:$H,'Source 2025'!$B:$B,$A432,'Source 2025'!$A:$A,"Amount (NIS)")</f>
        <v>2674.5</v>
      </c>
      <c r="I432" s="8" t="n">
        <f aca="false">SUMIFS('Source 2026'!$H:$H,'Source 2026'!$B:$B,$A432,'Source 2026'!$A:$A,"Amount (NIS)")</f>
        <v>2675</v>
      </c>
      <c r="J432" s="8" t="n">
        <f aca="false">I432*$J$5</f>
        <v>3668.57142857143</v>
      </c>
      <c r="K432" s="8" t="n">
        <f aca="false">J432-H432</f>
        <v>994.071428571428</v>
      </c>
      <c r="L432" s="9" t="n">
        <f aca="false">IF(AND(H432=0,J432=0),0,IF(H432=0,"New",(J432-H432)/H432))</f>
        <v>0.371684961140934</v>
      </c>
    </row>
    <row r="433" customFormat="false" ht="15" hidden="false" customHeight="false" outlineLevel="0" collapsed="false">
      <c r="A433" s="7" t="n">
        <v>4408017</v>
      </c>
      <c r="B433" s="7" t="str">
        <f aca="false">IFERROR(INDEX('Source 2026'!$C:$C,MATCH($A433,'Source 2026'!$B:$B,0)),IFERROR(INDEX('Source 2025'!$C:$C,MATCH($A433,'Source 2025'!$B:$B,0)),""))</f>
        <v>07AU XL ח.גב ""איטלקית"" אורירית</v>
      </c>
      <c r="C433" s="8" t="n">
        <f aca="false">SUMIFS('Source 2025'!$H:$H,'Source 2025'!$B:$B,$A433,'Source 2025'!$A:$A,"Quantity (units)")</f>
        <v>-1</v>
      </c>
      <c r="D433" s="8" t="n">
        <f aca="false">SUMIFS('Source 2026'!$H:$H,'Source 2026'!$B:$B,$A433,'Source 2026'!$A:$A,"Quantity (units)")</f>
        <v>-1</v>
      </c>
      <c r="E433" s="8" t="n">
        <f aca="false">D433*$J$5</f>
        <v>-1.37142857142857</v>
      </c>
      <c r="F433" s="8" t="n">
        <f aca="false">E433-C433</f>
        <v>-0.371428571428571</v>
      </c>
      <c r="G433" s="9" t="n">
        <f aca="false">IF(AND(C433=0,E433=0),0,IF(C433=0,"New",(E433-C433)/C433))</f>
        <v>0.371428571428571</v>
      </c>
      <c r="H433" s="8" t="n">
        <f aca="false">SUMIFS('Source 2025'!$H:$H,'Source 2025'!$B:$B,$A433,'Source 2025'!$A:$A,"Amount (NIS)")</f>
        <v>-215.4</v>
      </c>
      <c r="I433" s="8" t="n">
        <f aca="false">SUMIFS('Source 2026'!$H:$H,'Source 2026'!$B:$B,$A433,'Source 2026'!$A:$A,"Amount (NIS)")</f>
        <v>-215.4</v>
      </c>
      <c r="J433" s="8" t="n">
        <f aca="false">I433*$J$5</f>
        <v>-295.405714285714</v>
      </c>
      <c r="K433" s="8" t="n">
        <f aca="false">J433-H433</f>
        <v>-80.0057142857143</v>
      </c>
      <c r="L433" s="9" t="n">
        <f aca="false">IF(AND(H433=0,J433=0),0,IF(H433=0,"New",(J433-H433)/H433))</f>
        <v>0.371428571428571</v>
      </c>
    </row>
    <row r="434" customFormat="false" ht="15" hidden="false" customHeight="false" outlineLevel="0" collapsed="false">
      <c r="A434" s="7" t="n">
        <v>4408060</v>
      </c>
      <c r="B434" s="7" t="str">
        <f aca="false">IFERROR(INDEX('Source 2026'!$C:$C,MATCH($A434,'Source 2026'!$B:$B,0)),IFERROR(INDEX('Source 2025'!$C:$C,MATCH($A434,'Source 2025'!$B:$B,0)),""))</f>
        <v>25 M חבק יד אגודלי</v>
      </c>
      <c r="C434" s="8" t="n">
        <f aca="false">SUMIFS('Source 2025'!$H:$H,'Source 2025'!$B:$B,$A434,'Source 2025'!$A:$A,"Quantity (units)")</f>
        <v>-1</v>
      </c>
      <c r="D434" s="8" t="n">
        <f aca="false">SUMIFS('Source 2026'!$H:$H,'Source 2026'!$B:$B,$A434,'Source 2026'!$A:$A,"Quantity (units)")</f>
        <v>-1</v>
      </c>
      <c r="E434" s="8" t="n">
        <f aca="false">D434*$J$5</f>
        <v>-1.37142857142857</v>
      </c>
      <c r="F434" s="8" t="n">
        <f aca="false">E434-C434</f>
        <v>-0.371428571428571</v>
      </c>
      <c r="G434" s="9" t="n">
        <f aca="false">IF(AND(C434=0,E434=0),0,IF(C434=0,"New",(E434-C434)/C434))</f>
        <v>0.371428571428571</v>
      </c>
      <c r="H434" s="8" t="n">
        <f aca="false">SUMIFS('Source 2025'!$H:$H,'Source 2025'!$B:$B,$A434,'Source 2025'!$A:$A,"Amount (NIS)")</f>
        <v>-63.6</v>
      </c>
      <c r="I434" s="8" t="n">
        <f aca="false">SUMIFS('Source 2026'!$H:$H,'Source 2026'!$B:$B,$A434,'Source 2026'!$A:$A,"Amount (NIS)")</f>
        <v>-63.6</v>
      </c>
      <c r="J434" s="8" t="n">
        <f aca="false">I434*$J$5</f>
        <v>-87.2228571428572</v>
      </c>
      <c r="K434" s="8" t="n">
        <f aca="false">J434-H434</f>
        <v>-23.6228571428572</v>
      </c>
      <c r="L434" s="9" t="n">
        <f aca="false">IF(AND(H434=0,J434=0),0,IF(H434=0,"New",(J434-H434)/H434))</f>
        <v>0.371428571428572</v>
      </c>
    </row>
    <row r="435" customFormat="false" ht="15" hidden="false" customHeight="false" outlineLevel="0" collapsed="false">
      <c r="A435" s="7" t="n">
        <v>4408075</v>
      </c>
      <c r="B435" s="7" t="str">
        <f aca="false">IFERROR(INDEX('Source 2026'!$C:$C,MATCH($A435,'Source 2026'!$B:$B,0)),IFERROR(INDEX('Source 2025'!$C:$C,MATCH($A435,'Source 2025'!$B:$B,0)),""))</f>
        <v>59L S חגורת שבר לצד שמאל</v>
      </c>
      <c r="C435" s="8" t="n">
        <f aca="false">SUMIFS('Source 2025'!$H:$H,'Source 2025'!$B:$B,$A435,'Source 2025'!$A:$A,"Quantity (units)")</f>
        <v>0</v>
      </c>
      <c r="D435" s="8" t="n">
        <f aca="false">SUMIFS('Source 2026'!$H:$H,'Source 2026'!$B:$B,$A435,'Source 2026'!$A:$A,"Quantity (units)")</f>
        <v>-1</v>
      </c>
      <c r="E435" s="8" t="n">
        <f aca="false">D435*$J$5</f>
        <v>-1.37142857142857</v>
      </c>
      <c r="F435" s="8" t="n">
        <f aca="false">E435-C435</f>
        <v>-1.37142857142857</v>
      </c>
      <c r="G435" s="9" t="str">
        <f aca="false">IF(AND(C435=0,E435=0),0,IF(C435=0,"New",(E435-C435)/C435))</f>
        <v>New</v>
      </c>
      <c r="H435" s="8" t="n">
        <f aca="false">SUMIFS('Source 2025'!$H:$H,'Source 2025'!$B:$B,$A435,'Source 2025'!$A:$A,"Amount (NIS)")</f>
        <v>0</v>
      </c>
      <c r="I435" s="8" t="n">
        <f aca="false">SUMIFS('Source 2026'!$H:$H,'Source 2026'!$B:$B,$A435,'Source 2026'!$A:$A,"Amount (NIS)")</f>
        <v>0</v>
      </c>
      <c r="J435" s="8" t="n">
        <f aca="false">I435*$J$5</f>
        <v>0</v>
      </c>
      <c r="K435" s="8" t="n">
        <f aca="false">J435-H435</f>
        <v>0</v>
      </c>
      <c r="L435" s="9" t="n">
        <f aca="false">IF(AND(H435=0,J435=0),0,IF(H435=0,"New",(J435-H435)/H435))</f>
        <v>0</v>
      </c>
    </row>
    <row r="436" customFormat="false" ht="15" hidden="false" customHeight="false" outlineLevel="0" collapsed="false">
      <c r="A436" s="7" t="n">
        <v>4408086</v>
      </c>
      <c r="B436" s="7" t="str">
        <f aca="false">IFERROR(INDEX('Source 2026'!$C:$C,MATCH($A436,'Source 2026'!$B:$B,0)),IFERROR(INDEX('Source 2025'!$C:$C,MATCH($A436,'Source 2025'!$B:$B,0)),""))</f>
        <v>922S.חבק יד לטניס כרית סיליק</v>
      </c>
      <c r="C436" s="8" t="n">
        <f aca="false">SUMIFS('Source 2025'!$H:$H,'Source 2025'!$B:$B,$A436,'Source 2025'!$A:$A,"Quantity (units)")</f>
        <v>-1</v>
      </c>
      <c r="D436" s="8" t="n">
        <f aca="false">SUMIFS('Source 2026'!$H:$H,'Source 2026'!$B:$B,$A436,'Source 2026'!$A:$A,"Quantity (units)")</f>
        <v>-1</v>
      </c>
      <c r="E436" s="8" t="n">
        <f aca="false">D436*$J$5</f>
        <v>-1.37142857142857</v>
      </c>
      <c r="F436" s="8" t="n">
        <f aca="false">E436-C436</f>
        <v>-0.371428571428571</v>
      </c>
      <c r="G436" s="9" t="n">
        <f aca="false">IF(AND(C436=0,E436=0),0,IF(C436=0,"New",(E436-C436)/C436))</f>
        <v>0.371428571428571</v>
      </c>
      <c r="H436" s="8" t="n">
        <f aca="false">SUMIFS('Source 2025'!$H:$H,'Source 2025'!$B:$B,$A436,'Source 2025'!$A:$A,"Amount (NIS)")</f>
        <v>0</v>
      </c>
      <c r="I436" s="8" t="n">
        <f aca="false">SUMIFS('Source 2026'!$H:$H,'Source 2026'!$B:$B,$A436,'Source 2026'!$A:$A,"Amount (NIS)")</f>
        <v>0</v>
      </c>
      <c r="J436" s="8" t="n">
        <f aca="false">I436*$J$5</f>
        <v>0</v>
      </c>
      <c r="K436" s="8" t="n">
        <f aca="false">J436-H436</f>
        <v>0</v>
      </c>
      <c r="L436" s="9" t="n">
        <f aca="false">IF(AND(H436=0,J436=0),0,IF(H436=0,"New",(J436-H436)/H436))</f>
        <v>0</v>
      </c>
    </row>
    <row r="437" customFormat="false" ht="15" hidden="false" customHeight="false" outlineLevel="0" collapsed="false">
      <c r="A437" s="7" t="n">
        <v>4408089</v>
      </c>
      <c r="B437" s="7" t="str">
        <f aca="false">IFERROR(INDEX('Source 2026'!$C:$C,MATCH($A437,'Source 2026'!$B:$B,0)),IFERROR(INDEX('Source 2025'!$C:$C,MATCH($A437,'Source 2025'!$B:$B,0)),""))</f>
        <v>T11C S  חגורת גב פוג'יאמה</v>
      </c>
      <c r="C437" s="8" t="n">
        <f aca="false">SUMIFS('Source 2025'!$H:$H,'Source 2025'!$B:$B,$A437,'Source 2025'!$A:$A,"Quantity (units)")</f>
        <v>-1</v>
      </c>
      <c r="D437" s="8" t="n">
        <f aca="false">SUMIFS('Source 2026'!$H:$H,'Source 2026'!$B:$B,$A437,'Source 2026'!$A:$A,"Quantity (units)")</f>
        <v>-1</v>
      </c>
      <c r="E437" s="8" t="n">
        <f aca="false">D437*$J$5</f>
        <v>-1.37142857142857</v>
      </c>
      <c r="F437" s="8" t="n">
        <f aca="false">E437-C437</f>
        <v>-0.371428571428571</v>
      </c>
      <c r="G437" s="9" t="n">
        <f aca="false">IF(AND(C437=0,E437=0),0,IF(C437=0,"New",(E437-C437)/C437))</f>
        <v>0.371428571428571</v>
      </c>
      <c r="H437" s="8" t="n">
        <f aca="false">SUMIFS('Source 2025'!$H:$H,'Source 2025'!$B:$B,$A437,'Source 2025'!$A:$A,"Amount (NIS)")</f>
        <v>-81.9</v>
      </c>
      <c r="I437" s="8" t="n">
        <f aca="false">SUMIFS('Source 2026'!$H:$H,'Source 2026'!$B:$B,$A437,'Source 2026'!$A:$A,"Amount (NIS)")</f>
        <v>-81.9</v>
      </c>
      <c r="J437" s="8" t="n">
        <f aca="false">I437*$J$5</f>
        <v>-112.32</v>
      </c>
      <c r="K437" s="8" t="n">
        <f aca="false">J437-H437</f>
        <v>-30.42</v>
      </c>
      <c r="L437" s="9" t="n">
        <f aca="false">IF(AND(H437=0,J437=0),0,IF(H437=0,"New",(J437-H437)/H437))</f>
        <v>0.371428571428571</v>
      </c>
    </row>
    <row r="438" customFormat="false" ht="15" hidden="false" customHeight="false" outlineLevel="0" collapsed="false">
      <c r="A438" s="7" t="n">
        <v>4415089</v>
      </c>
      <c r="B438" s="7" t="str">
        <f aca="false">IFERROR(INDEX('Source 2026'!$C:$C,MATCH($A438,'Source 2026'!$B:$B,0)),IFERROR(INDEX('Source 2025'!$C:$C,MATCH($A438,'Source 2025'!$B:$B,0)),""))</f>
        <v>27L M סד ליד שמאל</v>
      </c>
      <c r="C438" s="8" t="n">
        <f aca="false">SUMIFS('Source 2025'!$H:$H,'Source 2025'!$B:$B,$A438,'Source 2025'!$A:$A,"Quantity (units)")</f>
        <v>0</v>
      </c>
      <c r="D438" s="8" t="n">
        <f aca="false">SUMIFS('Source 2026'!$H:$H,'Source 2026'!$B:$B,$A438,'Source 2026'!$A:$A,"Quantity (units)")</f>
        <v>-1</v>
      </c>
      <c r="E438" s="8" t="n">
        <f aca="false">D438*$J$5</f>
        <v>-1.37142857142857</v>
      </c>
      <c r="F438" s="8" t="n">
        <f aca="false">E438-C438</f>
        <v>-1.37142857142857</v>
      </c>
      <c r="G438" s="9" t="str">
        <f aca="false">IF(AND(C438=0,E438=0),0,IF(C438=0,"New",(E438-C438)/C438))</f>
        <v>New</v>
      </c>
      <c r="H438" s="8" t="n">
        <f aca="false">SUMIFS('Source 2025'!$H:$H,'Source 2025'!$B:$B,$A438,'Source 2025'!$A:$A,"Amount (NIS)")</f>
        <v>0</v>
      </c>
      <c r="I438" s="8" t="n">
        <f aca="false">SUMIFS('Source 2026'!$H:$H,'Source 2026'!$B:$B,$A438,'Source 2026'!$A:$A,"Amount (NIS)")</f>
        <v>0</v>
      </c>
      <c r="J438" s="8" t="n">
        <f aca="false">I438*$J$5</f>
        <v>0</v>
      </c>
      <c r="K438" s="8" t="n">
        <f aca="false">J438-H438</f>
        <v>0</v>
      </c>
      <c r="L438" s="9" t="n">
        <f aca="false">IF(AND(H438=0,J438=0),0,IF(H438=0,"New",(J438-H438)/H438))</f>
        <v>0</v>
      </c>
    </row>
    <row r="439" customFormat="false" ht="15" hidden="false" customHeight="false" outlineLevel="0" collapsed="false">
      <c r="A439" s="7" t="n">
        <v>4415095</v>
      </c>
      <c r="B439" s="7" t="str">
        <f aca="false">IFERROR(INDEX('Source 2026'!$C:$C,MATCH($A439,'Source 2026'!$B:$B,0)),IFERROR(INDEX('Source 2025'!$C:$C,MATCH($A439,'Source 2025'!$B:$B,0)),""))</f>
        <v>27R XLסד ליד ימין</v>
      </c>
      <c r="C439" s="8" t="n">
        <f aca="false">SUMIFS('Source 2025'!$H:$H,'Source 2025'!$B:$B,$A439,'Source 2025'!$A:$A,"Quantity (units)")</f>
        <v>0</v>
      </c>
      <c r="D439" s="8" t="n">
        <f aca="false">SUMIFS('Source 2026'!$H:$H,'Source 2026'!$B:$B,$A439,'Source 2026'!$A:$A,"Quantity (units)")</f>
        <v>-1</v>
      </c>
      <c r="E439" s="8" t="n">
        <f aca="false">D439*$J$5</f>
        <v>-1.37142857142857</v>
      </c>
      <c r="F439" s="8" t="n">
        <f aca="false">E439-C439</f>
        <v>-1.37142857142857</v>
      </c>
      <c r="G439" s="9" t="str">
        <f aca="false">IF(AND(C439=0,E439=0),0,IF(C439=0,"New",(E439-C439)/C439))</f>
        <v>New</v>
      </c>
      <c r="H439" s="8" t="n">
        <f aca="false">SUMIFS('Source 2025'!$H:$H,'Source 2025'!$B:$B,$A439,'Source 2025'!$A:$A,"Amount (NIS)")</f>
        <v>0</v>
      </c>
      <c r="I439" s="8" t="n">
        <f aca="false">SUMIFS('Source 2026'!$H:$H,'Source 2026'!$B:$B,$A439,'Source 2026'!$A:$A,"Amount (NIS)")</f>
        <v>0</v>
      </c>
      <c r="J439" s="8" t="n">
        <f aca="false">I439*$J$5</f>
        <v>0</v>
      </c>
      <c r="K439" s="8" t="n">
        <f aca="false">J439-H439</f>
        <v>0</v>
      </c>
      <c r="L439" s="9" t="n">
        <f aca="false">IF(AND(H439=0,J439=0),0,IF(H439=0,"New",(J439-H439)/H439))</f>
        <v>0</v>
      </c>
    </row>
    <row r="440" customFormat="false" ht="15" hidden="false" customHeight="false" outlineLevel="0" collapsed="false">
      <c r="A440" s="7" t="n">
        <v>4408178</v>
      </c>
      <c r="B440" s="7" t="str">
        <f aca="false">IFERROR(INDEX('Source 2026'!$C:$C,MATCH($A440,'Source 2026'!$B:$B,0)),IFERROR(INDEX('Source 2025'!$C:$C,MATCH($A440,'Source 2025'!$B:$B,0)),""))</f>
        <v>13 L חגורה לשבר טבור</v>
      </c>
      <c r="C440" s="8" t="n">
        <f aca="false">SUMIFS('Source 2025'!$H:$H,'Source 2025'!$B:$B,$A440,'Source 2025'!$A:$A,"Quantity (units)")</f>
        <v>-1</v>
      </c>
      <c r="D440" s="8" t="n">
        <f aca="false">SUMIFS('Source 2026'!$H:$H,'Source 2026'!$B:$B,$A440,'Source 2026'!$A:$A,"Quantity (units)")</f>
        <v>-1</v>
      </c>
      <c r="E440" s="8" t="n">
        <f aca="false">D440*$J$5</f>
        <v>-1.37142857142857</v>
      </c>
      <c r="F440" s="8" t="n">
        <f aca="false">E440-C440</f>
        <v>-0.371428571428571</v>
      </c>
      <c r="G440" s="9" t="n">
        <f aca="false">IF(AND(C440=0,E440=0),0,IF(C440=0,"New",(E440-C440)/C440))</f>
        <v>0.371428571428571</v>
      </c>
      <c r="H440" s="8" t="n">
        <f aca="false">SUMIFS('Source 2025'!$H:$H,'Source 2025'!$B:$B,$A440,'Source 2025'!$A:$A,"Amount (NIS)")</f>
        <v>-135</v>
      </c>
      <c r="I440" s="8" t="n">
        <f aca="false">SUMIFS('Source 2026'!$H:$H,'Source 2026'!$B:$B,$A440,'Source 2026'!$A:$A,"Amount (NIS)")</f>
        <v>-135</v>
      </c>
      <c r="J440" s="8" t="n">
        <f aca="false">I440*$J$5</f>
        <v>-185.142857142857</v>
      </c>
      <c r="K440" s="8" t="n">
        <f aca="false">J440-H440</f>
        <v>-50.1428571428571</v>
      </c>
      <c r="L440" s="9" t="n">
        <f aca="false">IF(AND(H440=0,J440=0),0,IF(H440=0,"New",(J440-H440)/H440))</f>
        <v>0.371428571428571</v>
      </c>
    </row>
    <row r="441" customFormat="false" ht="15" hidden="false" customHeight="false" outlineLevel="0" collapsed="false">
      <c r="A441" s="7" t="n">
        <v>4413005</v>
      </c>
      <c r="B441" s="7" t="str">
        <f aca="false">IFERROR(INDEX('Source 2026'!$C:$C,MATCH($A441,'Source 2026'!$B:$B,0)),IFERROR(INDEX('Source 2025'!$C:$C,MATCH($A441,'Source 2025'!$B:$B,0)),""))</f>
        <v>30 XXL מגן קרסול מתכוון+סקוטש</v>
      </c>
      <c r="C441" s="8" t="n">
        <f aca="false">SUMIFS('Source 2025'!$H:$H,'Source 2025'!$B:$B,$A441,'Source 2025'!$A:$A,"Quantity (units)")</f>
        <v>-1</v>
      </c>
      <c r="D441" s="8" t="n">
        <f aca="false">SUMIFS('Source 2026'!$H:$H,'Source 2026'!$B:$B,$A441,'Source 2026'!$A:$A,"Quantity (units)")</f>
        <v>-1</v>
      </c>
      <c r="E441" s="8" t="n">
        <f aca="false">D441*$J$5</f>
        <v>-1.37142857142857</v>
      </c>
      <c r="F441" s="8" t="n">
        <f aca="false">E441-C441</f>
        <v>-0.371428571428571</v>
      </c>
      <c r="G441" s="9" t="n">
        <f aca="false">IF(AND(C441=0,E441=0),0,IF(C441=0,"New",(E441-C441)/C441))</f>
        <v>0.371428571428571</v>
      </c>
      <c r="H441" s="8" t="n">
        <f aca="false">SUMIFS('Source 2025'!$H:$H,'Source 2025'!$B:$B,$A441,'Source 2025'!$A:$A,"Amount (NIS)")</f>
        <v>-54.5</v>
      </c>
      <c r="I441" s="8" t="n">
        <f aca="false">SUMIFS('Source 2026'!$H:$H,'Source 2026'!$B:$B,$A441,'Source 2026'!$A:$A,"Amount (NIS)")</f>
        <v>-54.5</v>
      </c>
      <c r="J441" s="8" t="n">
        <f aca="false">I441*$J$5</f>
        <v>-74.7428571428572</v>
      </c>
      <c r="K441" s="8" t="n">
        <f aca="false">J441-H441</f>
        <v>-20.2428571428571</v>
      </c>
      <c r="L441" s="9" t="n">
        <f aca="false">IF(AND(H441=0,J441=0),0,IF(H441=0,"New",(J441-H441)/H441))</f>
        <v>0.371428571428572</v>
      </c>
    </row>
    <row r="442" customFormat="false" ht="15" hidden="false" customHeight="false" outlineLevel="0" collapsed="false">
      <c r="A442" s="7" t="n">
        <v>4413078</v>
      </c>
      <c r="B442" s="7" t="str">
        <f aca="false">IFERROR(INDEX('Source 2026'!$C:$C,MATCH($A442,'Source 2026'!$B:$B,0)),IFERROR(INDEX('Source 2025'!$C:$C,MATCH($A442,'Source 2025'!$B:$B,0)),""))</f>
        <v>41X S מגן ברך מוצלב+מוט</v>
      </c>
      <c r="C442" s="8" t="n">
        <f aca="false">SUMIFS('Source 2025'!$H:$H,'Source 2025'!$B:$B,$A442,'Source 2025'!$A:$A,"Quantity (units)")</f>
        <v>-1</v>
      </c>
      <c r="D442" s="8" t="n">
        <f aca="false">SUMIFS('Source 2026'!$H:$H,'Source 2026'!$B:$B,$A442,'Source 2026'!$A:$A,"Quantity (units)")</f>
        <v>-1</v>
      </c>
      <c r="E442" s="8" t="n">
        <f aca="false">D442*$J$5</f>
        <v>-1.37142857142857</v>
      </c>
      <c r="F442" s="8" t="n">
        <f aca="false">E442-C442</f>
        <v>-0.371428571428571</v>
      </c>
      <c r="G442" s="9" t="n">
        <f aca="false">IF(AND(C442=0,E442=0),0,IF(C442=0,"New",(E442-C442)/C442))</f>
        <v>0.371428571428571</v>
      </c>
      <c r="H442" s="8" t="n">
        <f aca="false">SUMIFS('Source 2025'!$H:$H,'Source 2025'!$B:$B,$A442,'Source 2025'!$A:$A,"Amount (NIS)")</f>
        <v>-116.7</v>
      </c>
      <c r="I442" s="8" t="n">
        <f aca="false">SUMIFS('Source 2026'!$H:$H,'Source 2026'!$B:$B,$A442,'Source 2026'!$A:$A,"Amount (NIS)")</f>
        <v>-116.7</v>
      </c>
      <c r="J442" s="8" t="n">
        <f aca="false">I442*$J$5</f>
        <v>-160.045714285714</v>
      </c>
      <c r="K442" s="8" t="n">
        <f aca="false">J442-H442</f>
        <v>-43.3457142857143</v>
      </c>
      <c r="L442" s="9" t="n">
        <f aca="false">IF(AND(H442=0,J442=0),0,IF(H442=0,"New",(J442-H442)/H442))</f>
        <v>0.371428571428572</v>
      </c>
    </row>
    <row r="443" customFormat="false" ht="15" hidden="false" customHeight="false" outlineLevel="0" collapsed="false">
      <c r="A443" s="7" t="n">
        <v>4413146</v>
      </c>
      <c r="B443" s="7" t="str">
        <f aca="false">IFERROR(INDEX('Source 2026'!$C:$C,MATCH($A443,'Source 2026'!$B:$B,0)),IFERROR(INDEX('Source 2025'!$C:$C,MATCH($A443,'Source 2025'!$B:$B,0)),""))</f>
        <v>95+ L מגן מרפק+רצועה לטניס</v>
      </c>
      <c r="C443" s="8" t="n">
        <f aca="false">SUMIFS('Source 2025'!$H:$H,'Source 2025'!$B:$B,$A443,'Source 2025'!$A:$A,"Quantity (units)")</f>
        <v>-1</v>
      </c>
      <c r="D443" s="8" t="n">
        <f aca="false">SUMIFS('Source 2026'!$H:$H,'Source 2026'!$B:$B,$A443,'Source 2026'!$A:$A,"Quantity (units)")</f>
        <v>0</v>
      </c>
      <c r="E443" s="8" t="n">
        <f aca="false">D443*$J$5</f>
        <v>0</v>
      </c>
      <c r="F443" s="8" t="n">
        <f aca="false">E443-C443</f>
        <v>1</v>
      </c>
      <c r="G443" s="9" t="n">
        <f aca="false">IF(AND(C443=0,E443=0),0,IF(C443=0,"New",(E443-C443)/C443))</f>
        <v>-1</v>
      </c>
      <c r="H443" s="8" t="n">
        <f aca="false">SUMIFS('Source 2025'!$H:$H,'Source 2025'!$B:$B,$A443,'Source 2025'!$A:$A,"Amount (NIS)")</f>
        <v>0</v>
      </c>
      <c r="I443" s="8" t="n">
        <f aca="false">SUMIFS('Source 2026'!$H:$H,'Source 2026'!$B:$B,$A443,'Source 2026'!$A:$A,"Amount (NIS)")</f>
        <v>0</v>
      </c>
      <c r="J443" s="8" t="n">
        <f aca="false">I443*$J$5</f>
        <v>0</v>
      </c>
      <c r="K443" s="8" t="n">
        <f aca="false">J443-H443</f>
        <v>0</v>
      </c>
      <c r="L443" s="9" t="n">
        <f aca="false">IF(AND(H443=0,J443=0),0,IF(H443=0,"New",(J443-H443)/H443))</f>
        <v>0</v>
      </c>
    </row>
    <row r="444" customFormat="false" ht="15" hidden="false" customHeight="false" outlineLevel="0" collapsed="false">
      <c r="A444" s="7" t="n">
        <v>4413147</v>
      </c>
      <c r="B444" s="7" t="str">
        <f aca="false">IFERROR(INDEX('Source 2026'!$C:$C,MATCH($A444,'Source 2026'!$B:$B,0)),IFERROR(INDEX('Source 2025'!$C:$C,MATCH($A444,'Source 2025'!$B:$B,0)),""))</f>
        <v>95+ M מגן מרפק+רצועה לטניס</v>
      </c>
      <c r="C444" s="8" t="n">
        <f aca="false">SUMIFS('Source 2025'!$H:$H,'Source 2025'!$B:$B,$A444,'Source 2025'!$A:$A,"Quantity (units)")</f>
        <v>0</v>
      </c>
      <c r="D444" s="8" t="n">
        <f aca="false">SUMIFS('Source 2026'!$H:$H,'Source 2026'!$B:$B,$A444,'Source 2026'!$A:$A,"Quantity (units)")</f>
        <v>-1</v>
      </c>
      <c r="E444" s="8" t="n">
        <f aca="false">D444*$J$5</f>
        <v>-1.37142857142857</v>
      </c>
      <c r="F444" s="8" t="n">
        <f aca="false">E444-C444</f>
        <v>-1.37142857142857</v>
      </c>
      <c r="G444" s="9" t="str">
        <f aca="false">IF(AND(C444=0,E444=0),0,IF(C444=0,"New",(E444-C444)/C444))</f>
        <v>New</v>
      </c>
      <c r="H444" s="8" t="n">
        <f aca="false">SUMIFS('Source 2025'!$H:$H,'Source 2025'!$B:$B,$A444,'Source 2025'!$A:$A,"Amount (NIS)")</f>
        <v>0</v>
      </c>
      <c r="I444" s="8" t="n">
        <f aca="false">SUMIFS('Source 2026'!$H:$H,'Source 2026'!$B:$B,$A444,'Source 2026'!$A:$A,"Amount (NIS)")</f>
        <v>0</v>
      </c>
      <c r="J444" s="8" t="n">
        <f aca="false">I444*$J$5</f>
        <v>0</v>
      </c>
      <c r="K444" s="8" t="n">
        <f aca="false">J444-H444</f>
        <v>0</v>
      </c>
      <c r="L444" s="9" t="n">
        <f aca="false">IF(AND(H444=0,J444=0),0,IF(H444=0,"New",(J444-H444)/H444))</f>
        <v>0</v>
      </c>
    </row>
    <row r="446" customFormat="false" ht="15" hidden="false" customHeight="false" outlineLevel="0" collapsed="false">
      <c r="A446" s="21"/>
      <c r="B446" s="22" t="s">
        <v>72</v>
      </c>
      <c r="C446" s="23" t="n">
        <f aca="false">SUM(C9:C444)</f>
        <v>176505</v>
      </c>
      <c r="D446" s="23" t="n">
        <f aca="false">SUM(D9:D444)</f>
        <v>119036</v>
      </c>
      <c r="E446" s="23" t="n">
        <f aca="false">SUM(E9:E444)</f>
        <v>163249.371428571</v>
      </c>
      <c r="F446" s="23" t="n">
        <f aca="false">SUM(F9:F444)</f>
        <v>-13255.6285714286</v>
      </c>
      <c r="G446" s="24" t="n">
        <f aca="false">IF(C446=0,"N/A",F446/C446)</f>
        <v>-0.0751005839575568</v>
      </c>
      <c r="H446" s="23" t="n">
        <f aca="false">SUM(H9:H444)</f>
        <v>6689220.5</v>
      </c>
      <c r="I446" s="23" t="n">
        <f aca="false">SUM(I9:I444)</f>
        <v>4507341</v>
      </c>
      <c r="J446" s="23" t="n">
        <f aca="false">SUM(J9:J444)</f>
        <v>6181496.22857143</v>
      </c>
      <c r="K446" s="23" t="n">
        <f aca="false">SUM(K9:K444)</f>
        <v>-507724.271428571</v>
      </c>
      <c r="L446" s="24" t="n">
        <f aca="false">IF(H446=0,"N/A",K446/H446)</f>
        <v>-0.0759018590325392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99.75" hidden="false" customHeight="true" outlineLevel="0" collapsed="false">
      <c r="A3" s="4" t="s">
        <v>78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54.75" hidden="false" customHeight="true" outlineLevel="0" collapsed="false">
      <c r="A4" s="4" t="s">
        <v>51</v>
      </c>
      <c r="B4" s="4"/>
      <c r="C4" s="4"/>
      <c r="D4" s="4"/>
      <c r="E4" s="4"/>
      <c r="F4" s="4"/>
      <c r="G4" s="4"/>
      <c r="H4" s="4"/>
      <c r="I4" s="14" t="s">
        <v>52</v>
      </c>
      <c r="J4" s="15" t="n">
        <v>12</v>
      </c>
      <c r="K4" s="16" t="s">
        <v>53</v>
      </c>
      <c r="L4" s="15" t="n">
        <v>8.75</v>
      </c>
    </row>
    <row r="5" customFormat="false" ht="30" hidden="false" customHeight="true" outlineLevel="0" collapsed="false">
      <c r="A5" s="17" t="s">
        <v>54</v>
      </c>
      <c r="B5" s="18" t="n">
        <f aca="false">SUMPRODUCT(--((($C$9:$C$198&lt;&gt;0)+($H$9:$H$198&lt;&gt;0)&gt;0)*(($D$9:$D$198=0)*($I$9:$I$198=0))))</f>
        <v>0</v>
      </c>
      <c r="C5" s="17" t="s">
        <v>55</v>
      </c>
      <c r="D5" s="18" t="n">
        <f aca="false">SUMPRODUCT(--((($D$9:$D$198&lt;&gt;0)+($I$9:$I$198&lt;&gt;0)&gt;0)*(($C$9:$C$198=0)*($H$9:$H$198=0))))</f>
        <v>190</v>
      </c>
      <c r="I5" s="17" t="s">
        <v>56</v>
      </c>
      <c r="J5" s="19" t="n">
        <f aca="false">J4/L4</f>
        <v>1.37142857142857</v>
      </c>
    </row>
    <row r="6" customFormat="false" ht="30" hidden="false" customHeight="true" outlineLevel="0" collapsed="false">
      <c r="A6" s="17" t="s">
        <v>57</v>
      </c>
      <c r="B6" s="18" t="n">
        <f aca="false">SUMPRODUCT(--((($C$9:$C$198&lt;&gt;0)+($H$9:$H$198&lt;&gt;0)&gt;0)*(($D$9:$D$198=0)*($I$9:$I$198=0)))*$C$9:$C$198)</f>
        <v>0</v>
      </c>
      <c r="C6" s="17" t="s">
        <v>58</v>
      </c>
      <c r="D6" s="18" t="n">
        <f aca="false">SUMPRODUCT(--((($C$9:$C$198&lt;&gt;0)+($H$9:$H$198&lt;&gt;0)&gt;0)*(($D$9:$D$198=0)*($I$9:$I$198=0)))*$H$9:$H$198)</f>
        <v>0</v>
      </c>
      <c r="E6" s="17" t="s">
        <v>59</v>
      </c>
      <c r="F6" s="18" t="n">
        <f aca="false">SUMPRODUCT(--((($D$9:$D$198&lt;&gt;0)+($I$9:$I$198&lt;&gt;0)&gt;0)*(($C$9:$C$198=0)*($H$9:$H$198=0)))*$D$9:$D$198)</f>
        <v>10034</v>
      </c>
      <c r="G6" s="17" t="s">
        <v>60</v>
      </c>
      <c r="H6" s="18" t="n">
        <f aca="false">SUMPRODUCT(--((($D$9:$D$198&lt;&gt;0)+($I$9:$I$198&lt;&gt;0)&gt;0)*(($C$9:$C$198=0)*($H$9:$H$198=0)))*$I$9:$I$198)</f>
        <v>306848.4</v>
      </c>
      <c r="I6" s="17" t="s">
        <v>61</v>
      </c>
      <c r="J6" s="18" t="n">
        <f aca="false">F6*$J$5</f>
        <v>13760.9142857143</v>
      </c>
      <c r="K6" s="17" t="s">
        <v>62</v>
      </c>
      <c r="L6" s="18" t="n">
        <f aca="false">H6*$J$5</f>
        <v>420820.662857143</v>
      </c>
    </row>
    <row r="8" customFormat="false" ht="43.5" hidden="false" customHeight="true" outlineLevel="0" collapsed="false">
      <c r="A8" s="5" t="s">
        <v>63</v>
      </c>
      <c r="B8" s="5" t="s">
        <v>64</v>
      </c>
      <c r="C8" s="5" t="s">
        <v>17</v>
      </c>
      <c r="D8" s="20" t="s">
        <v>65</v>
      </c>
      <c r="E8" s="5" t="s">
        <v>66</v>
      </c>
      <c r="F8" s="5" t="s">
        <v>67</v>
      </c>
      <c r="G8" s="5" t="s">
        <v>68</v>
      </c>
      <c r="H8" s="5" t="s">
        <v>21</v>
      </c>
      <c r="I8" s="20" t="s">
        <v>69</v>
      </c>
      <c r="J8" s="5" t="s">
        <v>23</v>
      </c>
      <c r="K8" s="5" t="s">
        <v>70</v>
      </c>
      <c r="L8" s="5" t="s">
        <v>71</v>
      </c>
    </row>
    <row r="9" customFormat="false" ht="15" hidden="false" customHeight="false" outlineLevel="0" collapsed="false">
      <c r="A9" s="7" t="n">
        <v>4415158</v>
      </c>
      <c r="B9" s="7" t="str">
        <f aca="false">IFERROR(INDEX('Source 2026'!$C:$C,MATCH($A9,'Source 2026'!$B:$B,0)),IFERROR(INDEX('Source 2025'!$C:$C,MATCH($A9,'Source 2025'!$B:$B,0)),""))</f>
        <v>266 סד ליד דו צדדי</v>
      </c>
      <c r="C9" s="8" t="n">
        <f aca="false">SUMIFS('Source 2025'!$K:$K,'Source 2025'!$B:$B,$A9,'Source 2025'!$A:$A,"Quantity (units)")</f>
        <v>0</v>
      </c>
      <c r="D9" s="8" t="n">
        <f aca="false">SUMIFS('Source 2026'!$K:$K,'Source 2026'!$B:$B,$A9,'Source 2026'!$A:$A,"Quantity (units)")</f>
        <v>648</v>
      </c>
      <c r="E9" s="8" t="n">
        <f aca="false">D9*$J$5</f>
        <v>888.685714285714</v>
      </c>
      <c r="F9" s="8" t="n">
        <f aca="false">E9-C9</f>
        <v>888.685714285714</v>
      </c>
      <c r="G9" s="9" t="str">
        <f aca="false">IF(AND(C9=0,E9=0),0,IF(C9=0,"New",(E9-C9)/C9))</f>
        <v>New</v>
      </c>
      <c r="H9" s="8" t="n">
        <f aca="false">SUMIFS('Source 2025'!$K:$K,'Source 2025'!$B:$B,$A9,'Source 2025'!$A:$A,"Amount (NIS)")</f>
        <v>0</v>
      </c>
      <c r="I9" s="8" t="n">
        <f aca="false">SUMIFS('Source 2026'!$K:$K,'Source 2026'!$B:$B,$A9,'Source 2026'!$A:$A,"Amount (NIS)")</f>
        <v>29484</v>
      </c>
      <c r="J9" s="8" t="n">
        <f aca="false">I9*$J$5</f>
        <v>40435.2</v>
      </c>
      <c r="K9" s="8" t="n">
        <f aca="false">J9-H9</f>
        <v>40435.2</v>
      </c>
      <c r="L9" s="9" t="str">
        <f aca="false">IF(AND(H9=0,J9=0),0,IF(H9=0,"New",(J9-H9)/H9))</f>
        <v>New</v>
      </c>
    </row>
    <row r="10" customFormat="false" ht="15" hidden="false" customHeight="false" outlineLevel="0" collapsed="false">
      <c r="A10" s="7" t="n">
        <v>4415159</v>
      </c>
      <c r="B10" s="7" t="str">
        <f aca="false">IFERROR(INDEX('Source 2026'!$C:$C,MATCH($A10,'Source 2026'!$B:$B,0)),IFERROR(INDEX('Source 2025'!$C:$C,MATCH($A10,'Source 2025'!$B:$B,0)),""))</f>
        <v>268 סד לאגודל</v>
      </c>
      <c r="C10" s="8" t="n">
        <f aca="false">SUMIFS('Source 2025'!$K:$K,'Source 2025'!$B:$B,$A10,'Source 2025'!$A:$A,"Quantity (units)")</f>
        <v>0</v>
      </c>
      <c r="D10" s="8" t="n">
        <f aca="false">SUMIFS('Source 2026'!$K:$K,'Source 2026'!$B:$B,$A10,'Source 2026'!$A:$A,"Quantity (units)")</f>
        <v>274</v>
      </c>
      <c r="E10" s="8" t="n">
        <f aca="false">D10*$J$5</f>
        <v>375.771428571429</v>
      </c>
      <c r="F10" s="8" t="n">
        <f aca="false">E10-C10</f>
        <v>375.771428571429</v>
      </c>
      <c r="G10" s="9" t="str">
        <f aca="false">IF(AND(C10=0,E10=0),0,IF(C10=0,"New",(E10-C10)/C10))</f>
        <v>New</v>
      </c>
      <c r="H10" s="8" t="n">
        <f aca="false">SUMIFS('Source 2025'!$K:$K,'Source 2025'!$B:$B,$A10,'Source 2025'!$A:$A,"Amount (NIS)")</f>
        <v>0</v>
      </c>
      <c r="I10" s="8" t="n">
        <f aca="false">SUMIFS('Source 2026'!$K:$K,'Source 2026'!$B:$B,$A10,'Source 2026'!$A:$A,"Amount (NIS)")</f>
        <v>21317.2</v>
      </c>
      <c r="J10" s="8" t="n">
        <f aca="false">I10*$J$5</f>
        <v>29235.0171428571</v>
      </c>
      <c r="K10" s="8" t="n">
        <f aca="false">J10-H10</f>
        <v>29235.0171428571</v>
      </c>
      <c r="L10" s="9" t="str">
        <f aca="false">IF(AND(H10=0,J10=0),0,IF(H10=0,"New",(J10-H10)/H10))</f>
        <v>New</v>
      </c>
    </row>
    <row r="11" customFormat="false" ht="15" hidden="false" customHeight="false" outlineLevel="0" collapsed="false">
      <c r="A11" s="7" t="n">
        <v>4408221</v>
      </c>
      <c r="B11" s="7" t="str">
        <f aca="false">IFERROR(INDEX('Source 2026'!$C:$C,MATCH($A11,'Source 2026'!$B:$B,0)),IFERROR(INDEX('Source 2025'!$C:$C,MATCH($A11,'Source 2025'!$B:$B,0)),""))</f>
        <v>078G-L חגורת גב אפורה</v>
      </c>
      <c r="C11" s="8" t="n">
        <f aca="false">SUMIFS('Source 2025'!$K:$K,'Source 2025'!$B:$B,$A11,'Source 2025'!$A:$A,"Quantity (units)")</f>
        <v>0</v>
      </c>
      <c r="D11" s="8" t="n">
        <f aca="false">SUMIFS('Source 2026'!$K:$K,'Source 2026'!$B:$B,$A11,'Source 2026'!$A:$A,"Quantity (units)")</f>
        <v>102</v>
      </c>
      <c r="E11" s="8" t="n">
        <f aca="false">D11*$J$5</f>
        <v>139.885714285714</v>
      </c>
      <c r="F11" s="8" t="n">
        <f aca="false">E11-C11</f>
        <v>139.885714285714</v>
      </c>
      <c r="G11" s="9" t="str">
        <f aca="false">IF(AND(C11=0,E11=0),0,IF(C11=0,"New",(E11-C11)/C11))</f>
        <v>New</v>
      </c>
      <c r="H11" s="8" t="n">
        <f aca="false">SUMIFS('Source 2025'!$K:$K,'Source 2025'!$B:$B,$A11,'Source 2025'!$A:$A,"Amount (NIS)")</f>
        <v>0</v>
      </c>
      <c r="I11" s="8" t="n">
        <f aca="false">SUMIFS('Source 2026'!$K:$K,'Source 2026'!$B:$B,$A11,'Source 2026'!$A:$A,"Amount (NIS)")</f>
        <v>6630</v>
      </c>
      <c r="J11" s="8" t="n">
        <f aca="false">I11*$J$5</f>
        <v>9092.57142857143</v>
      </c>
      <c r="K11" s="8" t="n">
        <f aca="false">J11-H11</f>
        <v>9092.57142857143</v>
      </c>
      <c r="L11" s="9" t="str">
        <f aca="false">IF(AND(H11=0,J11=0),0,IF(H11=0,"New",(J11-H11)/H11))</f>
        <v>New</v>
      </c>
    </row>
    <row r="12" customFormat="false" ht="15" hidden="false" customHeight="false" outlineLevel="0" collapsed="false">
      <c r="A12" s="7" t="n">
        <v>4403043</v>
      </c>
      <c r="B12" s="7" t="str">
        <f aca="false">IFERROR(INDEX('Source 2026'!$C:$C,MATCH($A12,'Source 2026'!$B:$B,0)),IFERROR(INDEX('Source 2025'!$C:$C,MATCH($A12,'Source 2025'!$B:$B,0)),""))</f>
        <v>397A-גרבי טיסה אנטי בקטרי43-46</v>
      </c>
      <c r="C12" s="8" t="n">
        <f aca="false">SUMIFS('Source 2025'!$K:$K,'Source 2025'!$B:$B,$A12,'Source 2025'!$A:$A,"Quantity (units)")</f>
        <v>0</v>
      </c>
      <c r="D12" s="8" t="n">
        <f aca="false">SUMIFS('Source 2026'!$K:$K,'Source 2026'!$B:$B,$A12,'Source 2026'!$A:$A,"Quantity (units)")</f>
        <v>167</v>
      </c>
      <c r="E12" s="8" t="n">
        <f aca="false">D12*$J$5</f>
        <v>229.028571428571</v>
      </c>
      <c r="F12" s="8" t="n">
        <f aca="false">E12-C12</f>
        <v>229.028571428571</v>
      </c>
      <c r="G12" s="9" t="str">
        <f aca="false">IF(AND(C12=0,E12=0),0,IF(C12=0,"New",(E12-C12)/C12))</f>
        <v>New</v>
      </c>
      <c r="H12" s="8" t="n">
        <f aca="false">SUMIFS('Source 2025'!$K:$K,'Source 2025'!$B:$B,$A12,'Source 2025'!$A:$A,"Amount (NIS)")</f>
        <v>0</v>
      </c>
      <c r="I12" s="8" t="n">
        <f aca="false">SUMIFS('Source 2026'!$K:$K,'Source 2026'!$B:$B,$A12,'Source 2026'!$A:$A,"Amount (NIS)")</f>
        <v>6605.9</v>
      </c>
      <c r="J12" s="8" t="n">
        <f aca="false">I12*$J$5</f>
        <v>9059.52</v>
      </c>
      <c r="K12" s="8" t="n">
        <f aca="false">J12-H12</f>
        <v>9059.52</v>
      </c>
      <c r="L12" s="9" t="str">
        <f aca="false">IF(AND(H12=0,J12=0),0,IF(H12=0,"New",(J12-H12)/H12))</f>
        <v>New</v>
      </c>
    </row>
    <row r="13" customFormat="false" ht="15" hidden="false" customHeight="false" outlineLevel="0" collapsed="false">
      <c r="A13" s="7" t="n">
        <v>4403042</v>
      </c>
      <c r="B13" s="7" t="str">
        <f aca="false">IFERROR(INDEX('Source 2026'!$C:$C,MATCH($A13,'Source 2026'!$B:$B,0)),IFERROR(INDEX('Source 2025'!$C:$C,MATCH($A13,'Source 2025'!$B:$B,0)),""))</f>
        <v>397A-גרבי טיסה אנטי בקטרי39-42</v>
      </c>
      <c r="C13" s="8" t="n">
        <f aca="false">SUMIFS('Source 2025'!$K:$K,'Source 2025'!$B:$B,$A13,'Source 2025'!$A:$A,"Quantity (units)")</f>
        <v>0</v>
      </c>
      <c r="D13" s="8" t="n">
        <f aca="false">SUMIFS('Source 2026'!$K:$K,'Source 2026'!$B:$B,$A13,'Source 2026'!$A:$A,"Quantity (units)")</f>
        <v>147</v>
      </c>
      <c r="E13" s="8" t="n">
        <f aca="false">D13*$J$5</f>
        <v>201.6</v>
      </c>
      <c r="F13" s="8" t="n">
        <f aca="false">E13-C13</f>
        <v>201.6</v>
      </c>
      <c r="G13" s="9" t="str">
        <f aca="false">IF(AND(C13=0,E13=0),0,IF(C13=0,"New",(E13-C13)/C13))</f>
        <v>New</v>
      </c>
      <c r="H13" s="8" t="n">
        <f aca="false">SUMIFS('Source 2025'!$K:$K,'Source 2025'!$B:$B,$A13,'Source 2025'!$A:$A,"Amount (NIS)")</f>
        <v>0</v>
      </c>
      <c r="I13" s="8" t="n">
        <f aca="false">SUMIFS('Source 2026'!$K:$K,'Source 2026'!$B:$B,$A13,'Source 2026'!$A:$A,"Amount (NIS)")</f>
        <v>6146.1</v>
      </c>
      <c r="J13" s="8" t="n">
        <f aca="false">I13*$J$5</f>
        <v>8428.93714285714</v>
      </c>
      <c r="K13" s="8" t="n">
        <f aca="false">J13-H13</f>
        <v>8428.93714285714</v>
      </c>
      <c r="L13" s="9" t="str">
        <f aca="false">IF(AND(H13=0,J13=0),0,IF(H13=0,"New",(J13-H13)/H13))</f>
        <v>New</v>
      </c>
    </row>
    <row r="14" customFormat="false" ht="15" hidden="false" customHeight="false" outlineLevel="0" collapsed="false">
      <c r="A14" s="7" t="n">
        <v>4408267</v>
      </c>
      <c r="B14" s="7" t="str">
        <f aca="false">IFERROR(INDEX('Source 2026'!$C:$C,MATCH($A14,'Source 2026'!$B:$B,0)),IFERROR(INDEX('Source 2025'!$C:$C,MATCH($A14,'Source 2025'!$B:$B,0)),""))</f>
        <v>ST25 חבק שורש לכף היד</v>
      </c>
      <c r="C14" s="8" t="n">
        <f aca="false">SUMIFS('Source 2025'!$K:$K,'Source 2025'!$B:$B,$A14,'Source 2025'!$A:$A,"Quantity (units)")</f>
        <v>0</v>
      </c>
      <c r="D14" s="8" t="n">
        <f aca="false">SUMIFS('Source 2026'!$K:$K,'Source 2026'!$B:$B,$A14,'Source 2026'!$A:$A,"Quantity (units)")</f>
        <v>327</v>
      </c>
      <c r="E14" s="8" t="n">
        <f aca="false">D14*$J$5</f>
        <v>448.457142857143</v>
      </c>
      <c r="F14" s="8" t="n">
        <f aca="false">E14-C14</f>
        <v>448.457142857143</v>
      </c>
      <c r="G14" s="9" t="str">
        <f aca="false">IF(AND(C14=0,E14=0),0,IF(C14=0,"New",(E14-C14)/C14))</f>
        <v>New</v>
      </c>
      <c r="H14" s="8" t="n">
        <f aca="false">SUMIFS('Source 2025'!$K:$K,'Source 2025'!$B:$B,$A14,'Source 2025'!$A:$A,"Amount (NIS)")</f>
        <v>0</v>
      </c>
      <c r="I14" s="8" t="n">
        <f aca="false">SUMIFS('Source 2026'!$K:$K,'Source 2026'!$B:$B,$A14,'Source 2026'!$A:$A,"Amount (NIS)")</f>
        <v>5739.6</v>
      </c>
      <c r="J14" s="8" t="n">
        <f aca="false">I14*$J$5</f>
        <v>7871.45142857143</v>
      </c>
      <c r="K14" s="8" t="n">
        <f aca="false">J14-H14</f>
        <v>7871.45142857143</v>
      </c>
      <c r="L14" s="9" t="str">
        <f aca="false">IF(AND(H14=0,J14=0),0,IF(H14=0,"New",(J14-H14)/H14))</f>
        <v>New</v>
      </c>
    </row>
    <row r="15" customFormat="false" ht="15" hidden="false" customHeight="false" outlineLevel="0" collapsed="false">
      <c r="A15" s="7" t="n">
        <v>4416001</v>
      </c>
      <c r="B15" s="7" t="str">
        <f aca="false">IFERROR(INDEX('Source 2026'!$C:$C,MATCH($A15,'Source 2026'!$B:$B,0)),IFERROR(INDEX('Source 2025'!$C:$C,MATCH($A15,'Source 2025'!$B:$B,0)),""))</f>
        <v>307 M עקבים לדורבן-זוג כריות</v>
      </c>
      <c r="C15" s="8" t="n">
        <f aca="false">SUMIFS('Source 2025'!$K:$K,'Source 2025'!$B:$B,$A15,'Source 2025'!$A:$A,"Quantity (units)")</f>
        <v>0</v>
      </c>
      <c r="D15" s="8" t="n">
        <f aca="false">SUMIFS('Source 2026'!$K:$K,'Source 2026'!$B:$B,$A15,'Source 2026'!$A:$A,"Quantity (units)")</f>
        <v>87</v>
      </c>
      <c r="E15" s="8" t="n">
        <f aca="false">D15*$J$5</f>
        <v>119.314285714286</v>
      </c>
      <c r="F15" s="8" t="n">
        <f aca="false">E15-C15</f>
        <v>119.314285714286</v>
      </c>
      <c r="G15" s="9" t="str">
        <f aca="false">IF(AND(C15=0,E15=0),0,IF(C15=0,"New",(E15-C15)/C15))</f>
        <v>New</v>
      </c>
      <c r="H15" s="8" t="n">
        <f aca="false">SUMIFS('Source 2025'!$K:$K,'Source 2025'!$B:$B,$A15,'Source 2025'!$A:$A,"Amount (NIS)")</f>
        <v>0</v>
      </c>
      <c r="I15" s="8" t="n">
        <f aca="false">SUMIFS('Source 2026'!$K:$K,'Source 2026'!$B:$B,$A15,'Source 2026'!$A:$A,"Amount (NIS)")</f>
        <v>5393.8</v>
      </c>
      <c r="J15" s="8" t="n">
        <f aca="false">I15*$J$5</f>
        <v>7397.21142857143</v>
      </c>
      <c r="K15" s="8" t="n">
        <f aca="false">J15-H15</f>
        <v>7397.21142857143</v>
      </c>
      <c r="L15" s="9" t="str">
        <f aca="false">IF(AND(H15=0,J15=0),0,IF(H15=0,"New",(J15-H15)/H15))</f>
        <v>New</v>
      </c>
    </row>
    <row r="16" customFormat="false" ht="15" hidden="false" customHeight="false" outlineLevel="0" collapsed="false">
      <c r="A16" s="7" t="n">
        <v>4416000</v>
      </c>
      <c r="B16" s="7" t="str">
        <f aca="false">IFERROR(INDEX('Source 2026'!$C:$C,MATCH($A16,'Source 2026'!$B:$B,0)),IFERROR(INDEX('Source 2025'!$C:$C,MATCH($A16,'Source 2025'!$B:$B,0)),""))</f>
        <v>307 L עקבים לדורבן-זוג כריות</v>
      </c>
      <c r="C16" s="8" t="n">
        <f aca="false">SUMIFS('Source 2025'!$K:$K,'Source 2025'!$B:$B,$A16,'Source 2025'!$A:$A,"Quantity (units)")</f>
        <v>0</v>
      </c>
      <c r="D16" s="8" t="n">
        <f aca="false">SUMIFS('Source 2026'!$K:$K,'Source 2026'!$B:$B,$A16,'Source 2026'!$A:$A,"Quantity (units)")</f>
        <v>85</v>
      </c>
      <c r="E16" s="8" t="n">
        <f aca="false">D16*$J$5</f>
        <v>116.571428571429</v>
      </c>
      <c r="F16" s="8" t="n">
        <f aca="false">E16-C16</f>
        <v>116.571428571429</v>
      </c>
      <c r="G16" s="9" t="str">
        <f aca="false">IF(AND(C16=0,E16=0),0,IF(C16=0,"New",(E16-C16)/C16))</f>
        <v>New</v>
      </c>
      <c r="H16" s="8" t="n">
        <f aca="false">SUMIFS('Source 2025'!$K:$K,'Source 2025'!$B:$B,$A16,'Source 2025'!$A:$A,"Amount (NIS)")</f>
        <v>0</v>
      </c>
      <c r="I16" s="8" t="n">
        <f aca="false">SUMIFS('Source 2026'!$K:$K,'Source 2026'!$B:$B,$A16,'Source 2026'!$A:$A,"Amount (NIS)")</f>
        <v>5251.4</v>
      </c>
      <c r="J16" s="8" t="n">
        <f aca="false">I16*$J$5</f>
        <v>7201.92</v>
      </c>
      <c r="K16" s="8" t="n">
        <f aca="false">J16-H16</f>
        <v>7201.92</v>
      </c>
      <c r="L16" s="9" t="str">
        <f aca="false">IF(AND(H16=0,J16=0),0,IF(H16=0,"New",(J16-H16)/H16))</f>
        <v>New</v>
      </c>
    </row>
    <row r="17" customFormat="false" ht="15" hidden="false" customHeight="false" outlineLevel="0" collapsed="false">
      <c r="A17" s="7" t="n">
        <v>4403041</v>
      </c>
      <c r="B17" s="7" t="str">
        <f aca="false">IFERROR(INDEX('Source 2026'!$C:$C,MATCH($A17,'Source 2026'!$B:$B,0)),IFERROR(INDEX('Source 2025'!$C:$C,MATCH($A17,'Source 2025'!$B:$B,0)),""))</f>
        <v>397A-גרבי טיסה אנטי בקטרי35-38</v>
      </c>
      <c r="C17" s="8" t="n">
        <f aca="false">SUMIFS('Source 2025'!$K:$K,'Source 2025'!$B:$B,$A17,'Source 2025'!$A:$A,"Quantity (units)")</f>
        <v>0</v>
      </c>
      <c r="D17" s="8" t="n">
        <f aca="false">SUMIFS('Source 2026'!$K:$K,'Source 2026'!$B:$B,$A17,'Source 2026'!$A:$A,"Quantity (units)")</f>
        <v>102</v>
      </c>
      <c r="E17" s="8" t="n">
        <f aca="false">D17*$J$5</f>
        <v>139.885714285714</v>
      </c>
      <c r="F17" s="8" t="n">
        <f aca="false">E17-C17</f>
        <v>139.885714285714</v>
      </c>
      <c r="G17" s="9" t="str">
        <f aca="false">IF(AND(C17=0,E17=0),0,IF(C17=0,"New",(E17-C17)/C17))</f>
        <v>New</v>
      </c>
      <c r="H17" s="8" t="n">
        <f aca="false">SUMIFS('Source 2025'!$K:$K,'Source 2025'!$B:$B,$A17,'Source 2025'!$A:$A,"Amount (NIS)")</f>
        <v>0</v>
      </c>
      <c r="I17" s="8" t="n">
        <f aca="false">SUMIFS('Source 2026'!$K:$K,'Source 2026'!$B:$B,$A17,'Source 2026'!$A:$A,"Amount (NIS)")</f>
        <v>4264.6</v>
      </c>
      <c r="J17" s="8" t="n">
        <f aca="false">I17*$J$5</f>
        <v>5848.59428571429</v>
      </c>
      <c r="K17" s="8" t="n">
        <f aca="false">J17-H17</f>
        <v>5848.59428571429</v>
      </c>
      <c r="L17" s="9" t="str">
        <f aca="false">IF(AND(H17=0,J17=0),0,IF(H17=0,"New",(J17-H17)/H17))</f>
        <v>New</v>
      </c>
    </row>
    <row r="18" customFormat="false" ht="15" hidden="false" customHeight="false" outlineLevel="0" collapsed="false">
      <c r="A18" s="7" t="n">
        <v>4408192</v>
      </c>
      <c r="B18" s="7" t="str">
        <f aca="false">IFERROR(INDEX('Source 2026'!$C:$C,MATCH($A18,'Source 2026'!$B:$B,0)),IFERROR(INDEX('Source 2025'!$C:$C,MATCH($A18,'Source 2025'!$B:$B,0)),""))</f>
        <v>078 L חגורת גב +סגירה</v>
      </c>
      <c r="C18" s="8" t="n">
        <f aca="false">SUMIFS('Source 2025'!$K:$K,'Source 2025'!$B:$B,$A18,'Source 2025'!$A:$A,"Quantity (units)")</f>
        <v>0</v>
      </c>
      <c r="D18" s="8" t="n">
        <f aca="false">SUMIFS('Source 2026'!$K:$K,'Source 2026'!$B:$B,$A18,'Source 2026'!$A:$A,"Quantity (units)")</f>
        <v>69</v>
      </c>
      <c r="E18" s="8" t="n">
        <f aca="false">D18*$J$5</f>
        <v>94.6285714285714</v>
      </c>
      <c r="F18" s="8" t="n">
        <f aca="false">E18-C18</f>
        <v>94.6285714285714</v>
      </c>
      <c r="G18" s="9" t="str">
        <f aca="false">IF(AND(C18=0,E18=0),0,IF(C18=0,"New",(E18-C18)/C18))</f>
        <v>New</v>
      </c>
      <c r="H18" s="8" t="n">
        <f aca="false">SUMIFS('Source 2025'!$K:$K,'Source 2025'!$B:$B,$A18,'Source 2025'!$A:$A,"Amount (NIS)")</f>
        <v>0</v>
      </c>
      <c r="I18" s="8" t="n">
        <f aca="false">SUMIFS('Source 2026'!$K:$K,'Source 2026'!$B:$B,$A18,'Source 2026'!$A:$A,"Amount (NIS)")</f>
        <v>4241.3</v>
      </c>
      <c r="J18" s="8" t="n">
        <f aca="false">I18*$J$5</f>
        <v>5816.64</v>
      </c>
      <c r="K18" s="8" t="n">
        <f aca="false">J18-H18</f>
        <v>5816.64</v>
      </c>
      <c r="L18" s="9" t="str">
        <f aca="false">IF(AND(H18=0,J18=0),0,IF(H18=0,"New",(J18-H18)/H18))</f>
        <v>New</v>
      </c>
    </row>
    <row r="19" customFormat="false" ht="15" hidden="false" customHeight="false" outlineLevel="0" collapsed="false">
      <c r="A19" s="7" t="n">
        <v>4413135</v>
      </c>
      <c r="B19" s="7" t="str">
        <f aca="false">IFERROR(INDEX('Source 2026'!$C:$C,MATCH($A19,'Source 2026'!$B:$B,0)),IFERROR(INDEX('Source 2025'!$C:$C,MATCH($A19,'Source 2025'!$B:$B,0)),""))</f>
        <v>85 L (מתלה ליד )כיס</v>
      </c>
      <c r="C19" s="8" t="n">
        <f aca="false">SUMIFS('Source 2025'!$K:$K,'Source 2025'!$B:$B,$A19,'Source 2025'!$A:$A,"Quantity (units)")</f>
        <v>0</v>
      </c>
      <c r="D19" s="8" t="n">
        <f aca="false">SUMIFS('Source 2026'!$K:$K,'Source 2026'!$B:$B,$A19,'Source 2026'!$A:$A,"Quantity (units)")</f>
        <v>126</v>
      </c>
      <c r="E19" s="8" t="n">
        <f aca="false">D19*$J$5</f>
        <v>172.8</v>
      </c>
      <c r="F19" s="8" t="n">
        <f aca="false">E19-C19</f>
        <v>172.8</v>
      </c>
      <c r="G19" s="9" t="str">
        <f aca="false">IF(AND(C19=0,E19=0),0,IF(C19=0,"New",(E19-C19)/C19))</f>
        <v>New</v>
      </c>
      <c r="H19" s="8" t="n">
        <f aca="false">SUMIFS('Source 2025'!$K:$K,'Source 2025'!$B:$B,$A19,'Source 2025'!$A:$A,"Amount (NIS)")</f>
        <v>0</v>
      </c>
      <c r="I19" s="8" t="n">
        <f aca="false">SUMIFS('Source 2026'!$K:$K,'Source 2026'!$B:$B,$A19,'Source 2026'!$A:$A,"Amount (NIS)")</f>
        <v>4208.8</v>
      </c>
      <c r="J19" s="8" t="n">
        <f aca="false">I19*$J$5</f>
        <v>5772.06857142857</v>
      </c>
      <c r="K19" s="8" t="n">
        <f aca="false">J19-H19</f>
        <v>5772.06857142857</v>
      </c>
      <c r="L19" s="9" t="str">
        <f aca="false">IF(AND(H19=0,J19=0),0,IF(H19=0,"New",(J19-H19)/H19))</f>
        <v>New</v>
      </c>
    </row>
    <row r="20" customFormat="false" ht="15" hidden="false" customHeight="false" outlineLevel="0" collapsed="false">
      <c r="A20" s="7" t="n">
        <v>4413348</v>
      </c>
      <c r="B20" s="7" t="str">
        <f aca="false">IFERROR(INDEX('Source 2026'!$C:$C,MATCH($A20,'Source 2026'!$B:$B,0)),IFERROR(INDEX('Source 2025'!$C:$C,MATCH($A20,'Source 2025'!$B:$B,0)),""))</f>
        <v>302 מדרס ג'ל לגבר</v>
      </c>
      <c r="C20" s="8" t="n">
        <f aca="false">SUMIFS('Source 2025'!$K:$K,'Source 2025'!$B:$B,$A20,'Source 2025'!$A:$A,"Quantity (units)")</f>
        <v>0</v>
      </c>
      <c r="D20" s="8" t="n">
        <f aca="false">SUMIFS('Source 2026'!$K:$K,'Source 2026'!$B:$B,$A20,'Source 2026'!$A:$A,"Quantity (units)")</f>
        <v>77</v>
      </c>
      <c r="E20" s="8" t="n">
        <f aca="false">D20*$J$5</f>
        <v>105.6</v>
      </c>
      <c r="F20" s="8" t="n">
        <f aca="false">E20-C20</f>
        <v>105.6</v>
      </c>
      <c r="G20" s="9" t="str">
        <f aca="false">IF(AND(C20=0,E20=0),0,IF(C20=0,"New",(E20-C20)/C20))</f>
        <v>New</v>
      </c>
      <c r="H20" s="8" t="n">
        <f aca="false">SUMIFS('Source 2025'!$K:$K,'Source 2025'!$B:$B,$A20,'Source 2025'!$A:$A,"Amount (NIS)")</f>
        <v>0</v>
      </c>
      <c r="I20" s="8" t="n">
        <f aca="false">SUMIFS('Source 2026'!$K:$K,'Source 2026'!$B:$B,$A20,'Source 2026'!$A:$A,"Amount (NIS)")</f>
        <v>3636.7</v>
      </c>
      <c r="J20" s="8" t="n">
        <f aca="false">I20*$J$5</f>
        <v>4987.47428571429</v>
      </c>
      <c r="K20" s="8" t="n">
        <f aca="false">J20-H20</f>
        <v>4987.47428571429</v>
      </c>
      <c r="L20" s="9" t="str">
        <f aca="false">IF(AND(H20=0,J20=0),0,IF(H20=0,"New",(J20-H20)/H20))</f>
        <v>New</v>
      </c>
    </row>
    <row r="21" customFormat="false" ht="15" hidden="false" customHeight="false" outlineLevel="0" collapsed="false">
      <c r="A21" s="7" t="n">
        <v>4409004</v>
      </c>
      <c r="B21" s="7" t="str">
        <f aca="false">IFERROR(INDEX('Source 2026'!$C:$C,MATCH($A21,'Source 2026'!$B:$B,0)),IFERROR(INDEX('Source 2025'!$C:$C,MATCH($A21,'Source 2025'!$B:$B,0)),""))</f>
        <v>FC335 טלק מעושר באלוורה</v>
      </c>
      <c r="C21" s="8" t="n">
        <f aca="false">SUMIFS('Source 2025'!$K:$K,'Source 2025'!$B:$B,$A21,'Source 2025'!$A:$A,"Quantity (units)")</f>
        <v>0</v>
      </c>
      <c r="D21" s="8" t="n">
        <f aca="false">SUMIFS('Source 2026'!$K:$K,'Source 2026'!$B:$B,$A21,'Source 2026'!$A:$A,"Quantity (units)")</f>
        <v>276</v>
      </c>
      <c r="E21" s="8" t="n">
        <f aca="false">D21*$J$5</f>
        <v>378.514285714286</v>
      </c>
      <c r="F21" s="8" t="n">
        <f aca="false">E21-C21</f>
        <v>378.514285714286</v>
      </c>
      <c r="G21" s="9" t="str">
        <f aca="false">IF(AND(C21=0,E21=0),0,IF(C21=0,"New",(E21-C21)/C21))</f>
        <v>New</v>
      </c>
      <c r="H21" s="8" t="n">
        <f aca="false">SUMIFS('Source 2025'!$K:$K,'Source 2025'!$B:$B,$A21,'Source 2025'!$A:$A,"Amount (NIS)")</f>
        <v>0</v>
      </c>
      <c r="I21" s="8" t="n">
        <f aca="false">SUMIFS('Source 2026'!$K:$K,'Source 2026'!$B:$B,$A21,'Source 2026'!$A:$A,"Amount (NIS)")</f>
        <v>3534.3</v>
      </c>
      <c r="J21" s="8" t="n">
        <f aca="false">I21*$J$5</f>
        <v>4847.04</v>
      </c>
      <c r="K21" s="8" t="n">
        <f aca="false">J21-H21</f>
        <v>4847.04</v>
      </c>
      <c r="L21" s="9" t="str">
        <f aca="false">IF(AND(H21=0,J21=0),0,IF(H21=0,"New",(J21-H21)/H21))</f>
        <v>New</v>
      </c>
    </row>
    <row r="22" customFormat="false" ht="15" hidden="false" customHeight="false" outlineLevel="0" collapsed="false">
      <c r="A22" s="7" t="n">
        <v>4408218</v>
      </c>
      <c r="B22" s="7" t="str">
        <f aca="false">IFERROR(INDEX('Source 2026'!$C:$C,MATCH($A22,'Source 2026'!$B:$B,0)),IFERROR(INDEX('Source 2025'!$C:$C,MATCH($A22,'Source 2025'!$B:$B,0)),""))</f>
        <v>078XL חגורת גב +סגירה כפולה</v>
      </c>
      <c r="C22" s="8" t="n">
        <f aca="false">SUMIFS('Source 2025'!$K:$K,'Source 2025'!$B:$B,$A22,'Source 2025'!$A:$A,"Quantity (units)")</f>
        <v>0</v>
      </c>
      <c r="D22" s="8" t="n">
        <f aca="false">SUMIFS('Source 2026'!$K:$K,'Source 2026'!$B:$B,$A22,'Source 2026'!$A:$A,"Quantity (units)")</f>
        <v>54</v>
      </c>
      <c r="E22" s="8" t="n">
        <f aca="false">D22*$J$5</f>
        <v>74.0571428571429</v>
      </c>
      <c r="F22" s="8" t="n">
        <f aca="false">E22-C22</f>
        <v>74.0571428571429</v>
      </c>
      <c r="G22" s="9" t="str">
        <f aca="false">IF(AND(C22=0,E22=0),0,IF(C22=0,"New",(E22-C22)/C22))</f>
        <v>New</v>
      </c>
      <c r="H22" s="8" t="n">
        <f aca="false">SUMIFS('Source 2025'!$K:$K,'Source 2025'!$B:$B,$A22,'Source 2025'!$A:$A,"Amount (NIS)")</f>
        <v>0</v>
      </c>
      <c r="I22" s="8" t="n">
        <f aca="false">SUMIFS('Source 2026'!$K:$K,'Source 2026'!$B:$B,$A22,'Source 2026'!$A:$A,"Amount (NIS)")</f>
        <v>3510</v>
      </c>
      <c r="J22" s="8" t="n">
        <f aca="false">I22*$J$5</f>
        <v>4813.71428571429</v>
      </c>
      <c r="K22" s="8" t="n">
        <f aca="false">J22-H22</f>
        <v>4813.71428571429</v>
      </c>
      <c r="L22" s="9" t="str">
        <f aca="false">IF(AND(H22=0,J22=0),0,IF(H22=0,"New",(J22-H22)/H22))</f>
        <v>New</v>
      </c>
    </row>
    <row r="23" customFormat="false" ht="15" hidden="false" customHeight="false" outlineLevel="0" collapsed="false">
      <c r="A23" s="7" t="n">
        <v>4408222</v>
      </c>
      <c r="B23" s="7" t="str">
        <f aca="false">IFERROR(INDEX('Source 2026'!$C:$C,MATCH($A23,'Source 2026'!$B:$B,0)),IFERROR(INDEX('Source 2025'!$C:$C,MATCH($A23,'Source 2025'!$B:$B,0)),""))</f>
        <v>078G-XLחגורת גב אפורה</v>
      </c>
      <c r="C23" s="8" t="n">
        <f aca="false">SUMIFS('Source 2025'!$K:$K,'Source 2025'!$B:$B,$A23,'Source 2025'!$A:$A,"Quantity (units)")</f>
        <v>0</v>
      </c>
      <c r="D23" s="8" t="n">
        <f aca="false">SUMIFS('Source 2026'!$K:$K,'Source 2026'!$B:$B,$A23,'Source 2026'!$A:$A,"Quantity (units)")</f>
        <v>54</v>
      </c>
      <c r="E23" s="8" t="n">
        <f aca="false">D23*$J$5</f>
        <v>74.0571428571429</v>
      </c>
      <c r="F23" s="8" t="n">
        <f aca="false">E23-C23</f>
        <v>74.0571428571429</v>
      </c>
      <c r="G23" s="9" t="str">
        <f aca="false">IF(AND(C23=0,E23=0),0,IF(C23=0,"New",(E23-C23)/C23))</f>
        <v>New</v>
      </c>
      <c r="H23" s="8" t="n">
        <f aca="false">SUMIFS('Source 2025'!$K:$K,'Source 2025'!$B:$B,$A23,'Source 2025'!$A:$A,"Amount (NIS)")</f>
        <v>0</v>
      </c>
      <c r="I23" s="8" t="n">
        <f aca="false">SUMIFS('Source 2026'!$K:$K,'Source 2026'!$B:$B,$A23,'Source 2026'!$A:$A,"Amount (NIS)")</f>
        <v>3510</v>
      </c>
      <c r="J23" s="8" t="n">
        <f aca="false">I23*$J$5</f>
        <v>4813.71428571429</v>
      </c>
      <c r="K23" s="8" t="n">
        <f aca="false">J23-H23</f>
        <v>4813.71428571429</v>
      </c>
      <c r="L23" s="9" t="str">
        <f aca="false">IF(AND(H23=0,J23=0),0,IF(H23=0,"New",(J23-H23)/H23))</f>
        <v>New</v>
      </c>
    </row>
    <row r="24" customFormat="false" ht="15" hidden="false" customHeight="false" outlineLevel="0" collapsed="false">
      <c r="A24" s="7" t="n">
        <v>4408053</v>
      </c>
      <c r="B24" s="7" t="str">
        <f aca="false">IFERROR(INDEX('Source 2026'!$C:$C,MATCH($A24,'Source 2026'!$B:$B,0)),IFERROR(INDEX('Source 2025'!$C:$C,MATCH($A24,'Source 2025'!$B:$B,0)),""))</f>
        <v>21 M  חבק יד ארוך</v>
      </c>
      <c r="C24" s="8" t="n">
        <f aca="false">SUMIFS('Source 2025'!$K:$K,'Source 2025'!$B:$B,$A24,'Source 2025'!$A:$A,"Quantity (units)")</f>
        <v>0</v>
      </c>
      <c r="D24" s="8" t="n">
        <f aca="false">SUMIFS('Source 2026'!$K:$K,'Source 2026'!$B:$B,$A24,'Source 2026'!$A:$A,"Quantity (units)")</f>
        <v>154</v>
      </c>
      <c r="E24" s="8" t="n">
        <f aca="false">D24*$J$5</f>
        <v>211.2</v>
      </c>
      <c r="F24" s="8" t="n">
        <f aca="false">E24-C24</f>
        <v>211.2</v>
      </c>
      <c r="G24" s="9" t="str">
        <f aca="false">IF(AND(C24=0,E24=0),0,IF(C24=0,"New",(E24-C24)/C24))</f>
        <v>New</v>
      </c>
      <c r="H24" s="8" t="n">
        <f aca="false">SUMIFS('Source 2025'!$K:$K,'Source 2025'!$B:$B,$A24,'Source 2025'!$A:$A,"Amount (NIS)")</f>
        <v>0</v>
      </c>
      <c r="I24" s="8" t="n">
        <f aca="false">SUMIFS('Source 2026'!$K:$K,'Source 2026'!$B:$B,$A24,'Source 2026'!$A:$A,"Amount (NIS)")</f>
        <v>3505.6</v>
      </c>
      <c r="J24" s="8" t="n">
        <f aca="false">I24*$J$5</f>
        <v>4807.68</v>
      </c>
      <c r="K24" s="8" t="n">
        <f aca="false">J24-H24</f>
        <v>4807.68</v>
      </c>
      <c r="L24" s="9" t="str">
        <f aca="false">IF(AND(H24=0,J24=0),0,IF(H24=0,"New",(J24-H24)/H24))</f>
        <v>New</v>
      </c>
    </row>
    <row r="25" customFormat="false" ht="15" hidden="false" customHeight="false" outlineLevel="0" collapsed="false">
      <c r="A25" s="7" t="n">
        <v>4413092</v>
      </c>
      <c r="B25" s="7" t="str">
        <f aca="false">IFERROR(INDEX('Source 2026'!$C:$C,MATCH($A25,'Source 2026'!$B:$B,0)),IFERROR(INDEX('Source 2025'!$C:$C,MATCH($A25,'Source 2025'!$B:$B,0)),""))</f>
        <v>45 L מגן ברך לבן</v>
      </c>
      <c r="C25" s="8" t="n">
        <f aca="false">SUMIFS('Source 2025'!$K:$K,'Source 2025'!$B:$B,$A25,'Source 2025'!$A:$A,"Quantity (units)")</f>
        <v>0</v>
      </c>
      <c r="D25" s="8" t="n">
        <f aca="false">SUMIFS('Source 2026'!$K:$K,'Source 2026'!$B:$B,$A25,'Source 2026'!$A:$A,"Quantity (units)")</f>
        <v>212</v>
      </c>
      <c r="E25" s="8" t="n">
        <f aca="false">D25*$J$5</f>
        <v>290.742857142857</v>
      </c>
      <c r="F25" s="8" t="n">
        <f aca="false">E25-C25</f>
        <v>290.742857142857</v>
      </c>
      <c r="G25" s="9" t="str">
        <f aca="false">IF(AND(C25=0,E25=0),0,IF(C25=0,"New",(E25-C25)/C25))</f>
        <v>New</v>
      </c>
      <c r="H25" s="8" t="n">
        <f aca="false">SUMIFS('Source 2025'!$K:$K,'Source 2025'!$B:$B,$A25,'Source 2025'!$A:$A,"Amount (NIS)")</f>
        <v>0</v>
      </c>
      <c r="I25" s="8" t="n">
        <f aca="false">SUMIFS('Source 2026'!$K:$K,'Source 2026'!$B:$B,$A25,'Source 2026'!$A:$A,"Amount (NIS)")</f>
        <v>3498</v>
      </c>
      <c r="J25" s="8" t="n">
        <f aca="false">I25*$J$5</f>
        <v>4797.25714285714</v>
      </c>
      <c r="K25" s="8" t="n">
        <f aca="false">J25-H25</f>
        <v>4797.25714285714</v>
      </c>
      <c r="L25" s="9" t="str">
        <f aca="false">IF(AND(H25=0,J25=0),0,IF(H25=0,"New",(J25-H25)/H25))</f>
        <v>New</v>
      </c>
    </row>
    <row r="26" customFormat="false" ht="15" hidden="false" customHeight="false" outlineLevel="0" collapsed="false">
      <c r="A26" s="7" t="n">
        <v>4421000</v>
      </c>
      <c r="B26" s="7" t="str">
        <f aca="false">IFERROR(INDEX('Source 2026'!$C:$C,MATCH($A26,'Source 2026'!$B:$B,0)),IFERROR(INDEX('Source 2025'!$C:$C,MATCH($A26,'Source 2025'!$B:$B,0)),""))</f>
        <v>3655 שרוול מסיליקון לאצבע</v>
      </c>
      <c r="C26" s="8" t="n">
        <f aca="false">SUMIFS('Source 2025'!$K:$K,'Source 2025'!$B:$B,$A26,'Source 2025'!$A:$A,"Quantity (units)")</f>
        <v>0</v>
      </c>
      <c r="D26" s="8" t="n">
        <f aca="false">SUMIFS('Source 2026'!$K:$K,'Source 2026'!$B:$B,$A26,'Source 2026'!$A:$A,"Quantity (units)")</f>
        <v>298</v>
      </c>
      <c r="E26" s="8" t="n">
        <f aca="false">D26*$J$5</f>
        <v>408.685714285714</v>
      </c>
      <c r="F26" s="8" t="n">
        <f aca="false">E26-C26</f>
        <v>408.685714285714</v>
      </c>
      <c r="G26" s="9" t="str">
        <f aca="false">IF(AND(C26=0,E26=0),0,IF(C26=0,"New",(E26-C26)/C26))</f>
        <v>New</v>
      </c>
      <c r="H26" s="8" t="n">
        <f aca="false">SUMIFS('Source 2025'!$K:$K,'Source 2025'!$B:$B,$A26,'Source 2025'!$A:$A,"Amount (NIS)")</f>
        <v>0</v>
      </c>
      <c r="I26" s="8" t="n">
        <f aca="false">SUMIFS('Source 2026'!$K:$K,'Source 2026'!$B:$B,$A26,'Source 2026'!$A:$A,"Amount (NIS)")</f>
        <v>3483.4</v>
      </c>
      <c r="J26" s="8" t="n">
        <f aca="false">I26*$J$5</f>
        <v>4777.23428571429</v>
      </c>
      <c r="K26" s="8" t="n">
        <f aca="false">J26-H26</f>
        <v>4777.23428571429</v>
      </c>
      <c r="L26" s="9" t="str">
        <f aca="false">IF(AND(H26=0,J26=0),0,IF(H26=0,"New",(J26-H26)/H26))</f>
        <v>New</v>
      </c>
    </row>
    <row r="27" customFormat="false" ht="15" hidden="false" customHeight="false" outlineLevel="0" collapsed="false">
      <c r="A27" s="7" t="n">
        <v>4413041</v>
      </c>
      <c r="B27" s="7" t="str">
        <f aca="false">IFERROR(INDEX('Source 2026'!$C:$C,MATCH($A27,'Source 2026'!$B:$B,0)),IFERROR(INDEX('Source 2025'!$C:$C,MATCH($A27,'Source 2025'!$B:$B,0)),""))</f>
        <v>34  M מגן קרסול עקב סגור</v>
      </c>
      <c r="C27" s="8" t="n">
        <f aca="false">SUMIFS('Source 2025'!$K:$K,'Source 2025'!$B:$B,$A27,'Source 2025'!$A:$A,"Quantity (units)")</f>
        <v>0</v>
      </c>
      <c r="D27" s="8" t="n">
        <f aca="false">SUMIFS('Source 2026'!$K:$K,'Source 2026'!$B:$B,$A27,'Source 2026'!$A:$A,"Quantity (units)")</f>
        <v>124</v>
      </c>
      <c r="E27" s="8" t="n">
        <f aca="false">D27*$J$5</f>
        <v>170.057142857143</v>
      </c>
      <c r="F27" s="8" t="n">
        <f aca="false">E27-C27</f>
        <v>170.057142857143</v>
      </c>
      <c r="G27" s="9" t="str">
        <f aca="false">IF(AND(C27=0,E27=0),0,IF(C27=0,"New",(E27-C27)/C27))</f>
        <v>New</v>
      </c>
      <c r="H27" s="8" t="n">
        <f aca="false">SUMIFS('Source 2025'!$K:$K,'Source 2025'!$B:$B,$A27,'Source 2025'!$A:$A,"Amount (NIS)")</f>
        <v>0</v>
      </c>
      <c r="I27" s="8" t="n">
        <f aca="false">SUMIFS('Source 2026'!$K:$K,'Source 2026'!$B:$B,$A27,'Source 2026'!$A:$A,"Amount (NIS)")</f>
        <v>3457.1</v>
      </c>
      <c r="J27" s="8" t="n">
        <f aca="false">I27*$J$5</f>
        <v>4741.16571428571</v>
      </c>
      <c r="K27" s="8" t="n">
        <f aca="false">J27-H27</f>
        <v>4741.16571428571</v>
      </c>
      <c r="L27" s="9" t="str">
        <f aca="false">IF(AND(H27=0,J27=0),0,IF(H27=0,"New",(J27-H27)/H27))</f>
        <v>New</v>
      </c>
    </row>
    <row r="28" customFormat="false" ht="15" hidden="false" customHeight="false" outlineLevel="0" collapsed="false">
      <c r="A28" s="7" t="n">
        <v>4415028</v>
      </c>
      <c r="B28" s="7" t="str">
        <f aca="false">IFERROR(INDEX('Source 2026'!$C:$C,MATCH($A28,'Source 2026'!$B:$B,0)),IFERROR(INDEX('Source 2025'!$C:$C,MATCH($A28,'Source 2025'!$B:$B,0)),""))</f>
        <v>AC-28 סד לאגודל</v>
      </c>
      <c r="C28" s="8" t="n">
        <f aca="false">SUMIFS('Source 2025'!$K:$K,'Source 2025'!$B:$B,$A28,'Source 2025'!$A:$A,"Quantity (units)")</f>
        <v>0</v>
      </c>
      <c r="D28" s="8" t="n">
        <f aca="false">SUMIFS('Source 2026'!$K:$K,'Source 2026'!$B:$B,$A28,'Source 2026'!$A:$A,"Quantity (units)")</f>
        <v>167</v>
      </c>
      <c r="E28" s="8" t="n">
        <f aca="false">D28*$J$5</f>
        <v>229.028571428571</v>
      </c>
      <c r="F28" s="8" t="n">
        <f aca="false">E28-C28</f>
        <v>229.028571428571</v>
      </c>
      <c r="G28" s="9" t="str">
        <f aca="false">IF(AND(C28=0,E28=0),0,IF(C28=0,"New",(E28-C28)/C28))</f>
        <v>New</v>
      </c>
      <c r="H28" s="8" t="n">
        <f aca="false">SUMIFS('Source 2025'!$K:$K,'Source 2025'!$B:$B,$A28,'Source 2025'!$A:$A,"Amount (NIS)")</f>
        <v>0</v>
      </c>
      <c r="I28" s="8" t="n">
        <f aca="false">SUMIFS('Source 2026'!$K:$K,'Source 2026'!$B:$B,$A28,'Source 2026'!$A:$A,"Amount (NIS)")</f>
        <v>3340</v>
      </c>
      <c r="J28" s="8" t="n">
        <f aca="false">I28*$J$5</f>
        <v>4580.57142857143</v>
      </c>
      <c r="K28" s="8" t="n">
        <f aca="false">J28-H28</f>
        <v>4580.57142857143</v>
      </c>
      <c r="L28" s="9" t="str">
        <f aca="false">IF(AND(H28=0,J28=0),0,IF(H28=0,"New",(J28-H28)/H28))</f>
        <v>New</v>
      </c>
    </row>
    <row r="29" customFormat="false" ht="15" hidden="false" customHeight="false" outlineLevel="0" collapsed="false">
      <c r="A29" s="7" t="n">
        <v>4422041</v>
      </c>
      <c r="B29" s="7" t="str">
        <f aca="false">IFERROR(INDEX('Source 2026'!$C:$C,MATCH($A29,'Source 2026'!$B:$B,0)),IFERROR(INDEX('Source 2025'!$C:$C,MATCH($A29,'Source 2025'!$B:$B,0)),""))</f>
        <v>SH422 5 תומך ברך גנושילד</v>
      </c>
      <c r="C29" s="8" t="n">
        <f aca="false">SUMIFS('Source 2025'!$K:$K,'Source 2025'!$B:$B,$A29,'Source 2025'!$A:$A,"Quantity (units)")</f>
        <v>0</v>
      </c>
      <c r="D29" s="8" t="n">
        <f aca="false">SUMIFS('Source 2026'!$K:$K,'Source 2026'!$B:$B,$A29,'Source 2026'!$A:$A,"Quantity (units)")</f>
        <v>26</v>
      </c>
      <c r="E29" s="8" t="n">
        <f aca="false">D29*$J$5</f>
        <v>35.6571428571429</v>
      </c>
      <c r="F29" s="8" t="n">
        <f aca="false">E29-C29</f>
        <v>35.6571428571429</v>
      </c>
      <c r="G29" s="9" t="str">
        <f aca="false">IF(AND(C29=0,E29=0),0,IF(C29=0,"New",(E29-C29)/C29))</f>
        <v>New</v>
      </c>
      <c r="H29" s="8" t="n">
        <f aca="false">SUMIFS('Source 2025'!$K:$K,'Source 2025'!$B:$B,$A29,'Source 2025'!$A:$A,"Amount (NIS)")</f>
        <v>0</v>
      </c>
      <c r="I29" s="8" t="n">
        <f aca="false">SUMIFS('Source 2026'!$K:$K,'Source 2026'!$B:$B,$A29,'Source 2026'!$A:$A,"Amount (NIS)")</f>
        <v>3250</v>
      </c>
      <c r="J29" s="8" t="n">
        <f aca="false">I29*$J$5</f>
        <v>4457.14285714286</v>
      </c>
      <c r="K29" s="8" t="n">
        <f aca="false">J29-H29</f>
        <v>4457.14285714286</v>
      </c>
      <c r="L29" s="9" t="str">
        <f aca="false">IF(AND(H29=0,J29=0),0,IF(H29=0,"New",(J29-H29)/H29))</f>
        <v>New</v>
      </c>
    </row>
    <row r="30" customFormat="false" ht="15" hidden="false" customHeight="false" outlineLevel="0" collapsed="false">
      <c r="A30" s="7" t="n">
        <v>4422040</v>
      </c>
      <c r="B30" s="7" t="str">
        <f aca="false">IFERROR(INDEX('Source 2026'!$C:$C,MATCH($A30,'Source 2026'!$B:$B,0)),IFERROR(INDEX('Source 2025'!$C:$C,MATCH($A30,'Source 2025'!$B:$B,0)),""))</f>
        <v>SH422 4 תומך ברך גנושילד</v>
      </c>
      <c r="C30" s="8" t="n">
        <f aca="false">SUMIFS('Source 2025'!$K:$K,'Source 2025'!$B:$B,$A30,'Source 2025'!$A:$A,"Quantity (units)")</f>
        <v>0</v>
      </c>
      <c r="D30" s="8" t="n">
        <f aca="false">SUMIFS('Source 2026'!$K:$K,'Source 2026'!$B:$B,$A30,'Source 2026'!$A:$A,"Quantity (units)")</f>
        <v>25</v>
      </c>
      <c r="E30" s="8" t="n">
        <f aca="false">D30*$J$5</f>
        <v>34.2857142857143</v>
      </c>
      <c r="F30" s="8" t="n">
        <f aca="false">E30-C30</f>
        <v>34.2857142857143</v>
      </c>
      <c r="G30" s="9" t="str">
        <f aca="false">IF(AND(C30=0,E30=0),0,IF(C30=0,"New",(E30-C30)/C30))</f>
        <v>New</v>
      </c>
      <c r="H30" s="8" t="n">
        <f aca="false">SUMIFS('Source 2025'!$K:$K,'Source 2025'!$B:$B,$A30,'Source 2025'!$A:$A,"Amount (NIS)")</f>
        <v>0</v>
      </c>
      <c r="I30" s="8" t="n">
        <f aca="false">SUMIFS('Source 2026'!$K:$K,'Source 2026'!$B:$B,$A30,'Source 2026'!$A:$A,"Amount (NIS)")</f>
        <v>3125</v>
      </c>
      <c r="J30" s="8" t="n">
        <f aca="false">I30*$J$5</f>
        <v>4285.71428571429</v>
      </c>
      <c r="K30" s="8" t="n">
        <f aca="false">J30-H30</f>
        <v>4285.71428571429</v>
      </c>
      <c r="L30" s="9" t="str">
        <f aca="false">IF(AND(H30=0,J30=0),0,IF(H30=0,"New",(J30-H30)/H30))</f>
        <v>New</v>
      </c>
    </row>
    <row r="31" customFormat="false" ht="15" hidden="false" customHeight="false" outlineLevel="0" collapsed="false">
      <c r="A31" s="7" t="n">
        <v>4413372</v>
      </c>
      <c r="B31" s="7" t="str">
        <f aca="false">IFERROR(INDEX('Source 2026'!$C:$C,MATCH($A31,'Source 2026'!$B:$B,0)),IFERROR(INDEX('Source 2025'!$C:$C,MATCH($A31,'Source 2025'!$B:$B,0)),""))</f>
        <v>302 W מדרס לאישה</v>
      </c>
      <c r="C31" s="8" t="n">
        <f aca="false">SUMIFS('Source 2025'!$K:$K,'Source 2025'!$B:$B,$A31,'Source 2025'!$A:$A,"Quantity (units)")</f>
        <v>0</v>
      </c>
      <c r="D31" s="8" t="n">
        <f aca="false">SUMIFS('Source 2026'!$K:$K,'Source 2026'!$B:$B,$A31,'Source 2026'!$A:$A,"Quantity (units)")</f>
        <v>65</v>
      </c>
      <c r="E31" s="8" t="n">
        <f aca="false">D31*$J$5</f>
        <v>89.1428571428571</v>
      </c>
      <c r="F31" s="8" t="n">
        <f aca="false">E31-C31</f>
        <v>89.1428571428571</v>
      </c>
      <c r="G31" s="9" t="str">
        <f aca="false">IF(AND(C31=0,E31=0),0,IF(C31=0,"New",(E31-C31)/C31))</f>
        <v>New</v>
      </c>
      <c r="H31" s="8" t="n">
        <f aca="false">SUMIFS('Source 2025'!$K:$K,'Source 2025'!$B:$B,$A31,'Source 2025'!$A:$A,"Amount (NIS)")</f>
        <v>0</v>
      </c>
      <c r="I31" s="8" t="n">
        <f aca="false">SUMIFS('Source 2026'!$K:$K,'Source 2026'!$B:$B,$A31,'Source 2026'!$A:$A,"Amount (NIS)")</f>
        <v>3070</v>
      </c>
      <c r="J31" s="8" t="n">
        <f aca="false">I31*$J$5</f>
        <v>4210.28571428572</v>
      </c>
      <c r="K31" s="8" t="n">
        <f aca="false">J31-H31</f>
        <v>4210.28571428572</v>
      </c>
      <c r="L31" s="9" t="str">
        <f aca="false">IF(AND(H31=0,J31=0),0,IF(H31=0,"New",(J31-H31)/H31))</f>
        <v>New</v>
      </c>
    </row>
    <row r="32" customFormat="false" ht="15" hidden="false" customHeight="false" outlineLevel="0" collapsed="false">
      <c r="A32" s="7" t="n">
        <v>4413136</v>
      </c>
      <c r="B32" s="7" t="str">
        <f aca="false">IFERROR(INDEX('Source 2026'!$C:$C,MATCH($A32,'Source 2026'!$B:$B,0)),IFERROR(INDEX('Source 2025'!$C:$C,MATCH($A32,'Source 2025'!$B:$B,0)),""))</f>
        <v>85 M (מתלה ליד )כיס</v>
      </c>
      <c r="C32" s="8" t="n">
        <f aca="false">SUMIFS('Source 2025'!$K:$K,'Source 2025'!$B:$B,$A32,'Source 2025'!$A:$A,"Quantity (units)")</f>
        <v>0</v>
      </c>
      <c r="D32" s="8" t="n">
        <f aca="false">SUMIFS('Source 2026'!$K:$K,'Source 2026'!$B:$B,$A32,'Source 2026'!$A:$A,"Quantity (units)")</f>
        <v>88</v>
      </c>
      <c r="E32" s="8" t="n">
        <f aca="false">D32*$J$5</f>
        <v>120.685714285714</v>
      </c>
      <c r="F32" s="8" t="n">
        <f aca="false">E32-C32</f>
        <v>120.685714285714</v>
      </c>
      <c r="G32" s="9" t="str">
        <f aca="false">IF(AND(C32=0,E32=0),0,IF(C32=0,"New",(E32-C32)/C32))</f>
        <v>New</v>
      </c>
      <c r="H32" s="8" t="n">
        <f aca="false">SUMIFS('Source 2025'!$K:$K,'Source 2025'!$B:$B,$A32,'Source 2025'!$A:$A,"Amount (NIS)")</f>
        <v>0</v>
      </c>
      <c r="I32" s="8" t="n">
        <f aca="false">SUMIFS('Source 2026'!$K:$K,'Source 2026'!$B:$B,$A32,'Source 2026'!$A:$A,"Amount (NIS)")</f>
        <v>2983.8</v>
      </c>
      <c r="J32" s="8" t="n">
        <f aca="false">I32*$J$5</f>
        <v>4092.06857142857</v>
      </c>
      <c r="K32" s="8" t="n">
        <f aca="false">J32-H32</f>
        <v>4092.06857142857</v>
      </c>
      <c r="L32" s="9" t="str">
        <f aca="false">IF(AND(H32=0,J32=0),0,IF(H32=0,"New",(J32-H32)/H32))</f>
        <v>New</v>
      </c>
    </row>
    <row r="33" customFormat="false" ht="15" hidden="false" customHeight="false" outlineLevel="0" collapsed="false">
      <c r="A33" s="7" t="n">
        <v>4413093</v>
      </c>
      <c r="B33" s="7" t="str">
        <f aca="false">IFERROR(INDEX('Source 2026'!$C:$C,MATCH($A33,'Source 2026'!$B:$B,0)),IFERROR(INDEX('Source 2025'!$C:$C,MATCH($A33,'Source 2025'!$B:$B,0)),""))</f>
        <v>45 M מגן ברך לבן</v>
      </c>
      <c r="C33" s="8" t="n">
        <f aca="false">SUMIFS('Source 2025'!$K:$K,'Source 2025'!$B:$B,$A33,'Source 2025'!$A:$A,"Quantity (units)")</f>
        <v>0</v>
      </c>
      <c r="D33" s="8" t="n">
        <f aca="false">SUMIFS('Source 2026'!$K:$K,'Source 2026'!$B:$B,$A33,'Source 2026'!$A:$A,"Quantity (units)")</f>
        <v>180</v>
      </c>
      <c r="E33" s="8" t="n">
        <f aca="false">D33*$J$5</f>
        <v>246.857142857143</v>
      </c>
      <c r="F33" s="8" t="n">
        <f aca="false">E33-C33</f>
        <v>246.857142857143</v>
      </c>
      <c r="G33" s="9" t="str">
        <f aca="false">IF(AND(C33=0,E33=0),0,IF(C33=0,"New",(E33-C33)/C33))</f>
        <v>New</v>
      </c>
      <c r="H33" s="8" t="n">
        <f aca="false">SUMIFS('Source 2025'!$K:$K,'Source 2025'!$B:$B,$A33,'Source 2025'!$A:$A,"Amount (NIS)")</f>
        <v>0</v>
      </c>
      <c r="I33" s="8" t="n">
        <f aca="false">SUMIFS('Source 2026'!$K:$K,'Source 2026'!$B:$B,$A33,'Source 2026'!$A:$A,"Amount (NIS)")</f>
        <v>2970</v>
      </c>
      <c r="J33" s="8" t="n">
        <f aca="false">I33*$J$5</f>
        <v>4073.14285714286</v>
      </c>
      <c r="K33" s="8" t="n">
        <f aca="false">J33-H33</f>
        <v>4073.14285714286</v>
      </c>
      <c r="L33" s="9" t="str">
        <f aca="false">IF(AND(H33=0,J33=0),0,IF(H33=0,"New",(J33-H33)/H33))</f>
        <v>New</v>
      </c>
    </row>
    <row r="34" customFormat="false" ht="15" hidden="false" customHeight="false" outlineLevel="0" collapsed="false">
      <c r="A34" s="7" t="n">
        <v>4413043</v>
      </c>
      <c r="B34" s="7" t="str">
        <f aca="false">IFERROR(INDEX('Source 2026'!$C:$C,MATCH($A34,'Source 2026'!$B:$B,0)),IFERROR(INDEX('Source 2025'!$C:$C,MATCH($A34,'Source 2025'!$B:$B,0)),""))</f>
        <v>34  L מגן קרסול עקב סגור</v>
      </c>
      <c r="C34" s="8" t="n">
        <f aca="false">SUMIFS('Source 2025'!$K:$K,'Source 2025'!$B:$B,$A34,'Source 2025'!$A:$A,"Quantity (units)")</f>
        <v>0</v>
      </c>
      <c r="D34" s="8" t="n">
        <f aca="false">SUMIFS('Source 2026'!$K:$K,'Source 2026'!$B:$B,$A34,'Source 2026'!$A:$A,"Quantity (units)")</f>
        <v>106</v>
      </c>
      <c r="E34" s="8" t="n">
        <f aca="false">D34*$J$5</f>
        <v>145.371428571429</v>
      </c>
      <c r="F34" s="8" t="n">
        <f aca="false">E34-C34</f>
        <v>145.371428571429</v>
      </c>
      <c r="G34" s="9" t="str">
        <f aca="false">IF(AND(C34=0,E34=0),0,IF(C34=0,"New",(E34-C34)/C34))</f>
        <v>New</v>
      </c>
      <c r="H34" s="8" t="n">
        <f aca="false">SUMIFS('Source 2025'!$K:$K,'Source 2025'!$B:$B,$A34,'Source 2025'!$A:$A,"Amount (NIS)")</f>
        <v>0</v>
      </c>
      <c r="I34" s="8" t="n">
        <f aca="false">SUMIFS('Source 2026'!$K:$K,'Source 2026'!$B:$B,$A34,'Source 2026'!$A:$A,"Amount (NIS)")</f>
        <v>2958.1</v>
      </c>
      <c r="J34" s="8" t="n">
        <f aca="false">I34*$J$5</f>
        <v>4056.82285714286</v>
      </c>
      <c r="K34" s="8" t="n">
        <f aca="false">J34-H34</f>
        <v>4056.82285714286</v>
      </c>
      <c r="L34" s="9" t="str">
        <f aca="false">IF(AND(H34=0,J34=0),0,IF(H34=0,"New",(J34-H34)/H34))</f>
        <v>New</v>
      </c>
    </row>
    <row r="35" customFormat="false" ht="15" hidden="false" customHeight="false" outlineLevel="0" collapsed="false">
      <c r="A35" s="7" t="n">
        <v>4419006</v>
      </c>
      <c r="B35" s="7" t="str">
        <f aca="false">IFERROR(INDEX('Source 2026'!$C:$C,MATCH($A35,'Source 2026'!$B:$B,0)),IFERROR(INDEX('Source 2025'!$C:$C,MATCH($A35,'Source 2025'!$B:$B,0)),""))</f>
        <v>PD340-קוצץ ציפורניים</v>
      </c>
      <c r="C35" s="8" t="n">
        <f aca="false">SUMIFS('Source 2025'!$K:$K,'Source 2025'!$B:$B,$A35,'Source 2025'!$A:$A,"Quantity (units)")</f>
        <v>0</v>
      </c>
      <c r="D35" s="8" t="n">
        <f aca="false">SUMIFS('Source 2026'!$K:$K,'Source 2026'!$B:$B,$A35,'Source 2026'!$A:$A,"Quantity (units)")</f>
        <v>290</v>
      </c>
      <c r="E35" s="8" t="n">
        <f aca="false">D35*$J$5</f>
        <v>397.714285714286</v>
      </c>
      <c r="F35" s="8" t="n">
        <f aca="false">E35-C35</f>
        <v>397.714285714286</v>
      </c>
      <c r="G35" s="9" t="str">
        <f aca="false">IF(AND(C35=0,E35=0),0,IF(C35=0,"New",(E35-C35)/C35))</f>
        <v>New</v>
      </c>
      <c r="H35" s="8" t="n">
        <f aca="false">SUMIFS('Source 2025'!$K:$K,'Source 2025'!$B:$B,$A35,'Source 2025'!$A:$A,"Amount (NIS)")</f>
        <v>0</v>
      </c>
      <c r="I35" s="8" t="n">
        <f aca="false">SUMIFS('Source 2026'!$K:$K,'Source 2026'!$B:$B,$A35,'Source 2026'!$A:$A,"Amount (NIS)")</f>
        <v>2925</v>
      </c>
      <c r="J35" s="8" t="n">
        <f aca="false">I35*$J$5</f>
        <v>4011.42857142857</v>
      </c>
      <c r="K35" s="8" t="n">
        <f aca="false">J35-H35</f>
        <v>4011.42857142857</v>
      </c>
      <c r="L35" s="9" t="str">
        <f aca="false">IF(AND(H35=0,J35=0),0,IF(H35=0,"New",(J35-H35)/H35))</f>
        <v>New</v>
      </c>
    </row>
    <row r="36" customFormat="false" ht="15" hidden="false" customHeight="false" outlineLevel="0" collapsed="false">
      <c r="A36" s="7" t="n">
        <v>4402011</v>
      </c>
      <c r="B36" s="7" t="str">
        <f aca="false">IFERROR(INDEX('Source 2026'!$C:$C,MATCH($A36,'Source 2026'!$B:$B,0)),IFERROR(INDEX('Source 2025'!$C:$C,MATCH($A36,'Source 2025'!$B:$B,0)),""))</f>
        <v>S-XLST422 מגן ברך+כרית ג'ל</v>
      </c>
      <c r="C36" s="8" t="n">
        <f aca="false">SUMIFS('Source 2025'!$K:$K,'Source 2025'!$B:$B,$A36,'Source 2025'!$A:$A,"Quantity (units)")</f>
        <v>0</v>
      </c>
      <c r="D36" s="8" t="n">
        <f aca="false">SUMIFS('Source 2026'!$K:$K,'Source 2026'!$B:$B,$A36,'Source 2026'!$A:$A,"Quantity (units)")</f>
        <v>56</v>
      </c>
      <c r="E36" s="8" t="n">
        <f aca="false">D36*$J$5</f>
        <v>76.8</v>
      </c>
      <c r="F36" s="8" t="n">
        <f aca="false">E36-C36</f>
        <v>76.8</v>
      </c>
      <c r="G36" s="9" t="str">
        <f aca="false">IF(AND(C36=0,E36=0),0,IF(C36=0,"New",(E36-C36)/C36))</f>
        <v>New</v>
      </c>
      <c r="H36" s="8" t="n">
        <f aca="false">SUMIFS('Source 2025'!$K:$K,'Source 2025'!$B:$B,$A36,'Source 2025'!$A:$A,"Amount (NIS)")</f>
        <v>0</v>
      </c>
      <c r="I36" s="8" t="n">
        <f aca="false">SUMIFS('Source 2026'!$K:$K,'Source 2026'!$B:$B,$A36,'Source 2026'!$A:$A,"Amount (NIS)")</f>
        <v>2875.6</v>
      </c>
      <c r="J36" s="8" t="n">
        <f aca="false">I36*$J$5</f>
        <v>3943.68</v>
      </c>
      <c r="K36" s="8" t="n">
        <f aca="false">J36-H36</f>
        <v>3943.68</v>
      </c>
      <c r="L36" s="9" t="str">
        <f aca="false">IF(AND(H36=0,J36=0),0,IF(H36=0,"New",(J36-H36)/H36))</f>
        <v>New</v>
      </c>
    </row>
    <row r="37" customFormat="false" ht="15" hidden="false" customHeight="false" outlineLevel="0" collapsed="false">
      <c r="A37" s="7" t="n">
        <v>4413103</v>
      </c>
      <c r="B37" s="7" t="str">
        <f aca="false">IFERROR(INDEX('Source 2026'!$C:$C,MATCH($A37,'Source 2026'!$B:$B,0)),IFERROR(INDEX('Source 2025'!$C:$C,MATCH($A37,'Source 2025'!$B:$B,0)),""))</f>
        <v>45E Mמגן ברך ארוך לבן</v>
      </c>
      <c r="C37" s="8" t="n">
        <f aca="false">SUMIFS('Source 2025'!$K:$K,'Source 2025'!$B:$B,$A37,'Source 2025'!$A:$A,"Quantity (units)")</f>
        <v>0</v>
      </c>
      <c r="D37" s="8" t="n">
        <f aca="false">SUMIFS('Source 2026'!$K:$K,'Source 2026'!$B:$B,$A37,'Source 2026'!$A:$A,"Quantity (units)")</f>
        <v>140</v>
      </c>
      <c r="E37" s="8" t="n">
        <f aca="false">D37*$J$5</f>
        <v>192</v>
      </c>
      <c r="F37" s="8" t="n">
        <f aca="false">E37-C37</f>
        <v>192</v>
      </c>
      <c r="G37" s="9" t="str">
        <f aca="false">IF(AND(C37=0,E37=0),0,IF(C37=0,"New",(E37-C37)/C37))</f>
        <v>New</v>
      </c>
      <c r="H37" s="8" t="n">
        <f aca="false">SUMIFS('Source 2025'!$K:$K,'Source 2025'!$B:$B,$A37,'Source 2025'!$A:$A,"Amount (NIS)")</f>
        <v>0</v>
      </c>
      <c r="I37" s="8" t="n">
        <f aca="false">SUMIFS('Source 2026'!$K:$K,'Source 2026'!$B:$B,$A37,'Source 2026'!$A:$A,"Amount (NIS)")</f>
        <v>2777.7</v>
      </c>
      <c r="J37" s="8" t="n">
        <f aca="false">I37*$J$5</f>
        <v>3809.41714285714</v>
      </c>
      <c r="K37" s="8" t="n">
        <f aca="false">J37-H37</f>
        <v>3809.41714285714</v>
      </c>
      <c r="L37" s="9" t="str">
        <f aca="false">IF(AND(H37=0,J37=0),0,IF(H37=0,"New",(J37-H37)/H37))</f>
        <v>New</v>
      </c>
    </row>
    <row r="38" customFormat="false" ht="15" hidden="false" customHeight="false" outlineLevel="0" collapsed="false">
      <c r="A38" s="7" t="n">
        <v>4408052</v>
      </c>
      <c r="B38" s="7" t="str">
        <f aca="false">IFERROR(INDEX('Source 2026'!$C:$C,MATCH($A38,'Source 2026'!$B:$B,0)),IFERROR(INDEX('Source 2025'!$C:$C,MATCH($A38,'Source 2025'!$B:$B,0)),""))</f>
        <v>21 L  חבק יד ארוך</v>
      </c>
      <c r="C38" s="8" t="n">
        <f aca="false">SUMIFS('Source 2025'!$K:$K,'Source 2025'!$B:$B,$A38,'Source 2025'!$A:$A,"Quantity (units)")</f>
        <v>0</v>
      </c>
      <c r="D38" s="8" t="n">
        <f aca="false">SUMIFS('Source 2026'!$K:$K,'Source 2026'!$B:$B,$A38,'Source 2026'!$A:$A,"Quantity (units)")</f>
        <v>120</v>
      </c>
      <c r="E38" s="8" t="n">
        <f aca="false">D38*$J$5</f>
        <v>164.571428571429</v>
      </c>
      <c r="F38" s="8" t="n">
        <f aca="false">E38-C38</f>
        <v>164.571428571429</v>
      </c>
      <c r="G38" s="9" t="str">
        <f aca="false">IF(AND(C38=0,E38=0),0,IF(C38=0,"New",(E38-C38)/C38))</f>
        <v>New</v>
      </c>
      <c r="H38" s="8" t="n">
        <f aca="false">SUMIFS('Source 2025'!$K:$K,'Source 2025'!$B:$B,$A38,'Source 2025'!$A:$A,"Amount (NIS)")</f>
        <v>0</v>
      </c>
      <c r="I38" s="8" t="n">
        <f aca="false">SUMIFS('Source 2026'!$K:$K,'Source 2026'!$B:$B,$A38,'Source 2026'!$A:$A,"Amount (NIS)")</f>
        <v>2766.6</v>
      </c>
      <c r="J38" s="8" t="n">
        <f aca="false">I38*$J$5</f>
        <v>3794.19428571429</v>
      </c>
      <c r="K38" s="8" t="n">
        <f aca="false">J38-H38</f>
        <v>3794.19428571429</v>
      </c>
      <c r="L38" s="9" t="str">
        <f aca="false">IF(AND(H38=0,J38=0),0,IF(H38=0,"New",(J38-H38)/H38))</f>
        <v>New</v>
      </c>
    </row>
    <row r="39" customFormat="false" ht="15" hidden="false" customHeight="false" outlineLevel="0" collapsed="false">
      <c r="A39" s="7" t="n">
        <v>4413531</v>
      </c>
      <c r="B39" s="7" t="str">
        <f aca="false">IFERROR(INDEX('Source 2026'!$C:$C,MATCH($A39,'Source 2026'!$B:$B,0)),IFERROR(INDEX('Source 2025'!$C:$C,MATCH($A39,'Source 2025'!$B:$B,0)),""))</f>
        <v>ST91 מגן מרפק לטניס</v>
      </c>
      <c r="C39" s="8" t="n">
        <f aca="false">SUMIFS('Source 2025'!$K:$K,'Source 2025'!$B:$B,$A39,'Source 2025'!$A:$A,"Quantity (units)")</f>
        <v>0</v>
      </c>
      <c r="D39" s="8" t="n">
        <f aca="false">SUMIFS('Source 2026'!$K:$K,'Source 2026'!$B:$B,$A39,'Source 2026'!$A:$A,"Quantity (units)")</f>
        <v>131</v>
      </c>
      <c r="E39" s="8" t="n">
        <f aca="false">D39*$J$5</f>
        <v>179.657142857143</v>
      </c>
      <c r="F39" s="8" t="n">
        <f aca="false">E39-C39</f>
        <v>179.657142857143</v>
      </c>
      <c r="G39" s="9" t="str">
        <f aca="false">IF(AND(C39=0,E39=0),0,IF(C39=0,"New",(E39-C39)/C39))</f>
        <v>New</v>
      </c>
      <c r="H39" s="8" t="n">
        <f aca="false">SUMIFS('Source 2025'!$K:$K,'Source 2025'!$B:$B,$A39,'Source 2025'!$A:$A,"Amount (NIS)")</f>
        <v>0</v>
      </c>
      <c r="I39" s="8" t="n">
        <f aca="false">SUMIFS('Source 2026'!$K:$K,'Source 2026'!$B:$B,$A39,'Source 2026'!$A:$A,"Amount (NIS)")</f>
        <v>2563.6</v>
      </c>
      <c r="J39" s="8" t="n">
        <f aca="false">I39*$J$5</f>
        <v>3515.79428571429</v>
      </c>
      <c r="K39" s="8" t="n">
        <f aca="false">J39-H39</f>
        <v>3515.79428571429</v>
      </c>
      <c r="L39" s="9" t="str">
        <f aca="false">IF(AND(H39=0,J39=0),0,IF(H39=0,"New",(J39-H39)/H39))</f>
        <v>New</v>
      </c>
    </row>
    <row r="40" customFormat="false" ht="15" hidden="false" customHeight="false" outlineLevel="0" collapsed="false">
      <c r="A40" s="7" t="n">
        <v>4408223</v>
      </c>
      <c r="B40" s="7" t="str">
        <f aca="false">IFERROR(INDEX('Source 2026'!$C:$C,MATCH($A40,'Source 2026'!$B:$B,0)),IFERROR(INDEX('Source 2025'!$C:$C,MATCH($A40,'Source 2025'!$B:$B,0)),""))</f>
        <v>078G-XXLחגורת גב אפורה</v>
      </c>
      <c r="C40" s="8" t="n">
        <f aca="false">SUMIFS('Source 2025'!$K:$K,'Source 2025'!$B:$B,$A40,'Source 2025'!$A:$A,"Quantity (units)")</f>
        <v>0</v>
      </c>
      <c r="D40" s="8" t="n">
        <f aca="false">SUMIFS('Source 2026'!$K:$K,'Source 2026'!$B:$B,$A40,'Source 2026'!$A:$A,"Quantity (units)")</f>
        <v>39</v>
      </c>
      <c r="E40" s="8" t="n">
        <f aca="false">D40*$J$5</f>
        <v>53.4857142857143</v>
      </c>
      <c r="F40" s="8" t="n">
        <f aca="false">E40-C40</f>
        <v>53.4857142857143</v>
      </c>
      <c r="G40" s="9" t="str">
        <f aca="false">IF(AND(C40=0,E40=0),0,IF(C40=0,"New",(E40-C40)/C40))</f>
        <v>New</v>
      </c>
      <c r="H40" s="8" t="n">
        <f aca="false">SUMIFS('Source 2025'!$K:$K,'Source 2025'!$B:$B,$A40,'Source 2025'!$A:$A,"Amount (NIS)")</f>
        <v>0</v>
      </c>
      <c r="I40" s="8" t="n">
        <f aca="false">SUMIFS('Source 2026'!$K:$K,'Source 2026'!$B:$B,$A40,'Source 2026'!$A:$A,"Amount (NIS)")</f>
        <v>2535</v>
      </c>
      <c r="J40" s="8" t="n">
        <f aca="false">I40*$J$5</f>
        <v>3476.57142857143</v>
      </c>
      <c r="K40" s="8" t="n">
        <f aca="false">J40-H40</f>
        <v>3476.57142857143</v>
      </c>
      <c r="L40" s="9" t="str">
        <f aca="false">IF(AND(H40=0,J40=0),0,IF(H40=0,"New",(J40-H40)/H40))</f>
        <v>New</v>
      </c>
    </row>
    <row r="41" customFormat="false" ht="15" hidden="false" customHeight="false" outlineLevel="0" collapsed="false">
      <c r="A41" s="7" t="n">
        <v>4408034</v>
      </c>
      <c r="B41" s="7" t="str">
        <f aca="false">IFERROR(INDEX('Source 2026'!$C:$C,MATCH($A41,'Source 2026'!$B:$B,0)),IFERROR(INDEX('Source 2025'!$C:$C,MATCH($A41,'Source 2025'!$B:$B,0)),""))</f>
        <v>11 XL""חגורת בטן""אורירית</v>
      </c>
      <c r="C41" s="8" t="n">
        <f aca="false">SUMIFS('Source 2025'!$K:$K,'Source 2025'!$B:$B,$A41,'Source 2025'!$A:$A,"Quantity (units)")</f>
        <v>0</v>
      </c>
      <c r="D41" s="8" t="n">
        <f aca="false">SUMIFS('Source 2026'!$K:$K,'Source 2026'!$B:$B,$A41,'Source 2026'!$A:$A,"Quantity (units)")</f>
        <v>36</v>
      </c>
      <c r="E41" s="8" t="n">
        <f aca="false">D41*$J$5</f>
        <v>49.3714285714286</v>
      </c>
      <c r="F41" s="8" t="n">
        <f aca="false">E41-C41</f>
        <v>49.3714285714286</v>
      </c>
      <c r="G41" s="9" t="str">
        <f aca="false">IF(AND(C41=0,E41=0),0,IF(C41=0,"New",(E41-C41)/C41))</f>
        <v>New</v>
      </c>
      <c r="H41" s="8" t="n">
        <f aca="false">SUMIFS('Source 2025'!$K:$K,'Source 2025'!$B:$B,$A41,'Source 2025'!$A:$A,"Amount (NIS)")</f>
        <v>0</v>
      </c>
      <c r="I41" s="8" t="n">
        <f aca="false">SUMIFS('Source 2026'!$K:$K,'Source 2026'!$B:$B,$A41,'Source 2026'!$A:$A,"Amount (NIS)")</f>
        <v>2531.9</v>
      </c>
      <c r="J41" s="8" t="n">
        <f aca="false">I41*$J$5</f>
        <v>3472.32</v>
      </c>
      <c r="K41" s="8" t="n">
        <f aca="false">J41-H41</f>
        <v>3472.32</v>
      </c>
      <c r="L41" s="9" t="str">
        <f aca="false">IF(AND(H41=0,J41=0),0,IF(H41=0,"New",(J41-H41)/H41))</f>
        <v>New</v>
      </c>
    </row>
    <row r="42" customFormat="false" ht="15" hidden="false" customHeight="false" outlineLevel="0" collapsed="false">
      <c r="A42" s="7" t="n">
        <v>4413196</v>
      </c>
      <c r="B42" s="7" t="str">
        <f aca="false">IFERROR(INDEX('Source 2026'!$C:$C,MATCH($A42,'Source 2026'!$B:$B,0)),IFERROR(INDEX('Source 2025'!$C:$C,MATCH($A42,'Source 2025'!$B:$B,0)),""))</f>
        <v>87 M מקבע כתף ויד</v>
      </c>
      <c r="C42" s="8" t="n">
        <f aca="false">SUMIFS('Source 2025'!$K:$K,'Source 2025'!$B:$B,$A42,'Source 2025'!$A:$A,"Quantity (units)")</f>
        <v>0</v>
      </c>
      <c r="D42" s="8" t="n">
        <f aca="false">SUMIFS('Source 2026'!$K:$K,'Source 2026'!$B:$B,$A42,'Source 2026'!$A:$A,"Quantity (units)")</f>
        <v>21</v>
      </c>
      <c r="E42" s="8" t="n">
        <f aca="false">D42*$J$5</f>
        <v>28.8</v>
      </c>
      <c r="F42" s="8" t="n">
        <f aca="false">E42-C42</f>
        <v>28.8</v>
      </c>
      <c r="G42" s="9" t="str">
        <f aca="false">IF(AND(C42=0,E42=0),0,IF(C42=0,"New",(E42-C42)/C42))</f>
        <v>New</v>
      </c>
      <c r="H42" s="8" t="n">
        <f aca="false">SUMIFS('Source 2025'!$K:$K,'Source 2025'!$B:$B,$A42,'Source 2025'!$A:$A,"Amount (NIS)")</f>
        <v>0</v>
      </c>
      <c r="I42" s="8" t="n">
        <f aca="false">SUMIFS('Source 2026'!$K:$K,'Source 2026'!$B:$B,$A42,'Source 2026'!$A:$A,"Amount (NIS)")</f>
        <v>2498.4</v>
      </c>
      <c r="J42" s="8" t="n">
        <f aca="false">I42*$J$5</f>
        <v>3426.37714285714</v>
      </c>
      <c r="K42" s="8" t="n">
        <f aca="false">J42-H42</f>
        <v>3426.37714285714</v>
      </c>
      <c r="L42" s="9" t="str">
        <f aca="false">IF(AND(H42=0,J42=0),0,IF(H42=0,"New",(J42-H42)/H42))</f>
        <v>New</v>
      </c>
    </row>
    <row r="43" customFormat="false" ht="15" hidden="false" customHeight="false" outlineLevel="0" collapsed="false">
      <c r="A43" s="7" t="n">
        <v>4408230</v>
      </c>
      <c r="B43" s="7" t="str">
        <f aca="false">IFERROR(INDEX('Source 2026'!$C:$C,MATCH($A43,'Source 2026'!$B:$B,0)),IFERROR(INDEX('Source 2025'!$C:$C,MATCH($A43,'Source 2025'!$B:$B,0)),""))</f>
        <v>16 L-XL חגורת הריון</v>
      </c>
      <c r="C43" s="8" t="n">
        <f aca="false">SUMIFS('Source 2025'!$K:$K,'Source 2025'!$B:$B,$A43,'Source 2025'!$A:$A,"Quantity (units)")</f>
        <v>0</v>
      </c>
      <c r="D43" s="8" t="n">
        <f aca="false">SUMIFS('Source 2026'!$K:$K,'Source 2026'!$B:$B,$A43,'Source 2026'!$A:$A,"Quantity (units)")</f>
        <v>31</v>
      </c>
      <c r="E43" s="8" t="n">
        <f aca="false">D43*$J$5</f>
        <v>42.5142857142857</v>
      </c>
      <c r="F43" s="8" t="n">
        <f aca="false">E43-C43</f>
        <v>42.5142857142857</v>
      </c>
      <c r="G43" s="9" t="str">
        <f aca="false">IF(AND(C43=0,E43=0),0,IF(C43=0,"New",(E43-C43)/C43))</f>
        <v>New</v>
      </c>
      <c r="H43" s="8" t="n">
        <f aca="false">SUMIFS('Source 2025'!$K:$K,'Source 2025'!$B:$B,$A43,'Source 2025'!$A:$A,"Amount (NIS)")</f>
        <v>0</v>
      </c>
      <c r="I43" s="8" t="n">
        <f aca="false">SUMIFS('Source 2026'!$K:$K,'Source 2026'!$B:$B,$A43,'Source 2026'!$A:$A,"Amount (NIS)")</f>
        <v>2411.8</v>
      </c>
      <c r="J43" s="8" t="n">
        <f aca="false">I43*$J$5</f>
        <v>3307.61142857143</v>
      </c>
      <c r="K43" s="8" t="n">
        <f aca="false">J43-H43</f>
        <v>3307.61142857143</v>
      </c>
      <c r="L43" s="9" t="str">
        <f aca="false">IF(AND(H43=0,J43=0),0,IF(H43=0,"New",(J43-H43)/H43))</f>
        <v>New</v>
      </c>
    </row>
    <row r="44" customFormat="false" ht="15" hidden="false" customHeight="false" outlineLevel="0" collapsed="false">
      <c r="A44" s="7" t="n">
        <v>4411016</v>
      </c>
      <c r="B44" s="7" t="str">
        <f aca="false">IFERROR(INDEX('Source 2026'!$C:$C,MATCH($A44,'Source 2026'!$B:$B,0)),IFERROR(INDEX('Source 2025'!$C:$C,MATCH($A44,'Source 2025'!$B:$B,0)),""))</f>
        <v>307 XL כרית סיליקון לעקב</v>
      </c>
      <c r="C44" s="8" t="n">
        <f aca="false">SUMIFS('Source 2025'!$K:$K,'Source 2025'!$B:$B,$A44,'Source 2025'!$A:$A,"Quantity (units)")</f>
        <v>0</v>
      </c>
      <c r="D44" s="8" t="n">
        <f aca="false">SUMIFS('Source 2026'!$K:$K,'Source 2026'!$B:$B,$A44,'Source 2026'!$A:$A,"Quantity (units)")</f>
        <v>38</v>
      </c>
      <c r="E44" s="8" t="n">
        <f aca="false">D44*$J$5</f>
        <v>52.1142857142857</v>
      </c>
      <c r="F44" s="8" t="n">
        <f aca="false">E44-C44</f>
        <v>52.1142857142857</v>
      </c>
      <c r="G44" s="9" t="str">
        <f aca="false">IF(AND(C44=0,E44=0),0,IF(C44=0,"New",(E44-C44)/C44))</f>
        <v>New</v>
      </c>
      <c r="H44" s="8" t="n">
        <f aca="false">SUMIFS('Source 2025'!$K:$K,'Source 2025'!$B:$B,$A44,'Source 2025'!$A:$A,"Amount (NIS)")</f>
        <v>0</v>
      </c>
      <c r="I44" s="8" t="n">
        <f aca="false">SUMIFS('Source 2026'!$K:$K,'Source 2026'!$B:$B,$A44,'Source 2026'!$A:$A,"Amount (NIS)")</f>
        <v>2404.3</v>
      </c>
      <c r="J44" s="8" t="n">
        <f aca="false">I44*$J$5</f>
        <v>3297.32571428571</v>
      </c>
      <c r="K44" s="8" t="n">
        <f aca="false">J44-H44</f>
        <v>3297.32571428571</v>
      </c>
      <c r="L44" s="9" t="str">
        <f aca="false">IF(AND(H44=0,J44=0),0,IF(H44=0,"New",(J44-H44)/H44))</f>
        <v>New</v>
      </c>
    </row>
    <row r="45" customFormat="false" ht="15" hidden="false" customHeight="false" outlineLevel="0" collapsed="false">
      <c r="A45" s="7" t="n">
        <v>4413044</v>
      </c>
      <c r="B45" s="7" t="str">
        <f aca="false">IFERROR(INDEX('Source 2026'!$C:$C,MATCH($A45,'Source 2026'!$B:$B,0)),IFERROR(INDEX('Source 2025'!$C:$C,MATCH($A45,'Source 2025'!$B:$B,0)),""))</f>
        <v>34 XL מגן קרסול עקב סגור</v>
      </c>
      <c r="C45" s="8" t="n">
        <f aca="false">SUMIFS('Source 2025'!$K:$K,'Source 2025'!$B:$B,$A45,'Source 2025'!$A:$A,"Quantity (units)")</f>
        <v>0</v>
      </c>
      <c r="D45" s="8" t="n">
        <f aca="false">SUMIFS('Source 2026'!$K:$K,'Source 2026'!$B:$B,$A45,'Source 2026'!$A:$A,"Quantity (units)")</f>
        <v>87</v>
      </c>
      <c r="E45" s="8" t="n">
        <f aca="false">D45*$J$5</f>
        <v>119.314285714286</v>
      </c>
      <c r="F45" s="8" t="n">
        <f aca="false">E45-C45</f>
        <v>119.314285714286</v>
      </c>
      <c r="G45" s="9" t="str">
        <f aca="false">IF(AND(C45=0,E45=0),0,IF(C45=0,"New",(E45-C45)/C45))</f>
        <v>New</v>
      </c>
      <c r="H45" s="8" t="n">
        <f aca="false">SUMIFS('Source 2025'!$K:$K,'Source 2025'!$B:$B,$A45,'Source 2025'!$A:$A,"Amount (NIS)")</f>
        <v>0</v>
      </c>
      <c r="I45" s="8" t="n">
        <f aca="false">SUMIFS('Source 2026'!$K:$K,'Source 2026'!$B:$B,$A45,'Source 2026'!$A:$A,"Amount (NIS)")</f>
        <v>2401.1</v>
      </c>
      <c r="J45" s="8" t="n">
        <f aca="false">I45*$J$5</f>
        <v>3292.93714285714</v>
      </c>
      <c r="K45" s="8" t="n">
        <f aca="false">J45-H45</f>
        <v>3292.93714285714</v>
      </c>
      <c r="L45" s="9" t="str">
        <f aca="false">IF(AND(H45=0,J45=0),0,IF(H45=0,"New",(J45-H45)/H45))</f>
        <v>New</v>
      </c>
    </row>
    <row r="46" customFormat="false" ht="15" hidden="false" customHeight="false" outlineLevel="0" collapsed="false">
      <c r="A46" s="7" t="n">
        <v>4413197</v>
      </c>
      <c r="B46" s="7" t="str">
        <f aca="false">IFERROR(INDEX('Source 2026'!$C:$C,MATCH($A46,'Source 2026'!$B:$B,0)),IFERROR(INDEX('Source 2025'!$C:$C,MATCH($A46,'Source 2025'!$B:$B,0)),""))</f>
        <v>87 L מקבע כתף ויד</v>
      </c>
      <c r="C46" s="8" t="n">
        <f aca="false">SUMIFS('Source 2025'!$K:$K,'Source 2025'!$B:$B,$A46,'Source 2025'!$A:$A,"Quantity (units)")</f>
        <v>0</v>
      </c>
      <c r="D46" s="8" t="n">
        <f aca="false">SUMIFS('Source 2026'!$K:$K,'Source 2026'!$B:$B,$A46,'Source 2026'!$A:$A,"Quantity (units)")</f>
        <v>19</v>
      </c>
      <c r="E46" s="8" t="n">
        <f aca="false">D46*$J$5</f>
        <v>26.0571428571429</v>
      </c>
      <c r="F46" s="8" t="n">
        <f aca="false">E46-C46</f>
        <v>26.0571428571429</v>
      </c>
      <c r="G46" s="9" t="str">
        <f aca="false">IF(AND(C46=0,E46=0),0,IF(C46=0,"New",(E46-C46)/C46))</f>
        <v>New</v>
      </c>
      <c r="H46" s="8" t="n">
        <f aca="false">SUMIFS('Source 2025'!$K:$K,'Source 2025'!$B:$B,$A46,'Source 2025'!$A:$A,"Amount (NIS)")</f>
        <v>0</v>
      </c>
      <c r="I46" s="8" t="n">
        <f aca="false">SUMIFS('Source 2026'!$K:$K,'Source 2026'!$B:$B,$A46,'Source 2026'!$A:$A,"Amount (NIS)")</f>
        <v>2340.3</v>
      </c>
      <c r="J46" s="8" t="n">
        <f aca="false">I46*$J$5</f>
        <v>3209.55428571429</v>
      </c>
      <c r="K46" s="8" t="n">
        <f aca="false">J46-H46</f>
        <v>3209.55428571429</v>
      </c>
      <c r="L46" s="9" t="str">
        <f aca="false">IF(AND(H46=0,J46=0),0,IF(H46=0,"New",(J46-H46)/H46))</f>
        <v>New</v>
      </c>
    </row>
    <row r="47" customFormat="false" ht="15" hidden="false" customHeight="false" outlineLevel="0" collapsed="false">
      <c r="A47" s="7" t="n">
        <v>4413104</v>
      </c>
      <c r="B47" s="7" t="str">
        <f aca="false">IFERROR(INDEX('Source 2026'!$C:$C,MATCH($A47,'Source 2026'!$B:$B,0)),IFERROR(INDEX('Source 2025'!$C:$C,MATCH($A47,'Source 2025'!$B:$B,0)),""))</f>
        <v>45E XLמגן ברך ארוך לבן</v>
      </c>
      <c r="C47" s="8" t="n">
        <f aca="false">SUMIFS('Source 2025'!$K:$K,'Source 2025'!$B:$B,$A47,'Source 2025'!$A:$A,"Quantity (units)")</f>
        <v>0</v>
      </c>
      <c r="D47" s="8" t="n">
        <f aca="false">SUMIFS('Source 2026'!$K:$K,'Source 2026'!$B:$B,$A47,'Source 2026'!$A:$A,"Quantity (units)")</f>
        <v>118</v>
      </c>
      <c r="E47" s="8" t="n">
        <f aca="false">D47*$J$5</f>
        <v>161.828571428571</v>
      </c>
      <c r="F47" s="8" t="n">
        <f aca="false">E47-C47</f>
        <v>161.828571428571</v>
      </c>
      <c r="G47" s="9" t="str">
        <f aca="false">IF(AND(C47=0,E47=0),0,IF(C47=0,"New",(E47-C47)/C47))</f>
        <v>New</v>
      </c>
      <c r="H47" s="8" t="n">
        <f aca="false">SUMIFS('Source 2025'!$K:$K,'Source 2025'!$B:$B,$A47,'Source 2025'!$A:$A,"Amount (NIS)")</f>
        <v>0</v>
      </c>
      <c r="I47" s="8" t="n">
        <f aca="false">SUMIFS('Source 2026'!$K:$K,'Source 2026'!$B:$B,$A47,'Source 2026'!$A:$A,"Amount (NIS)")</f>
        <v>2326.7</v>
      </c>
      <c r="J47" s="8" t="n">
        <f aca="false">I47*$J$5</f>
        <v>3190.90285714286</v>
      </c>
      <c r="K47" s="8" t="n">
        <f aca="false">J47-H47</f>
        <v>3190.90285714286</v>
      </c>
      <c r="L47" s="9" t="str">
        <f aca="false">IF(AND(H47=0,J47=0),0,IF(H47=0,"New",(J47-H47)/H47))</f>
        <v>New</v>
      </c>
    </row>
    <row r="48" customFormat="false" ht="15" hidden="false" customHeight="false" outlineLevel="0" collapsed="false">
      <c r="A48" s="7" t="n">
        <v>4422035</v>
      </c>
      <c r="B48" s="7" t="str">
        <f aca="false">IFERROR(INDEX('Source 2026'!$C:$C,MATCH($A48,'Source 2026'!$B:$B,0)),IFERROR(INDEX('Source 2025'!$C:$C,MATCH($A48,'Source 2025'!$B:$B,0)),""))</f>
        <v>FCתרסיס דאודורנט אנטיבק.נעל333</v>
      </c>
      <c r="C48" s="8" t="n">
        <f aca="false">SUMIFS('Source 2025'!$K:$K,'Source 2025'!$B:$B,$A48,'Source 2025'!$A:$A,"Quantity (units)")</f>
        <v>0</v>
      </c>
      <c r="D48" s="8" t="n">
        <f aca="false">SUMIFS('Source 2026'!$K:$K,'Source 2026'!$B:$B,$A48,'Source 2026'!$A:$A,"Quantity (units)")</f>
        <v>156</v>
      </c>
      <c r="E48" s="8" t="n">
        <f aca="false">D48*$J$5</f>
        <v>213.942857142857</v>
      </c>
      <c r="F48" s="8" t="n">
        <f aca="false">E48-C48</f>
        <v>213.942857142857</v>
      </c>
      <c r="G48" s="9" t="str">
        <f aca="false">IF(AND(C48=0,E48=0),0,IF(C48=0,"New",(E48-C48)/C48))</f>
        <v>New</v>
      </c>
      <c r="H48" s="8" t="n">
        <f aca="false">SUMIFS('Source 2025'!$K:$K,'Source 2025'!$B:$B,$A48,'Source 2025'!$A:$A,"Amount (NIS)")</f>
        <v>0</v>
      </c>
      <c r="I48" s="8" t="n">
        <f aca="false">SUMIFS('Source 2026'!$K:$K,'Source 2026'!$B:$B,$A48,'Source 2026'!$A:$A,"Amount (NIS)")</f>
        <v>2308.8</v>
      </c>
      <c r="J48" s="8" t="n">
        <f aca="false">I48*$J$5</f>
        <v>3166.35428571429</v>
      </c>
      <c r="K48" s="8" t="n">
        <f aca="false">J48-H48</f>
        <v>3166.35428571429</v>
      </c>
      <c r="L48" s="9" t="str">
        <f aca="false">IF(AND(H48=0,J48=0),0,IF(H48=0,"New",(J48-H48)/H48))</f>
        <v>New</v>
      </c>
    </row>
    <row r="49" customFormat="false" ht="15" hidden="false" customHeight="false" outlineLevel="0" collapsed="false">
      <c r="A49" s="7" t="n">
        <v>4413370</v>
      </c>
      <c r="B49" s="7" t="str">
        <f aca="false">IFERROR(INDEX('Source 2026'!$C:$C,MATCH($A49,'Source 2026'!$B:$B,0)),IFERROR(INDEX('Source 2025'!$C:$C,MATCH($A49,'Source 2025'!$B:$B,0)),""))</f>
        <v>3674 0 מ.בוניון+מפריד אצבע</v>
      </c>
      <c r="C49" s="8" t="n">
        <f aca="false">SUMIFS('Source 2025'!$K:$K,'Source 2025'!$B:$B,$A49,'Source 2025'!$A:$A,"Quantity (units)")</f>
        <v>0</v>
      </c>
      <c r="D49" s="8" t="n">
        <f aca="false">SUMIFS('Source 2026'!$K:$K,'Source 2026'!$B:$B,$A49,'Source 2026'!$A:$A,"Quantity (units)")</f>
        <v>81</v>
      </c>
      <c r="E49" s="8" t="n">
        <f aca="false">D49*$J$5</f>
        <v>111.085714285714</v>
      </c>
      <c r="F49" s="8" t="n">
        <f aca="false">E49-C49</f>
        <v>111.085714285714</v>
      </c>
      <c r="G49" s="9" t="str">
        <f aca="false">IF(AND(C49=0,E49=0),0,IF(C49=0,"New",(E49-C49)/C49))</f>
        <v>New</v>
      </c>
      <c r="H49" s="8" t="n">
        <f aca="false">SUMIFS('Source 2025'!$K:$K,'Source 2025'!$B:$B,$A49,'Source 2025'!$A:$A,"Amount (NIS)")</f>
        <v>0</v>
      </c>
      <c r="I49" s="8" t="n">
        <f aca="false">SUMIFS('Source 2026'!$K:$K,'Source 2026'!$B:$B,$A49,'Source 2026'!$A:$A,"Amount (NIS)")</f>
        <v>2231.6</v>
      </c>
      <c r="J49" s="8" t="n">
        <f aca="false">I49*$J$5</f>
        <v>3060.48</v>
      </c>
      <c r="K49" s="8" t="n">
        <f aca="false">J49-H49</f>
        <v>3060.48</v>
      </c>
      <c r="L49" s="9" t="str">
        <f aca="false">IF(AND(H49=0,J49=0),0,IF(H49=0,"New",(J49-H49)/H49))</f>
        <v>New</v>
      </c>
    </row>
    <row r="50" customFormat="false" ht="15" hidden="false" customHeight="false" outlineLevel="0" collapsed="false">
      <c r="A50" s="7" t="n">
        <v>4408190</v>
      </c>
      <c r="B50" s="7" t="str">
        <f aca="false">IFERROR(INDEX('Source 2026'!$C:$C,MATCH($A50,'Source 2026'!$B:$B,0)),IFERROR(INDEX('Source 2025'!$C:$C,MATCH($A50,'Source 2025'!$B:$B,0)),""))</f>
        <v>M078 חגורת גב +סגירה כפולה</v>
      </c>
      <c r="C50" s="8" t="n">
        <f aca="false">SUMIFS('Source 2025'!$K:$K,'Source 2025'!$B:$B,$A50,'Source 2025'!$A:$A,"Quantity (units)")</f>
        <v>0</v>
      </c>
      <c r="D50" s="8" t="n">
        <f aca="false">SUMIFS('Source 2026'!$K:$K,'Source 2026'!$B:$B,$A50,'Source 2026'!$A:$A,"Quantity (units)")</f>
        <v>35</v>
      </c>
      <c r="E50" s="8" t="n">
        <f aca="false">D50*$J$5</f>
        <v>48</v>
      </c>
      <c r="F50" s="8" t="n">
        <f aca="false">E50-C50</f>
        <v>48</v>
      </c>
      <c r="G50" s="9" t="str">
        <f aca="false">IF(AND(C50=0,E50=0),0,IF(C50=0,"New",(E50-C50)/C50))</f>
        <v>New</v>
      </c>
      <c r="H50" s="8" t="n">
        <f aca="false">SUMIFS('Source 2025'!$K:$K,'Source 2025'!$B:$B,$A50,'Source 2025'!$A:$A,"Amount (NIS)")</f>
        <v>0</v>
      </c>
      <c r="I50" s="8" t="n">
        <f aca="false">SUMIFS('Source 2026'!$K:$K,'Source 2026'!$B:$B,$A50,'Source 2026'!$A:$A,"Amount (NIS)")</f>
        <v>2193.8</v>
      </c>
      <c r="J50" s="8" t="n">
        <f aca="false">I50*$J$5</f>
        <v>3008.64</v>
      </c>
      <c r="K50" s="8" t="n">
        <f aca="false">J50-H50</f>
        <v>3008.64</v>
      </c>
      <c r="L50" s="9" t="str">
        <f aca="false">IF(AND(H50=0,J50=0),0,IF(H50=0,"New",(J50-H50)/H50))</f>
        <v>New</v>
      </c>
    </row>
    <row r="51" customFormat="false" ht="15" hidden="false" customHeight="false" outlineLevel="0" collapsed="false">
      <c r="A51" s="7" t="n">
        <v>4413161</v>
      </c>
      <c r="B51" s="7" t="str">
        <f aca="false">IFERROR(INDEX('Source 2026'!$C:$C,MATCH($A51,'Source 2026'!$B:$B,0)),IFERROR(INDEX('Source 2025'!$C:$C,MATCH($A51,'Source 2025'!$B:$B,0)),""))</f>
        <v>34+ L מגן קרסול עקב סגור+רצוע</v>
      </c>
      <c r="C51" s="8" t="n">
        <f aca="false">SUMIFS('Source 2025'!$K:$K,'Source 2025'!$B:$B,$A51,'Source 2025'!$A:$A,"Quantity (units)")</f>
        <v>0</v>
      </c>
      <c r="D51" s="8" t="n">
        <f aca="false">SUMIFS('Source 2026'!$K:$K,'Source 2026'!$B:$B,$A51,'Source 2026'!$A:$A,"Quantity (units)")</f>
        <v>53</v>
      </c>
      <c r="E51" s="8" t="n">
        <f aca="false">D51*$J$5</f>
        <v>72.6857142857143</v>
      </c>
      <c r="F51" s="8" t="n">
        <f aca="false">E51-C51</f>
        <v>72.6857142857143</v>
      </c>
      <c r="G51" s="9" t="str">
        <f aca="false">IF(AND(C51=0,E51=0),0,IF(C51=0,"New",(E51-C51)/C51))</f>
        <v>New</v>
      </c>
      <c r="H51" s="8" t="n">
        <f aca="false">SUMIFS('Source 2025'!$K:$K,'Source 2025'!$B:$B,$A51,'Source 2025'!$A:$A,"Amount (NIS)")</f>
        <v>0</v>
      </c>
      <c r="I51" s="8" t="n">
        <f aca="false">SUMIFS('Source 2026'!$K:$K,'Source 2026'!$B:$B,$A51,'Source 2026'!$A:$A,"Amount (NIS)")</f>
        <v>2161.2</v>
      </c>
      <c r="J51" s="8" t="n">
        <f aca="false">I51*$J$5</f>
        <v>2963.93142857143</v>
      </c>
      <c r="K51" s="8" t="n">
        <f aca="false">J51-H51</f>
        <v>2963.93142857143</v>
      </c>
      <c r="L51" s="9" t="str">
        <f aca="false">IF(AND(H51=0,J51=0),0,IF(H51=0,"New",(J51-H51)/H51))</f>
        <v>New</v>
      </c>
    </row>
    <row r="52" customFormat="false" ht="15" hidden="false" customHeight="false" outlineLevel="0" collapsed="false">
      <c r="A52" s="7" t="n">
        <v>4422039</v>
      </c>
      <c r="B52" s="7" t="str">
        <f aca="false">IFERROR(INDEX('Source 2026'!$C:$C,MATCH($A52,'Source 2026'!$B:$B,0)),IFERROR(INDEX('Source 2025'!$C:$C,MATCH($A52,'Source 2025'!$B:$B,0)),""))</f>
        <v>SH422 3 תומך ברך גנושילד</v>
      </c>
      <c r="C52" s="8" t="n">
        <f aca="false">SUMIFS('Source 2025'!$K:$K,'Source 2025'!$B:$B,$A52,'Source 2025'!$A:$A,"Quantity (units)")</f>
        <v>0</v>
      </c>
      <c r="D52" s="8" t="n">
        <f aca="false">SUMIFS('Source 2026'!$K:$K,'Source 2026'!$B:$B,$A52,'Source 2026'!$A:$A,"Quantity (units)")</f>
        <v>17</v>
      </c>
      <c r="E52" s="8" t="n">
        <f aca="false">D52*$J$5</f>
        <v>23.3142857142857</v>
      </c>
      <c r="F52" s="8" t="n">
        <f aca="false">E52-C52</f>
        <v>23.3142857142857</v>
      </c>
      <c r="G52" s="9" t="str">
        <f aca="false">IF(AND(C52=0,E52=0),0,IF(C52=0,"New",(E52-C52)/C52))</f>
        <v>New</v>
      </c>
      <c r="H52" s="8" t="n">
        <f aca="false">SUMIFS('Source 2025'!$K:$K,'Source 2025'!$B:$B,$A52,'Source 2025'!$A:$A,"Amount (NIS)")</f>
        <v>0</v>
      </c>
      <c r="I52" s="8" t="n">
        <f aca="false">SUMIFS('Source 2026'!$K:$K,'Source 2026'!$B:$B,$A52,'Source 2026'!$A:$A,"Amount (NIS)")</f>
        <v>2125</v>
      </c>
      <c r="J52" s="8" t="n">
        <f aca="false">I52*$J$5</f>
        <v>2914.28571428571</v>
      </c>
      <c r="K52" s="8" t="n">
        <f aca="false">J52-H52</f>
        <v>2914.28571428571</v>
      </c>
      <c r="L52" s="9" t="str">
        <f aca="false">IF(AND(H52=0,J52=0),0,IF(H52=0,"New",(J52-H52)/H52))</f>
        <v>New</v>
      </c>
    </row>
    <row r="53" customFormat="false" ht="15" hidden="false" customHeight="false" outlineLevel="0" collapsed="false">
      <c r="A53" s="7" t="n">
        <v>4422042</v>
      </c>
      <c r="B53" s="7" t="str">
        <f aca="false">IFERROR(INDEX('Source 2026'!$C:$C,MATCH($A53,'Source 2026'!$B:$B,0)),IFERROR(INDEX('Source 2025'!$C:$C,MATCH($A53,'Source 2025'!$B:$B,0)),""))</f>
        <v>SH422 6 תומך ברך גנושילד</v>
      </c>
      <c r="C53" s="8" t="n">
        <f aca="false">SUMIFS('Source 2025'!$K:$K,'Source 2025'!$B:$B,$A53,'Source 2025'!$A:$A,"Quantity (units)")</f>
        <v>0</v>
      </c>
      <c r="D53" s="8" t="n">
        <f aca="false">SUMIFS('Source 2026'!$K:$K,'Source 2026'!$B:$B,$A53,'Source 2026'!$A:$A,"Quantity (units)")</f>
        <v>17</v>
      </c>
      <c r="E53" s="8" t="n">
        <f aca="false">D53*$J$5</f>
        <v>23.3142857142857</v>
      </c>
      <c r="F53" s="8" t="n">
        <f aca="false">E53-C53</f>
        <v>23.3142857142857</v>
      </c>
      <c r="G53" s="9" t="str">
        <f aca="false">IF(AND(C53=0,E53=0),0,IF(C53=0,"New",(E53-C53)/C53))</f>
        <v>New</v>
      </c>
      <c r="H53" s="8" t="n">
        <f aca="false">SUMIFS('Source 2025'!$K:$K,'Source 2025'!$B:$B,$A53,'Source 2025'!$A:$A,"Amount (NIS)")</f>
        <v>0</v>
      </c>
      <c r="I53" s="8" t="n">
        <f aca="false">SUMIFS('Source 2026'!$K:$K,'Source 2026'!$B:$B,$A53,'Source 2026'!$A:$A,"Amount (NIS)")</f>
        <v>2125</v>
      </c>
      <c r="J53" s="8" t="n">
        <f aca="false">I53*$J$5</f>
        <v>2914.28571428571</v>
      </c>
      <c r="K53" s="8" t="n">
        <f aca="false">J53-H53</f>
        <v>2914.28571428571</v>
      </c>
      <c r="L53" s="9" t="str">
        <f aca="false">IF(AND(H53=0,J53=0),0,IF(H53=0,"New",(J53-H53)/H53))</f>
        <v>New</v>
      </c>
    </row>
    <row r="54" customFormat="false" ht="15" hidden="false" customHeight="false" outlineLevel="0" collapsed="false">
      <c r="A54" s="7" t="n">
        <v>4408032</v>
      </c>
      <c r="B54" s="7" t="str">
        <f aca="false">IFERROR(INDEX('Source 2026'!$C:$C,MATCH($A54,'Source 2026'!$B:$B,0)),IFERROR(INDEX('Source 2025'!$C:$C,MATCH($A54,'Source 2025'!$B:$B,0)),""))</f>
        <v>11 L""חגורת בטן""אורירית</v>
      </c>
      <c r="C54" s="8" t="n">
        <f aca="false">SUMIFS('Source 2025'!$K:$K,'Source 2025'!$B:$B,$A54,'Source 2025'!$A:$A,"Quantity (units)")</f>
        <v>0</v>
      </c>
      <c r="D54" s="8" t="n">
        <f aca="false">SUMIFS('Source 2026'!$K:$K,'Source 2026'!$B:$B,$A54,'Source 2026'!$A:$A,"Quantity (units)")</f>
        <v>29</v>
      </c>
      <c r="E54" s="8" t="n">
        <f aca="false">D54*$J$5</f>
        <v>39.7714285714286</v>
      </c>
      <c r="F54" s="8" t="n">
        <f aca="false">E54-C54</f>
        <v>39.7714285714286</v>
      </c>
      <c r="G54" s="9" t="str">
        <f aca="false">IF(AND(C54=0,E54=0),0,IF(C54=0,"New",(E54-C54)/C54))</f>
        <v>New</v>
      </c>
      <c r="H54" s="8" t="n">
        <f aca="false">SUMIFS('Source 2025'!$K:$K,'Source 2025'!$B:$B,$A54,'Source 2025'!$A:$A,"Amount (NIS)")</f>
        <v>0</v>
      </c>
      <c r="I54" s="8" t="n">
        <f aca="false">SUMIFS('Source 2026'!$K:$K,'Source 2026'!$B:$B,$A54,'Source 2026'!$A:$A,"Amount (NIS)")</f>
        <v>2043.6</v>
      </c>
      <c r="J54" s="8" t="n">
        <f aca="false">I54*$J$5</f>
        <v>2802.65142857143</v>
      </c>
      <c r="K54" s="8" t="n">
        <f aca="false">J54-H54</f>
        <v>2802.65142857143</v>
      </c>
      <c r="L54" s="9" t="str">
        <f aca="false">IF(AND(H54=0,J54=0),0,IF(H54=0,"New",(J54-H54)/H54))</f>
        <v>New</v>
      </c>
    </row>
    <row r="55" customFormat="false" ht="15" hidden="false" customHeight="false" outlineLevel="0" collapsed="false">
      <c r="A55" s="7" t="n">
        <v>4413095</v>
      </c>
      <c r="B55" s="7" t="str">
        <f aca="false">IFERROR(INDEX('Source 2026'!$C:$C,MATCH($A55,'Source 2026'!$B:$B,0)),IFERROR(INDEX('Source 2025'!$C:$C,MATCH($A55,'Source 2025'!$B:$B,0)),""))</f>
        <v>45 XL מגן ברך לבן</v>
      </c>
      <c r="C55" s="8" t="n">
        <f aca="false">SUMIFS('Source 2025'!$K:$K,'Source 2025'!$B:$B,$A55,'Source 2025'!$A:$A,"Quantity (units)")</f>
        <v>0</v>
      </c>
      <c r="D55" s="8" t="n">
        <f aca="false">SUMIFS('Source 2026'!$K:$K,'Source 2026'!$B:$B,$A55,'Source 2026'!$A:$A,"Quantity (units)")</f>
        <v>131</v>
      </c>
      <c r="E55" s="8" t="n">
        <f aca="false">D55*$J$5</f>
        <v>179.657142857143</v>
      </c>
      <c r="F55" s="8" t="n">
        <f aca="false">E55-C55</f>
        <v>179.657142857143</v>
      </c>
      <c r="G55" s="9" t="str">
        <f aca="false">IF(AND(C55=0,E55=0),0,IF(C55=0,"New",(E55-C55)/C55))</f>
        <v>New</v>
      </c>
      <c r="H55" s="8" t="n">
        <f aca="false">SUMIFS('Source 2025'!$K:$K,'Source 2025'!$B:$B,$A55,'Source 2025'!$A:$A,"Amount (NIS)")</f>
        <v>0</v>
      </c>
      <c r="I55" s="8" t="n">
        <f aca="false">SUMIFS('Source 2026'!$K:$K,'Source 2026'!$B:$B,$A55,'Source 2026'!$A:$A,"Amount (NIS)")</f>
        <v>2033.6</v>
      </c>
      <c r="J55" s="8" t="n">
        <f aca="false">I55*$J$5</f>
        <v>2788.93714285714</v>
      </c>
      <c r="K55" s="8" t="n">
        <f aca="false">J55-H55</f>
        <v>2788.93714285714</v>
      </c>
      <c r="L55" s="9" t="str">
        <f aca="false">IF(AND(H55=0,J55=0),0,IF(H55=0,"New",(J55-H55)/H55))</f>
        <v>New</v>
      </c>
    </row>
    <row r="56" customFormat="false" ht="15" hidden="false" customHeight="false" outlineLevel="0" collapsed="false">
      <c r="A56" s="7" t="n">
        <v>4413102</v>
      </c>
      <c r="B56" s="7" t="str">
        <f aca="false">IFERROR(INDEX('Source 2026'!$C:$C,MATCH($A56,'Source 2026'!$B:$B,0)),IFERROR(INDEX('Source 2025'!$C:$C,MATCH($A56,'Source 2025'!$B:$B,0)),""))</f>
        <v>45E  L        מגן ברך ארוך לבן</v>
      </c>
      <c r="C56" s="8" t="n">
        <f aca="false">SUMIFS('Source 2025'!$K:$K,'Source 2025'!$B:$B,$A56,'Source 2025'!$A:$A,"Quantity (units)")</f>
        <v>0</v>
      </c>
      <c r="D56" s="8" t="n">
        <f aca="false">SUMIFS('Source 2026'!$K:$K,'Source 2026'!$B:$B,$A56,'Source 2026'!$A:$A,"Quantity (units)")</f>
        <v>104</v>
      </c>
      <c r="E56" s="8" t="n">
        <f aca="false">D56*$J$5</f>
        <v>142.628571428571</v>
      </c>
      <c r="F56" s="8" t="n">
        <f aca="false">E56-C56</f>
        <v>142.628571428571</v>
      </c>
      <c r="G56" s="9" t="str">
        <f aca="false">IF(AND(C56=0,E56=0),0,IF(C56=0,"New",(E56-C56)/C56))</f>
        <v>New</v>
      </c>
      <c r="H56" s="8" t="n">
        <f aca="false">SUMIFS('Source 2025'!$K:$K,'Source 2025'!$B:$B,$A56,'Source 2025'!$A:$A,"Amount (NIS)")</f>
        <v>0</v>
      </c>
      <c r="I56" s="8" t="n">
        <f aca="false">SUMIFS('Source 2026'!$K:$K,'Source 2026'!$B:$B,$A56,'Source 2026'!$A:$A,"Amount (NIS)")</f>
        <v>2029.5</v>
      </c>
      <c r="J56" s="8" t="n">
        <f aca="false">I56*$J$5</f>
        <v>2783.31428571429</v>
      </c>
      <c r="K56" s="8" t="n">
        <f aca="false">J56-H56</f>
        <v>2783.31428571429</v>
      </c>
      <c r="L56" s="9" t="str">
        <f aca="false">IF(AND(H56=0,J56=0),0,IF(H56=0,"New",(J56-H56)/H56))</f>
        <v>New</v>
      </c>
    </row>
    <row r="57" customFormat="false" ht="15" hidden="false" customHeight="false" outlineLevel="0" collapsed="false">
      <c r="A57" s="7" t="n">
        <v>4408269</v>
      </c>
      <c r="B57" s="7" t="str">
        <f aca="false">IFERROR(INDEX('Source 2026'!$C:$C,MATCH($A57,'Source 2026'!$B:$B,0)),IFERROR(INDEX('Source 2025'!$C:$C,MATCH($A57,'Source 2025'!$B:$B,0)),""))</f>
        <v>ST37 חבק לקרסול</v>
      </c>
      <c r="C57" s="8" t="n">
        <f aca="false">SUMIFS('Source 2025'!$K:$K,'Source 2025'!$B:$B,$A57,'Source 2025'!$A:$A,"Quantity (units)")</f>
        <v>0</v>
      </c>
      <c r="D57" s="8" t="n">
        <f aca="false">SUMIFS('Source 2026'!$K:$K,'Source 2026'!$B:$B,$A57,'Source 2026'!$A:$A,"Quantity (units)")</f>
        <v>97</v>
      </c>
      <c r="E57" s="8" t="n">
        <f aca="false">D57*$J$5</f>
        <v>133.028571428571</v>
      </c>
      <c r="F57" s="8" t="n">
        <f aca="false">E57-C57</f>
        <v>133.028571428571</v>
      </c>
      <c r="G57" s="9" t="str">
        <f aca="false">IF(AND(C57=0,E57=0),0,IF(C57=0,"New",(E57-C57)/C57))</f>
        <v>New</v>
      </c>
      <c r="H57" s="8" t="n">
        <f aca="false">SUMIFS('Source 2025'!$K:$K,'Source 2025'!$B:$B,$A57,'Source 2025'!$A:$A,"Amount (NIS)")</f>
        <v>0</v>
      </c>
      <c r="I57" s="8" t="n">
        <f aca="false">SUMIFS('Source 2026'!$K:$K,'Source 2026'!$B:$B,$A57,'Source 2026'!$A:$A,"Amount (NIS)")</f>
        <v>1989.8</v>
      </c>
      <c r="J57" s="8" t="n">
        <f aca="false">I57*$J$5</f>
        <v>2728.86857142857</v>
      </c>
      <c r="K57" s="8" t="n">
        <f aca="false">J57-H57</f>
        <v>2728.86857142857</v>
      </c>
      <c r="L57" s="9" t="str">
        <f aca="false">IF(AND(H57=0,J57=0),0,IF(H57=0,"New",(J57-H57)/H57))</f>
        <v>New</v>
      </c>
    </row>
    <row r="58" customFormat="false" ht="15" hidden="false" customHeight="false" outlineLevel="0" collapsed="false">
      <c r="A58" s="7" t="n">
        <v>4408220</v>
      </c>
      <c r="B58" s="7" t="str">
        <f aca="false">IFERROR(INDEX('Source 2026'!$C:$C,MATCH($A58,'Source 2026'!$B:$B,0)),IFERROR(INDEX('Source 2025'!$C:$C,MATCH($A58,'Source 2025'!$B:$B,0)),""))</f>
        <v>078G-M חגורת גב אפורה</v>
      </c>
      <c r="C58" s="8" t="n">
        <f aca="false">SUMIFS('Source 2025'!$K:$K,'Source 2025'!$B:$B,$A58,'Source 2025'!$A:$A,"Quantity (units)")</f>
        <v>0</v>
      </c>
      <c r="D58" s="8" t="n">
        <f aca="false">SUMIFS('Source 2026'!$K:$K,'Source 2026'!$B:$B,$A58,'Source 2026'!$A:$A,"Quantity (units)")</f>
        <v>30</v>
      </c>
      <c r="E58" s="8" t="n">
        <f aca="false">D58*$J$5</f>
        <v>41.1428571428571</v>
      </c>
      <c r="F58" s="8" t="n">
        <f aca="false">E58-C58</f>
        <v>41.1428571428571</v>
      </c>
      <c r="G58" s="9" t="str">
        <f aca="false">IF(AND(C58=0,E58=0),0,IF(C58=0,"New",(E58-C58)/C58))</f>
        <v>New</v>
      </c>
      <c r="H58" s="8" t="n">
        <f aca="false">SUMIFS('Source 2025'!$K:$K,'Source 2025'!$B:$B,$A58,'Source 2025'!$A:$A,"Amount (NIS)")</f>
        <v>0</v>
      </c>
      <c r="I58" s="8" t="n">
        <f aca="false">SUMIFS('Source 2026'!$K:$K,'Source 2026'!$B:$B,$A58,'Source 2026'!$A:$A,"Amount (NIS)")</f>
        <v>1950</v>
      </c>
      <c r="J58" s="8" t="n">
        <f aca="false">I58*$J$5</f>
        <v>2674.28571428571</v>
      </c>
      <c r="K58" s="8" t="n">
        <f aca="false">J58-H58</f>
        <v>2674.28571428571</v>
      </c>
      <c r="L58" s="9" t="str">
        <f aca="false">IF(AND(H58=0,J58=0),0,IF(H58=0,"New",(J58-H58)/H58))</f>
        <v>New</v>
      </c>
    </row>
    <row r="59" customFormat="false" ht="15" hidden="false" customHeight="false" outlineLevel="0" collapsed="false">
      <c r="A59" s="7" t="n">
        <v>4413534</v>
      </c>
      <c r="B59" s="7" t="str">
        <f aca="false">IFERROR(INDEX('Source 2026'!$C:$C,MATCH($A59,'Source 2026'!$B:$B,0)),IFERROR(INDEX('Source 2025'!$C:$C,MATCH($A59,'Source 2025'!$B:$B,0)),""))</f>
        <v>SH333 מקבע קרסול</v>
      </c>
      <c r="C59" s="8" t="n">
        <f aca="false">SUMIFS('Source 2025'!$K:$K,'Source 2025'!$B:$B,$A59,'Source 2025'!$A:$A,"Quantity (units)")</f>
        <v>0</v>
      </c>
      <c r="D59" s="8" t="n">
        <f aca="false">SUMIFS('Source 2026'!$K:$K,'Source 2026'!$B:$B,$A59,'Source 2026'!$A:$A,"Quantity (units)")</f>
        <v>21</v>
      </c>
      <c r="E59" s="8" t="n">
        <f aca="false">D59*$J$5</f>
        <v>28.8</v>
      </c>
      <c r="F59" s="8" t="n">
        <f aca="false">E59-C59</f>
        <v>28.8</v>
      </c>
      <c r="G59" s="9" t="str">
        <f aca="false">IF(AND(C59=0,E59=0),0,IF(C59=0,"New",(E59-C59)/C59))</f>
        <v>New</v>
      </c>
      <c r="H59" s="8" t="n">
        <f aca="false">SUMIFS('Source 2025'!$K:$K,'Source 2025'!$B:$B,$A59,'Source 2025'!$A:$A,"Amount (NIS)")</f>
        <v>0</v>
      </c>
      <c r="I59" s="8" t="n">
        <f aca="false">SUMIFS('Source 2026'!$K:$K,'Source 2026'!$B:$B,$A59,'Source 2026'!$A:$A,"Amount (NIS)")</f>
        <v>1932</v>
      </c>
      <c r="J59" s="8" t="n">
        <f aca="false">I59*$J$5</f>
        <v>2649.6</v>
      </c>
      <c r="K59" s="8" t="n">
        <f aca="false">J59-H59</f>
        <v>2649.6</v>
      </c>
      <c r="L59" s="9" t="str">
        <f aca="false">IF(AND(H59=0,J59=0),0,IF(H59=0,"New",(J59-H59)/H59))</f>
        <v>New</v>
      </c>
    </row>
    <row r="60" customFormat="false" ht="15" hidden="false" customHeight="false" outlineLevel="0" collapsed="false">
      <c r="A60" s="7" t="n">
        <v>4413137</v>
      </c>
      <c r="B60" s="7" t="str">
        <f aca="false">IFERROR(INDEX('Source 2026'!$C:$C,MATCH($A60,'Source 2026'!$B:$B,0)),IFERROR(INDEX('Source 2025'!$C:$C,MATCH($A60,'Source 2025'!$B:$B,0)),""))</f>
        <v>85 S (מתלה ליד )כיס</v>
      </c>
      <c r="C60" s="8" t="n">
        <f aca="false">SUMIFS('Source 2025'!$K:$K,'Source 2025'!$B:$B,$A60,'Source 2025'!$A:$A,"Quantity (units)")</f>
        <v>0</v>
      </c>
      <c r="D60" s="8" t="n">
        <f aca="false">SUMIFS('Source 2026'!$K:$K,'Source 2026'!$B:$B,$A60,'Source 2026'!$A:$A,"Quantity (units)")</f>
        <v>55</v>
      </c>
      <c r="E60" s="8" t="n">
        <f aca="false">D60*$J$5</f>
        <v>75.4285714285714</v>
      </c>
      <c r="F60" s="8" t="n">
        <f aca="false">E60-C60</f>
        <v>75.4285714285714</v>
      </c>
      <c r="G60" s="9" t="str">
        <f aca="false">IF(AND(C60=0,E60=0),0,IF(C60=0,"New",(E60-C60)/C60))</f>
        <v>New</v>
      </c>
      <c r="H60" s="8" t="n">
        <f aca="false">SUMIFS('Source 2025'!$K:$K,'Source 2025'!$B:$B,$A60,'Source 2025'!$A:$A,"Amount (NIS)")</f>
        <v>0</v>
      </c>
      <c r="I60" s="8" t="n">
        <f aca="false">SUMIFS('Source 2026'!$K:$K,'Source 2026'!$B:$B,$A60,'Source 2026'!$A:$A,"Amount (NIS)")</f>
        <v>1872.5</v>
      </c>
      <c r="J60" s="8" t="n">
        <f aca="false">I60*$J$5</f>
        <v>2568</v>
      </c>
      <c r="K60" s="8" t="n">
        <f aca="false">J60-H60</f>
        <v>2568</v>
      </c>
      <c r="L60" s="9" t="str">
        <f aca="false">IF(AND(H60=0,J60=0),0,IF(H60=0,"New",(J60-H60)/H60))</f>
        <v>New</v>
      </c>
    </row>
    <row r="61" customFormat="false" ht="15" hidden="false" customHeight="false" outlineLevel="0" collapsed="false">
      <c r="A61" s="7" t="n">
        <v>4421001</v>
      </c>
      <c r="B61" s="7" t="str">
        <f aca="false">IFERROR(INDEX('Source 2026'!$C:$C,MATCH($A61,'Source 2026'!$B:$B,0)),IFERROR(INDEX('Source 2025'!$C:$C,MATCH($A61,'Source 2025'!$B:$B,0)),""))</f>
        <v>3611 שרוול מטטרזלי מסיליקון</v>
      </c>
      <c r="C61" s="8" t="n">
        <f aca="false">SUMIFS('Source 2025'!$K:$K,'Source 2025'!$B:$B,$A61,'Source 2025'!$A:$A,"Quantity (units)")</f>
        <v>0</v>
      </c>
      <c r="D61" s="8" t="n">
        <f aca="false">SUMIFS('Source 2026'!$K:$K,'Source 2026'!$B:$B,$A61,'Source 2026'!$A:$A,"Quantity (units)")</f>
        <v>47</v>
      </c>
      <c r="E61" s="8" t="n">
        <f aca="false">D61*$J$5</f>
        <v>64.4571428571429</v>
      </c>
      <c r="F61" s="8" t="n">
        <f aca="false">E61-C61</f>
        <v>64.4571428571429</v>
      </c>
      <c r="G61" s="9" t="str">
        <f aca="false">IF(AND(C61=0,E61=0),0,IF(C61=0,"New",(E61-C61)/C61))</f>
        <v>New</v>
      </c>
      <c r="H61" s="8" t="n">
        <f aca="false">SUMIFS('Source 2025'!$K:$K,'Source 2025'!$B:$B,$A61,'Source 2025'!$A:$A,"Amount (NIS)")</f>
        <v>0</v>
      </c>
      <c r="I61" s="8" t="n">
        <f aca="false">SUMIFS('Source 2026'!$K:$K,'Source 2026'!$B:$B,$A61,'Source 2026'!$A:$A,"Amount (NIS)")</f>
        <v>1823.1</v>
      </c>
      <c r="J61" s="8" t="n">
        <f aca="false">I61*$J$5</f>
        <v>2500.25142857143</v>
      </c>
      <c r="K61" s="8" t="n">
        <f aca="false">J61-H61</f>
        <v>2500.25142857143</v>
      </c>
      <c r="L61" s="9" t="str">
        <f aca="false">IF(AND(H61=0,J61=0),0,IF(H61=0,"New",(J61-H61)/H61))</f>
        <v>New</v>
      </c>
    </row>
    <row r="62" customFormat="false" ht="15" hidden="false" customHeight="false" outlineLevel="0" collapsed="false">
      <c r="A62" s="7" t="n">
        <v>4413198</v>
      </c>
      <c r="B62" s="7" t="str">
        <f aca="false">IFERROR(INDEX('Source 2026'!$C:$C,MATCH($A62,'Source 2026'!$B:$B,0)),IFERROR(INDEX('Source 2025'!$C:$C,MATCH($A62,'Source 2025'!$B:$B,0)),""))</f>
        <v>87 XL מקבע כתף ויד</v>
      </c>
      <c r="C62" s="8" t="n">
        <f aca="false">SUMIFS('Source 2025'!$K:$K,'Source 2025'!$B:$B,$A62,'Source 2025'!$A:$A,"Quantity (units)")</f>
        <v>0</v>
      </c>
      <c r="D62" s="8" t="n">
        <f aca="false">SUMIFS('Source 2026'!$K:$K,'Source 2026'!$B:$B,$A62,'Source 2026'!$A:$A,"Quantity (units)")</f>
        <v>14</v>
      </c>
      <c r="E62" s="8" t="n">
        <f aca="false">D62*$J$5</f>
        <v>19.2</v>
      </c>
      <c r="F62" s="8" t="n">
        <f aca="false">E62-C62</f>
        <v>19.2</v>
      </c>
      <c r="G62" s="9" t="str">
        <f aca="false">IF(AND(C62=0,E62=0),0,IF(C62=0,"New",(E62-C62)/C62))</f>
        <v>New</v>
      </c>
      <c r="H62" s="8" t="n">
        <f aca="false">SUMIFS('Source 2025'!$K:$K,'Source 2025'!$B:$B,$A62,'Source 2025'!$A:$A,"Amount (NIS)")</f>
        <v>0</v>
      </c>
      <c r="I62" s="8" t="n">
        <f aca="false">SUMIFS('Source 2026'!$K:$K,'Source 2026'!$B:$B,$A62,'Source 2026'!$A:$A,"Amount (NIS)")</f>
        <v>1771</v>
      </c>
      <c r="J62" s="8" t="n">
        <f aca="false">I62*$J$5</f>
        <v>2428.8</v>
      </c>
      <c r="K62" s="8" t="n">
        <f aca="false">J62-H62</f>
        <v>2428.8</v>
      </c>
      <c r="L62" s="9" t="str">
        <f aca="false">IF(AND(H62=0,J62=0),0,IF(H62=0,"New",(J62-H62)/H62))</f>
        <v>New</v>
      </c>
    </row>
    <row r="63" customFormat="false" ht="15" hidden="false" customHeight="false" outlineLevel="0" collapsed="false">
      <c r="A63" s="7" t="n">
        <v>4420002</v>
      </c>
      <c r="B63" s="7" t="str">
        <f aca="false">IFERROR(INDEX('Source 2026'!$C:$C,MATCH($A63,'Source 2026'!$B:$B,0)),IFERROR(INDEX('Source 2025'!$C:$C,MATCH($A63,'Source 2025'!$B:$B,0)),""))</f>
        <v>372 רפידת אנטי ריח -זוג</v>
      </c>
      <c r="C63" s="8" t="n">
        <f aca="false">SUMIFS('Source 2025'!$K:$K,'Source 2025'!$B:$B,$A63,'Source 2025'!$A:$A,"Quantity (units)")</f>
        <v>0</v>
      </c>
      <c r="D63" s="8" t="n">
        <f aca="false">SUMIFS('Source 2026'!$K:$K,'Source 2026'!$B:$B,$A63,'Source 2026'!$A:$A,"Quantity (units)")</f>
        <v>188</v>
      </c>
      <c r="E63" s="8" t="n">
        <f aca="false">D63*$J$5</f>
        <v>257.828571428571</v>
      </c>
      <c r="F63" s="8" t="n">
        <f aca="false">E63-C63</f>
        <v>257.828571428571</v>
      </c>
      <c r="G63" s="9" t="str">
        <f aca="false">IF(AND(C63=0,E63=0),0,IF(C63=0,"New",(E63-C63)/C63))</f>
        <v>New</v>
      </c>
      <c r="H63" s="8" t="n">
        <f aca="false">SUMIFS('Source 2025'!$K:$K,'Source 2025'!$B:$B,$A63,'Source 2025'!$A:$A,"Amount (NIS)")</f>
        <v>0</v>
      </c>
      <c r="I63" s="8" t="n">
        <f aca="false">SUMIFS('Source 2026'!$K:$K,'Source 2026'!$B:$B,$A63,'Source 2026'!$A:$A,"Amount (NIS)")</f>
        <v>1755.3</v>
      </c>
      <c r="J63" s="8" t="n">
        <f aca="false">I63*$J$5</f>
        <v>2407.26857142857</v>
      </c>
      <c r="K63" s="8" t="n">
        <f aca="false">J63-H63</f>
        <v>2407.26857142857</v>
      </c>
      <c r="L63" s="9" t="str">
        <f aca="false">IF(AND(H63=0,J63=0),0,IF(H63=0,"New",(J63-H63)/H63))</f>
        <v>New</v>
      </c>
    </row>
    <row r="64" customFormat="false" ht="15" hidden="false" customHeight="false" outlineLevel="0" collapsed="false">
      <c r="A64" s="7" t="n">
        <v>4413138</v>
      </c>
      <c r="B64" s="7" t="str">
        <f aca="false">IFERROR(INDEX('Source 2026'!$C:$C,MATCH($A64,'Source 2026'!$B:$B,0)),IFERROR(INDEX('Source 2025'!$C:$C,MATCH($A64,'Source 2025'!$B:$B,0)),""))</f>
        <v>85 XL (מתלה ליד )כיס</v>
      </c>
      <c r="C64" s="8" t="n">
        <f aca="false">SUMIFS('Source 2025'!$K:$K,'Source 2025'!$B:$B,$A64,'Source 2025'!$A:$A,"Quantity (units)")</f>
        <v>0</v>
      </c>
      <c r="D64" s="8" t="n">
        <f aca="false">SUMIFS('Source 2026'!$K:$K,'Source 2026'!$B:$B,$A64,'Source 2026'!$A:$A,"Quantity (units)")</f>
        <v>54</v>
      </c>
      <c r="E64" s="8" t="n">
        <f aca="false">D64*$J$5</f>
        <v>74.0571428571429</v>
      </c>
      <c r="F64" s="8" t="n">
        <f aca="false">E64-C64</f>
        <v>74.0571428571429</v>
      </c>
      <c r="G64" s="9" t="str">
        <f aca="false">IF(AND(C64=0,E64=0),0,IF(C64=0,"New",(E64-C64)/C64))</f>
        <v>New</v>
      </c>
      <c r="H64" s="8" t="n">
        <f aca="false">SUMIFS('Source 2025'!$K:$K,'Source 2025'!$B:$B,$A64,'Source 2025'!$A:$A,"Amount (NIS)")</f>
        <v>0</v>
      </c>
      <c r="I64" s="8" t="n">
        <f aca="false">SUMIFS('Source 2026'!$K:$K,'Source 2026'!$B:$B,$A64,'Source 2026'!$A:$A,"Amount (NIS)")</f>
        <v>1741.3</v>
      </c>
      <c r="J64" s="8" t="n">
        <f aca="false">I64*$J$5</f>
        <v>2388.06857142857</v>
      </c>
      <c r="K64" s="8" t="n">
        <f aca="false">J64-H64</f>
        <v>2388.06857142857</v>
      </c>
      <c r="L64" s="9" t="str">
        <f aca="false">IF(AND(H64=0,J64=0),0,IF(H64=0,"New",(J64-H64)/H64))</f>
        <v>New</v>
      </c>
    </row>
    <row r="65" customFormat="false" ht="15" hidden="false" customHeight="false" outlineLevel="0" collapsed="false">
      <c r="A65" s="7" t="n">
        <v>4413160</v>
      </c>
      <c r="B65" s="7" t="str">
        <f aca="false">IFERROR(INDEX('Source 2026'!$C:$C,MATCH($A65,'Source 2026'!$B:$B,0)),IFERROR(INDEX('Source 2025'!$C:$C,MATCH($A65,'Source 2025'!$B:$B,0)),""))</f>
        <v>34+ M מגן קרסול עקב סגור+רצוע</v>
      </c>
      <c r="C65" s="8" t="n">
        <f aca="false">SUMIFS('Source 2025'!$K:$K,'Source 2025'!$B:$B,$A65,'Source 2025'!$A:$A,"Quantity (units)")</f>
        <v>0</v>
      </c>
      <c r="D65" s="8" t="n">
        <f aca="false">SUMIFS('Source 2026'!$K:$K,'Source 2026'!$B:$B,$A65,'Source 2026'!$A:$A,"Quantity (units)")</f>
        <v>43</v>
      </c>
      <c r="E65" s="8" t="n">
        <f aca="false">D65*$J$5</f>
        <v>58.9714285714286</v>
      </c>
      <c r="F65" s="8" t="n">
        <f aca="false">E65-C65</f>
        <v>58.9714285714286</v>
      </c>
      <c r="G65" s="9" t="str">
        <f aca="false">IF(AND(C65=0,E65=0),0,IF(C65=0,"New",(E65-C65)/C65))</f>
        <v>New</v>
      </c>
      <c r="H65" s="8" t="n">
        <f aca="false">SUMIFS('Source 2025'!$K:$K,'Source 2025'!$B:$B,$A65,'Source 2025'!$A:$A,"Amount (NIS)")</f>
        <v>0</v>
      </c>
      <c r="I65" s="8" t="n">
        <f aca="false">SUMIFS('Source 2026'!$K:$K,'Source 2026'!$B:$B,$A65,'Source 2026'!$A:$A,"Amount (NIS)")</f>
        <v>1686.8</v>
      </c>
      <c r="J65" s="8" t="n">
        <f aca="false">I65*$J$5</f>
        <v>2313.32571428571</v>
      </c>
      <c r="K65" s="8" t="n">
        <f aca="false">J65-H65</f>
        <v>2313.32571428571</v>
      </c>
      <c r="L65" s="9" t="str">
        <f aca="false">IF(AND(H65=0,J65=0),0,IF(H65=0,"New",(J65-H65)/H65))</f>
        <v>New</v>
      </c>
    </row>
    <row r="66" customFormat="false" ht="15" hidden="false" customHeight="false" outlineLevel="0" collapsed="false">
      <c r="A66" s="7" t="n">
        <v>4408271</v>
      </c>
      <c r="B66" s="7" t="str">
        <f aca="false">IFERROR(INDEX('Source 2026'!$C:$C,MATCH($A66,'Source 2026'!$B:$B,0)),IFERROR(INDEX('Source 2025'!$C:$C,MATCH($A66,'Source 2025'!$B:$B,0)),""))</f>
        <v>70N XS חגורת פאבליק</v>
      </c>
      <c r="C66" s="8" t="n">
        <f aca="false">SUMIFS('Source 2025'!$K:$K,'Source 2025'!$B:$B,$A66,'Source 2025'!$A:$A,"Quantity (units)")</f>
        <v>0</v>
      </c>
      <c r="D66" s="8" t="n">
        <f aca="false">SUMIFS('Source 2026'!$K:$K,'Source 2026'!$B:$B,$A66,'Source 2026'!$A:$A,"Quantity (units)")</f>
        <v>8</v>
      </c>
      <c r="E66" s="8" t="n">
        <f aca="false">D66*$J$5</f>
        <v>10.9714285714286</v>
      </c>
      <c r="F66" s="8" t="n">
        <f aca="false">E66-C66</f>
        <v>10.9714285714286</v>
      </c>
      <c r="G66" s="9" t="str">
        <f aca="false">IF(AND(C66=0,E66=0),0,IF(C66=0,"New",(E66-C66)/C66))</f>
        <v>New</v>
      </c>
      <c r="H66" s="8" t="n">
        <f aca="false">SUMIFS('Source 2025'!$K:$K,'Source 2025'!$B:$B,$A66,'Source 2025'!$A:$A,"Amount (NIS)")</f>
        <v>0</v>
      </c>
      <c r="I66" s="8" t="n">
        <f aca="false">SUMIFS('Source 2026'!$K:$K,'Source 2026'!$B:$B,$A66,'Source 2026'!$A:$A,"Amount (NIS)")</f>
        <v>1672</v>
      </c>
      <c r="J66" s="8" t="n">
        <f aca="false">I66*$J$5</f>
        <v>2293.02857142857</v>
      </c>
      <c r="K66" s="8" t="n">
        <f aca="false">J66-H66</f>
        <v>2293.02857142857</v>
      </c>
      <c r="L66" s="9" t="str">
        <f aca="false">IF(AND(H66=0,J66=0),0,IF(H66=0,"New",(J66-H66)/H66))</f>
        <v>New</v>
      </c>
    </row>
    <row r="67" customFormat="false" ht="15" hidden="false" customHeight="false" outlineLevel="0" collapsed="false">
      <c r="A67" s="7" t="n">
        <v>4413141</v>
      </c>
      <c r="B67" s="7" t="str">
        <f aca="false">IFERROR(INDEX('Source 2026'!$C:$C,MATCH($A67,'Source 2026'!$B:$B,0)),IFERROR(INDEX('Source 2025'!$C:$C,MATCH($A67,'Source 2025'!$B:$B,0)),""))</f>
        <v>95 S מגן מרפק רגיל לבן</v>
      </c>
      <c r="C67" s="8" t="n">
        <f aca="false">SUMIFS('Source 2025'!$K:$K,'Source 2025'!$B:$B,$A67,'Source 2025'!$A:$A,"Quantity (units)")</f>
        <v>0</v>
      </c>
      <c r="D67" s="8" t="n">
        <f aca="false">SUMIFS('Source 2026'!$K:$K,'Source 2026'!$B:$B,$A67,'Source 2026'!$A:$A,"Quantity (units)")</f>
        <v>98</v>
      </c>
      <c r="E67" s="8" t="n">
        <f aca="false">D67*$J$5</f>
        <v>134.4</v>
      </c>
      <c r="F67" s="8" t="n">
        <f aca="false">E67-C67</f>
        <v>134.4</v>
      </c>
      <c r="G67" s="9" t="str">
        <f aca="false">IF(AND(C67=0,E67=0),0,IF(C67=0,"New",(E67-C67)/C67))</f>
        <v>New</v>
      </c>
      <c r="H67" s="8" t="n">
        <f aca="false">SUMIFS('Source 2025'!$K:$K,'Source 2025'!$B:$B,$A67,'Source 2025'!$A:$A,"Amount (NIS)")</f>
        <v>0</v>
      </c>
      <c r="I67" s="8" t="n">
        <f aca="false">SUMIFS('Source 2026'!$K:$K,'Source 2026'!$B:$B,$A67,'Source 2026'!$A:$A,"Amount (NIS)")</f>
        <v>1593.8</v>
      </c>
      <c r="J67" s="8" t="n">
        <f aca="false">I67*$J$5</f>
        <v>2185.78285714286</v>
      </c>
      <c r="K67" s="8" t="n">
        <f aca="false">J67-H67</f>
        <v>2185.78285714286</v>
      </c>
      <c r="L67" s="9" t="str">
        <f aca="false">IF(AND(H67=0,J67=0),0,IF(H67=0,"New",(J67-H67)/H67))</f>
        <v>New</v>
      </c>
    </row>
    <row r="68" customFormat="false" ht="15" hidden="false" customHeight="false" outlineLevel="0" collapsed="false">
      <c r="A68" s="7" t="n">
        <v>4413059</v>
      </c>
      <c r="B68" s="7" t="str">
        <f aca="false">IFERROR(INDEX('Source 2026'!$C:$C,MATCH($A68,'Source 2026'!$B:$B,0)),IFERROR(INDEX('Source 2025'!$C:$C,MATCH($A68,'Source 2025'!$B:$B,0)),""))</f>
        <v>364S Lמפר.אצבע סיליק. ליבל.זוג</v>
      </c>
      <c r="C68" s="8" t="n">
        <f aca="false">SUMIFS('Source 2025'!$K:$K,'Source 2025'!$B:$B,$A68,'Source 2025'!$A:$A,"Quantity (units)")</f>
        <v>0</v>
      </c>
      <c r="D68" s="8" t="n">
        <f aca="false">SUMIFS('Source 2026'!$K:$K,'Source 2026'!$B:$B,$A68,'Source 2026'!$A:$A,"Quantity (units)")</f>
        <v>183</v>
      </c>
      <c r="E68" s="8" t="n">
        <f aca="false">D68*$J$5</f>
        <v>250.971428571429</v>
      </c>
      <c r="F68" s="8" t="n">
        <f aca="false">E68-C68</f>
        <v>250.971428571429</v>
      </c>
      <c r="G68" s="9" t="str">
        <f aca="false">IF(AND(C68=0,E68=0),0,IF(C68=0,"New",(E68-C68)/C68))</f>
        <v>New</v>
      </c>
      <c r="H68" s="8" t="n">
        <f aca="false">SUMIFS('Source 2025'!$K:$K,'Source 2025'!$B:$B,$A68,'Source 2025'!$A:$A,"Amount (NIS)")</f>
        <v>0</v>
      </c>
      <c r="I68" s="8" t="n">
        <f aca="false">SUMIFS('Source 2026'!$K:$K,'Source 2026'!$B:$B,$A68,'Source 2026'!$A:$A,"Amount (NIS)")</f>
        <v>1582.1</v>
      </c>
      <c r="J68" s="8" t="n">
        <f aca="false">I68*$J$5</f>
        <v>2169.73714285714</v>
      </c>
      <c r="K68" s="8" t="n">
        <f aca="false">J68-H68</f>
        <v>2169.73714285714</v>
      </c>
      <c r="L68" s="9" t="str">
        <f aca="false">IF(AND(H68=0,J68=0),0,IF(H68=0,"New",(J68-H68)/H68))</f>
        <v>New</v>
      </c>
    </row>
    <row r="69" customFormat="false" ht="15" hidden="false" customHeight="false" outlineLevel="0" collapsed="false">
      <c r="A69" s="7" t="n">
        <v>4413049</v>
      </c>
      <c r="B69" s="7" t="str">
        <f aca="false">IFERROR(INDEX('Source 2026'!$C:$C,MATCH($A69,'Source 2026'!$B:$B,0)),IFERROR(INDEX('Source 2025'!$C:$C,MATCH($A69,'Source 2025'!$B:$B,0)),""))</f>
        <v>35 M מגן קרסול לבן</v>
      </c>
      <c r="C69" s="8" t="n">
        <f aca="false">SUMIFS('Source 2025'!$K:$K,'Source 2025'!$B:$B,$A69,'Source 2025'!$A:$A,"Quantity (units)")</f>
        <v>0</v>
      </c>
      <c r="D69" s="8" t="n">
        <f aca="false">SUMIFS('Source 2026'!$K:$K,'Source 2026'!$B:$B,$A69,'Source 2026'!$A:$A,"Quantity (units)")</f>
        <v>92</v>
      </c>
      <c r="E69" s="8" t="n">
        <f aca="false">D69*$J$5</f>
        <v>126.171428571429</v>
      </c>
      <c r="F69" s="8" t="n">
        <f aca="false">E69-C69</f>
        <v>126.171428571429</v>
      </c>
      <c r="G69" s="9" t="str">
        <f aca="false">IF(AND(C69=0,E69=0),0,IF(C69=0,"New",(E69-C69)/C69))</f>
        <v>New</v>
      </c>
      <c r="H69" s="8" t="n">
        <f aca="false">SUMIFS('Source 2025'!$K:$K,'Source 2025'!$B:$B,$A69,'Source 2025'!$A:$A,"Amount (NIS)")</f>
        <v>0</v>
      </c>
      <c r="I69" s="8" t="n">
        <f aca="false">SUMIFS('Source 2026'!$K:$K,'Source 2026'!$B:$B,$A69,'Source 2026'!$A:$A,"Amount (NIS)")</f>
        <v>1500.3</v>
      </c>
      <c r="J69" s="8" t="n">
        <f aca="false">I69*$J$5</f>
        <v>2057.55428571429</v>
      </c>
      <c r="K69" s="8" t="n">
        <f aca="false">J69-H69</f>
        <v>2057.55428571429</v>
      </c>
      <c r="L69" s="9" t="str">
        <f aca="false">IF(AND(H69=0,J69=0),0,IF(H69=0,"New",(J69-H69)/H69))</f>
        <v>New</v>
      </c>
    </row>
    <row r="70" customFormat="false" ht="15" hidden="false" customHeight="false" outlineLevel="0" collapsed="false">
      <c r="A70" s="7" t="n">
        <v>4413050</v>
      </c>
      <c r="B70" s="7" t="str">
        <f aca="false">IFERROR(INDEX('Source 2026'!$C:$C,MATCH($A70,'Source 2026'!$B:$B,0)),IFERROR(INDEX('Source 2025'!$C:$C,MATCH($A70,'Source 2025'!$B:$B,0)),""))</f>
        <v>35 XL מגן קרסול לבן</v>
      </c>
      <c r="C70" s="8" t="n">
        <f aca="false">SUMIFS('Source 2025'!$K:$K,'Source 2025'!$B:$B,$A70,'Source 2025'!$A:$A,"Quantity (units)")</f>
        <v>0</v>
      </c>
      <c r="D70" s="8" t="n">
        <f aca="false">SUMIFS('Source 2026'!$K:$K,'Source 2026'!$B:$B,$A70,'Source 2026'!$A:$A,"Quantity (units)")</f>
        <v>93</v>
      </c>
      <c r="E70" s="8" t="n">
        <f aca="false">D70*$J$5</f>
        <v>127.542857142857</v>
      </c>
      <c r="F70" s="8" t="n">
        <f aca="false">E70-C70</f>
        <v>127.542857142857</v>
      </c>
      <c r="G70" s="9" t="str">
        <f aca="false">IF(AND(C70=0,E70=0),0,IF(C70=0,"New",(E70-C70)/C70))</f>
        <v>New</v>
      </c>
      <c r="H70" s="8" t="n">
        <f aca="false">SUMIFS('Source 2025'!$K:$K,'Source 2025'!$B:$B,$A70,'Source 2025'!$A:$A,"Amount (NIS)")</f>
        <v>0</v>
      </c>
      <c r="I70" s="8" t="n">
        <f aca="false">SUMIFS('Source 2026'!$K:$K,'Source 2026'!$B:$B,$A70,'Source 2026'!$A:$A,"Amount (NIS)")</f>
        <v>1500.3</v>
      </c>
      <c r="J70" s="8" t="n">
        <f aca="false">I70*$J$5</f>
        <v>2057.55428571429</v>
      </c>
      <c r="K70" s="8" t="n">
        <f aca="false">J70-H70</f>
        <v>2057.55428571429</v>
      </c>
      <c r="L70" s="9" t="str">
        <f aca="false">IF(AND(H70=0,J70=0),0,IF(H70=0,"New",(J70-H70)/H70))</f>
        <v>New</v>
      </c>
    </row>
    <row r="71" customFormat="false" ht="15" hidden="false" customHeight="false" outlineLevel="0" collapsed="false">
      <c r="A71" s="7" t="n">
        <v>4422037</v>
      </c>
      <c r="B71" s="7" t="str">
        <f aca="false">IFERROR(INDEX('Source 2026'!$C:$C,MATCH($A71,'Source 2026'!$B:$B,0)),IFERROR(INDEX('Source 2025'!$C:$C,MATCH($A71,'Source 2025'!$B:$B,0)),""))</f>
        <v>SH422 1 תומך ברך גנושילד</v>
      </c>
      <c r="C71" s="8" t="n">
        <f aca="false">SUMIFS('Source 2025'!$K:$K,'Source 2025'!$B:$B,$A71,'Source 2025'!$A:$A,"Quantity (units)")</f>
        <v>0</v>
      </c>
      <c r="D71" s="8" t="n">
        <f aca="false">SUMIFS('Source 2026'!$K:$K,'Source 2026'!$B:$B,$A71,'Source 2026'!$A:$A,"Quantity (units)")</f>
        <v>12</v>
      </c>
      <c r="E71" s="8" t="n">
        <f aca="false">D71*$J$5</f>
        <v>16.4571428571429</v>
      </c>
      <c r="F71" s="8" t="n">
        <f aca="false">E71-C71</f>
        <v>16.4571428571429</v>
      </c>
      <c r="G71" s="9" t="str">
        <f aca="false">IF(AND(C71=0,E71=0),0,IF(C71=0,"New",(E71-C71)/C71))</f>
        <v>New</v>
      </c>
      <c r="H71" s="8" t="n">
        <f aca="false">SUMIFS('Source 2025'!$K:$K,'Source 2025'!$B:$B,$A71,'Source 2025'!$A:$A,"Amount (NIS)")</f>
        <v>0</v>
      </c>
      <c r="I71" s="8" t="n">
        <f aca="false">SUMIFS('Source 2026'!$K:$K,'Source 2026'!$B:$B,$A71,'Source 2026'!$A:$A,"Amount (NIS)")</f>
        <v>1500</v>
      </c>
      <c r="J71" s="8" t="n">
        <f aca="false">I71*$J$5</f>
        <v>2057.14285714286</v>
      </c>
      <c r="K71" s="8" t="n">
        <f aca="false">J71-H71</f>
        <v>2057.14285714286</v>
      </c>
      <c r="L71" s="9" t="str">
        <f aca="false">IF(AND(H71=0,J71=0),0,IF(H71=0,"New",(J71-H71)/H71))</f>
        <v>New</v>
      </c>
    </row>
    <row r="72" customFormat="false" ht="15" hidden="false" customHeight="false" outlineLevel="0" collapsed="false">
      <c r="A72" s="7" t="n">
        <v>4409017</v>
      </c>
      <c r="B72" s="7" t="str">
        <f aca="false">IFERROR(INDEX('Source 2026'!$C:$C,MATCH($A72,'Source 2026'!$B:$B,0)),IFERROR(INDEX('Source 2025'!$C:$C,MATCH($A72,'Source 2025'!$B:$B,0)),""))</f>
        <v>808KT-B        טייפ קינזיולוגי</v>
      </c>
      <c r="C72" s="8" t="n">
        <f aca="false">SUMIFS('Source 2025'!$K:$K,'Source 2025'!$B:$B,$A72,'Source 2025'!$A:$A,"Quantity (units)")</f>
        <v>0</v>
      </c>
      <c r="D72" s="8" t="n">
        <f aca="false">SUMIFS('Source 2026'!$K:$K,'Source 2026'!$B:$B,$A72,'Source 2026'!$A:$A,"Quantity (units)")</f>
        <v>60</v>
      </c>
      <c r="E72" s="8" t="n">
        <f aca="false">D72*$J$5</f>
        <v>82.2857142857143</v>
      </c>
      <c r="F72" s="8" t="n">
        <f aca="false">E72-C72</f>
        <v>82.2857142857143</v>
      </c>
      <c r="G72" s="9" t="str">
        <f aca="false">IF(AND(C72=0,E72=0),0,IF(C72=0,"New",(E72-C72)/C72))</f>
        <v>New</v>
      </c>
      <c r="H72" s="8" t="n">
        <f aca="false">SUMIFS('Source 2025'!$K:$K,'Source 2025'!$B:$B,$A72,'Source 2025'!$A:$A,"Amount (NIS)")</f>
        <v>0</v>
      </c>
      <c r="I72" s="8" t="n">
        <f aca="false">SUMIFS('Source 2026'!$K:$K,'Source 2026'!$B:$B,$A72,'Source 2026'!$A:$A,"Amount (NIS)")</f>
        <v>1500</v>
      </c>
      <c r="J72" s="8" t="n">
        <f aca="false">I72*$J$5</f>
        <v>2057.14285714286</v>
      </c>
      <c r="K72" s="8" t="n">
        <f aca="false">J72-H72</f>
        <v>2057.14285714286</v>
      </c>
      <c r="L72" s="9" t="str">
        <f aca="false">IF(AND(H72=0,J72=0),0,IF(H72=0,"New",(J72-H72)/H72))</f>
        <v>New</v>
      </c>
    </row>
    <row r="73" customFormat="false" ht="15" hidden="false" customHeight="false" outlineLevel="0" collapsed="false">
      <c r="A73" s="7" t="n">
        <v>4413532</v>
      </c>
      <c r="B73" s="7" t="str">
        <f aca="false">IFERROR(INDEX('Source 2026'!$C:$C,MATCH($A73,'Source 2026'!$B:$B,0)),IFERROR(INDEX('Source 2025'!$C:$C,MATCH($A73,'Source 2025'!$B:$B,0)),""))</f>
        <v>ST433 H מגן ברך עם ציר</v>
      </c>
      <c r="C73" s="8" t="n">
        <f aca="false">SUMIFS('Source 2025'!$K:$K,'Source 2025'!$B:$B,$A73,'Source 2025'!$A:$A,"Quantity (units)")</f>
        <v>0</v>
      </c>
      <c r="D73" s="8" t="n">
        <f aca="false">SUMIFS('Source 2026'!$K:$K,'Source 2026'!$B:$B,$A73,'Source 2026'!$A:$A,"Quantity (units)")</f>
        <v>16</v>
      </c>
      <c r="E73" s="8" t="n">
        <f aca="false">D73*$J$5</f>
        <v>21.9428571428571</v>
      </c>
      <c r="F73" s="8" t="n">
        <f aca="false">E73-C73</f>
        <v>21.9428571428571</v>
      </c>
      <c r="G73" s="9" t="str">
        <f aca="false">IF(AND(C73=0,E73=0),0,IF(C73=0,"New",(E73-C73)/C73))</f>
        <v>New</v>
      </c>
      <c r="H73" s="8" t="n">
        <f aca="false">SUMIFS('Source 2025'!$K:$K,'Source 2025'!$B:$B,$A73,'Source 2025'!$A:$A,"Amount (NIS)")</f>
        <v>0</v>
      </c>
      <c r="I73" s="8" t="n">
        <f aca="false">SUMIFS('Source 2026'!$K:$K,'Source 2026'!$B:$B,$A73,'Source 2026'!$A:$A,"Amount (NIS)")</f>
        <v>1496</v>
      </c>
      <c r="J73" s="8" t="n">
        <f aca="false">I73*$J$5</f>
        <v>2051.65714285714</v>
      </c>
      <c r="K73" s="8" t="n">
        <f aca="false">J73-H73</f>
        <v>2051.65714285714</v>
      </c>
      <c r="L73" s="9" t="str">
        <f aca="false">IF(AND(H73=0,J73=0),0,IF(H73=0,"New",(J73-H73)/H73))</f>
        <v>New</v>
      </c>
    </row>
    <row r="74" customFormat="false" ht="15" hidden="false" customHeight="false" outlineLevel="0" collapsed="false">
      <c r="A74" s="7" t="n">
        <v>4401001</v>
      </c>
      <c r="B74" s="7" t="str">
        <f aca="false">IFERROR(INDEX('Source 2026'!$C:$C,MATCH($A74,'Source 2026'!$B:$B,0)),IFERROR(INDEX('Source 2025'!$C:$C,MATCH($A74,'Source 2025'!$B:$B,0)),""))</f>
        <v>369   XL אצבעון מסיליקון יחידה</v>
      </c>
      <c r="C74" s="8" t="n">
        <f aca="false">SUMIFS('Source 2025'!$K:$K,'Source 2025'!$B:$B,$A74,'Source 2025'!$A:$A,"Quantity (units)")</f>
        <v>0</v>
      </c>
      <c r="D74" s="8" t="n">
        <f aca="false">SUMIFS('Source 2026'!$K:$K,'Source 2026'!$B:$B,$A74,'Source 2026'!$A:$A,"Quantity (units)")</f>
        <v>86</v>
      </c>
      <c r="E74" s="8" t="n">
        <f aca="false">D74*$J$5</f>
        <v>117.942857142857</v>
      </c>
      <c r="F74" s="8" t="n">
        <f aca="false">E74-C74</f>
        <v>117.942857142857</v>
      </c>
      <c r="G74" s="9" t="str">
        <f aca="false">IF(AND(C74=0,E74=0),0,IF(C74=0,"New",(E74-C74)/C74))</f>
        <v>New</v>
      </c>
      <c r="H74" s="8" t="n">
        <f aca="false">SUMIFS('Source 2025'!$K:$K,'Source 2025'!$B:$B,$A74,'Source 2025'!$A:$A,"Amount (NIS)")</f>
        <v>0</v>
      </c>
      <c r="I74" s="8" t="n">
        <f aca="false">SUMIFS('Source 2026'!$K:$K,'Source 2026'!$B:$B,$A74,'Source 2026'!$A:$A,"Amount (NIS)")</f>
        <v>1492.4</v>
      </c>
      <c r="J74" s="8" t="n">
        <f aca="false">I74*$J$5</f>
        <v>2046.72</v>
      </c>
      <c r="K74" s="8" t="n">
        <f aca="false">J74-H74</f>
        <v>2046.72</v>
      </c>
      <c r="L74" s="9" t="str">
        <f aca="false">IF(AND(H74=0,J74=0),0,IF(H74=0,"New",(J74-H74)/H74))</f>
        <v>New</v>
      </c>
    </row>
    <row r="75" customFormat="false" ht="15" hidden="false" customHeight="false" outlineLevel="0" collapsed="false">
      <c r="A75" s="7" t="n">
        <v>4416002</v>
      </c>
      <c r="B75" s="7" t="str">
        <f aca="false">IFERROR(INDEX('Source 2026'!$C:$C,MATCH($A75,'Source 2026'!$B:$B,0)),IFERROR(INDEX('Source 2025'!$C:$C,MATCH($A75,'Source 2025'!$B:$B,0)),""))</f>
        <v>307 S עקבים לדורבן-זוג כריות</v>
      </c>
      <c r="C75" s="8" t="n">
        <f aca="false">SUMIFS('Source 2025'!$K:$K,'Source 2025'!$B:$B,$A75,'Source 2025'!$A:$A,"Quantity (units)")</f>
        <v>0</v>
      </c>
      <c r="D75" s="8" t="n">
        <f aca="false">SUMIFS('Source 2026'!$K:$K,'Source 2026'!$B:$B,$A75,'Source 2026'!$A:$A,"Quantity (units)")</f>
        <v>23</v>
      </c>
      <c r="E75" s="8" t="n">
        <f aca="false">D75*$J$5</f>
        <v>31.5428571428571</v>
      </c>
      <c r="F75" s="8" t="n">
        <f aca="false">E75-C75</f>
        <v>31.5428571428571</v>
      </c>
      <c r="G75" s="9" t="str">
        <f aca="false">IF(AND(C75=0,E75=0),0,IF(C75=0,"New",(E75-C75)/C75))</f>
        <v>New</v>
      </c>
      <c r="H75" s="8" t="n">
        <f aca="false">SUMIFS('Source 2025'!$K:$K,'Source 2025'!$B:$B,$A75,'Source 2025'!$A:$A,"Amount (NIS)")</f>
        <v>0</v>
      </c>
      <c r="I75" s="8" t="n">
        <f aca="false">SUMIFS('Source 2026'!$K:$K,'Source 2026'!$B:$B,$A75,'Source 2026'!$A:$A,"Amount (NIS)")</f>
        <v>1455.2</v>
      </c>
      <c r="J75" s="8" t="n">
        <f aca="false">I75*$J$5</f>
        <v>1995.70285714286</v>
      </c>
      <c r="K75" s="8" t="n">
        <f aca="false">J75-H75</f>
        <v>1995.70285714286</v>
      </c>
      <c r="L75" s="9" t="str">
        <f aca="false">IF(AND(H75=0,J75=0),0,IF(H75=0,"New",(J75-H75)/H75))</f>
        <v>New</v>
      </c>
    </row>
    <row r="76" customFormat="false" ht="15" hidden="false" customHeight="false" outlineLevel="0" collapsed="false">
      <c r="A76" s="7" t="n">
        <v>4408051</v>
      </c>
      <c r="B76" s="7" t="str">
        <f aca="false">IFERROR(INDEX('Source 2026'!$C:$C,MATCH($A76,'Source 2026'!$B:$B,0)),IFERROR(INDEX('Source 2025'!$C:$C,MATCH($A76,'Source 2025'!$B:$B,0)),""))</f>
        <v>21 S  חבק יד ארוך</v>
      </c>
      <c r="C76" s="8" t="n">
        <f aca="false">SUMIFS('Source 2025'!$K:$K,'Source 2025'!$B:$B,$A76,'Source 2025'!$A:$A,"Quantity (units)")</f>
        <v>0</v>
      </c>
      <c r="D76" s="8" t="n">
        <f aca="false">SUMIFS('Source 2026'!$K:$K,'Source 2026'!$B:$B,$A76,'Source 2026'!$A:$A,"Quantity (units)")</f>
        <v>62</v>
      </c>
      <c r="E76" s="8" t="n">
        <f aca="false">D76*$J$5</f>
        <v>85.0285714285714</v>
      </c>
      <c r="F76" s="8" t="n">
        <f aca="false">E76-C76</f>
        <v>85.0285714285714</v>
      </c>
      <c r="G76" s="9" t="str">
        <f aca="false">IF(AND(C76=0,E76=0),0,IF(C76=0,"New",(E76-C76)/C76))</f>
        <v>New</v>
      </c>
      <c r="H76" s="8" t="n">
        <f aca="false">SUMIFS('Source 2025'!$K:$K,'Source 2025'!$B:$B,$A76,'Source 2025'!$A:$A,"Amount (NIS)")</f>
        <v>0</v>
      </c>
      <c r="I76" s="8" t="n">
        <f aca="false">SUMIFS('Source 2026'!$K:$K,'Source 2026'!$B:$B,$A76,'Source 2026'!$A:$A,"Amount (NIS)")</f>
        <v>1447.5</v>
      </c>
      <c r="J76" s="8" t="n">
        <f aca="false">I76*$J$5</f>
        <v>1985.14285714286</v>
      </c>
      <c r="K76" s="8" t="n">
        <f aca="false">J76-H76</f>
        <v>1985.14285714286</v>
      </c>
      <c r="L76" s="9" t="str">
        <f aca="false">IF(AND(H76=0,J76=0),0,IF(H76=0,"New",(J76-H76)/H76))</f>
        <v>New</v>
      </c>
    </row>
    <row r="77" customFormat="false" ht="15" hidden="false" customHeight="false" outlineLevel="0" collapsed="false">
      <c r="A77" s="7" t="n">
        <v>4408033</v>
      </c>
      <c r="B77" s="7" t="str">
        <f aca="false">IFERROR(INDEX('Source 2026'!$C:$C,MATCH($A77,'Source 2026'!$B:$B,0)),IFERROR(INDEX('Source 2025'!$C:$C,MATCH($A77,'Source 2025'!$B:$B,0)),""))</f>
        <v>11 M""חגורת בטן""אורירית</v>
      </c>
      <c r="C77" s="8" t="n">
        <f aca="false">SUMIFS('Source 2025'!$K:$K,'Source 2025'!$B:$B,$A77,'Source 2025'!$A:$A,"Quantity (units)")</f>
        <v>0</v>
      </c>
      <c r="D77" s="8" t="n">
        <f aca="false">SUMIFS('Source 2026'!$K:$K,'Source 2026'!$B:$B,$A77,'Source 2026'!$A:$A,"Quantity (units)")</f>
        <v>20</v>
      </c>
      <c r="E77" s="8" t="n">
        <f aca="false">D77*$J$5</f>
        <v>27.4285714285714</v>
      </c>
      <c r="F77" s="8" t="n">
        <f aca="false">E77-C77</f>
        <v>27.4285714285714</v>
      </c>
      <c r="G77" s="9" t="str">
        <f aca="false">IF(AND(C77=0,E77=0),0,IF(C77=0,"New",(E77-C77)/C77))</f>
        <v>New</v>
      </c>
      <c r="H77" s="8" t="n">
        <f aca="false">SUMIFS('Source 2025'!$K:$K,'Source 2025'!$B:$B,$A77,'Source 2025'!$A:$A,"Amount (NIS)")</f>
        <v>0</v>
      </c>
      <c r="I77" s="8" t="n">
        <f aca="false">SUMIFS('Source 2026'!$K:$K,'Source 2026'!$B:$B,$A77,'Source 2026'!$A:$A,"Amount (NIS)")</f>
        <v>1446.8</v>
      </c>
      <c r="J77" s="8" t="n">
        <f aca="false">I77*$J$5</f>
        <v>1984.18285714286</v>
      </c>
      <c r="K77" s="8" t="n">
        <f aca="false">J77-H77</f>
        <v>1984.18285714286</v>
      </c>
      <c r="L77" s="9" t="str">
        <f aca="false">IF(AND(H77=0,J77=0),0,IF(H77=0,"New",(J77-H77)/H77))</f>
        <v>New</v>
      </c>
    </row>
    <row r="78" customFormat="false" ht="15" hidden="false" customHeight="false" outlineLevel="0" collapsed="false">
      <c r="A78" s="7" t="n">
        <v>4413048</v>
      </c>
      <c r="B78" s="7" t="str">
        <f aca="false">IFERROR(INDEX('Source 2026'!$C:$C,MATCH($A78,'Source 2026'!$B:$B,0)),IFERROR(INDEX('Source 2025'!$C:$C,MATCH($A78,'Source 2025'!$B:$B,0)),""))</f>
        <v>35 L מגן קרסול לבן</v>
      </c>
      <c r="C78" s="8" t="n">
        <f aca="false">SUMIFS('Source 2025'!$K:$K,'Source 2025'!$B:$B,$A78,'Source 2025'!$A:$A,"Quantity (units)")</f>
        <v>0</v>
      </c>
      <c r="D78" s="8" t="n">
        <f aca="false">SUMIFS('Source 2026'!$K:$K,'Source 2026'!$B:$B,$A78,'Source 2026'!$A:$A,"Quantity (units)")</f>
        <v>89</v>
      </c>
      <c r="E78" s="8" t="n">
        <f aca="false">D78*$J$5</f>
        <v>122.057142857143</v>
      </c>
      <c r="F78" s="8" t="n">
        <f aca="false">E78-C78</f>
        <v>122.057142857143</v>
      </c>
      <c r="G78" s="9" t="str">
        <f aca="false">IF(AND(C78=0,E78=0),0,IF(C78=0,"New",(E78-C78)/C78))</f>
        <v>New</v>
      </c>
      <c r="H78" s="8" t="n">
        <f aca="false">SUMIFS('Source 2025'!$K:$K,'Source 2025'!$B:$B,$A78,'Source 2025'!$A:$A,"Amount (NIS)")</f>
        <v>0</v>
      </c>
      <c r="I78" s="8" t="n">
        <f aca="false">SUMIFS('Source 2026'!$K:$K,'Source 2026'!$B:$B,$A78,'Source 2026'!$A:$A,"Amount (NIS)")</f>
        <v>1445</v>
      </c>
      <c r="J78" s="8" t="n">
        <f aca="false">I78*$J$5</f>
        <v>1981.71428571429</v>
      </c>
      <c r="K78" s="8" t="n">
        <f aca="false">J78-H78</f>
        <v>1981.71428571429</v>
      </c>
      <c r="L78" s="9" t="str">
        <f aca="false">IF(AND(H78=0,J78=0),0,IF(H78=0,"New",(J78-H78)/H78))</f>
        <v>New</v>
      </c>
    </row>
    <row r="79" customFormat="false" ht="15" hidden="false" customHeight="false" outlineLevel="0" collapsed="false">
      <c r="A79" s="7" t="n">
        <v>4409016</v>
      </c>
      <c r="B79" s="7" t="str">
        <f aca="false">IFERROR(INDEX('Source 2026'!$C:$C,MATCH($A79,'Source 2026'!$B:$B,0)),IFERROR(INDEX('Source 2025'!$C:$C,MATCH($A79,'Source 2025'!$B:$B,0)),""))</f>
        <v>808KT-C        טייפ קינזיולוגי</v>
      </c>
      <c r="C79" s="8" t="n">
        <f aca="false">SUMIFS('Source 2025'!$K:$K,'Source 2025'!$B:$B,$A79,'Source 2025'!$A:$A,"Quantity (units)")</f>
        <v>0</v>
      </c>
      <c r="D79" s="8" t="n">
        <f aca="false">SUMIFS('Source 2026'!$K:$K,'Source 2026'!$B:$B,$A79,'Source 2026'!$A:$A,"Quantity (units)")</f>
        <v>57</v>
      </c>
      <c r="E79" s="8" t="n">
        <f aca="false">D79*$J$5</f>
        <v>78.1714285714286</v>
      </c>
      <c r="F79" s="8" t="n">
        <f aca="false">E79-C79</f>
        <v>78.1714285714286</v>
      </c>
      <c r="G79" s="9" t="str">
        <f aca="false">IF(AND(C79=0,E79=0),0,IF(C79=0,"New",(E79-C79)/C79))</f>
        <v>New</v>
      </c>
      <c r="H79" s="8" t="n">
        <f aca="false">SUMIFS('Source 2025'!$K:$K,'Source 2025'!$B:$B,$A79,'Source 2025'!$A:$A,"Amount (NIS)")</f>
        <v>0</v>
      </c>
      <c r="I79" s="8" t="n">
        <f aca="false">SUMIFS('Source 2026'!$K:$K,'Source 2026'!$B:$B,$A79,'Source 2026'!$A:$A,"Amount (NIS)")</f>
        <v>1425</v>
      </c>
      <c r="J79" s="8" t="n">
        <f aca="false">I79*$J$5</f>
        <v>1954.28571428571</v>
      </c>
      <c r="K79" s="8" t="n">
        <f aca="false">J79-H79</f>
        <v>1954.28571428571</v>
      </c>
      <c r="L79" s="9" t="str">
        <f aca="false">IF(AND(H79=0,J79=0),0,IF(H79=0,"New",(J79-H79)/H79))</f>
        <v>New</v>
      </c>
    </row>
    <row r="80" customFormat="false" ht="15" hidden="false" customHeight="false" outlineLevel="0" collapsed="false">
      <c r="A80" s="7" t="n">
        <v>4408035</v>
      </c>
      <c r="B80" s="7" t="str">
        <f aca="false">IFERROR(INDEX('Source 2026'!$C:$C,MATCH($A80,'Source 2026'!$B:$B,0)),IFERROR(INDEX('Source 2025'!$C:$C,MATCH($A80,'Source 2025'!$B:$B,0)),""))</f>
        <v>11 XXL""חגורת בטן""אורירית</v>
      </c>
      <c r="C80" s="8" t="n">
        <f aca="false">SUMIFS('Source 2025'!$K:$K,'Source 2025'!$B:$B,$A80,'Source 2025'!$A:$A,"Quantity (units)")</f>
        <v>0</v>
      </c>
      <c r="D80" s="8" t="n">
        <f aca="false">SUMIFS('Source 2026'!$K:$K,'Source 2026'!$B:$B,$A80,'Source 2026'!$A:$A,"Quantity (units)")</f>
        <v>20</v>
      </c>
      <c r="E80" s="8" t="n">
        <f aca="false">D80*$J$5</f>
        <v>27.4285714285714</v>
      </c>
      <c r="F80" s="8" t="n">
        <f aca="false">E80-C80</f>
        <v>27.4285714285714</v>
      </c>
      <c r="G80" s="9" t="str">
        <f aca="false">IF(AND(C80=0,E80=0),0,IF(C80=0,"New",(E80-C80)/C80))</f>
        <v>New</v>
      </c>
      <c r="H80" s="8" t="n">
        <f aca="false">SUMIFS('Source 2025'!$K:$K,'Source 2025'!$B:$B,$A80,'Source 2025'!$A:$A,"Amount (NIS)")</f>
        <v>0</v>
      </c>
      <c r="I80" s="8" t="n">
        <f aca="false">SUMIFS('Source 2026'!$K:$K,'Source 2026'!$B:$B,$A80,'Source 2026'!$A:$A,"Amount (NIS)")</f>
        <v>1410.6</v>
      </c>
      <c r="J80" s="8" t="n">
        <f aca="false">I80*$J$5</f>
        <v>1934.53714285714</v>
      </c>
      <c r="K80" s="8" t="n">
        <f aca="false">J80-H80</f>
        <v>1934.53714285714</v>
      </c>
      <c r="L80" s="9" t="str">
        <f aca="false">IF(AND(H80=0,J80=0),0,IF(H80=0,"New",(J80-H80)/H80))</f>
        <v>New</v>
      </c>
    </row>
    <row r="81" customFormat="false" ht="15" hidden="false" customHeight="false" outlineLevel="0" collapsed="false">
      <c r="A81" s="7" t="n">
        <v>4413140</v>
      </c>
      <c r="B81" s="7" t="str">
        <f aca="false">IFERROR(INDEX('Source 2026'!$C:$C,MATCH($A81,'Source 2026'!$B:$B,0)),IFERROR(INDEX('Source 2025'!$C:$C,MATCH($A81,'Source 2025'!$B:$B,0)),""))</f>
        <v>95 M מגן מרפק רגיל לבן</v>
      </c>
      <c r="C81" s="8" t="n">
        <f aca="false">SUMIFS('Source 2025'!$K:$K,'Source 2025'!$B:$B,$A81,'Source 2025'!$A:$A,"Quantity (units)")</f>
        <v>0</v>
      </c>
      <c r="D81" s="8" t="n">
        <f aca="false">SUMIFS('Source 2026'!$K:$K,'Source 2026'!$B:$B,$A81,'Source 2026'!$A:$A,"Quantity (units)")</f>
        <v>82</v>
      </c>
      <c r="E81" s="8" t="n">
        <f aca="false">D81*$J$5</f>
        <v>112.457142857143</v>
      </c>
      <c r="F81" s="8" t="n">
        <f aca="false">E81-C81</f>
        <v>112.457142857143</v>
      </c>
      <c r="G81" s="9" t="str">
        <f aca="false">IF(AND(C81=0,E81=0),0,IF(C81=0,"New",(E81-C81)/C81))</f>
        <v>New</v>
      </c>
      <c r="H81" s="8" t="n">
        <f aca="false">SUMIFS('Source 2025'!$K:$K,'Source 2025'!$B:$B,$A81,'Source 2025'!$A:$A,"Amount (NIS)")</f>
        <v>0</v>
      </c>
      <c r="I81" s="8" t="n">
        <f aca="false">SUMIFS('Source 2026'!$K:$K,'Source 2026'!$B:$B,$A81,'Source 2026'!$A:$A,"Amount (NIS)")</f>
        <v>1330.3</v>
      </c>
      <c r="J81" s="8" t="n">
        <f aca="false">I81*$J$5</f>
        <v>1824.41142857143</v>
      </c>
      <c r="K81" s="8" t="n">
        <f aca="false">J81-H81</f>
        <v>1824.41142857143</v>
      </c>
      <c r="L81" s="9" t="str">
        <f aca="false">IF(AND(H81=0,J81=0),0,IF(H81=0,"New",(J81-H81)/H81))</f>
        <v>New</v>
      </c>
    </row>
    <row r="82" customFormat="false" ht="15" hidden="false" customHeight="false" outlineLevel="0" collapsed="false">
      <c r="A82" s="7" t="n">
        <v>4408231</v>
      </c>
      <c r="B82" s="7" t="str">
        <f aca="false">IFERROR(INDEX('Source 2026'!$C:$C,MATCH($A82,'Source 2026'!$B:$B,0)),IFERROR(INDEX('Source 2025'!$C:$C,MATCH($A82,'Source 2025'!$B:$B,0)),""))</f>
        <v>16 S-M חגורת הריון</v>
      </c>
      <c r="C82" s="8" t="n">
        <f aca="false">SUMIFS('Source 2025'!$K:$K,'Source 2025'!$B:$B,$A82,'Source 2025'!$A:$A,"Quantity (units)")</f>
        <v>0</v>
      </c>
      <c r="D82" s="8" t="n">
        <f aca="false">SUMIFS('Source 2026'!$K:$K,'Source 2026'!$B:$B,$A82,'Source 2026'!$A:$A,"Quantity (units)")</f>
        <v>17</v>
      </c>
      <c r="E82" s="8" t="n">
        <f aca="false">D82*$J$5</f>
        <v>23.3142857142857</v>
      </c>
      <c r="F82" s="8" t="n">
        <f aca="false">E82-C82</f>
        <v>23.3142857142857</v>
      </c>
      <c r="G82" s="9" t="str">
        <f aca="false">IF(AND(C82=0,E82=0),0,IF(C82=0,"New",(E82-C82)/C82))</f>
        <v>New</v>
      </c>
      <c r="H82" s="8" t="n">
        <f aca="false">SUMIFS('Source 2025'!$K:$K,'Source 2025'!$B:$B,$A82,'Source 2025'!$A:$A,"Amount (NIS)")</f>
        <v>0</v>
      </c>
      <c r="I82" s="8" t="n">
        <f aca="false">SUMIFS('Source 2026'!$K:$K,'Source 2026'!$B:$B,$A82,'Source 2026'!$A:$A,"Amount (NIS)")</f>
        <v>1322.6</v>
      </c>
      <c r="J82" s="8" t="n">
        <f aca="false">I82*$J$5</f>
        <v>1813.85142857143</v>
      </c>
      <c r="K82" s="8" t="n">
        <f aca="false">J82-H82</f>
        <v>1813.85142857143</v>
      </c>
      <c r="L82" s="9" t="str">
        <f aca="false">IF(AND(H82=0,J82=0),0,IF(H82=0,"New",(J82-H82)/H82))</f>
        <v>New</v>
      </c>
    </row>
    <row r="83" customFormat="false" ht="15" hidden="false" customHeight="false" outlineLevel="0" collapsed="false">
      <c r="A83" s="7" t="n">
        <v>4413042</v>
      </c>
      <c r="B83" s="7" t="str">
        <f aca="false">IFERROR(INDEX('Source 2026'!$C:$C,MATCH($A83,'Source 2026'!$B:$B,0)),IFERROR(INDEX('Source 2025'!$C:$C,MATCH($A83,'Source 2025'!$B:$B,0)),""))</f>
        <v>34  S מגן קרסול עקב סגור</v>
      </c>
      <c r="C83" s="8" t="n">
        <f aca="false">SUMIFS('Source 2025'!$K:$K,'Source 2025'!$B:$B,$A83,'Source 2025'!$A:$A,"Quantity (units)")</f>
        <v>0</v>
      </c>
      <c r="D83" s="8" t="n">
        <f aca="false">SUMIFS('Source 2026'!$K:$K,'Source 2026'!$B:$B,$A83,'Source 2026'!$A:$A,"Quantity (units)")</f>
        <v>47</v>
      </c>
      <c r="E83" s="8" t="n">
        <f aca="false">D83*$J$5</f>
        <v>64.4571428571429</v>
      </c>
      <c r="F83" s="8" t="n">
        <f aca="false">E83-C83</f>
        <v>64.4571428571429</v>
      </c>
      <c r="G83" s="9" t="str">
        <f aca="false">IF(AND(C83=0,E83=0),0,IF(C83=0,"New",(E83-C83)/C83))</f>
        <v>New</v>
      </c>
      <c r="H83" s="8" t="n">
        <f aca="false">SUMIFS('Source 2025'!$K:$K,'Source 2025'!$B:$B,$A83,'Source 2025'!$A:$A,"Amount (NIS)")</f>
        <v>0</v>
      </c>
      <c r="I83" s="8" t="n">
        <f aca="false">SUMIFS('Source 2026'!$K:$K,'Source 2026'!$B:$B,$A83,'Source 2026'!$A:$A,"Amount (NIS)")</f>
        <v>1309.1</v>
      </c>
      <c r="J83" s="8" t="n">
        <f aca="false">I83*$J$5</f>
        <v>1795.33714285714</v>
      </c>
      <c r="K83" s="8" t="n">
        <f aca="false">J83-H83</f>
        <v>1795.33714285714</v>
      </c>
      <c r="L83" s="9" t="str">
        <f aca="false">IF(AND(H83=0,J83=0),0,IF(H83=0,"New",(J83-H83)/H83))</f>
        <v>New</v>
      </c>
    </row>
    <row r="84" customFormat="false" ht="15" hidden="false" customHeight="false" outlineLevel="0" collapsed="false">
      <c r="A84" s="7" t="n">
        <v>4411000</v>
      </c>
      <c r="B84" s="7" t="str">
        <f aca="false">IFERROR(INDEX('Source 2026'!$C:$C,MATCH($A84,'Source 2026'!$B:$B,0)),IFERROR(INDEX('Source 2025'!$C:$C,MATCH($A84,'Source 2025'!$B:$B,0)),""))</f>
        <v>כרית מטטרזלי סיליקון362</v>
      </c>
      <c r="C84" s="8" t="n">
        <f aca="false">SUMIFS('Source 2025'!$K:$K,'Source 2025'!$B:$B,$A84,'Source 2025'!$A:$A,"Quantity (units)")</f>
        <v>0</v>
      </c>
      <c r="D84" s="8" t="n">
        <f aca="false">SUMIFS('Source 2026'!$K:$K,'Source 2026'!$B:$B,$A84,'Source 2026'!$A:$A,"Quantity (units)")</f>
        <v>76</v>
      </c>
      <c r="E84" s="8" t="n">
        <f aca="false">D84*$J$5</f>
        <v>104.228571428571</v>
      </c>
      <c r="F84" s="8" t="n">
        <f aca="false">E84-C84</f>
        <v>104.228571428571</v>
      </c>
      <c r="G84" s="9" t="str">
        <f aca="false">IF(AND(C84=0,E84=0),0,IF(C84=0,"New",(E84-C84)/C84))</f>
        <v>New</v>
      </c>
      <c r="H84" s="8" t="n">
        <f aca="false">SUMIFS('Source 2025'!$K:$K,'Source 2025'!$B:$B,$A84,'Source 2025'!$A:$A,"Amount (NIS)")</f>
        <v>0</v>
      </c>
      <c r="I84" s="8" t="n">
        <f aca="false">SUMIFS('Source 2026'!$K:$K,'Source 2026'!$B:$B,$A84,'Source 2026'!$A:$A,"Amount (NIS)")</f>
        <v>1300.7</v>
      </c>
      <c r="J84" s="8" t="n">
        <f aca="false">I84*$J$5</f>
        <v>1783.81714285714</v>
      </c>
      <c r="K84" s="8" t="n">
        <f aca="false">J84-H84</f>
        <v>1783.81714285714</v>
      </c>
      <c r="L84" s="9" t="str">
        <f aca="false">IF(AND(H84=0,J84=0),0,IF(H84=0,"New",(J84-H84)/H84))</f>
        <v>New</v>
      </c>
    </row>
    <row r="85" customFormat="false" ht="15" hidden="false" customHeight="false" outlineLevel="0" collapsed="false">
      <c r="A85" s="7" t="n">
        <v>4413307</v>
      </c>
      <c r="B85" s="7" t="str">
        <f aca="false">IFERROR(INDEX('Source 2026'!$C:$C,MATCH($A85,'Source 2026'!$B:$B,0)),IFERROR(INDEX('Source 2025'!$C:$C,MATCH($A85,'Source 2025'!$B:$B,0)),""))</f>
        <v>URI 3667 מגן בוניון</v>
      </c>
      <c r="C85" s="8" t="n">
        <f aca="false">SUMIFS('Source 2025'!$K:$K,'Source 2025'!$B:$B,$A85,'Source 2025'!$A:$A,"Quantity (units)")</f>
        <v>0</v>
      </c>
      <c r="D85" s="8" t="n">
        <f aca="false">SUMIFS('Source 2026'!$K:$K,'Source 2026'!$B:$B,$A85,'Source 2026'!$A:$A,"Quantity (units)")</f>
        <v>62</v>
      </c>
      <c r="E85" s="8" t="n">
        <f aca="false">D85*$J$5</f>
        <v>85.0285714285714</v>
      </c>
      <c r="F85" s="8" t="n">
        <f aca="false">E85-C85</f>
        <v>85.0285714285714</v>
      </c>
      <c r="G85" s="9" t="str">
        <f aca="false">IF(AND(C85=0,E85=0),0,IF(C85=0,"New",(E85-C85)/C85))</f>
        <v>New</v>
      </c>
      <c r="H85" s="8" t="n">
        <f aca="false">SUMIFS('Source 2025'!$K:$K,'Source 2025'!$B:$B,$A85,'Source 2025'!$A:$A,"Amount (NIS)")</f>
        <v>0</v>
      </c>
      <c r="I85" s="8" t="n">
        <f aca="false">SUMIFS('Source 2026'!$K:$K,'Source 2026'!$B:$B,$A85,'Source 2026'!$A:$A,"Amount (NIS)")</f>
        <v>1262</v>
      </c>
      <c r="J85" s="8" t="n">
        <f aca="false">I85*$J$5</f>
        <v>1730.74285714286</v>
      </c>
      <c r="K85" s="8" t="n">
        <f aca="false">J85-H85</f>
        <v>1730.74285714286</v>
      </c>
      <c r="L85" s="9" t="str">
        <f aca="false">IF(AND(H85=0,J85=0),0,IF(H85=0,"New",(J85-H85)/H85))</f>
        <v>New</v>
      </c>
    </row>
    <row r="86" customFormat="false" ht="15" hidden="false" customHeight="false" outlineLevel="0" collapsed="false">
      <c r="A86" s="7" t="n">
        <v>4409000</v>
      </c>
      <c r="B86" s="7" t="str">
        <f aca="false">IFERROR(INDEX('Source 2026'!$C:$C,MATCH($A86,'Source 2026'!$B:$B,0)),IFERROR(INDEX('Source 2025'!$C:$C,MATCH($A86,'Source 2025'!$B:$B,0)),""))</f>
        <v>365 S-Lטבעת אלסטית מסיליקון</v>
      </c>
      <c r="C86" s="8" t="n">
        <f aca="false">SUMIFS('Source 2025'!$K:$K,'Source 2025'!$B:$B,$A86,'Source 2025'!$A:$A,"Quantity (units)")</f>
        <v>0</v>
      </c>
      <c r="D86" s="8" t="n">
        <f aca="false">SUMIFS('Source 2026'!$K:$K,'Source 2026'!$B:$B,$A86,'Source 2026'!$A:$A,"Quantity (units)")</f>
        <v>138</v>
      </c>
      <c r="E86" s="8" t="n">
        <f aca="false">D86*$J$5</f>
        <v>189.257142857143</v>
      </c>
      <c r="F86" s="8" t="n">
        <f aca="false">E86-C86</f>
        <v>189.257142857143</v>
      </c>
      <c r="G86" s="9" t="str">
        <f aca="false">IF(AND(C86=0,E86=0),0,IF(C86=0,"New",(E86-C86)/C86))</f>
        <v>New</v>
      </c>
      <c r="H86" s="8" t="n">
        <f aca="false">SUMIFS('Source 2025'!$K:$K,'Source 2025'!$B:$B,$A86,'Source 2025'!$A:$A,"Amount (NIS)")</f>
        <v>0</v>
      </c>
      <c r="I86" s="8" t="n">
        <f aca="false">SUMIFS('Source 2026'!$K:$K,'Source 2026'!$B:$B,$A86,'Source 2026'!$A:$A,"Amount (NIS)")</f>
        <v>1250.1</v>
      </c>
      <c r="J86" s="8" t="n">
        <f aca="false">I86*$J$5</f>
        <v>1714.42285714286</v>
      </c>
      <c r="K86" s="8" t="n">
        <f aca="false">J86-H86</f>
        <v>1714.42285714286</v>
      </c>
      <c r="L86" s="9" t="str">
        <f aca="false">IF(AND(H86=0,J86=0),0,IF(H86=0,"New",(J86-H86)/H86))</f>
        <v>New</v>
      </c>
    </row>
    <row r="87" customFormat="false" ht="15" hidden="false" customHeight="false" outlineLevel="0" collapsed="false">
      <c r="A87" s="7" t="n">
        <v>4413060</v>
      </c>
      <c r="B87" s="7" t="str">
        <f aca="false">IFERROR(INDEX('Source 2026'!$C:$C,MATCH($A87,'Source 2026'!$B:$B,0)),IFERROR(INDEX('Source 2025'!$C:$C,MATCH($A87,'Source 2025'!$B:$B,0)),""))</f>
        <v>364 XLמפריד אצבע סיליקון ליבלת</v>
      </c>
      <c r="C87" s="8" t="n">
        <f aca="false">SUMIFS('Source 2025'!$K:$K,'Source 2025'!$B:$B,$A87,'Source 2025'!$A:$A,"Quantity (units)")</f>
        <v>0</v>
      </c>
      <c r="D87" s="8" t="n">
        <f aca="false">SUMIFS('Source 2026'!$K:$K,'Source 2026'!$B:$B,$A87,'Source 2026'!$A:$A,"Quantity (units)")</f>
        <v>136</v>
      </c>
      <c r="E87" s="8" t="n">
        <f aca="false">D87*$J$5</f>
        <v>186.514285714286</v>
      </c>
      <c r="F87" s="8" t="n">
        <f aca="false">E87-C87</f>
        <v>186.514285714286</v>
      </c>
      <c r="G87" s="9" t="str">
        <f aca="false">IF(AND(C87=0,E87=0),0,IF(C87=0,"New",(E87-C87)/C87))</f>
        <v>New</v>
      </c>
      <c r="H87" s="8" t="n">
        <f aca="false">SUMIFS('Source 2025'!$K:$K,'Source 2025'!$B:$B,$A87,'Source 2025'!$A:$A,"Amount (NIS)")</f>
        <v>0</v>
      </c>
      <c r="I87" s="8" t="n">
        <f aca="false">SUMIFS('Source 2026'!$K:$K,'Source 2026'!$B:$B,$A87,'Source 2026'!$A:$A,"Amount (NIS)")</f>
        <v>1201.7</v>
      </c>
      <c r="J87" s="8" t="n">
        <f aca="false">I87*$J$5</f>
        <v>1648.04571428571</v>
      </c>
      <c r="K87" s="8" t="n">
        <f aca="false">J87-H87</f>
        <v>1648.04571428571</v>
      </c>
      <c r="L87" s="9" t="str">
        <f aca="false">IF(AND(H87=0,J87=0),0,IF(H87=0,"New",(J87-H87)/H87))</f>
        <v>New</v>
      </c>
    </row>
    <row r="88" customFormat="false" ht="15" hidden="false" customHeight="false" outlineLevel="0" collapsed="false">
      <c r="A88" s="7" t="n">
        <v>4408081</v>
      </c>
      <c r="B88" s="7" t="str">
        <f aca="false">IFERROR(INDEX('Source 2026'!$C:$C,MATCH($A88,'Source 2026'!$B:$B,0)),IFERROR(INDEX('Source 2025'!$C:$C,MATCH($A88,'Source 2025'!$B:$B,0)),""))</f>
        <v>59R M חגורת שבר לצד ימין</v>
      </c>
      <c r="C88" s="8" t="n">
        <f aca="false">SUMIFS('Source 2025'!$K:$K,'Source 2025'!$B:$B,$A88,'Source 2025'!$A:$A,"Quantity (units)")</f>
        <v>0</v>
      </c>
      <c r="D88" s="8" t="n">
        <f aca="false">SUMIFS('Source 2026'!$K:$K,'Source 2026'!$B:$B,$A88,'Source 2026'!$A:$A,"Quantity (units)")</f>
        <v>10</v>
      </c>
      <c r="E88" s="8" t="n">
        <f aca="false">D88*$J$5</f>
        <v>13.7142857142857</v>
      </c>
      <c r="F88" s="8" t="n">
        <f aca="false">E88-C88</f>
        <v>13.7142857142857</v>
      </c>
      <c r="G88" s="9" t="str">
        <f aca="false">IF(AND(C88=0,E88=0),0,IF(C88=0,"New",(E88-C88)/C88))</f>
        <v>New</v>
      </c>
      <c r="H88" s="8" t="n">
        <f aca="false">SUMIFS('Source 2025'!$K:$K,'Source 2025'!$B:$B,$A88,'Source 2025'!$A:$A,"Amount (NIS)")</f>
        <v>0</v>
      </c>
      <c r="I88" s="8" t="n">
        <f aca="false">SUMIFS('Source 2026'!$K:$K,'Source 2026'!$B:$B,$A88,'Source 2026'!$A:$A,"Amount (NIS)")</f>
        <v>1139.1</v>
      </c>
      <c r="J88" s="8" t="n">
        <f aca="false">I88*$J$5</f>
        <v>1562.19428571429</v>
      </c>
      <c r="K88" s="8" t="n">
        <f aca="false">J88-H88</f>
        <v>1562.19428571429</v>
      </c>
      <c r="L88" s="9" t="str">
        <f aca="false">IF(AND(H88=0,J88=0),0,IF(H88=0,"New",(J88-H88)/H88))</f>
        <v>New</v>
      </c>
    </row>
    <row r="89" customFormat="false" ht="15" hidden="false" customHeight="false" outlineLevel="0" collapsed="false">
      <c r="A89" s="7" t="n">
        <v>4415299</v>
      </c>
      <c r="B89" s="7" t="str">
        <f aca="false">IFERROR(INDEX('Source 2026'!$C:$C,MATCH($A89,'Source 2026'!$B:$B,0)),IFERROR(INDEX('Source 2025'!$C:$C,MATCH($A89,'Source 2025'!$B:$B,0)),""))</f>
        <v>388B L סד לילה שחור לבוהן ימין</v>
      </c>
      <c r="C89" s="8" t="n">
        <f aca="false">SUMIFS('Source 2025'!$K:$K,'Source 2025'!$B:$B,$A89,'Source 2025'!$A:$A,"Quantity (units)")</f>
        <v>0</v>
      </c>
      <c r="D89" s="8" t="n">
        <f aca="false">SUMIFS('Source 2026'!$K:$K,'Source 2026'!$B:$B,$A89,'Source 2026'!$A:$A,"Quantity (units)")</f>
        <v>27</v>
      </c>
      <c r="E89" s="8" t="n">
        <f aca="false">D89*$J$5</f>
        <v>37.0285714285714</v>
      </c>
      <c r="F89" s="8" t="n">
        <f aca="false">E89-C89</f>
        <v>37.0285714285714</v>
      </c>
      <c r="G89" s="9" t="str">
        <f aca="false">IF(AND(C89=0,E89=0),0,IF(C89=0,"New",(E89-C89)/C89))</f>
        <v>New</v>
      </c>
      <c r="H89" s="8" t="n">
        <f aca="false">SUMIFS('Source 2025'!$K:$K,'Source 2025'!$B:$B,$A89,'Source 2025'!$A:$A,"Amount (NIS)")</f>
        <v>0</v>
      </c>
      <c r="I89" s="8" t="n">
        <f aca="false">SUMIFS('Source 2026'!$K:$K,'Source 2026'!$B:$B,$A89,'Source 2026'!$A:$A,"Amount (NIS)")</f>
        <v>1134</v>
      </c>
      <c r="J89" s="8" t="n">
        <f aca="false">I89*$J$5</f>
        <v>1555.2</v>
      </c>
      <c r="K89" s="8" t="n">
        <f aca="false">J89-H89</f>
        <v>1555.2</v>
      </c>
      <c r="L89" s="9" t="str">
        <f aca="false">IF(AND(H89=0,J89=0),0,IF(H89=0,"New",(J89-H89)/H89))</f>
        <v>New</v>
      </c>
    </row>
    <row r="90" customFormat="false" ht="15" hidden="false" customHeight="false" outlineLevel="0" collapsed="false">
      <c r="A90" s="7" t="n">
        <v>4408268</v>
      </c>
      <c r="B90" s="7" t="str">
        <f aca="false">IFERROR(INDEX('Source 2026'!$C:$C,MATCH($A90,'Source 2026'!$B:$B,0)),IFERROR(INDEX('Source 2025'!$C:$C,MATCH($A90,'Source 2025'!$B:$B,0)),""))</f>
        <v>ST20 חבק יד</v>
      </c>
      <c r="C90" s="8" t="n">
        <f aca="false">SUMIFS('Source 2025'!$K:$K,'Source 2025'!$B:$B,$A90,'Source 2025'!$A:$A,"Quantity (units)")</f>
        <v>0</v>
      </c>
      <c r="D90" s="8" t="n">
        <f aca="false">SUMIFS('Source 2026'!$K:$K,'Source 2026'!$B:$B,$A90,'Source 2026'!$A:$A,"Quantity (units)")</f>
        <v>72</v>
      </c>
      <c r="E90" s="8" t="n">
        <f aca="false">D90*$J$5</f>
        <v>98.7428571428572</v>
      </c>
      <c r="F90" s="8" t="n">
        <f aca="false">E90-C90</f>
        <v>98.7428571428572</v>
      </c>
      <c r="G90" s="9" t="str">
        <f aca="false">IF(AND(C90=0,E90=0),0,IF(C90=0,"New",(E90-C90)/C90))</f>
        <v>New</v>
      </c>
      <c r="H90" s="8" t="n">
        <f aca="false">SUMIFS('Source 2025'!$K:$K,'Source 2025'!$B:$B,$A90,'Source 2025'!$A:$A,"Amount (NIS)")</f>
        <v>0</v>
      </c>
      <c r="I90" s="8" t="n">
        <f aca="false">SUMIFS('Source 2026'!$K:$K,'Source 2026'!$B:$B,$A90,'Source 2026'!$A:$A,"Amount (NIS)")</f>
        <v>1133</v>
      </c>
      <c r="J90" s="8" t="n">
        <f aca="false">I90*$J$5</f>
        <v>1553.82857142857</v>
      </c>
      <c r="K90" s="8" t="n">
        <f aca="false">J90-H90</f>
        <v>1553.82857142857</v>
      </c>
      <c r="L90" s="9" t="str">
        <f aca="false">IF(AND(H90=0,J90=0),0,IF(H90=0,"New",(J90-H90)/H90))</f>
        <v>New</v>
      </c>
    </row>
    <row r="91" customFormat="false" ht="15" hidden="false" customHeight="false" outlineLevel="0" collapsed="false">
      <c r="A91" s="7" t="n">
        <v>4408015</v>
      </c>
      <c r="B91" s="7" t="str">
        <f aca="false">IFERROR(INDEX('Source 2026'!$C:$C,MATCH($A91,'Source 2026'!$B:$B,0)),IFERROR(INDEX('Source 2025'!$C:$C,MATCH($A91,'Source 2025'!$B:$B,0)),""))</f>
        <v>07AU L ח.גב ""איטלקית"" אורירית</v>
      </c>
      <c r="C91" s="8" t="n">
        <f aca="false">SUMIFS('Source 2025'!$K:$K,'Source 2025'!$B:$B,$A91,'Source 2025'!$A:$A,"Quantity (units)")</f>
        <v>0</v>
      </c>
      <c r="D91" s="8" t="n">
        <f aca="false">SUMIFS('Source 2026'!$K:$K,'Source 2026'!$B:$B,$A91,'Source 2026'!$A:$A,"Quantity (units)")</f>
        <v>7</v>
      </c>
      <c r="E91" s="8" t="n">
        <f aca="false">D91*$J$5</f>
        <v>9.6</v>
      </c>
      <c r="F91" s="8" t="n">
        <f aca="false">E91-C91</f>
        <v>9.6</v>
      </c>
      <c r="G91" s="9" t="str">
        <f aca="false">IF(AND(C91=0,E91=0),0,IF(C91=0,"New",(E91-C91)/C91))</f>
        <v>New</v>
      </c>
      <c r="H91" s="8" t="n">
        <f aca="false">SUMIFS('Source 2025'!$K:$K,'Source 2025'!$B:$B,$A91,'Source 2025'!$A:$A,"Amount (NIS)")</f>
        <v>0</v>
      </c>
      <c r="I91" s="8" t="n">
        <f aca="false">SUMIFS('Source 2026'!$K:$K,'Source 2026'!$B:$B,$A91,'Source 2026'!$A:$A,"Amount (NIS)")</f>
        <v>1096.9</v>
      </c>
      <c r="J91" s="8" t="n">
        <f aca="false">I91*$J$5</f>
        <v>1504.32</v>
      </c>
      <c r="K91" s="8" t="n">
        <f aca="false">J91-H91</f>
        <v>1504.32</v>
      </c>
      <c r="L91" s="9" t="str">
        <f aca="false">IF(AND(H91=0,J91=0),0,IF(H91=0,"New",(J91-H91)/H91))</f>
        <v>New</v>
      </c>
    </row>
    <row r="92" customFormat="false" ht="15" hidden="false" customHeight="false" outlineLevel="0" collapsed="false">
      <c r="A92" s="7" t="n">
        <v>4411001</v>
      </c>
      <c r="B92" s="7" t="str">
        <f aca="false">IFERROR(INDEX('Source 2026'!$C:$C,MATCH($A92,'Source 2026'!$B:$B,0)),IFERROR(INDEX('Source 2025'!$C:$C,MATCH($A92,'Source 2025'!$B:$B,0)),""))</f>
        <v>3623 כרית ליישור אצבע פטיש</v>
      </c>
      <c r="C92" s="8" t="n">
        <f aca="false">SUMIFS('Source 2025'!$K:$K,'Source 2025'!$B:$B,$A92,'Source 2025'!$A:$A,"Quantity (units)")</f>
        <v>0</v>
      </c>
      <c r="D92" s="8" t="n">
        <f aca="false">SUMIFS('Source 2026'!$K:$K,'Source 2026'!$B:$B,$A92,'Source 2026'!$A:$A,"Quantity (units)")</f>
        <v>57</v>
      </c>
      <c r="E92" s="8" t="n">
        <f aca="false">D92*$J$5</f>
        <v>78.1714285714286</v>
      </c>
      <c r="F92" s="8" t="n">
        <f aca="false">E92-C92</f>
        <v>78.1714285714286</v>
      </c>
      <c r="G92" s="9" t="str">
        <f aca="false">IF(AND(C92=0,E92=0),0,IF(C92=0,"New",(E92-C92)/C92))</f>
        <v>New</v>
      </c>
      <c r="H92" s="8" t="n">
        <f aca="false">SUMIFS('Source 2025'!$K:$K,'Source 2025'!$B:$B,$A92,'Source 2025'!$A:$A,"Amount (NIS)")</f>
        <v>0</v>
      </c>
      <c r="I92" s="8" t="n">
        <f aca="false">SUMIFS('Source 2026'!$K:$K,'Source 2026'!$B:$B,$A92,'Source 2026'!$A:$A,"Amount (NIS)")</f>
        <v>1095.6</v>
      </c>
      <c r="J92" s="8" t="n">
        <f aca="false">I92*$J$5</f>
        <v>1502.53714285714</v>
      </c>
      <c r="K92" s="8" t="n">
        <f aca="false">J92-H92</f>
        <v>1502.53714285714</v>
      </c>
      <c r="L92" s="9" t="str">
        <f aca="false">IF(AND(H92=0,J92=0),0,IF(H92=0,"New",(J92-H92)/H92))</f>
        <v>New</v>
      </c>
    </row>
    <row r="93" customFormat="false" ht="15" hidden="false" customHeight="false" outlineLevel="0" collapsed="false">
      <c r="A93" s="7" t="n">
        <v>4408054</v>
      </c>
      <c r="B93" s="7" t="str">
        <f aca="false">IFERROR(INDEX('Source 2026'!$C:$C,MATCH($A93,'Source 2026'!$B:$B,0)),IFERROR(INDEX('Source 2025'!$C:$C,MATCH($A93,'Source 2025'!$B:$B,0)),""))</f>
        <v>21 XL חבק יד ארוך</v>
      </c>
      <c r="C93" s="8" t="n">
        <f aca="false">SUMIFS('Source 2025'!$K:$K,'Source 2025'!$B:$B,$A93,'Source 2025'!$A:$A,"Quantity (units)")</f>
        <v>0</v>
      </c>
      <c r="D93" s="8" t="n">
        <f aca="false">SUMIFS('Source 2026'!$K:$K,'Source 2026'!$B:$B,$A93,'Source 2026'!$A:$A,"Quantity (units)")</f>
        <v>46</v>
      </c>
      <c r="E93" s="8" t="n">
        <f aca="false">D93*$J$5</f>
        <v>63.0857142857143</v>
      </c>
      <c r="F93" s="8" t="n">
        <f aca="false">E93-C93</f>
        <v>63.0857142857143</v>
      </c>
      <c r="G93" s="9" t="str">
        <f aca="false">IF(AND(C93=0,E93=0),0,IF(C93=0,"New",(E93-C93)/C93))</f>
        <v>New</v>
      </c>
      <c r="H93" s="8" t="n">
        <f aca="false">SUMIFS('Source 2025'!$K:$K,'Source 2025'!$B:$B,$A93,'Source 2025'!$A:$A,"Amount (NIS)")</f>
        <v>0</v>
      </c>
      <c r="I93" s="8" t="n">
        <f aca="false">SUMIFS('Source 2026'!$K:$K,'Source 2026'!$B:$B,$A93,'Source 2026'!$A:$A,"Amount (NIS)")</f>
        <v>1093.2</v>
      </c>
      <c r="J93" s="8" t="n">
        <f aca="false">I93*$J$5</f>
        <v>1499.24571428571</v>
      </c>
      <c r="K93" s="8" t="n">
        <f aca="false">J93-H93</f>
        <v>1499.24571428571</v>
      </c>
      <c r="L93" s="9" t="str">
        <f aca="false">IF(AND(H93=0,J93=0),0,IF(H93=0,"New",(J93-H93)/H93))</f>
        <v>New</v>
      </c>
    </row>
    <row r="94" customFormat="false" ht="15" hidden="false" customHeight="false" outlineLevel="0" collapsed="false">
      <c r="A94" s="7" t="n">
        <v>4422006</v>
      </c>
      <c r="B94" s="7" t="str">
        <f aca="false">IFERROR(INDEX('Source 2026'!$C:$C,MATCH($A94,'Source 2026'!$B:$B,0)),IFERROR(INDEX('Source 2025'!$C:$C,MATCH($A94,'Source 2025'!$B:$B,0)),""))</f>
        <v>T78 L תומך זרוע וכתף</v>
      </c>
      <c r="C94" s="8" t="n">
        <f aca="false">SUMIFS('Source 2025'!$K:$K,'Source 2025'!$B:$B,$A94,'Source 2025'!$A:$A,"Quantity (units)")</f>
        <v>0</v>
      </c>
      <c r="D94" s="8" t="n">
        <f aca="false">SUMIFS('Source 2026'!$K:$K,'Source 2026'!$B:$B,$A94,'Source 2026'!$A:$A,"Quantity (units)")</f>
        <v>8</v>
      </c>
      <c r="E94" s="8" t="n">
        <f aca="false">D94*$J$5</f>
        <v>10.9714285714286</v>
      </c>
      <c r="F94" s="8" t="n">
        <f aca="false">E94-C94</f>
        <v>10.9714285714286</v>
      </c>
      <c r="G94" s="9" t="str">
        <f aca="false">IF(AND(C94=0,E94=0),0,IF(C94=0,"New",(E94-C94)/C94))</f>
        <v>New</v>
      </c>
      <c r="H94" s="8" t="n">
        <f aca="false">SUMIFS('Source 2025'!$K:$K,'Source 2025'!$B:$B,$A94,'Source 2025'!$A:$A,"Amount (NIS)")</f>
        <v>0</v>
      </c>
      <c r="I94" s="8" t="n">
        <f aca="false">SUMIFS('Source 2026'!$K:$K,'Source 2026'!$B:$B,$A94,'Source 2026'!$A:$A,"Amount (NIS)")</f>
        <v>1029.7</v>
      </c>
      <c r="J94" s="8" t="n">
        <f aca="false">I94*$J$5</f>
        <v>1412.16</v>
      </c>
      <c r="K94" s="8" t="n">
        <f aca="false">J94-H94</f>
        <v>1412.16</v>
      </c>
      <c r="L94" s="9" t="str">
        <f aca="false">IF(AND(H94=0,J94=0),0,IF(H94=0,"New",(J94-H94)/H94))</f>
        <v>New</v>
      </c>
    </row>
    <row r="95" customFormat="false" ht="15" hidden="false" customHeight="false" outlineLevel="0" collapsed="false">
      <c r="A95" s="7" t="n">
        <v>4408152</v>
      </c>
      <c r="B95" s="7" t="str">
        <f aca="false">IFERROR(INDEX('Source 2026'!$C:$C,MATCH($A95,'Source 2026'!$B:$B,0)),IFERROR(INDEX('Source 2025'!$C:$C,MATCH($A95,'Source 2025'!$B:$B,0)),""))</f>
        <v>11TO L חגורה למנותחי בית החזה</v>
      </c>
      <c r="C95" s="8" t="n">
        <f aca="false">SUMIFS('Source 2025'!$K:$K,'Source 2025'!$B:$B,$A95,'Source 2025'!$A:$A,"Quantity (units)")</f>
        <v>0</v>
      </c>
      <c r="D95" s="8" t="n">
        <f aca="false">SUMIFS('Source 2026'!$K:$K,'Source 2026'!$B:$B,$A95,'Source 2026'!$A:$A,"Quantity (units)")</f>
        <v>10</v>
      </c>
      <c r="E95" s="8" t="n">
        <f aca="false">D95*$J$5</f>
        <v>13.7142857142857</v>
      </c>
      <c r="F95" s="8" t="n">
        <f aca="false">E95-C95</f>
        <v>13.7142857142857</v>
      </c>
      <c r="G95" s="9" t="str">
        <f aca="false">IF(AND(C95=0,E95=0),0,IF(C95=0,"New",(E95-C95)/C95))</f>
        <v>New</v>
      </c>
      <c r="H95" s="8" t="n">
        <f aca="false">SUMIFS('Source 2025'!$K:$K,'Source 2025'!$B:$B,$A95,'Source 2025'!$A:$A,"Amount (NIS)")</f>
        <v>0</v>
      </c>
      <c r="I95" s="8" t="n">
        <f aca="false">SUMIFS('Source 2026'!$K:$K,'Source 2026'!$B:$B,$A95,'Source 2026'!$A:$A,"Amount (NIS)")</f>
        <v>1017.3</v>
      </c>
      <c r="J95" s="8" t="n">
        <f aca="false">I95*$J$5</f>
        <v>1395.15428571429</v>
      </c>
      <c r="K95" s="8" t="n">
        <f aca="false">J95-H95</f>
        <v>1395.15428571429</v>
      </c>
      <c r="L95" s="9" t="str">
        <f aca="false">IF(AND(H95=0,J95=0),0,IF(H95=0,"New",(J95-H95)/H95))</f>
        <v>New</v>
      </c>
    </row>
    <row r="96" customFormat="false" ht="15" hidden="false" customHeight="false" outlineLevel="0" collapsed="false">
      <c r="A96" s="7" t="n">
        <v>4408018</v>
      </c>
      <c r="B96" s="7" t="str">
        <f aca="false">IFERROR(INDEX('Source 2026'!$C:$C,MATCH($A96,'Source 2026'!$B:$B,0)),IFERROR(INDEX('Source 2025'!$C:$C,MATCH($A96,'Source 2025'!$B:$B,0)),""))</f>
        <v>07AU XXL.ח.גב ""איטלקית"" אוריר</v>
      </c>
      <c r="C96" s="8" t="n">
        <f aca="false">SUMIFS('Source 2025'!$K:$K,'Source 2025'!$B:$B,$A96,'Source 2025'!$A:$A,"Quantity (units)")</f>
        <v>0</v>
      </c>
      <c r="D96" s="8" t="n">
        <f aca="false">SUMIFS('Source 2026'!$K:$K,'Source 2026'!$B:$B,$A96,'Source 2026'!$A:$A,"Quantity (units)")</f>
        <v>7</v>
      </c>
      <c r="E96" s="8" t="n">
        <f aca="false">D96*$J$5</f>
        <v>9.6</v>
      </c>
      <c r="F96" s="8" t="n">
        <f aca="false">E96-C96</f>
        <v>9.6</v>
      </c>
      <c r="G96" s="9" t="str">
        <f aca="false">IF(AND(C96=0,E96=0),0,IF(C96=0,"New",(E96-C96)/C96))</f>
        <v>New</v>
      </c>
      <c r="H96" s="8" t="n">
        <f aca="false">SUMIFS('Source 2025'!$K:$K,'Source 2025'!$B:$B,$A96,'Source 2025'!$A:$A,"Amount (NIS)")</f>
        <v>0</v>
      </c>
      <c r="I96" s="8" t="n">
        <f aca="false">SUMIFS('Source 2026'!$K:$K,'Source 2026'!$B:$B,$A96,'Source 2026'!$A:$A,"Amount (NIS)")</f>
        <v>1009.1</v>
      </c>
      <c r="J96" s="8" t="n">
        <f aca="false">I96*$J$5</f>
        <v>1383.90857142857</v>
      </c>
      <c r="K96" s="8" t="n">
        <f aca="false">J96-H96</f>
        <v>1383.90857142857</v>
      </c>
      <c r="L96" s="9" t="str">
        <f aca="false">IF(AND(H96=0,J96=0),0,IF(H96=0,"New",(J96-H96)/H96))</f>
        <v>New</v>
      </c>
    </row>
    <row r="97" customFormat="false" ht="15" hidden="false" customHeight="false" outlineLevel="0" collapsed="false">
      <c r="A97" s="7" t="n">
        <v>4413150</v>
      </c>
      <c r="B97" s="7" t="str">
        <f aca="false">IFERROR(INDEX('Source 2026'!$C:$C,MATCH($A97,'Source 2026'!$B:$B,0)),IFERROR(INDEX('Source 2025'!$C:$C,MATCH($A97,'Source 2025'!$B:$B,0)),""))</f>
        <v>PD341-מקצוע להסרת עור קשה</v>
      </c>
      <c r="C97" s="8" t="n">
        <f aca="false">SUMIFS('Source 2025'!$K:$K,'Source 2025'!$B:$B,$A97,'Source 2025'!$A:$A,"Quantity (units)")</f>
        <v>0</v>
      </c>
      <c r="D97" s="8" t="n">
        <f aca="false">SUMIFS('Source 2026'!$K:$K,'Source 2026'!$B:$B,$A97,'Source 2026'!$A:$A,"Quantity (units)")</f>
        <v>48</v>
      </c>
      <c r="E97" s="8" t="n">
        <f aca="false">D97*$J$5</f>
        <v>65.8285714285714</v>
      </c>
      <c r="F97" s="8" t="n">
        <f aca="false">E97-C97</f>
        <v>65.8285714285714</v>
      </c>
      <c r="G97" s="9" t="str">
        <f aca="false">IF(AND(C97=0,E97=0),0,IF(C97=0,"New",(E97-C97)/C97))</f>
        <v>New</v>
      </c>
      <c r="H97" s="8" t="n">
        <f aca="false">SUMIFS('Source 2025'!$K:$K,'Source 2025'!$B:$B,$A97,'Source 2025'!$A:$A,"Amount (NIS)")</f>
        <v>0</v>
      </c>
      <c r="I97" s="8" t="n">
        <f aca="false">SUMIFS('Source 2026'!$K:$K,'Source 2026'!$B:$B,$A97,'Source 2026'!$A:$A,"Amount (NIS)")</f>
        <v>1004.4</v>
      </c>
      <c r="J97" s="8" t="n">
        <f aca="false">I97*$J$5</f>
        <v>1377.46285714286</v>
      </c>
      <c r="K97" s="8" t="n">
        <f aca="false">J97-H97</f>
        <v>1377.46285714286</v>
      </c>
      <c r="L97" s="9" t="str">
        <f aca="false">IF(AND(H97=0,J97=0),0,IF(H97=0,"New",(J97-H97)/H97))</f>
        <v>New</v>
      </c>
    </row>
    <row r="98" customFormat="false" ht="15" hidden="false" customHeight="false" outlineLevel="0" collapsed="false">
      <c r="A98" s="7" t="n">
        <v>4411030</v>
      </c>
      <c r="B98" s="7" t="str">
        <f aca="false">IFERROR(INDEX('Source 2026'!$C:$C,MATCH($A98,'Source 2026'!$B:$B,0)),IFERROR(INDEX('Source 2025'!$C:$C,MATCH($A98,'Source 2025'!$B:$B,0)),""))</f>
        <v>213CTSR M ימין CTS כפפות</v>
      </c>
      <c r="C98" s="8" t="n">
        <f aca="false">SUMIFS('Source 2025'!$K:$K,'Source 2025'!$B:$B,$A98,'Source 2025'!$A:$A,"Quantity (units)")</f>
        <v>0</v>
      </c>
      <c r="D98" s="8" t="n">
        <f aca="false">SUMIFS('Source 2026'!$K:$K,'Source 2026'!$B:$B,$A98,'Source 2026'!$A:$A,"Quantity (units)")</f>
        <v>14</v>
      </c>
      <c r="E98" s="8" t="n">
        <f aca="false">D98*$J$5</f>
        <v>19.2</v>
      </c>
      <c r="F98" s="8" t="n">
        <f aca="false">E98-C98</f>
        <v>19.2</v>
      </c>
      <c r="G98" s="9" t="str">
        <f aca="false">IF(AND(C98=0,E98=0),0,IF(C98=0,"New",(E98-C98)/C98))</f>
        <v>New</v>
      </c>
      <c r="H98" s="8" t="n">
        <f aca="false">SUMIFS('Source 2025'!$K:$K,'Source 2025'!$B:$B,$A98,'Source 2025'!$A:$A,"Amount (NIS)")</f>
        <v>0</v>
      </c>
      <c r="I98" s="8" t="n">
        <f aca="false">SUMIFS('Source 2026'!$K:$K,'Source 2026'!$B:$B,$A98,'Source 2026'!$A:$A,"Amount (NIS)")</f>
        <v>994</v>
      </c>
      <c r="J98" s="8" t="n">
        <f aca="false">I98*$J$5</f>
        <v>1363.2</v>
      </c>
      <c r="K98" s="8" t="n">
        <f aca="false">J98-H98</f>
        <v>1363.2</v>
      </c>
      <c r="L98" s="9" t="str">
        <f aca="false">IF(AND(H98=0,J98=0),0,IF(H98=0,"New",(J98-H98)/H98))</f>
        <v>New</v>
      </c>
    </row>
    <row r="99" customFormat="false" ht="15" hidden="false" customHeight="false" outlineLevel="0" collapsed="false">
      <c r="A99" s="7" t="n">
        <v>4420017</v>
      </c>
      <c r="B99" s="7" t="str">
        <f aca="false">IFERROR(INDEX('Source 2026'!$C:$C,MATCH($A99,'Source 2026'!$B:$B,0)),IFERROR(INDEX('Source 2025'!$C:$C,MATCH($A99,'Source 2025'!$B:$B,0)),""))</f>
        <v>4022 רצועת ""פיקה""+כרית</v>
      </c>
      <c r="C99" s="8" t="n">
        <f aca="false">SUMIFS('Source 2025'!$K:$K,'Source 2025'!$B:$B,$A99,'Source 2025'!$A:$A,"Quantity (units)")</f>
        <v>0</v>
      </c>
      <c r="D99" s="8" t="n">
        <f aca="false">SUMIFS('Source 2026'!$K:$K,'Source 2026'!$B:$B,$A99,'Source 2026'!$A:$A,"Quantity (units)")</f>
        <v>16</v>
      </c>
      <c r="E99" s="8" t="n">
        <f aca="false">D99*$J$5</f>
        <v>21.9428571428571</v>
      </c>
      <c r="F99" s="8" t="n">
        <f aca="false">E99-C99</f>
        <v>21.9428571428571</v>
      </c>
      <c r="G99" s="9" t="str">
        <f aca="false">IF(AND(C99=0,E99=0),0,IF(C99=0,"New",(E99-C99)/C99))</f>
        <v>New</v>
      </c>
      <c r="H99" s="8" t="n">
        <f aca="false">SUMIFS('Source 2025'!$K:$K,'Source 2025'!$B:$B,$A99,'Source 2025'!$A:$A,"Amount (NIS)")</f>
        <v>0</v>
      </c>
      <c r="I99" s="8" t="n">
        <f aca="false">SUMIFS('Source 2026'!$K:$K,'Source 2026'!$B:$B,$A99,'Source 2026'!$A:$A,"Amount (NIS)")</f>
        <v>957.1</v>
      </c>
      <c r="J99" s="8" t="n">
        <f aca="false">I99*$J$5</f>
        <v>1312.59428571429</v>
      </c>
      <c r="K99" s="8" t="n">
        <f aca="false">J99-H99</f>
        <v>1312.59428571429</v>
      </c>
      <c r="L99" s="9" t="str">
        <f aca="false">IF(AND(H99=0,J99=0),0,IF(H99=0,"New",(J99-H99)/H99))</f>
        <v>New</v>
      </c>
    </row>
    <row r="100" customFormat="false" ht="15" hidden="false" customHeight="false" outlineLevel="0" collapsed="false">
      <c r="A100" s="7" t="n">
        <v>4413139</v>
      </c>
      <c r="B100" s="7" t="str">
        <f aca="false">IFERROR(INDEX('Source 2026'!$C:$C,MATCH($A100,'Source 2026'!$B:$B,0)),IFERROR(INDEX('Source 2025'!$C:$C,MATCH($A100,'Source 2025'!$B:$B,0)),""))</f>
        <v>95 L מגן מרפק רגיל לבן</v>
      </c>
      <c r="C100" s="8" t="n">
        <f aca="false">SUMIFS('Source 2025'!$K:$K,'Source 2025'!$B:$B,$A100,'Source 2025'!$A:$A,"Quantity (units)")</f>
        <v>0</v>
      </c>
      <c r="D100" s="8" t="n">
        <f aca="false">SUMIFS('Source 2026'!$K:$K,'Source 2026'!$B:$B,$A100,'Source 2026'!$A:$A,"Quantity (units)")</f>
        <v>58</v>
      </c>
      <c r="E100" s="8" t="n">
        <f aca="false">D100*$J$5</f>
        <v>79.5428571428571</v>
      </c>
      <c r="F100" s="8" t="n">
        <f aca="false">E100-C100</f>
        <v>79.5428571428571</v>
      </c>
      <c r="G100" s="9" t="str">
        <f aca="false">IF(AND(C100=0,E100=0),0,IF(C100=0,"New",(E100-C100)/C100))</f>
        <v>New</v>
      </c>
      <c r="H100" s="8" t="n">
        <f aca="false">SUMIFS('Source 2025'!$K:$K,'Source 2025'!$B:$B,$A100,'Source 2025'!$A:$A,"Amount (NIS)")</f>
        <v>0</v>
      </c>
      <c r="I100" s="8" t="n">
        <f aca="false">SUMIFS('Source 2026'!$K:$K,'Source 2026'!$B:$B,$A100,'Source 2026'!$A:$A,"Amount (NIS)")</f>
        <v>956.3</v>
      </c>
      <c r="J100" s="8" t="n">
        <f aca="false">I100*$J$5</f>
        <v>1311.49714285714</v>
      </c>
      <c r="K100" s="8" t="n">
        <f aca="false">J100-H100</f>
        <v>1311.49714285714</v>
      </c>
      <c r="L100" s="9" t="str">
        <f aca="false">IF(AND(H100=0,J100=0),0,IF(H100=0,"New",(J100-H100)/H100))</f>
        <v>New</v>
      </c>
    </row>
    <row r="101" customFormat="false" ht="15" hidden="false" customHeight="false" outlineLevel="0" collapsed="false">
      <c r="A101" s="7" t="n">
        <v>4413134</v>
      </c>
      <c r="B101" s="7" t="str">
        <f aca="false">IFERROR(INDEX('Source 2026'!$C:$C,MATCH($A101,'Source 2026'!$B:$B,0)),IFERROR(INDEX('Source 2025'!$C:$C,MATCH($A101,'Source 2025'!$B:$B,0)),""))</f>
        <v>76 XLמיישר כתף יציב יישור רחב</v>
      </c>
      <c r="C101" s="8" t="n">
        <f aca="false">SUMIFS('Source 2025'!$K:$K,'Source 2025'!$B:$B,$A101,'Source 2025'!$A:$A,"Quantity (units)")</f>
        <v>0</v>
      </c>
      <c r="D101" s="8" t="n">
        <f aca="false">SUMIFS('Source 2026'!$K:$K,'Source 2026'!$B:$B,$A101,'Source 2026'!$A:$A,"Quantity (units)")</f>
        <v>7</v>
      </c>
      <c r="E101" s="8" t="n">
        <f aca="false">D101*$J$5</f>
        <v>9.6</v>
      </c>
      <c r="F101" s="8" t="n">
        <f aca="false">E101-C101</f>
        <v>9.6</v>
      </c>
      <c r="G101" s="9" t="str">
        <f aca="false">IF(AND(C101=0,E101=0),0,IF(C101=0,"New",(E101-C101)/C101))</f>
        <v>New</v>
      </c>
      <c r="H101" s="8" t="n">
        <f aca="false">SUMIFS('Source 2025'!$K:$K,'Source 2025'!$B:$B,$A101,'Source 2025'!$A:$A,"Amount (NIS)")</f>
        <v>0</v>
      </c>
      <c r="I101" s="8" t="n">
        <f aca="false">SUMIFS('Source 2026'!$K:$K,'Source 2026'!$B:$B,$A101,'Source 2026'!$A:$A,"Amount (NIS)")</f>
        <v>954.1</v>
      </c>
      <c r="J101" s="8" t="n">
        <f aca="false">I101*$J$5</f>
        <v>1308.48</v>
      </c>
      <c r="K101" s="8" t="n">
        <f aca="false">J101-H101</f>
        <v>1308.48</v>
      </c>
      <c r="L101" s="9" t="str">
        <f aca="false">IF(AND(H101=0,J101=0),0,IF(H101=0,"New",(J101-H101)/H101))</f>
        <v>New</v>
      </c>
    </row>
    <row r="102" customFormat="false" ht="15" hidden="false" customHeight="false" outlineLevel="0" collapsed="false">
      <c r="A102" s="7" t="n">
        <v>4402007</v>
      </c>
      <c r="B102" s="7" t="str">
        <f aca="false">IFERROR(INDEX('Source 2026'!$C:$C,MATCH($A102,'Source 2026'!$B:$B,0)),IFERROR(INDEX('Source 2025'!$C:$C,MATCH($A102,'Source 2025'!$B:$B,0)),""))</f>
        <v>320 בליסטר פלסטר</v>
      </c>
      <c r="C102" s="8" t="n">
        <f aca="false">SUMIFS('Source 2025'!$K:$K,'Source 2025'!$B:$B,$A102,'Source 2025'!$A:$A,"Quantity (units)")</f>
        <v>0</v>
      </c>
      <c r="D102" s="8" t="n">
        <f aca="false">SUMIFS('Source 2026'!$K:$K,'Source 2026'!$B:$B,$A102,'Source 2026'!$A:$A,"Quantity (units)")</f>
        <v>78</v>
      </c>
      <c r="E102" s="8" t="n">
        <f aca="false">D102*$J$5</f>
        <v>106.971428571429</v>
      </c>
      <c r="F102" s="8" t="n">
        <f aca="false">E102-C102</f>
        <v>106.971428571429</v>
      </c>
      <c r="G102" s="9" t="str">
        <f aca="false">IF(AND(C102=0,E102=0),0,IF(C102=0,"New",(E102-C102)/C102))</f>
        <v>New</v>
      </c>
      <c r="H102" s="8" t="n">
        <f aca="false">SUMIFS('Source 2025'!$K:$K,'Source 2025'!$B:$B,$A102,'Source 2025'!$A:$A,"Amount (NIS)")</f>
        <v>0</v>
      </c>
      <c r="I102" s="8" t="n">
        <f aca="false">SUMIFS('Source 2026'!$K:$K,'Source 2026'!$B:$B,$A102,'Source 2026'!$A:$A,"Amount (NIS)")</f>
        <v>939.1</v>
      </c>
      <c r="J102" s="8" t="n">
        <f aca="false">I102*$J$5</f>
        <v>1287.90857142857</v>
      </c>
      <c r="K102" s="8" t="n">
        <f aca="false">J102-H102</f>
        <v>1287.90857142857</v>
      </c>
      <c r="L102" s="9" t="str">
        <f aca="false">IF(AND(H102=0,J102=0),0,IF(H102=0,"New",(J102-H102)/H102))</f>
        <v>New</v>
      </c>
    </row>
    <row r="103" customFormat="false" ht="15" hidden="false" customHeight="false" outlineLevel="0" collapsed="false">
      <c r="A103" s="7" t="n">
        <v>4413162</v>
      </c>
      <c r="B103" s="7" t="str">
        <f aca="false">IFERROR(INDEX('Source 2026'!$C:$C,MATCH($A103,'Source 2026'!$B:$B,0)),IFERROR(INDEX('Source 2025'!$C:$C,MATCH($A103,'Source 2025'!$B:$B,0)),""))</f>
        <v>34+XL מגן קרסול עקב סגור+רצוע</v>
      </c>
      <c r="C103" s="8" t="n">
        <f aca="false">SUMIFS('Source 2025'!$K:$K,'Source 2025'!$B:$B,$A103,'Source 2025'!$A:$A,"Quantity (units)")</f>
        <v>0</v>
      </c>
      <c r="D103" s="8" t="n">
        <f aca="false">SUMIFS('Source 2026'!$K:$K,'Source 2026'!$B:$B,$A103,'Source 2026'!$A:$A,"Quantity (units)")</f>
        <v>23</v>
      </c>
      <c r="E103" s="8" t="n">
        <f aca="false">D103*$J$5</f>
        <v>31.5428571428571</v>
      </c>
      <c r="F103" s="8" t="n">
        <f aca="false">E103-C103</f>
        <v>31.5428571428571</v>
      </c>
      <c r="G103" s="9" t="str">
        <f aca="false">IF(AND(C103=0,E103=0),0,IF(C103=0,"New",(E103-C103)/C103))</f>
        <v>New</v>
      </c>
      <c r="H103" s="8" t="n">
        <f aca="false">SUMIFS('Source 2025'!$K:$K,'Source 2025'!$B:$B,$A103,'Source 2025'!$A:$A,"Amount (NIS)")</f>
        <v>0</v>
      </c>
      <c r="I103" s="8" t="n">
        <f aca="false">SUMIFS('Source 2026'!$K:$K,'Source 2026'!$B:$B,$A103,'Source 2026'!$A:$A,"Amount (NIS)")</f>
        <v>906.6</v>
      </c>
      <c r="J103" s="8" t="n">
        <f aca="false">I103*$J$5</f>
        <v>1243.33714285714</v>
      </c>
      <c r="K103" s="8" t="n">
        <f aca="false">J103-H103</f>
        <v>1243.33714285714</v>
      </c>
      <c r="L103" s="9" t="str">
        <f aca="false">IF(AND(H103=0,J103=0),0,IF(H103=0,"New",(J103-H103)/H103))</f>
        <v>New</v>
      </c>
    </row>
    <row r="104" customFormat="false" ht="15" hidden="false" customHeight="false" outlineLevel="0" collapsed="false">
      <c r="A104" s="7" t="n">
        <v>4413204</v>
      </c>
      <c r="B104" s="7" t="str">
        <f aca="false">IFERROR(INDEX('Source 2026'!$C:$C,MATCH($A104,'Source 2026'!$B:$B,0)),IFERROR(INDEX('Source 2025'!$C:$C,MATCH($A104,'Source 2025'!$B:$B,0)),""))</f>
        <v>87 XXL מקבע כתף ויד</v>
      </c>
      <c r="C104" s="8" t="n">
        <f aca="false">SUMIFS('Source 2025'!$K:$K,'Source 2025'!$B:$B,$A104,'Source 2025'!$A:$A,"Quantity (units)")</f>
        <v>0</v>
      </c>
      <c r="D104" s="8" t="n">
        <f aca="false">SUMIFS('Source 2026'!$K:$K,'Source 2026'!$B:$B,$A104,'Source 2026'!$A:$A,"Quantity (units)")</f>
        <v>7</v>
      </c>
      <c r="E104" s="8" t="n">
        <f aca="false">D104*$J$5</f>
        <v>9.6</v>
      </c>
      <c r="F104" s="8" t="n">
        <f aca="false">E104-C104</f>
        <v>9.6</v>
      </c>
      <c r="G104" s="9" t="str">
        <f aca="false">IF(AND(C104=0,E104=0),0,IF(C104=0,"New",(E104-C104)/C104))</f>
        <v>New</v>
      </c>
      <c r="H104" s="8" t="n">
        <f aca="false">SUMIFS('Source 2025'!$K:$K,'Source 2025'!$B:$B,$A104,'Source 2025'!$A:$A,"Amount (NIS)")</f>
        <v>0</v>
      </c>
      <c r="I104" s="8" t="n">
        <f aca="false">SUMIFS('Source 2026'!$K:$K,'Source 2026'!$B:$B,$A104,'Source 2026'!$A:$A,"Amount (NIS)")</f>
        <v>885.5</v>
      </c>
      <c r="J104" s="8" t="n">
        <f aca="false">I104*$J$5</f>
        <v>1214.4</v>
      </c>
      <c r="K104" s="8" t="n">
        <f aca="false">J104-H104</f>
        <v>1214.4</v>
      </c>
      <c r="L104" s="9" t="str">
        <f aca="false">IF(AND(H104=0,J104=0),0,IF(H104=0,"New",(J104-H104)/H104))</f>
        <v>New</v>
      </c>
    </row>
    <row r="105" customFormat="false" ht="15" hidden="false" customHeight="false" outlineLevel="0" collapsed="false">
      <c r="A105" s="7" t="n">
        <v>4422000</v>
      </c>
      <c r="B105" s="7" t="str">
        <f aca="false">IFERROR(INDEX('Source 2026'!$C:$C,MATCH($A105,'Source 2026'!$B:$B,0)),IFERROR(INDEX('Source 2025'!$C:$C,MATCH($A105,'Source 2025'!$B:$B,0)),""))</f>
        <v>801  תחבושת אלסטית מקררת</v>
      </c>
      <c r="C105" s="8" t="n">
        <f aca="false">SUMIFS('Source 2025'!$K:$K,'Source 2025'!$B:$B,$A105,'Source 2025'!$A:$A,"Quantity (units)")</f>
        <v>0</v>
      </c>
      <c r="D105" s="8" t="n">
        <f aca="false">SUMIFS('Source 2026'!$K:$K,'Source 2026'!$B:$B,$A105,'Source 2026'!$A:$A,"Quantity (units)")</f>
        <v>65</v>
      </c>
      <c r="E105" s="8" t="n">
        <f aca="false">D105*$J$5</f>
        <v>89.1428571428571</v>
      </c>
      <c r="F105" s="8" t="n">
        <f aca="false">E105-C105</f>
        <v>89.1428571428571</v>
      </c>
      <c r="G105" s="9" t="str">
        <f aca="false">IF(AND(C105=0,E105=0),0,IF(C105=0,"New",(E105-C105)/C105))</f>
        <v>New</v>
      </c>
      <c r="H105" s="8" t="n">
        <f aca="false">SUMIFS('Source 2025'!$K:$K,'Source 2025'!$B:$B,$A105,'Source 2025'!$A:$A,"Amount (NIS)")</f>
        <v>0</v>
      </c>
      <c r="I105" s="8" t="n">
        <f aca="false">SUMIFS('Source 2026'!$K:$K,'Source 2026'!$B:$B,$A105,'Source 2026'!$A:$A,"Amount (NIS)")</f>
        <v>879.9</v>
      </c>
      <c r="J105" s="8" t="n">
        <f aca="false">I105*$J$5</f>
        <v>1206.72</v>
      </c>
      <c r="K105" s="8" t="n">
        <f aca="false">J105-H105</f>
        <v>1206.72</v>
      </c>
      <c r="L105" s="9" t="str">
        <f aca="false">IF(AND(H105=0,J105=0),0,IF(H105=0,"New",(J105-H105)/H105))</f>
        <v>New</v>
      </c>
    </row>
    <row r="106" customFormat="false" ht="15" hidden="false" customHeight="false" outlineLevel="0" collapsed="false">
      <c r="A106" s="7" t="n">
        <v>4409015</v>
      </c>
      <c r="B106" s="7" t="str">
        <f aca="false">IFERROR(INDEX('Source 2026'!$C:$C,MATCH($A106,'Source 2026'!$B:$B,0)),IFERROR(INDEX('Source 2025'!$C:$C,MATCH($A106,'Source 2025'!$B:$B,0)),""))</f>
        <v>808KT-BL       טייפ קינזיולוגי</v>
      </c>
      <c r="C106" s="8" t="n">
        <f aca="false">SUMIFS('Source 2025'!$K:$K,'Source 2025'!$B:$B,$A106,'Source 2025'!$A:$A,"Quantity (units)")</f>
        <v>0</v>
      </c>
      <c r="D106" s="8" t="n">
        <f aca="false">SUMIFS('Source 2026'!$K:$K,'Source 2026'!$B:$B,$A106,'Source 2026'!$A:$A,"Quantity (units)")</f>
        <v>35</v>
      </c>
      <c r="E106" s="8" t="n">
        <f aca="false">D106*$J$5</f>
        <v>48</v>
      </c>
      <c r="F106" s="8" t="n">
        <f aca="false">E106-C106</f>
        <v>48</v>
      </c>
      <c r="G106" s="9" t="str">
        <f aca="false">IF(AND(C106=0,E106=0),0,IF(C106=0,"New",(E106-C106)/C106))</f>
        <v>New</v>
      </c>
      <c r="H106" s="8" t="n">
        <f aca="false">SUMIFS('Source 2025'!$K:$K,'Source 2025'!$B:$B,$A106,'Source 2025'!$A:$A,"Amount (NIS)")</f>
        <v>0</v>
      </c>
      <c r="I106" s="8" t="n">
        <f aca="false">SUMIFS('Source 2026'!$K:$K,'Source 2026'!$B:$B,$A106,'Source 2026'!$A:$A,"Amount (NIS)")</f>
        <v>875</v>
      </c>
      <c r="J106" s="8" t="n">
        <f aca="false">I106*$J$5</f>
        <v>1200</v>
      </c>
      <c r="K106" s="8" t="n">
        <f aca="false">J106-H106</f>
        <v>1200</v>
      </c>
      <c r="L106" s="9" t="str">
        <f aca="false">IF(AND(H106=0,J106=0),0,IF(H106=0,"New",(J106-H106)/H106))</f>
        <v>New</v>
      </c>
    </row>
    <row r="107" customFormat="false" ht="15" hidden="false" customHeight="false" outlineLevel="0" collapsed="false">
      <c r="A107" s="7" t="n">
        <v>4413159</v>
      </c>
      <c r="B107" s="7" t="str">
        <f aca="false">IFERROR(INDEX('Source 2026'!$C:$C,MATCH($A107,'Source 2026'!$B:$B,0)),IFERROR(INDEX('Source 2025'!$C:$C,MATCH($A107,'Source 2025'!$B:$B,0)),""))</f>
        <v>34+ S מגן קרסול עקב סגור+רצוע</v>
      </c>
      <c r="C107" s="8" t="n">
        <f aca="false">SUMIFS('Source 2025'!$K:$K,'Source 2025'!$B:$B,$A107,'Source 2025'!$A:$A,"Quantity (units)")</f>
        <v>0</v>
      </c>
      <c r="D107" s="8" t="n">
        <f aca="false">SUMIFS('Source 2026'!$K:$K,'Source 2026'!$B:$B,$A107,'Source 2026'!$A:$A,"Quantity (units)")</f>
        <v>23</v>
      </c>
      <c r="E107" s="8" t="n">
        <f aca="false">D107*$J$5</f>
        <v>31.5428571428571</v>
      </c>
      <c r="F107" s="8" t="n">
        <f aca="false">E107-C107</f>
        <v>31.5428571428571</v>
      </c>
      <c r="G107" s="9" t="str">
        <f aca="false">IF(AND(C107=0,E107=0),0,IF(C107=0,"New",(E107-C107)/C107))</f>
        <v>New</v>
      </c>
      <c r="H107" s="8" t="n">
        <f aca="false">SUMIFS('Source 2025'!$K:$K,'Source 2025'!$B:$B,$A107,'Source 2025'!$A:$A,"Amount (NIS)")</f>
        <v>0</v>
      </c>
      <c r="I107" s="8" t="n">
        <f aca="false">SUMIFS('Source 2026'!$K:$K,'Source 2026'!$B:$B,$A107,'Source 2026'!$A:$A,"Amount (NIS)")</f>
        <v>875</v>
      </c>
      <c r="J107" s="8" t="n">
        <f aca="false">I107*$J$5</f>
        <v>1200</v>
      </c>
      <c r="K107" s="8" t="n">
        <f aca="false">J107-H107</f>
        <v>1200</v>
      </c>
      <c r="L107" s="9" t="str">
        <f aca="false">IF(AND(H107=0,J107=0),0,IF(H107=0,"New",(J107-H107)/H107))</f>
        <v>New</v>
      </c>
    </row>
    <row r="108" customFormat="false" ht="15" hidden="false" customHeight="false" outlineLevel="0" collapsed="false">
      <c r="A108" s="7" t="n">
        <v>4401000</v>
      </c>
      <c r="B108" s="7" t="str">
        <f aca="false">IFERROR(INDEX('Source 2026'!$C:$C,MATCH($A108,'Source 2026'!$B:$B,0)),IFERROR(INDEX('Source 2025'!$C:$C,MATCH($A108,'Source 2025'!$B:$B,0)),""))</f>
        <v>369  S-L אצבעון מסיליקון יחידה</v>
      </c>
      <c r="C108" s="8" t="n">
        <f aca="false">SUMIFS('Source 2025'!$K:$K,'Source 2025'!$B:$B,$A108,'Source 2025'!$A:$A,"Quantity (units)")</f>
        <v>0</v>
      </c>
      <c r="D108" s="8" t="n">
        <f aca="false">SUMIFS('Source 2026'!$K:$K,'Source 2026'!$B:$B,$A108,'Source 2026'!$A:$A,"Quantity (units)")</f>
        <v>61</v>
      </c>
      <c r="E108" s="8" t="n">
        <f aca="false">D108*$J$5</f>
        <v>83.6571428571429</v>
      </c>
      <c r="F108" s="8" t="n">
        <f aca="false">E108-C108</f>
        <v>83.6571428571429</v>
      </c>
      <c r="G108" s="9" t="str">
        <f aca="false">IF(AND(C108=0,E108=0),0,IF(C108=0,"New",(E108-C108)/C108))</f>
        <v>New</v>
      </c>
      <c r="H108" s="8" t="n">
        <f aca="false">SUMIFS('Source 2025'!$K:$K,'Source 2025'!$B:$B,$A108,'Source 2025'!$A:$A,"Amount (NIS)")</f>
        <v>0</v>
      </c>
      <c r="I108" s="8" t="n">
        <f aca="false">SUMIFS('Source 2026'!$K:$K,'Source 2026'!$B:$B,$A108,'Source 2026'!$A:$A,"Amount (NIS)")</f>
        <v>870.8</v>
      </c>
      <c r="J108" s="8" t="n">
        <f aca="false">I108*$J$5</f>
        <v>1194.24</v>
      </c>
      <c r="K108" s="8" t="n">
        <f aca="false">J108-H108</f>
        <v>1194.24</v>
      </c>
      <c r="L108" s="9" t="str">
        <f aca="false">IF(AND(H108=0,J108=0),0,IF(H108=0,"New",(J108-H108)/H108))</f>
        <v>New</v>
      </c>
    </row>
    <row r="109" customFormat="false" ht="15" hidden="false" customHeight="false" outlineLevel="0" collapsed="false">
      <c r="A109" s="7" t="n">
        <v>4413033</v>
      </c>
      <c r="B109" s="7" t="str">
        <f aca="false">IFERROR(INDEX('Source 2026'!$C:$C,MATCH($A109,'Source 2026'!$B:$B,0)),IFERROR(INDEX('Source 2025'!$C:$C,MATCH($A109,'Source 2025'!$B:$B,0)),""))</f>
        <v>311'מדב.ג'ל למניעת שפשוף 5 יח</v>
      </c>
      <c r="C109" s="8" t="n">
        <f aca="false">SUMIFS('Source 2025'!$K:$K,'Source 2025'!$B:$B,$A109,'Source 2025'!$A:$A,"Quantity (units)")</f>
        <v>0</v>
      </c>
      <c r="D109" s="8" t="n">
        <f aca="false">SUMIFS('Source 2026'!$K:$K,'Source 2026'!$B:$B,$A109,'Source 2026'!$A:$A,"Quantity (units)")</f>
        <v>90</v>
      </c>
      <c r="E109" s="8" t="n">
        <f aca="false">D109*$J$5</f>
        <v>123.428571428571</v>
      </c>
      <c r="F109" s="8" t="n">
        <f aca="false">E109-C109</f>
        <v>123.428571428571</v>
      </c>
      <c r="G109" s="9" t="str">
        <f aca="false">IF(AND(C109=0,E109=0),0,IF(C109=0,"New",(E109-C109)/C109))</f>
        <v>New</v>
      </c>
      <c r="H109" s="8" t="n">
        <f aca="false">SUMIFS('Source 2025'!$K:$K,'Source 2025'!$B:$B,$A109,'Source 2025'!$A:$A,"Amount (NIS)")</f>
        <v>0</v>
      </c>
      <c r="I109" s="8" t="n">
        <f aca="false">SUMIFS('Source 2026'!$K:$K,'Source 2026'!$B:$B,$A109,'Source 2026'!$A:$A,"Amount (NIS)")</f>
        <v>837.1</v>
      </c>
      <c r="J109" s="8" t="n">
        <f aca="false">I109*$J$5</f>
        <v>1148.02285714286</v>
      </c>
      <c r="K109" s="8" t="n">
        <f aca="false">J109-H109</f>
        <v>1148.02285714286</v>
      </c>
      <c r="L109" s="9" t="str">
        <f aca="false">IF(AND(H109=0,J109=0),0,IF(H109=0,"New",(J109-H109)/H109))</f>
        <v>New</v>
      </c>
    </row>
    <row r="110" customFormat="false" ht="15" hidden="false" customHeight="false" outlineLevel="0" collapsed="false">
      <c r="A110" s="7" t="n">
        <v>4413371</v>
      </c>
      <c r="B110" s="7" t="str">
        <f aca="false">IFERROR(INDEX('Source 2026'!$C:$C,MATCH($A110,'Source 2026'!$B:$B,0)),IFERROR(INDEX('Source 2025'!$C:$C,MATCH($A110,'Source 2025'!$B:$B,0)),""))</f>
        <v>3675    מגן זרת מסיליקון</v>
      </c>
      <c r="C110" s="8" t="n">
        <f aca="false">SUMIFS('Source 2025'!$K:$K,'Source 2025'!$B:$B,$A110,'Source 2025'!$A:$A,"Quantity (units)")</f>
        <v>0</v>
      </c>
      <c r="D110" s="8" t="n">
        <f aca="false">SUMIFS('Source 2026'!$K:$K,'Source 2026'!$B:$B,$A110,'Source 2026'!$A:$A,"Quantity (units)")</f>
        <v>41</v>
      </c>
      <c r="E110" s="8" t="n">
        <f aca="false">D110*$J$5</f>
        <v>56.2285714285714</v>
      </c>
      <c r="F110" s="8" t="n">
        <f aca="false">E110-C110</f>
        <v>56.2285714285714</v>
      </c>
      <c r="G110" s="9" t="str">
        <f aca="false">IF(AND(C110=0,E110=0),0,IF(C110=0,"New",(E110-C110)/C110))</f>
        <v>New</v>
      </c>
      <c r="H110" s="8" t="n">
        <f aca="false">SUMIFS('Source 2025'!$K:$K,'Source 2025'!$B:$B,$A110,'Source 2025'!$A:$A,"Amount (NIS)")</f>
        <v>0</v>
      </c>
      <c r="I110" s="8" t="n">
        <f aca="false">SUMIFS('Source 2026'!$K:$K,'Source 2026'!$B:$B,$A110,'Source 2026'!$A:$A,"Amount (NIS)")</f>
        <v>829.8</v>
      </c>
      <c r="J110" s="8" t="n">
        <f aca="false">I110*$J$5</f>
        <v>1138.01142857143</v>
      </c>
      <c r="K110" s="8" t="n">
        <f aca="false">J110-H110</f>
        <v>1138.01142857143</v>
      </c>
      <c r="L110" s="9" t="str">
        <f aca="false">IF(AND(H110=0,J110=0),0,IF(H110=0,"New",(J110-H110)/H110))</f>
        <v>New</v>
      </c>
    </row>
    <row r="111" customFormat="false" ht="15" hidden="false" customHeight="false" outlineLevel="0" collapsed="false">
      <c r="A111" s="7" t="n">
        <v>4413105</v>
      </c>
      <c r="B111" s="7" t="str">
        <f aca="false">IFERROR(INDEX('Source 2026'!$C:$C,MATCH($A111,'Source 2026'!$B:$B,0)),IFERROR(INDEX('Source 2025'!$C:$C,MATCH($A111,'Source 2025'!$B:$B,0)),""))</f>
        <v>45E XXLמגן ברך ארוך לבן</v>
      </c>
      <c r="C111" s="8" t="n">
        <f aca="false">SUMIFS('Source 2025'!$K:$K,'Source 2025'!$B:$B,$A111,'Source 2025'!$A:$A,"Quantity (units)")</f>
        <v>0</v>
      </c>
      <c r="D111" s="8" t="n">
        <f aca="false">SUMIFS('Source 2026'!$K:$K,'Source 2026'!$B:$B,$A111,'Source 2026'!$A:$A,"Quantity (units)")</f>
        <v>41</v>
      </c>
      <c r="E111" s="8" t="n">
        <f aca="false">D111*$J$5</f>
        <v>56.2285714285714</v>
      </c>
      <c r="F111" s="8" t="n">
        <f aca="false">E111-C111</f>
        <v>56.2285714285714</v>
      </c>
      <c r="G111" s="9" t="str">
        <f aca="false">IF(AND(C111=0,E111=0),0,IF(C111=0,"New",(E111-C111)/C111))</f>
        <v>New</v>
      </c>
      <c r="H111" s="8" t="n">
        <f aca="false">SUMIFS('Source 2025'!$K:$K,'Source 2025'!$B:$B,$A111,'Source 2025'!$A:$A,"Amount (NIS)")</f>
        <v>0</v>
      </c>
      <c r="I111" s="8" t="n">
        <f aca="false">SUMIFS('Source 2026'!$K:$K,'Source 2026'!$B:$B,$A111,'Source 2026'!$A:$A,"Amount (NIS)")</f>
        <v>825.1</v>
      </c>
      <c r="J111" s="8" t="n">
        <f aca="false">I111*$J$5</f>
        <v>1131.56571428571</v>
      </c>
      <c r="K111" s="8" t="n">
        <f aca="false">J111-H111</f>
        <v>1131.56571428571</v>
      </c>
      <c r="L111" s="9" t="str">
        <f aca="false">IF(AND(H111=0,J111=0),0,IF(H111=0,"New",(J111-H111)/H111))</f>
        <v>New</v>
      </c>
    </row>
    <row r="112" customFormat="false" ht="15" hidden="false" customHeight="false" outlineLevel="0" collapsed="false">
      <c r="A112" s="7" t="n">
        <v>4408076</v>
      </c>
      <c r="B112" s="7" t="str">
        <f aca="false">IFERROR(INDEX('Source 2026'!$C:$C,MATCH($A112,'Source 2026'!$B:$B,0)),IFERROR(INDEX('Source 2025'!$C:$C,MATCH($A112,'Source 2025'!$B:$B,0)),""))</f>
        <v>59L L חגורת שבר לצד שמאל</v>
      </c>
      <c r="C112" s="8" t="n">
        <f aca="false">SUMIFS('Source 2025'!$K:$K,'Source 2025'!$B:$B,$A112,'Source 2025'!$A:$A,"Quantity (units)")</f>
        <v>0</v>
      </c>
      <c r="D112" s="8" t="n">
        <f aca="false">SUMIFS('Source 2026'!$K:$K,'Source 2026'!$B:$B,$A112,'Source 2026'!$A:$A,"Quantity (units)")</f>
        <v>7</v>
      </c>
      <c r="E112" s="8" t="n">
        <f aca="false">D112*$J$5</f>
        <v>9.6</v>
      </c>
      <c r="F112" s="8" t="n">
        <f aca="false">E112-C112</f>
        <v>9.6</v>
      </c>
      <c r="G112" s="9" t="str">
        <f aca="false">IF(AND(C112=0,E112=0),0,IF(C112=0,"New",(E112-C112)/C112))</f>
        <v>New</v>
      </c>
      <c r="H112" s="8" t="n">
        <f aca="false">SUMIFS('Source 2025'!$K:$K,'Source 2025'!$B:$B,$A112,'Source 2025'!$A:$A,"Amount (NIS)")</f>
        <v>0</v>
      </c>
      <c r="I112" s="8" t="n">
        <f aca="false">SUMIFS('Source 2026'!$K:$K,'Source 2026'!$B:$B,$A112,'Source 2026'!$A:$A,"Amount (NIS)")</f>
        <v>822.7</v>
      </c>
      <c r="J112" s="8" t="n">
        <f aca="false">I112*$J$5</f>
        <v>1128.27428571429</v>
      </c>
      <c r="K112" s="8" t="n">
        <f aca="false">J112-H112</f>
        <v>1128.27428571429</v>
      </c>
      <c r="L112" s="9" t="str">
        <f aca="false">IF(AND(H112=0,J112=0),0,IF(H112=0,"New",(J112-H112)/H112))</f>
        <v>New</v>
      </c>
    </row>
    <row r="113" customFormat="false" ht="15" hidden="false" customHeight="false" outlineLevel="0" collapsed="false">
      <c r="A113" s="7" t="n">
        <v>4417000</v>
      </c>
      <c r="B113" s="7" t="str">
        <f aca="false">IFERROR(INDEX('Source 2026'!$C:$C,MATCH($A113,'Source 2026'!$B:$B,0)),IFERROR(INDEX('Source 2025'!$C:$C,MATCH($A113,'Source 2025'!$B:$B,0)),""))</f>
        <v>PD342-פומפיה להסרת עור קשה</v>
      </c>
      <c r="C113" s="8" t="n">
        <f aca="false">SUMIFS('Source 2025'!$K:$K,'Source 2025'!$B:$B,$A113,'Source 2025'!$A:$A,"Quantity (units)")</f>
        <v>0</v>
      </c>
      <c r="D113" s="8" t="n">
        <f aca="false">SUMIFS('Source 2026'!$K:$K,'Source 2026'!$B:$B,$A113,'Source 2026'!$A:$A,"Quantity (units)")</f>
        <v>46</v>
      </c>
      <c r="E113" s="8" t="n">
        <f aca="false">D113*$J$5</f>
        <v>63.0857142857143</v>
      </c>
      <c r="F113" s="8" t="n">
        <f aca="false">E113-C113</f>
        <v>63.0857142857143</v>
      </c>
      <c r="G113" s="9" t="str">
        <f aca="false">IF(AND(C113=0,E113=0),0,IF(C113=0,"New",(E113-C113)/C113))</f>
        <v>New</v>
      </c>
      <c r="H113" s="8" t="n">
        <f aca="false">SUMIFS('Source 2025'!$K:$K,'Source 2025'!$B:$B,$A113,'Source 2025'!$A:$A,"Amount (NIS)")</f>
        <v>0</v>
      </c>
      <c r="I113" s="8" t="n">
        <f aca="false">SUMIFS('Source 2026'!$K:$K,'Source 2026'!$B:$B,$A113,'Source 2026'!$A:$A,"Amount (NIS)")</f>
        <v>821.2</v>
      </c>
      <c r="J113" s="8" t="n">
        <f aca="false">I113*$J$5</f>
        <v>1126.21714285714</v>
      </c>
      <c r="K113" s="8" t="n">
        <f aca="false">J113-H113</f>
        <v>1126.21714285714</v>
      </c>
      <c r="L113" s="9" t="str">
        <f aca="false">IF(AND(H113=0,J113=0),0,IF(H113=0,"New",(J113-H113)/H113))</f>
        <v>New</v>
      </c>
    </row>
    <row r="114" customFormat="false" ht="15" hidden="false" customHeight="false" outlineLevel="0" collapsed="false">
      <c r="A114" s="7" t="n">
        <v>4413133</v>
      </c>
      <c r="B114" s="7" t="str">
        <f aca="false">IFERROR(INDEX('Source 2026'!$C:$C,MATCH($A114,'Source 2026'!$B:$B,0)),IFERROR(INDEX('Source 2025'!$C:$C,MATCH($A114,'Source 2025'!$B:$B,0)),""))</f>
        <v>76 Mמיישר כתף יציב,יישור רחב</v>
      </c>
      <c r="C114" s="8" t="n">
        <f aca="false">SUMIFS('Source 2025'!$K:$K,'Source 2025'!$B:$B,$A114,'Source 2025'!$A:$A,"Quantity (units)")</f>
        <v>0</v>
      </c>
      <c r="D114" s="8" t="n">
        <f aca="false">SUMIFS('Source 2026'!$K:$K,'Source 2026'!$B:$B,$A114,'Source 2026'!$A:$A,"Quantity (units)")</f>
        <v>6</v>
      </c>
      <c r="E114" s="8" t="n">
        <f aca="false">D114*$J$5</f>
        <v>8.22857142857143</v>
      </c>
      <c r="F114" s="8" t="n">
        <f aca="false">E114-C114</f>
        <v>8.22857142857143</v>
      </c>
      <c r="G114" s="9" t="str">
        <f aca="false">IF(AND(C114=0,E114=0),0,IF(C114=0,"New",(E114-C114)/C114))</f>
        <v>New</v>
      </c>
      <c r="H114" s="8" t="n">
        <f aca="false">SUMIFS('Source 2025'!$K:$K,'Source 2025'!$B:$B,$A114,'Source 2025'!$A:$A,"Amount (NIS)")</f>
        <v>0</v>
      </c>
      <c r="I114" s="8" t="n">
        <f aca="false">SUMIFS('Source 2026'!$K:$K,'Source 2026'!$B:$B,$A114,'Source 2026'!$A:$A,"Amount (NIS)")</f>
        <v>817.8</v>
      </c>
      <c r="J114" s="8" t="n">
        <f aca="false">I114*$J$5</f>
        <v>1121.55428571429</v>
      </c>
      <c r="K114" s="8" t="n">
        <f aca="false">J114-H114</f>
        <v>1121.55428571429</v>
      </c>
      <c r="L114" s="9" t="str">
        <f aca="false">IF(AND(H114=0,J114=0),0,IF(H114=0,"New",(J114-H114)/H114))</f>
        <v>New</v>
      </c>
    </row>
    <row r="115" customFormat="false" ht="15" hidden="false" customHeight="false" outlineLevel="0" collapsed="false">
      <c r="A115" s="7" t="n">
        <v>4413063</v>
      </c>
      <c r="B115" s="7" t="str">
        <f aca="false">IFERROR(INDEX('Source 2026'!$C:$C,MATCH($A115,'Source 2026'!$B:$B,0)),IFERROR(INDEX('Source 2025'!$C:$C,MATCH($A115,'Source 2025'!$B:$B,0)),""))</f>
        <v>366S-'מדבק.לשחרור לחץ מיבלת2יח</v>
      </c>
      <c r="C115" s="8" t="n">
        <f aca="false">SUMIFS('Source 2025'!$K:$K,'Source 2025'!$B:$B,$A115,'Source 2025'!$A:$A,"Quantity (units)")</f>
        <v>0</v>
      </c>
      <c r="D115" s="8" t="n">
        <f aca="false">SUMIFS('Source 2026'!$K:$K,'Source 2026'!$B:$B,$A115,'Source 2026'!$A:$A,"Quantity (units)")</f>
        <v>75</v>
      </c>
      <c r="E115" s="8" t="n">
        <f aca="false">D115*$J$5</f>
        <v>102.857142857143</v>
      </c>
      <c r="F115" s="8" t="n">
        <f aca="false">E115-C115</f>
        <v>102.857142857143</v>
      </c>
      <c r="G115" s="9" t="str">
        <f aca="false">IF(AND(C115=0,E115=0),0,IF(C115=0,"New",(E115-C115)/C115))</f>
        <v>New</v>
      </c>
      <c r="H115" s="8" t="n">
        <f aca="false">SUMIFS('Source 2025'!$K:$K,'Source 2025'!$B:$B,$A115,'Source 2025'!$A:$A,"Amount (NIS)")</f>
        <v>0</v>
      </c>
      <c r="I115" s="8" t="n">
        <f aca="false">SUMIFS('Source 2026'!$K:$K,'Source 2026'!$B:$B,$A115,'Source 2026'!$A:$A,"Amount (NIS)")</f>
        <v>801.6</v>
      </c>
      <c r="J115" s="8" t="n">
        <f aca="false">I115*$J$5</f>
        <v>1099.33714285714</v>
      </c>
      <c r="K115" s="8" t="n">
        <f aca="false">J115-H115</f>
        <v>1099.33714285714</v>
      </c>
      <c r="L115" s="9" t="str">
        <f aca="false">IF(AND(H115=0,J115=0),0,IF(H115=0,"New",(J115-H115)/H115))</f>
        <v>New</v>
      </c>
    </row>
    <row r="116" customFormat="false" ht="15" hidden="false" customHeight="false" outlineLevel="0" collapsed="false">
      <c r="A116" s="7" t="n">
        <v>4415177</v>
      </c>
      <c r="B116" s="7" t="str">
        <f aca="false">IFERROR(INDEX('Source 2026'!$C:$C,MATCH($A116,'Source 2026'!$B:$B,0)),IFERROR(INDEX('Source 2025'!$C:$C,MATCH($A116,'Source 2025'!$B:$B,0)),""))</f>
        <v>ST28 סד אגודלי עם מוט תמיכה</v>
      </c>
      <c r="C116" s="8" t="n">
        <f aca="false">SUMIFS('Source 2025'!$K:$K,'Source 2025'!$B:$B,$A116,'Source 2025'!$A:$A,"Quantity (units)")</f>
        <v>0</v>
      </c>
      <c r="D116" s="8" t="n">
        <f aca="false">SUMIFS('Source 2026'!$K:$K,'Source 2026'!$B:$B,$A116,'Source 2026'!$A:$A,"Quantity (units)")</f>
        <v>32</v>
      </c>
      <c r="E116" s="8" t="n">
        <f aca="false">D116*$J$5</f>
        <v>43.8857142857143</v>
      </c>
      <c r="F116" s="8" t="n">
        <f aca="false">E116-C116</f>
        <v>43.8857142857143</v>
      </c>
      <c r="G116" s="9" t="str">
        <f aca="false">IF(AND(C116=0,E116=0),0,IF(C116=0,"New",(E116-C116)/C116))</f>
        <v>New</v>
      </c>
      <c r="H116" s="8" t="n">
        <f aca="false">SUMIFS('Source 2025'!$K:$K,'Source 2025'!$B:$B,$A116,'Source 2025'!$A:$A,"Amount (NIS)")</f>
        <v>0</v>
      </c>
      <c r="I116" s="8" t="n">
        <f aca="false">SUMIFS('Source 2026'!$K:$K,'Source 2026'!$B:$B,$A116,'Source 2026'!$A:$A,"Amount (NIS)")</f>
        <v>800</v>
      </c>
      <c r="J116" s="8" t="n">
        <f aca="false">I116*$J$5</f>
        <v>1097.14285714286</v>
      </c>
      <c r="K116" s="8" t="n">
        <f aca="false">J116-H116</f>
        <v>1097.14285714286</v>
      </c>
      <c r="L116" s="9" t="str">
        <f aca="false">IF(AND(H116=0,J116=0),0,IF(H116=0,"New",(J116-H116)/H116))</f>
        <v>New</v>
      </c>
    </row>
    <row r="117" customFormat="false" ht="15" hidden="false" customHeight="false" outlineLevel="0" collapsed="false">
      <c r="A117" s="7" t="n">
        <v>4413058</v>
      </c>
      <c r="B117" s="7" t="str">
        <f aca="false">IFERROR(INDEX('Source 2026'!$C:$C,MATCH($A117,'Source 2026'!$B:$B,0)),IFERROR(INDEX('Source 2025'!$C:$C,MATCH($A117,'Source 2025'!$B:$B,0)),""))</f>
        <v>3622S מדבקה לשחרור לחץ 2 יח</v>
      </c>
      <c r="C117" s="8" t="n">
        <f aca="false">SUMIFS('Source 2025'!$K:$K,'Source 2025'!$B:$B,$A117,'Source 2025'!$A:$A,"Quantity (units)")</f>
        <v>0</v>
      </c>
      <c r="D117" s="8" t="n">
        <f aca="false">SUMIFS('Source 2026'!$K:$K,'Source 2026'!$B:$B,$A117,'Source 2026'!$A:$A,"Quantity (units)")</f>
        <v>36</v>
      </c>
      <c r="E117" s="8" t="n">
        <f aca="false">D117*$J$5</f>
        <v>49.3714285714286</v>
      </c>
      <c r="F117" s="8" t="n">
        <f aca="false">E117-C117</f>
        <v>49.3714285714286</v>
      </c>
      <c r="G117" s="9" t="str">
        <f aca="false">IF(AND(C117=0,E117=0),0,IF(C117=0,"New",(E117-C117)/C117))</f>
        <v>New</v>
      </c>
      <c r="H117" s="8" t="n">
        <f aca="false">SUMIFS('Source 2025'!$K:$K,'Source 2025'!$B:$B,$A117,'Source 2025'!$A:$A,"Amount (NIS)")</f>
        <v>0</v>
      </c>
      <c r="I117" s="8" t="n">
        <f aca="false">SUMIFS('Source 2026'!$K:$K,'Source 2026'!$B:$B,$A117,'Source 2026'!$A:$A,"Amount (NIS)")</f>
        <v>795.6</v>
      </c>
      <c r="J117" s="8" t="n">
        <f aca="false">I117*$J$5</f>
        <v>1091.10857142857</v>
      </c>
      <c r="K117" s="8" t="n">
        <f aca="false">J117-H117</f>
        <v>1091.10857142857</v>
      </c>
      <c r="L117" s="9" t="str">
        <f aca="false">IF(AND(H117=0,J117=0),0,IF(H117=0,"New",(J117-H117)/H117))</f>
        <v>New</v>
      </c>
    </row>
    <row r="118" customFormat="false" ht="15" hidden="false" customHeight="false" outlineLevel="0" collapsed="false">
      <c r="A118" s="7" t="n">
        <v>4411027</v>
      </c>
      <c r="B118" s="7" t="str">
        <f aca="false">IFERROR(INDEX('Source 2026'!$C:$C,MATCH($A118,'Source 2026'!$B:$B,0)),IFERROR(INDEX('Source 2025'!$C:$C,MATCH($A118,'Source 2025'!$B:$B,0)),""))</f>
        <v>213CTSL M שמאל CTS כפפות</v>
      </c>
      <c r="C118" s="8" t="n">
        <f aca="false">SUMIFS('Source 2025'!$K:$K,'Source 2025'!$B:$B,$A118,'Source 2025'!$A:$A,"Quantity (units)")</f>
        <v>0</v>
      </c>
      <c r="D118" s="8" t="n">
        <f aca="false">SUMIFS('Source 2026'!$K:$K,'Source 2026'!$B:$B,$A118,'Source 2026'!$A:$A,"Quantity (units)")</f>
        <v>11</v>
      </c>
      <c r="E118" s="8" t="n">
        <f aca="false">D118*$J$5</f>
        <v>15.0857142857143</v>
      </c>
      <c r="F118" s="8" t="n">
        <f aca="false">E118-C118</f>
        <v>15.0857142857143</v>
      </c>
      <c r="G118" s="9" t="str">
        <f aca="false">IF(AND(C118=0,E118=0),0,IF(C118=0,"New",(E118-C118)/C118))</f>
        <v>New</v>
      </c>
      <c r="H118" s="8" t="n">
        <f aca="false">SUMIFS('Source 2025'!$K:$K,'Source 2025'!$B:$B,$A118,'Source 2025'!$A:$A,"Amount (NIS)")</f>
        <v>0</v>
      </c>
      <c r="I118" s="8" t="n">
        <f aca="false">SUMIFS('Source 2026'!$K:$K,'Source 2026'!$B:$B,$A118,'Source 2026'!$A:$A,"Amount (NIS)")</f>
        <v>781</v>
      </c>
      <c r="J118" s="8" t="n">
        <f aca="false">I118*$J$5</f>
        <v>1071.08571428571</v>
      </c>
      <c r="K118" s="8" t="n">
        <f aca="false">J118-H118</f>
        <v>1071.08571428571</v>
      </c>
      <c r="L118" s="9" t="str">
        <f aca="false">IF(AND(H118=0,J118=0),0,IF(H118=0,"New",(J118-H118)/H118))</f>
        <v>New</v>
      </c>
    </row>
    <row r="119" customFormat="false" ht="15" hidden="false" customHeight="false" outlineLevel="0" collapsed="false">
      <c r="A119" s="7" t="n">
        <v>4413094</v>
      </c>
      <c r="B119" s="7" t="str">
        <f aca="false">IFERROR(INDEX('Source 2026'!$C:$C,MATCH($A119,'Source 2026'!$B:$B,0)),IFERROR(INDEX('Source 2025'!$C:$C,MATCH($A119,'Source 2025'!$B:$B,0)),""))</f>
        <v>45 S מגן ברך לבן</v>
      </c>
      <c r="C119" s="8" t="n">
        <f aca="false">SUMIFS('Source 2025'!$K:$K,'Source 2025'!$B:$B,$A119,'Source 2025'!$A:$A,"Quantity (units)")</f>
        <v>0</v>
      </c>
      <c r="D119" s="8" t="n">
        <f aca="false">SUMIFS('Source 2026'!$K:$K,'Source 2026'!$B:$B,$A119,'Source 2026'!$A:$A,"Quantity (units)")</f>
        <v>47</v>
      </c>
      <c r="E119" s="8" t="n">
        <f aca="false">D119*$J$5</f>
        <v>64.4571428571429</v>
      </c>
      <c r="F119" s="8" t="n">
        <f aca="false">E119-C119</f>
        <v>64.4571428571429</v>
      </c>
      <c r="G119" s="9" t="str">
        <f aca="false">IF(AND(C119=0,E119=0),0,IF(C119=0,"New",(E119-C119)/C119))</f>
        <v>New</v>
      </c>
      <c r="H119" s="8" t="n">
        <f aca="false">SUMIFS('Source 2025'!$K:$K,'Source 2025'!$B:$B,$A119,'Source 2025'!$A:$A,"Amount (NIS)")</f>
        <v>0</v>
      </c>
      <c r="I119" s="8" t="n">
        <f aca="false">SUMIFS('Source 2026'!$K:$K,'Source 2026'!$B:$B,$A119,'Source 2026'!$A:$A,"Amount (NIS)")</f>
        <v>775.5</v>
      </c>
      <c r="J119" s="8" t="n">
        <f aca="false">I119*$J$5</f>
        <v>1063.54285714286</v>
      </c>
      <c r="K119" s="8" t="n">
        <f aca="false">J119-H119</f>
        <v>1063.54285714286</v>
      </c>
      <c r="L119" s="9" t="str">
        <f aca="false">IF(AND(H119=0,J119=0),0,IF(H119=0,"New",(J119-H119)/H119))</f>
        <v>New</v>
      </c>
    </row>
    <row r="120" customFormat="false" ht="15" hidden="false" customHeight="false" outlineLevel="0" collapsed="false">
      <c r="A120" s="7" t="n">
        <v>4409014</v>
      </c>
      <c r="B120" s="7" t="str">
        <f aca="false">IFERROR(INDEX('Source 2026'!$C:$C,MATCH($A120,'Source 2026'!$B:$B,0)),IFERROR(INDEX('Source 2025'!$C:$C,MATCH($A120,'Source 2025'!$B:$B,0)),""))</f>
        <v>808KT-P        טייפ קינזיולוגי</v>
      </c>
      <c r="C120" s="8" t="n">
        <f aca="false">SUMIFS('Source 2025'!$K:$K,'Source 2025'!$B:$B,$A120,'Source 2025'!$A:$A,"Quantity (units)")</f>
        <v>0</v>
      </c>
      <c r="D120" s="8" t="n">
        <f aca="false">SUMIFS('Source 2026'!$K:$K,'Source 2026'!$B:$B,$A120,'Source 2026'!$A:$A,"Quantity (units)")</f>
        <v>31</v>
      </c>
      <c r="E120" s="8" t="n">
        <f aca="false">D120*$J$5</f>
        <v>42.5142857142857</v>
      </c>
      <c r="F120" s="8" t="n">
        <f aca="false">E120-C120</f>
        <v>42.5142857142857</v>
      </c>
      <c r="G120" s="9" t="str">
        <f aca="false">IF(AND(C120=0,E120=0),0,IF(C120=0,"New",(E120-C120)/C120))</f>
        <v>New</v>
      </c>
      <c r="H120" s="8" t="n">
        <f aca="false">SUMIFS('Source 2025'!$K:$K,'Source 2025'!$B:$B,$A120,'Source 2025'!$A:$A,"Amount (NIS)")</f>
        <v>0</v>
      </c>
      <c r="I120" s="8" t="n">
        <f aca="false">SUMIFS('Source 2026'!$K:$K,'Source 2026'!$B:$B,$A120,'Source 2026'!$A:$A,"Amount (NIS)")</f>
        <v>775</v>
      </c>
      <c r="J120" s="8" t="n">
        <f aca="false">I120*$J$5</f>
        <v>1062.85714285714</v>
      </c>
      <c r="K120" s="8" t="n">
        <f aca="false">J120-H120</f>
        <v>1062.85714285714</v>
      </c>
      <c r="L120" s="9" t="str">
        <f aca="false">IF(AND(H120=0,J120=0),0,IF(H120=0,"New",(J120-H120)/H120))</f>
        <v>New</v>
      </c>
    </row>
    <row r="121" customFormat="false" ht="15" hidden="false" customHeight="false" outlineLevel="0" collapsed="false">
      <c r="A121" s="7" t="n">
        <v>4401002</v>
      </c>
      <c r="B121" s="7" t="str">
        <f aca="false">IFERROR(INDEX('Source 2026'!$C:$C,MATCH($A121,'Source 2026'!$B:$B,0)),IFERROR(INDEX('Source 2025'!$C:$C,MATCH($A121,'Source 2025'!$B:$B,0)),""))</f>
        <v>PD 344-אבן טבעית להסרת עור קשה</v>
      </c>
      <c r="C121" s="8" t="n">
        <f aca="false">SUMIFS('Source 2025'!$K:$K,'Source 2025'!$B:$B,$A121,'Source 2025'!$A:$A,"Quantity (units)")</f>
        <v>0</v>
      </c>
      <c r="D121" s="8" t="n">
        <f aca="false">SUMIFS('Source 2026'!$K:$K,'Source 2026'!$B:$B,$A121,'Source 2026'!$A:$A,"Quantity (units)")</f>
        <v>138</v>
      </c>
      <c r="E121" s="8" t="n">
        <f aca="false">D121*$J$5</f>
        <v>189.257142857143</v>
      </c>
      <c r="F121" s="8" t="n">
        <f aca="false">E121-C121</f>
        <v>189.257142857143</v>
      </c>
      <c r="G121" s="9" t="str">
        <f aca="false">IF(AND(C121=0,E121=0),0,IF(C121=0,"New",(E121-C121)/C121))</f>
        <v>New</v>
      </c>
      <c r="H121" s="8" t="n">
        <f aca="false">SUMIFS('Source 2025'!$K:$K,'Source 2025'!$B:$B,$A121,'Source 2025'!$A:$A,"Amount (NIS)")</f>
        <v>0</v>
      </c>
      <c r="I121" s="8" t="n">
        <f aca="false">SUMIFS('Source 2026'!$K:$K,'Source 2026'!$B:$B,$A121,'Source 2026'!$A:$A,"Amount (NIS)")</f>
        <v>771.2</v>
      </c>
      <c r="J121" s="8" t="n">
        <f aca="false">I121*$J$5</f>
        <v>1057.64571428571</v>
      </c>
      <c r="K121" s="8" t="n">
        <f aca="false">J121-H121</f>
        <v>1057.64571428571</v>
      </c>
      <c r="L121" s="9" t="str">
        <f aca="false">IF(AND(H121=0,J121=0),0,IF(H121=0,"New",(J121-H121)/H121))</f>
        <v>New</v>
      </c>
    </row>
    <row r="122" customFormat="false" ht="15" hidden="false" customHeight="false" outlineLevel="0" collapsed="false">
      <c r="A122" s="7" t="n">
        <v>4413101</v>
      </c>
      <c r="B122" s="7" t="str">
        <f aca="false">IFERROR(INDEX('Source 2026'!$C:$C,MATCH($A122,'Source 2026'!$B:$B,0)),IFERROR(INDEX('Source 2025'!$C:$C,MATCH($A122,'Source 2025'!$B:$B,0)),""))</f>
        <v>45E Sמגן ברך ארוך לבן</v>
      </c>
      <c r="C122" s="8" t="n">
        <f aca="false">SUMIFS('Source 2025'!$K:$K,'Source 2025'!$B:$B,$A122,'Source 2025'!$A:$A,"Quantity (units)")</f>
        <v>0</v>
      </c>
      <c r="D122" s="8" t="n">
        <f aca="false">SUMIFS('Source 2026'!$K:$K,'Source 2026'!$B:$B,$A122,'Source 2026'!$A:$A,"Quantity (units)")</f>
        <v>39</v>
      </c>
      <c r="E122" s="8" t="n">
        <f aca="false">D122*$J$5</f>
        <v>53.4857142857143</v>
      </c>
      <c r="F122" s="8" t="n">
        <f aca="false">E122-C122</f>
        <v>53.4857142857143</v>
      </c>
      <c r="G122" s="9" t="str">
        <f aca="false">IF(AND(C122=0,E122=0),0,IF(C122=0,"New",(E122-C122)/C122))</f>
        <v>New</v>
      </c>
      <c r="H122" s="8" t="n">
        <f aca="false">SUMIFS('Source 2025'!$K:$K,'Source 2025'!$B:$B,$A122,'Source 2025'!$A:$A,"Amount (NIS)")</f>
        <v>0</v>
      </c>
      <c r="I122" s="8" t="n">
        <f aca="false">SUMIFS('Source 2026'!$K:$K,'Source 2026'!$B:$B,$A122,'Source 2026'!$A:$A,"Amount (NIS)")</f>
        <v>768.8</v>
      </c>
      <c r="J122" s="8" t="n">
        <f aca="false">I122*$J$5</f>
        <v>1054.35428571429</v>
      </c>
      <c r="K122" s="8" t="n">
        <f aca="false">J122-H122</f>
        <v>1054.35428571429</v>
      </c>
      <c r="L122" s="9" t="str">
        <f aca="false">IF(AND(H122=0,J122=0),0,IF(H122=0,"New",(J122-H122)/H122))</f>
        <v>New</v>
      </c>
    </row>
    <row r="123" customFormat="false" ht="15" hidden="false" customHeight="false" outlineLevel="0" collapsed="false">
      <c r="A123" s="7" t="n">
        <v>4413046</v>
      </c>
      <c r="B123" s="7" t="str">
        <f aca="false">IFERROR(INDEX('Source 2026'!$C:$C,MATCH($A123,'Source 2026'!$B:$B,0)),IFERROR(INDEX('Source 2025'!$C:$C,MATCH($A123,'Source 2025'!$B:$B,0)),""))</f>
        <v>34 XXL מגן קרסול עקב סגור</v>
      </c>
      <c r="C123" s="8" t="n">
        <f aca="false">SUMIFS('Source 2025'!$K:$K,'Source 2025'!$B:$B,$A123,'Source 2025'!$A:$A,"Quantity (units)")</f>
        <v>0</v>
      </c>
      <c r="D123" s="8" t="n">
        <f aca="false">SUMIFS('Source 2026'!$K:$K,'Source 2026'!$B:$B,$A123,'Source 2026'!$A:$A,"Quantity (units)")</f>
        <v>27</v>
      </c>
      <c r="E123" s="8" t="n">
        <f aca="false">D123*$J$5</f>
        <v>37.0285714285714</v>
      </c>
      <c r="F123" s="8" t="n">
        <f aca="false">E123-C123</f>
        <v>37.0285714285714</v>
      </c>
      <c r="G123" s="9" t="str">
        <f aca="false">IF(AND(C123=0,E123=0),0,IF(C123=0,"New",(E123-C123)/C123))</f>
        <v>New</v>
      </c>
      <c r="H123" s="8" t="n">
        <f aca="false">SUMIFS('Source 2025'!$K:$K,'Source 2025'!$B:$B,$A123,'Source 2025'!$A:$A,"Amount (NIS)")</f>
        <v>0</v>
      </c>
      <c r="I123" s="8" t="n">
        <f aca="false">SUMIFS('Source 2026'!$K:$K,'Source 2026'!$B:$B,$A123,'Source 2026'!$A:$A,"Amount (NIS)")</f>
        <v>759.4</v>
      </c>
      <c r="J123" s="8" t="n">
        <f aca="false">I123*$J$5</f>
        <v>1041.46285714286</v>
      </c>
      <c r="K123" s="8" t="n">
        <f aca="false">J123-H123</f>
        <v>1041.46285714286</v>
      </c>
      <c r="L123" s="9" t="str">
        <f aca="false">IF(AND(H123=0,J123=0),0,IF(H123=0,"New",(J123-H123)/H123))</f>
        <v>New</v>
      </c>
    </row>
    <row r="124" customFormat="false" ht="15" hidden="false" customHeight="false" outlineLevel="0" collapsed="false">
      <c r="A124" s="7" t="n">
        <v>4420000</v>
      </c>
      <c r="B124" s="7" t="str">
        <f aca="false">IFERROR(INDEX('Source 2026'!$C:$C,MATCH($A124,'Source 2026'!$B:$B,0)),IFERROR(INDEX('Source 2025'!$C:$C,MATCH($A124,'Source 2025'!$B:$B,0)),""))</f>
        <v>370  רפידת נוחות-זוג</v>
      </c>
      <c r="C124" s="8" t="n">
        <f aca="false">SUMIFS('Source 2025'!$K:$K,'Source 2025'!$B:$B,$A124,'Source 2025'!$A:$A,"Quantity (units)")</f>
        <v>0</v>
      </c>
      <c r="D124" s="8" t="n">
        <f aca="false">SUMIFS('Source 2026'!$K:$K,'Source 2026'!$B:$B,$A124,'Source 2026'!$A:$A,"Quantity (units)")</f>
        <v>100</v>
      </c>
      <c r="E124" s="8" t="n">
        <f aca="false">D124*$J$5</f>
        <v>137.142857142857</v>
      </c>
      <c r="F124" s="8" t="n">
        <f aca="false">E124-C124</f>
        <v>137.142857142857</v>
      </c>
      <c r="G124" s="9" t="str">
        <f aca="false">IF(AND(C124=0,E124=0),0,IF(C124=0,"New",(E124-C124)/C124))</f>
        <v>New</v>
      </c>
      <c r="H124" s="8" t="n">
        <f aca="false">SUMIFS('Source 2025'!$K:$K,'Source 2025'!$B:$B,$A124,'Source 2025'!$A:$A,"Amount (NIS)")</f>
        <v>0</v>
      </c>
      <c r="I124" s="8" t="n">
        <f aca="false">SUMIFS('Source 2026'!$K:$K,'Source 2026'!$B:$B,$A124,'Source 2026'!$A:$A,"Amount (NIS)")</f>
        <v>752.4</v>
      </c>
      <c r="J124" s="8" t="n">
        <f aca="false">I124*$J$5</f>
        <v>1031.86285714286</v>
      </c>
      <c r="K124" s="8" t="n">
        <f aca="false">J124-H124</f>
        <v>1031.86285714286</v>
      </c>
      <c r="L124" s="9" t="str">
        <f aca="false">IF(AND(H124=0,J124=0),0,IF(H124=0,"New",(J124-H124)/H124))</f>
        <v>New</v>
      </c>
    </row>
    <row r="125" customFormat="false" ht="15" hidden="false" customHeight="false" outlineLevel="0" collapsed="false">
      <c r="A125" s="7" t="n">
        <v>4420016</v>
      </c>
      <c r="B125" s="7" t="str">
        <f aca="false">IFERROR(INDEX('Source 2026'!$C:$C,MATCH($A125,'Source 2026'!$B:$B,0)),IFERROR(INDEX('Source 2025'!$C:$C,MATCH($A125,'Source 2025'!$B:$B,0)),""))</f>
        <v>40-רצועת פיקה לברך</v>
      </c>
      <c r="C125" s="8" t="n">
        <f aca="false">SUMIFS('Source 2025'!$K:$K,'Source 2025'!$B:$B,$A125,'Source 2025'!$A:$A,"Quantity (units)")</f>
        <v>0</v>
      </c>
      <c r="D125" s="8" t="n">
        <f aca="false">SUMIFS('Source 2026'!$K:$K,'Source 2026'!$B:$B,$A125,'Source 2026'!$A:$A,"Quantity (units)")</f>
        <v>21</v>
      </c>
      <c r="E125" s="8" t="n">
        <f aca="false">D125*$J$5</f>
        <v>28.8</v>
      </c>
      <c r="F125" s="8" t="n">
        <f aca="false">E125-C125</f>
        <v>28.8</v>
      </c>
      <c r="G125" s="9" t="str">
        <f aca="false">IF(AND(C125=0,E125=0),0,IF(C125=0,"New",(E125-C125)/C125))</f>
        <v>New</v>
      </c>
      <c r="H125" s="8" t="n">
        <f aca="false">SUMIFS('Source 2025'!$K:$K,'Source 2025'!$B:$B,$A125,'Source 2025'!$A:$A,"Amount (NIS)")</f>
        <v>0</v>
      </c>
      <c r="I125" s="8" t="n">
        <f aca="false">SUMIFS('Source 2026'!$K:$K,'Source 2026'!$B:$B,$A125,'Source 2026'!$A:$A,"Amount (NIS)")</f>
        <v>749.1</v>
      </c>
      <c r="J125" s="8" t="n">
        <f aca="false">I125*$J$5</f>
        <v>1027.33714285714</v>
      </c>
      <c r="K125" s="8" t="n">
        <f aca="false">J125-H125</f>
        <v>1027.33714285714</v>
      </c>
      <c r="L125" s="9" t="str">
        <f aca="false">IF(AND(H125=0,J125=0),0,IF(H125=0,"New",(J125-H125)/H125))</f>
        <v>New</v>
      </c>
    </row>
    <row r="126" customFormat="false" ht="15" hidden="false" customHeight="false" outlineLevel="0" collapsed="false">
      <c r="A126" s="7" t="n">
        <v>4408017</v>
      </c>
      <c r="B126" s="7" t="str">
        <f aca="false">IFERROR(INDEX('Source 2026'!$C:$C,MATCH($A126,'Source 2026'!$B:$B,0)),IFERROR(INDEX('Source 2025'!$C:$C,MATCH($A126,'Source 2025'!$B:$B,0)),""))</f>
        <v>07AU XL ח.גב ""איטלקית"" אורירית</v>
      </c>
      <c r="C126" s="8" t="n">
        <f aca="false">SUMIFS('Source 2025'!$K:$K,'Source 2025'!$B:$B,$A126,'Source 2025'!$A:$A,"Quantity (units)")</f>
        <v>0</v>
      </c>
      <c r="D126" s="8" t="n">
        <f aca="false">SUMIFS('Source 2026'!$K:$K,'Source 2026'!$B:$B,$A126,'Source 2026'!$A:$A,"Quantity (units)")</f>
        <v>5</v>
      </c>
      <c r="E126" s="8" t="n">
        <f aca="false">D126*$J$5</f>
        <v>6.85714285714286</v>
      </c>
      <c r="F126" s="8" t="n">
        <f aca="false">E126-C126</f>
        <v>6.85714285714286</v>
      </c>
      <c r="G126" s="9" t="str">
        <f aca="false">IF(AND(C126=0,E126=0),0,IF(C126=0,"New",(E126-C126)/C126))</f>
        <v>New</v>
      </c>
      <c r="H126" s="8" t="n">
        <f aca="false">SUMIFS('Source 2025'!$K:$K,'Source 2025'!$B:$B,$A126,'Source 2025'!$A:$A,"Amount (NIS)")</f>
        <v>0</v>
      </c>
      <c r="I126" s="8" t="n">
        <f aca="false">SUMIFS('Source 2026'!$K:$K,'Source 2026'!$B:$B,$A126,'Source 2026'!$A:$A,"Amount (NIS)")</f>
        <v>745.9</v>
      </c>
      <c r="J126" s="8" t="n">
        <f aca="false">I126*$J$5</f>
        <v>1022.94857142857</v>
      </c>
      <c r="K126" s="8" t="n">
        <f aca="false">J126-H126</f>
        <v>1022.94857142857</v>
      </c>
      <c r="L126" s="9" t="str">
        <f aca="false">IF(AND(H126=0,J126=0),0,IF(H126=0,"New",(J126-H126)/H126))</f>
        <v>New</v>
      </c>
    </row>
    <row r="127" customFormat="false" ht="15" hidden="false" customHeight="false" outlineLevel="0" collapsed="false">
      <c r="A127" s="7" t="n">
        <v>4422005</v>
      </c>
      <c r="B127" s="7" t="str">
        <f aca="false">IFERROR(INDEX('Source 2026'!$C:$C,MATCH($A127,'Source 2026'!$B:$B,0)),IFERROR(INDEX('Source 2025'!$C:$C,MATCH($A127,'Source 2025'!$B:$B,0)),""))</f>
        <v>T78 M תומך זרוע וכתף</v>
      </c>
      <c r="C127" s="8" t="n">
        <f aca="false">SUMIFS('Source 2025'!$K:$K,'Source 2025'!$B:$B,$A127,'Source 2025'!$A:$A,"Quantity (units)")</f>
        <v>0</v>
      </c>
      <c r="D127" s="8" t="n">
        <f aca="false">SUMIFS('Source 2026'!$K:$K,'Source 2026'!$B:$B,$A127,'Source 2026'!$A:$A,"Quantity (units)")</f>
        <v>6</v>
      </c>
      <c r="E127" s="8" t="n">
        <f aca="false">D127*$J$5</f>
        <v>8.22857142857143</v>
      </c>
      <c r="F127" s="8" t="n">
        <f aca="false">E127-C127</f>
        <v>8.22857142857143</v>
      </c>
      <c r="G127" s="9" t="str">
        <f aca="false">IF(AND(C127=0,E127=0),0,IF(C127=0,"New",(E127-C127)/C127))</f>
        <v>New</v>
      </c>
      <c r="H127" s="8" t="n">
        <f aca="false">SUMIFS('Source 2025'!$K:$K,'Source 2025'!$B:$B,$A127,'Source 2025'!$A:$A,"Amount (NIS)")</f>
        <v>0</v>
      </c>
      <c r="I127" s="8" t="n">
        <f aca="false">SUMIFS('Source 2026'!$K:$K,'Source 2026'!$B:$B,$A127,'Source 2026'!$A:$A,"Amount (NIS)")</f>
        <v>740.1</v>
      </c>
      <c r="J127" s="8" t="n">
        <f aca="false">I127*$J$5</f>
        <v>1014.99428571429</v>
      </c>
      <c r="K127" s="8" t="n">
        <f aca="false">J127-H127</f>
        <v>1014.99428571429</v>
      </c>
      <c r="L127" s="9" t="str">
        <f aca="false">IF(AND(H127=0,J127=0),0,IF(H127=0,"New",(J127-H127)/H127))</f>
        <v>New</v>
      </c>
    </row>
    <row r="128" customFormat="false" ht="15" hidden="false" customHeight="false" outlineLevel="0" collapsed="false">
      <c r="A128" s="7" t="n">
        <v>4413096</v>
      </c>
      <c r="B128" s="7" t="str">
        <f aca="false">IFERROR(INDEX('Source 2026'!$C:$C,MATCH($A128,'Source 2026'!$B:$B,0)),IFERROR(INDEX('Source 2025'!$C:$C,MATCH($A128,'Source 2025'!$B:$B,0)),""))</f>
        <v>45 XXL מגן ברך לבן</v>
      </c>
      <c r="C128" s="8" t="n">
        <f aca="false">SUMIFS('Source 2025'!$K:$K,'Source 2025'!$B:$B,$A128,'Source 2025'!$A:$A,"Quantity (units)")</f>
        <v>0</v>
      </c>
      <c r="D128" s="8" t="n">
        <f aca="false">SUMIFS('Source 2026'!$K:$K,'Source 2026'!$B:$B,$A128,'Source 2026'!$A:$A,"Quantity (units)")</f>
        <v>47</v>
      </c>
      <c r="E128" s="8" t="n">
        <f aca="false">D128*$J$5</f>
        <v>64.4571428571429</v>
      </c>
      <c r="F128" s="8" t="n">
        <f aca="false">E128-C128</f>
        <v>64.4571428571429</v>
      </c>
      <c r="G128" s="9" t="str">
        <f aca="false">IF(AND(C128=0,E128=0),0,IF(C128=0,"New",(E128-C128)/C128))</f>
        <v>New</v>
      </c>
      <c r="H128" s="8" t="n">
        <f aca="false">SUMIFS('Source 2025'!$K:$K,'Source 2025'!$B:$B,$A128,'Source 2025'!$A:$A,"Amount (NIS)")</f>
        <v>0</v>
      </c>
      <c r="I128" s="8" t="n">
        <f aca="false">SUMIFS('Source 2026'!$K:$K,'Source 2026'!$B:$B,$A128,'Source 2026'!$A:$A,"Amount (NIS)")</f>
        <v>730.1</v>
      </c>
      <c r="J128" s="8" t="n">
        <f aca="false">I128*$J$5</f>
        <v>1001.28</v>
      </c>
      <c r="K128" s="8" t="n">
        <f aca="false">J128-H128</f>
        <v>1001.28</v>
      </c>
      <c r="L128" s="9" t="str">
        <f aca="false">IF(AND(H128=0,J128=0),0,IF(H128=0,"New",(J128-H128)/H128))</f>
        <v>New</v>
      </c>
    </row>
    <row r="129" customFormat="false" ht="15" hidden="false" customHeight="false" outlineLevel="0" collapsed="false">
      <c r="A129" s="7" t="n">
        <v>4415298</v>
      </c>
      <c r="B129" s="7" t="str">
        <f aca="false">IFERROR(INDEX('Source 2026'!$C:$C,MATCH($A129,'Source 2026'!$B:$B,0)),IFERROR(INDEX('Source 2025'!$C:$C,MATCH($A129,'Source 2025'!$B:$B,0)),""))</f>
        <v>388B L סד לילה שחור לבוהן שמאל</v>
      </c>
      <c r="C129" s="8" t="n">
        <f aca="false">SUMIFS('Source 2025'!$K:$K,'Source 2025'!$B:$B,$A129,'Source 2025'!$A:$A,"Quantity (units)")</f>
        <v>0</v>
      </c>
      <c r="D129" s="8" t="n">
        <f aca="false">SUMIFS('Source 2026'!$K:$K,'Source 2026'!$B:$B,$A129,'Source 2026'!$A:$A,"Quantity (units)")</f>
        <v>16</v>
      </c>
      <c r="E129" s="8" t="n">
        <f aca="false">D129*$J$5</f>
        <v>21.9428571428571</v>
      </c>
      <c r="F129" s="8" t="n">
        <f aca="false">E129-C129</f>
        <v>21.9428571428571</v>
      </c>
      <c r="G129" s="9" t="str">
        <f aca="false">IF(AND(C129=0,E129=0),0,IF(C129=0,"New",(E129-C129)/C129))</f>
        <v>New</v>
      </c>
      <c r="H129" s="8" t="n">
        <f aca="false">SUMIFS('Source 2025'!$K:$K,'Source 2025'!$B:$B,$A129,'Source 2025'!$A:$A,"Amount (NIS)")</f>
        <v>0</v>
      </c>
      <c r="I129" s="8" t="n">
        <f aca="false">SUMIFS('Source 2026'!$K:$K,'Source 2026'!$B:$B,$A129,'Source 2026'!$A:$A,"Amount (NIS)")</f>
        <v>672</v>
      </c>
      <c r="J129" s="8" t="n">
        <f aca="false">I129*$J$5</f>
        <v>921.6</v>
      </c>
      <c r="K129" s="8" t="n">
        <f aca="false">J129-H129</f>
        <v>921.6</v>
      </c>
      <c r="L129" s="9" t="str">
        <f aca="false">IF(AND(H129=0,J129=0),0,IF(H129=0,"New",(J129-H129)/H129))</f>
        <v>New</v>
      </c>
    </row>
    <row r="130" customFormat="false" ht="15" hidden="false" customHeight="false" outlineLevel="0" collapsed="false">
      <c r="A130" s="7" t="n">
        <v>4402000</v>
      </c>
      <c r="B130" s="7" t="str">
        <f aca="false">IFERROR(INDEX('Source 2026'!$C:$C,MATCH($A130,'Source 2026'!$B:$B,0)),IFERROR(INDEX('Source 2025'!$C:$C,MATCH($A130,'Source 2025'!$B:$B,0)),""))</f>
        <v>363  בננה לתמיכת אצבעות ז.כרית</v>
      </c>
      <c r="C130" s="8" t="n">
        <f aca="false">SUMIFS('Source 2025'!$K:$K,'Source 2025'!$B:$B,$A130,'Source 2025'!$A:$A,"Quantity (units)")</f>
        <v>0</v>
      </c>
      <c r="D130" s="8" t="n">
        <f aca="false">SUMIFS('Source 2026'!$K:$K,'Source 2026'!$B:$B,$A130,'Source 2026'!$A:$A,"Quantity (units)")</f>
        <v>41</v>
      </c>
      <c r="E130" s="8" t="n">
        <f aca="false">D130*$J$5</f>
        <v>56.2285714285714</v>
      </c>
      <c r="F130" s="8" t="n">
        <f aca="false">E130-C130</f>
        <v>56.2285714285714</v>
      </c>
      <c r="G130" s="9" t="str">
        <f aca="false">IF(AND(C130=0,E130=0),0,IF(C130=0,"New",(E130-C130)/C130))</f>
        <v>New</v>
      </c>
      <c r="H130" s="8" t="n">
        <f aca="false">SUMIFS('Source 2025'!$K:$K,'Source 2025'!$B:$B,$A130,'Source 2025'!$A:$A,"Amount (NIS)")</f>
        <v>0</v>
      </c>
      <c r="I130" s="8" t="n">
        <f aca="false">SUMIFS('Source 2026'!$K:$K,'Source 2026'!$B:$B,$A130,'Source 2026'!$A:$A,"Amount (NIS)")</f>
        <v>668</v>
      </c>
      <c r="J130" s="8" t="n">
        <f aca="false">I130*$J$5</f>
        <v>916.114285714286</v>
      </c>
      <c r="K130" s="8" t="n">
        <f aca="false">J130-H130</f>
        <v>916.114285714286</v>
      </c>
      <c r="L130" s="9" t="str">
        <f aca="false">IF(AND(H130=0,J130=0),0,IF(H130=0,"New",(J130-H130)/H130))</f>
        <v>New</v>
      </c>
    </row>
    <row r="131" customFormat="false" ht="15" hidden="false" customHeight="false" outlineLevel="0" collapsed="false">
      <c r="A131" s="7" t="n">
        <v>4408154</v>
      </c>
      <c r="B131" s="7" t="str">
        <f aca="false">IFERROR(INDEX('Source 2026'!$C:$C,MATCH($A131,'Source 2026'!$B:$B,0)),IFERROR(INDEX('Source 2025'!$C:$C,MATCH($A131,'Source 2025'!$B:$B,0)),""))</f>
        <v>11TO XXLחגורה למנותחי בית החזה</v>
      </c>
      <c r="C131" s="8" t="n">
        <f aca="false">SUMIFS('Source 2025'!$K:$K,'Source 2025'!$B:$B,$A131,'Source 2025'!$A:$A,"Quantity (units)")</f>
        <v>0</v>
      </c>
      <c r="D131" s="8" t="n">
        <f aca="false">SUMIFS('Source 2026'!$K:$K,'Source 2026'!$B:$B,$A131,'Source 2026'!$A:$A,"Quantity (units)")</f>
        <v>7</v>
      </c>
      <c r="E131" s="8" t="n">
        <f aca="false">D131*$J$5</f>
        <v>9.6</v>
      </c>
      <c r="F131" s="8" t="n">
        <f aca="false">E131-C131</f>
        <v>9.6</v>
      </c>
      <c r="G131" s="9" t="str">
        <f aca="false">IF(AND(C131=0,E131=0),0,IF(C131=0,"New",(E131-C131)/C131))</f>
        <v>New</v>
      </c>
      <c r="H131" s="8" t="n">
        <f aca="false">SUMIFS('Source 2025'!$K:$K,'Source 2025'!$B:$B,$A131,'Source 2025'!$A:$A,"Amount (NIS)")</f>
        <v>0</v>
      </c>
      <c r="I131" s="8" t="n">
        <f aca="false">SUMIFS('Source 2026'!$K:$K,'Source 2026'!$B:$B,$A131,'Source 2026'!$A:$A,"Amount (NIS)")</f>
        <v>642.5</v>
      </c>
      <c r="J131" s="8" t="n">
        <f aca="false">I131*$J$5</f>
        <v>881.142857142857</v>
      </c>
      <c r="K131" s="8" t="n">
        <f aca="false">J131-H131</f>
        <v>881.142857142857</v>
      </c>
      <c r="L131" s="9" t="str">
        <f aca="false">IF(AND(H131=0,J131=0),0,IF(H131=0,"New",(J131-H131)/H131))</f>
        <v>New</v>
      </c>
    </row>
    <row r="132" customFormat="false" ht="15" hidden="false" customHeight="false" outlineLevel="0" collapsed="false">
      <c r="A132" s="7" t="n">
        <v>4411029</v>
      </c>
      <c r="B132" s="7" t="str">
        <f aca="false">IFERROR(INDEX('Source 2026'!$C:$C,MATCH($A132,'Source 2026'!$B:$B,0)),IFERROR(INDEX('Source 2025'!$C:$C,MATCH($A132,'Source 2025'!$B:$B,0)),""))</f>
        <v>213CTSR L ימין CTS כפפות</v>
      </c>
      <c r="C132" s="8" t="n">
        <f aca="false">SUMIFS('Source 2025'!$K:$K,'Source 2025'!$B:$B,$A132,'Source 2025'!$A:$A,"Quantity (units)")</f>
        <v>0</v>
      </c>
      <c r="D132" s="8" t="n">
        <f aca="false">SUMIFS('Source 2026'!$K:$K,'Source 2026'!$B:$B,$A132,'Source 2026'!$A:$A,"Quantity (units)")</f>
        <v>9</v>
      </c>
      <c r="E132" s="8" t="n">
        <f aca="false">D132*$J$5</f>
        <v>12.3428571428571</v>
      </c>
      <c r="F132" s="8" t="n">
        <f aca="false">E132-C132</f>
        <v>12.3428571428571</v>
      </c>
      <c r="G132" s="9" t="str">
        <f aca="false">IF(AND(C132=0,E132=0),0,IF(C132=0,"New",(E132-C132)/C132))</f>
        <v>New</v>
      </c>
      <c r="H132" s="8" t="n">
        <f aca="false">SUMIFS('Source 2025'!$K:$K,'Source 2025'!$B:$B,$A132,'Source 2025'!$A:$A,"Amount (NIS)")</f>
        <v>0</v>
      </c>
      <c r="I132" s="8" t="n">
        <f aca="false">SUMIFS('Source 2026'!$K:$K,'Source 2026'!$B:$B,$A132,'Source 2026'!$A:$A,"Amount (NIS)")</f>
        <v>639</v>
      </c>
      <c r="J132" s="8" t="n">
        <f aca="false">I132*$J$5</f>
        <v>876.342857142857</v>
      </c>
      <c r="K132" s="8" t="n">
        <f aca="false">J132-H132</f>
        <v>876.342857142857</v>
      </c>
      <c r="L132" s="9" t="str">
        <f aca="false">IF(AND(H132=0,J132=0),0,IF(H132=0,"New",(J132-H132)/H132))</f>
        <v>New</v>
      </c>
    </row>
    <row r="133" customFormat="false" ht="15" hidden="false" customHeight="false" outlineLevel="0" collapsed="false">
      <c r="A133" s="7" t="n">
        <v>4415019</v>
      </c>
      <c r="B133" s="7" t="str">
        <f aca="false">IFERROR(INDEX('Source 2026'!$C:$C,MATCH($A133,'Source 2026'!$B:$B,0)),IFERROR(INDEX('Source 2025'!$C:$C,MATCH($A133,'Source 2025'!$B:$B,0)),""))</f>
        <v>333 סד לקרסול עם כריות אויר</v>
      </c>
      <c r="C133" s="8" t="n">
        <f aca="false">SUMIFS('Source 2025'!$K:$K,'Source 2025'!$B:$B,$A133,'Source 2025'!$A:$A,"Quantity (units)")</f>
        <v>0</v>
      </c>
      <c r="D133" s="8" t="n">
        <f aca="false">SUMIFS('Source 2026'!$K:$K,'Source 2026'!$B:$B,$A133,'Source 2026'!$A:$A,"Quantity (units)")</f>
        <v>7</v>
      </c>
      <c r="E133" s="8" t="n">
        <f aca="false">D133*$J$5</f>
        <v>9.6</v>
      </c>
      <c r="F133" s="8" t="n">
        <f aca="false">E133-C133</f>
        <v>9.6</v>
      </c>
      <c r="G133" s="9" t="str">
        <f aca="false">IF(AND(C133=0,E133=0),0,IF(C133=0,"New",(E133-C133)/C133))</f>
        <v>New</v>
      </c>
      <c r="H133" s="8" t="n">
        <f aca="false">SUMIFS('Source 2025'!$K:$K,'Source 2025'!$B:$B,$A133,'Source 2025'!$A:$A,"Amount (NIS)")</f>
        <v>0</v>
      </c>
      <c r="I133" s="8" t="n">
        <f aca="false">SUMIFS('Source 2026'!$K:$K,'Source 2026'!$B:$B,$A133,'Source 2026'!$A:$A,"Amount (NIS)")</f>
        <v>632.8</v>
      </c>
      <c r="J133" s="8" t="n">
        <f aca="false">I133*$J$5</f>
        <v>867.84</v>
      </c>
      <c r="K133" s="8" t="n">
        <f aca="false">J133-H133</f>
        <v>867.84</v>
      </c>
      <c r="L133" s="9" t="str">
        <f aca="false">IF(AND(H133=0,J133=0),0,IF(H133=0,"New",(J133-H133)/H133))</f>
        <v>New</v>
      </c>
    </row>
    <row r="134" customFormat="false" ht="15" hidden="false" customHeight="false" outlineLevel="0" collapsed="false">
      <c r="A134" s="7" t="n">
        <v>4413340</v>
      </c>
      <c r="B134" s="7" t="str">
        <f aca="false">IFERROR(INDEX('Source 2026'!$C:$C,MATCH($A134,'Source 2026'!$B:$B,0)),IFERROR(INDEX('Source 2025'!$C:$C,MATCH($A134,'Source 2025'!$B:$B,0)),""))</f>
        <v>3666 מפריד הלוקס</v>
      </c>
      <c r="C134" s="8" t="n">
        <f aca="false">SUMIFS('Source 2025'!$K:$K,'Source 2025'!$B:$B,$A134,'Source 2025'!$A:$A,"Quantity (units)")</f>
        <v>0</v>
      </c>
      <c r="D134" s="8" t="n">
        <f aca="false">SUMIFS('Source 2026'!$K:$K,'Source 2026'!$B:$B,$A134,'Source 2026'!$A:$A,"Quantity (units)")</f>
        <v>16</v>
      </c>
      <c r="E134" s="8" t="n">
        <f aca="false">D134*$J$5</f>
        <v>21.9428571428571</v>
      </c>
      <c r="F134" s="8" t="n">
        <f aca="false">E134-C134</f>
        <v>21.9428571428571</v>
      </c>
      <c r="G134" s="9" t="str">
        <f aca="false">IF(AND(C134=0,E134=0),0,IF(C134=0,"New",(E134-C134)/C134))</f>
        <v>New</v>
      </c>
      <c r="H134" s="8" t="n">
        <f aca="false">SUMIFS('Source 2025'!$K:$K,'Source 2025'!$B:$B,$A134,'Source 2025'!$A:$A,"Amount (NIS)")</f>
        <v>0</v>
      </c>
      <c r="I134" s="8" t="n">
        <f aca="false">SUMIFS('Source 2026'!$K:$K,'Source 2026'!$B:$B,$A134,'Source 2026'!$A:$A,"Amount (NIS)")</f>
        <v>619.2</v>
      </c>
      <c r="J134" s="8" t="n">
        <f aca="false">I134*$J$5</f>
        <v>849.188571428572</v>
      </c>
      <c r="K134" s="8" t="n">
        <f aca="false">J134-H134</f>
        <v>849.188571428572</v>
      </c>
      <c r="L134" s="9" t="str">
        <f aca="false">IF(AND(H134=0,J134=0),0,IF(H134=0,"New",(J134-H134)/H134))</f>
        <v>New</v>
      </c>
    </row>
    <row r="135" customFormat="false" ht="15" hidden="false" customHeight="false" outlineLevel="0" collapsed="false">
      <c r="A135" s="7" t="n">
        <v>4408072</v>
      </c>
      <c r="B135" s="7" t="str">
        <f aca="false">IFERROR(INDEX('Source 2026'!$C:$C,MATCH($A135,'Source 2026'!$B:$B,0)),IFERROR(INDEX('Source 2025'!$C:$C,MATCH($A135,'Source 2025'!$B:$B,0)),""))</f>
        <v>59D M חגורת שבר דו צדדי</v>
      </c>
      <c r="C135" s="8" t="n">
        <f aca="false">SUMIFS('Source 2025'!$K:$K,'Source 2025'!$B:$B,$A135,'Source 2025'!$A:$A,"Quantity (units)")</f>
        <v>0</v>
      </c>
      <c r="D135" s="8" t="n">
        <f aca="false">SUMIFS('Source 2026'!$K:$K,'Source 2026'!$B:$B,$A135,'Source 2026'!$A:$A,"Quantity (units)")</f>
        <v>3</v>
      </c>
      <c r="E135" s="8" t="n">
        <f aca="false">D135*$J$5</f>
        <v>4.11428571428571</v>
      </c>
      <c r="F135" s="8" t="n">
        <f aca="false">E135-C135</f>
        <v>4.11428571428571</v>
      </c>
      <c r="G135" s="9" t="str">
        <f aca="false">IF(AND(C135=0,E135=0),0,IF(C135=0,"New",(E135-C135)/C135))</f>
        <v>New</v>
      </c>
      <c r="H135" s="8" t="n">
        <f aca="false">SUMIFS('Source 2025'!$K:$K,'Source 2025'!$B:$B,$A135,'Source 2025'!$A:$A,"Amount (NIS)")</f>
        <v>0</v>
      </c>
      <c r="I135" s="8" t="n">
        <f aca="false">SUMIFS('Source 2026'!$K:$K,'Source 2026'!$B:$B,$A135,'Source 2026'!$A:$A,"Amount (NIS)")</f>
        <v>587.2</v>
      </c>
      <c r="J135" s="8" t="n">
        <f aca="false">I135*$J$5</f>
        <v>805.302857142857</v>
      </c>
      <c r="K135" s="8" t="n">
        <f aca="false">J135-H135</f>
        <v>805.302857142857</v>
      </c>
      <c r="L135" s="9" t="str">
        <f aca="false">IF(AND(H135=0,J135=0),0,IF(H135=0,"New",(J135-H135)/H135))</f>
        <v>New</v>
      </c>
    </row>
    <row r="136" customFormat="false" ht="15" hidden="false" customHeight="false" outlineLevel="0" collapsed="false">
      <c r="A136" s="7" t="n">
        <v>4411015</v>
      </c>
      <c r="B136" s="7" t="str">
        <f aca="false">IFERROR(INDEX('Source 2026'!$C:$C,MATCH($A136,'Source 2026'!$B:$B,0)),IFERROR(INDEX('Source 2025'!$C:$C,MATCH($A136,'Source 2025'!$B:$B,0)),""))</f>
        <v>820 0 כרית חום וקור</v>
      </c>
      <c r="C136" s="8" t="n">
        <f aca="false">SUMIFS('Source 2025'!$K:$K,'Source 2025'!$B:$B,$A136,'Source 2025'!$A:$A,"Quantity (units)")</f>
        <v>0</v>
      </c>
      <c r="D136" s="8" t="n">
        <f aca="false">SUMIFS('Source 2026'!$K:$K,'Source 2026'!$B:$B,$A136,'Source 2026'!$A:$A,"Quantity (units)")</f>
        <v>18</v>
      </c>
      <c r="E136" s="8" t="n">
        <f aca="false">D136*$J$5</f>
        <v>24.6857142857143</v>
      </c>
      <c r="F136" s="8" t="n">
        <f aca="false">E136-C136</f>
        <v>24.6857142857143</v>
      </c>
      <c r="G136" s="9" t="str">
        <f aca="false">IF(AND(C136=0,E136=0),0,IF(C136=0,"New",(E136-C136)/C136))</f>
        <v>New</v>
      </c>
      <c r="H136" s="8" t="n">
        <f aca="false">SUMIFS('Source 2025'!$K:$K,'Source 2025'!$B:$B,$A136,'Source 2025'!$A:$A,"Amount (NIS)")</f>
        <v>0</v>
      </c>
      <c r="I136" s="8" t="n">
        <f aca="false">SUMIFS('Source 2026'!$K:$K,'Source 2026'!$B:$B,$A136,'Source 2026'!$A:$A,"Amount (NIS)")</f>
        <v>583.7</v>
      </c>
      <c r="J136" s="8" t="n">
        <f aca="false">I136*$J$5</f>
        <v>800.502857142857</v>
      </c>
      <c r="K136" s="8" t="n">
        <f aca="false">J136-H136</f>
        <v>800.502857142857</v>
      </c>
      <c r="L136" s="9" t="str">
        <f aca="false">IF(AND(H136=0,J136=0),0,IF(H136=0,"New",(J136-H136)/H136))</f>
        <v>New</v>
      </c>
    </row>
    <row r="137" customFormat="false" ht="15" hidden="false" customHeight="false" outlineLevel="0" collapsed="false">
      <c r="A137" s="7" t="n">
        <v>4413047</v>
      </c>
      <c r="B137" s="7" t="str">
        <f aca="false">IFERROR(INDEX('Source 2026'!$C:$C,MATCH($A137,'Source 2026'!$B:$B,0)),IFERROR(INDEX('Source 2025'!$C:$C,MATCH($A137,'Source 2025'!$B:$B,0)),""))</f>
        <v>35 S מגן קרסול לבן</v>
      </c>
      <c r="C137" s="8" t="n">
        <f aca="false">SUMIFS('Source 2025'!$K:$K,'Source 2025'!$B:$B,$A137,'Source 2025'!$A:$A,"Quantity (units)")</f>
        <v>0</v>
      </c>
      <c r="D137" s="8" t="n">
        <f aca="false">SUMIFS('Source 2026'!$K:$K,'Source 2026'!$B:$B,$A137,'Source 2026'!$A:$A,"Quantity (units)")</f>
        <v>36</v>
      </c>
      <c r="E137" s="8" t="n">
        <f aca="false">D137*$J$5</f>
        <v>49.3714285714286</v>
      </c>
      <c r="F137" s="8" t="n">
        <f aca="false">E137-C137</f>
        <v>49.3714285714286</v>
      </c>
      <c r="G137" s="9" t="str">
        <f aca="false">IF(AND(C137=0,E137=0),0,IF(C137=0,"New",(E137-C137)/C137))</f>
        <v>New</v>
      </c>
      <c r="H137" s="8" t="n">
        <f aca="false">SUMIFS('Source 2025'!$K:$K,'Source 2025'!$B:$B,$A137,'Source 2025'!$A:$A,"Amount (NIS)")</f>
        <v>0</v>
      </c>
      <c r="I137" s="8" t="n">
        <f aca="false">SUMIFS('Source 2026'!$K:$K,'Source 2026'!$B:$B,$A137,'Source 2026'!$A:$A,"Amount (NIS)")</f>
        <v>578</v>
      </c>
      <c r="J137" s="8" t="n">
        <f aca="false">I137*$J$5</f>
        <v>792.685714285714</v>
      </c>
      <c r="K137" s="8" t="n">
        <f aca="false">J137-H137</f>
        <v>792.685714285714</v>
      </c>
      <c r="L137" s="9" t="str">
        <f aca="false">IF(AND(H137=0,J137=0),0,IF(H137=0,"New",(J137-H137)/H137))</f>
        <v>New</v>
      </c>
    </row>
    <row r="138" customFormat="false" ht="15" hidden="false" customHeight="false" outlineLevel="0" collapsed="false">
      <c r="A138" s="7" t="n">
        <v>4411031</v>
      </c>
      <c r="B138" s="7" t="str">
        <f aca="false">IFERROR(INDEX('Source 2026'!$C:$C,MATCH($A138,'Source 2026'!$B:$B,0)),IFERROR(INDEX('Source 2025'!$C:$C,MATCH($A138,'Source 2025'!$B:$B,0)),""))</f>
        <v>213CTS  S ימין CTS כפפות</v>
      </c>
      <c r="C138" s="8" t="n">
        <f aca="false">SUMIFS('Source 2025'!$K:$K,'Source 2025'!$B:$B,$A138,'Source 2025'!$A:$A,"Quantity (units)")</f>
        <v>0</v>
      </c>
      <c r="D138" s="8" t="n">
        <f aca="false">SUMIFS('Source 2026'!$K:$K,'Source 2026'!$B:$B,$A138,'Source 2026'!$A:$A,"Quantity (units)")</f>
        <v>8</v>
      </c>
      <c r="E138" s="8" t="n">
        <f aca="false">D138*$J$5</f>
        <v>10.9714285714286</v>
      </c>
      <c r="F138" s="8" t="n">
        <f aca="false">E138-C138</f>
        <v>10.9714285714286</v>
      </c>
      <c r="G138" s="9" t="str">
        <f aca="false">IF(AND(C138=0,E138=0),0,IF(C138=0,"New",(E138-C138)/C138))</f>
        <v>New</v>
      </c>
      <c r="H138" s="8" t="n">
        <f aca="false">SUMIFS('Source 2025'!$K:$K,'Source 2025'!$B:$B,$A138,'Source 2025'!$A:$A,"Amount (NIS)")</f>
        <v>0</v>
      </c>
      <c r="I138" s="8" t="n">
        <f aca="false">SUMIFS('Source 2026'!$K:$K,'Source 2026'!$B:$B,$A138,'Source 2026'!$A:$A,"Amount (NIS)")</f>
        <v>568</v>
      </c>
      <c r="J138" s="8" t="n">
        <f aca="false">I138*$J$5</f>
        <v>778.971428571429</v>
      </c>
      <c r="K138" s="8" t="n">
        <f aca="false">J138-H138</f>
        <v>778.971428571429</v>
      </c>
      <c r="L138" s="9" t="str">
        <f aca="false">IF(AND(H138=0,J138=0),0,IF(H138=0,"New",(J138-H138)/H138))</f>
        <v>New</v>
      </c>
    </row>
    <row r="139" customFormat="false" ht="15" hidden="false" customHeight="false" outlineLevel="0" collapsed="false">
      <c r="A139" s="7" t="n">
        <v>4413034</v>
      </c>
      <c r="B139" s="7" t="str">
        <f aca="false">IFERROR(INDEX('Source 2026'!$C:$C,MATCH($A139,'Source 2026'!$B:$B,0)),IFERROR(INDEX('Source 2025'!$C:$C,MATCH($A139,'Source 2025'!$B:$B,0)),""))</f>
        <v>312 9 מ""ס להתאמהX5 מדבקה גדולה</v>
      </c>
      <c r="C139" s="8" t="n">
        <f aca="false">SUMIFS('Source 2025'!$K:$K,'Source 2025'!$B:$B,$A139,'Source 2025'!$A:$A,"Quantity (units)")</f>
        <v>0</v>
      </c>
      <c r="D139" s="8" t="n">
        <f aca="false">SUMIFS('Source 2026'!$K:$K,'Source 2026'!$B:$B,$A139,'Source 2026'!$A:$A,"Quantity (units)")</f>
        <v>43</v>
      </c>
      <c r="E139" s="8" t="n">
        <f aca="false">D139*$J$5</f>
        <v>58.9714285714286</v>
      </c>
      <c r="F139" s="8" t="n">
        <f aca="false">E139-C139</f>
        <v>58.9714285714286</v>
      </c>
      <c r="G139" s="9" t="str">
        <f aca="false">IF(AND(C139=0,E139=0),0,IF(C139=0,"New",(E139-C139)/C139))</f>
        <v>New</v>
      </c>
      <c r="H139" s="8" t="n">
        <f aca="false">SUMIFS('Source 2025'!$K:$K,'Source 2025'!$B:$B,$A139,'Source 2025'!$A:$A,"Amount (NIS)")</f>
        <v>0</v>
      </c>
      <c r="I139" s="8" t="n">
        <f aca="false">SUMIFS('Source 2026'!$K:$K,'Source 2026'!$B:$B,$A139,'Source 2026'!$A:$A,"Amount (NIS)")</f>
        <v>556.9</v>
      </c>
      <c r="J139" s="8" t="n">
        <f aca="false">I139*$J$5</f>
        <v>763.748571428571</v>
      </c>
      <c r="K139" s="8" t="n">
        <f aca="false">J139-H139</f>
        <v>763.748571428571</v>
      </c>
      <c r="L139" s="9" t="str">
        <f aca="false">IF(AND(H139=0,J139=0),0,IF(H139=0,"New",(J139-H139)/H139))</f>
        <v>New</v>
      </c>
    </row>
    <row r="140" customFormat="false" ht="15" hidden="false" customHeight="false" outlineLevel="0" collapsed="false">
      <c r="A140" s="7" t="n">
        <v>4413131</v>
      </c>
      <c r="B140" s="7" t="str">
        <f aca="false">IFERROR(INDEX('Source 2026'!$C:$C,MATCH($A140,'Source 2026'!$B:$B,0)),IFERROR(INDEX('Source 2025'!$C:$C,MATCH($A140,'Source 2025'!$B:$B,0)),""))</f>
        <v>76 Sמיישר כתף יציב יישור ג.רחב</v>
      </c>
      <c r="C140" s="8" t="n">
        <f aca="false">SUMIFS('Source 2025'!$K:$K,'Source 2025'!$B:$B,$A140,'Source 2025'!$A:$A,"Quantity (units)")</f>
        <v>0</v>
      </c>
      <c r="D140" s="8" t="n">
        <f aca="false">SUMIFS('Source 2026'!$K:$K,'Source 2026'!$B:$B,$A140,'Source 2026'!$A:$A,"Quantity (units)")</f>
        <v>4</v>
      </c>
      <c r="E140" s="8" t="n">
        <f aca="false">D140*$J$5</f>
        <v>5.48571428571429</v>
      </c>
      <c r="F140" s="8" t="n">
        <f aca="false">E140-C140</f>
        <v>5.48571428571429</v>
      </c>
      <c r="G140" s="9" t="str">
        <f aca="false">IF(AND(C140=0,E140=0),0,IF(C140=0,"New",(E140-C140)/C140))</f>
        <v>New</v>
      </c>
      <c r="H140" s="8" t="n">
        <f aca="false">SUMIFS('Source 2025'!$K:$K,'Source 2025'!$B:$B,$A140,'Source 2025'!$A:$A,"Amount (NIS)")</f>
        <v>0</v>
      </c>
      <c r="I140" s="8" t="n">
        <f aca="false">SUMIFS('Source 2026'!$K:$K,'Source 2026'!$B:$B,$A140,'Source 2026'!$A:$A,"Amount (NIS)")</f>
        <v>545.2</v>
      </c>
      <c r="J140" s="8" t="n">
        <f aca="false">I140*$J$5</f>
        <v>747.702857142857</v>
      </c>
      <c r="K140" s="8" t="n">
        <f aca="false">J140-H140</f>
        <v>747.702857142857</v>
      </c>
      <c r="L140" s="9" t="str">
        <f aca="false">IF(AND(H140=0,J140=0),0,IF(H140=0,"New",(J140-H140)/H140))</f>
        <v>New</v>
      </c>
    </row>
    <row r="141" customFormat="false" ht="15" hidden="false" customHeight="false" outlineLevel="0" collapsed="false">
      <c r="A141" s="7" t="n">
        <v>4413195</v>
      </c>
      <c r="B141" s="7" t="str">
        <f aca="false">IFERROR(INDEX('Source 2026'!$C:$C,MATCH($A141,'Source 2026'!$B:$B,0)),IFERROR(INDEX('Source 2025'!$C:$C,MATCH($A141,'Source 2025'!$B:$B,0)),""))</f>
        <v>87 S מקבע כתף ויד</v>
      </c>
      <c r="C141" s="8" t="n">
        <f aca="false">SUMIFS('Source 2025'!$K:$K,'Source 2025'!$B:$B,$A141,'Source 2025'!$A:$A,"Quantity (units)")</f>
        <v>0</v>
      </c>
      <c r="D141" s="8" t="n">
        <f aca="false">SUMIFS('Source 2026'!$K:$K,'Source 2026'!$B:$B,$A141,'Source 2026'!$A:$A,"Quantity (units)")</f>
        <v>4</v>
      </c>
      <c r="E141" s="8" t="n">
        <f aca="false">D141*$J$5</f>
        <v>5.48571428571429</v>
      </c>
      <c r="F141" s="8" t="n">
        <f aca="false">E141-C141</f>
        <v>5.48571428571429</v>
      </c>
      <c r="G141" s="9" t="str">
        <f aca="false">IF(AND(C141=0,E141=0),0,IF(C141=0,"New",(E141-C141)/C141))</f>
        <v>New</v>
      </c>
      <c r="H141" s="8" t="n">
        <f aca="false">SUMIFS('Source 2025'!$K:$K,'Source 2025'!$B:$B,$A141,'Source 2025'!$A:$A,"Amount (NIS)")</f>
        <v>0</v>
      </c>
      <c r="I141" s="8" t="n">
        <f aca="false">SUMIFS('Source 2026'!$K:$K,'Source 2026'!$B:$B,$A141,'Source 2026'!$A:$A,"Amount (NIS)")</f>
        <v>506</v>
      </c>
      <c r="J141" s="8" t="n">
        <f aca="false">I141*$J$5</f>
        <v>693.942857142857</v>
      </c>
      <c r="K141" s="8" t="n">
        <f aca="false">J141-H141</f>
        <v>693.942857142857</v>
      </c>
      <c r="L141" s="9" t="str">
        <f aca="false">IF(AND(H141=0,J141=0),0,IF(H141=0,"New",(J141-H141)/H141))</f>
        <v>New</v>
      </c>
    </row>
    <row r="142" customFormat="false" ht="15" hidden="false" customHeight="false" outlineLevel="0" collapsed="false">
      <c r="A142" s="7" t="n">
        <v>4413142</v>
      </c>
      <c r="B142" s="7" t="str">
        <f aca="false">IFERROR(INDEX('Source 2026'!$C:$C,MATCH($A142,'Source 2026'!$B:$B,0)),IFERROR(INDEX('Source 2025'!$C:$C,MATCH($A142,'Source 2025'!$B:$B,0)),""))</f>
        <v>95 XL מגן מרפק רגיל לבן</v>
      </c>
      <c r="C142" s="8" t="n">
        <f aca="false">SUMIFS('Source 2025'!$K:$K,'Source 2025'!$B:$B,$A142,'Source 2025'!$A:$A,"Quantity (units)")</f>
        <v>0</v>
      </c>
      <c r="D142" s="8" t="n">
        <f aca="false">SUMIFS('Source 2026'!$K:$K,'Source 2026'!$B:$B,$A142,'Source 2026'!$A:$A,"Quantity (units)")</f>
        <v>30</v>
      </c>
      <c r="E142" s="8" t="n">
        <f aca="false">D142*$J$5</f>
        <v>41.1428571428571</v>
      </c>
      <c r="F142" s="8" t="n">
        <f aca="false">E142-C142</f>
        <v>41.1428571428571</v>
      </c>
      <c r="G142" s="9" t="str">
        <f aca="false">IF(AND(C142=0,E142=0),0,IF(C142=0,"New",(E142-C142)/C142))</f>
        <v>New</v>
      </c>
      <c r="H142" s="8" t="n">
        <f aca="false">SUMIFS('Source 2025'!$K:$K,'Source 2025'!$B:$B,$A142,'Source 2025'!$A:$A,"Amount (NIS)")</f>
        <v>0</v>
      </c>
      <c r="I142" s="8" t="n">
        <f aca="false">SUMIFS('Source 2026'!$K:$K,'Source 2026'!$B:$B,$A142,'Source 2026'!$A:$A,"Amount (NIS)")</f>
        <v>497.3</v>
      </c>
      <c r="J142" s="8" t="n">
        <f aca="false">I142*$J$5</f>
        <v>682.011428571429</v>
      </c>
      <c r="K142" s="8" t="n">
        <f aca="false">J142-H142</f>
        <v>682.011428571429</v>
      </c>
      <c r="L142" s="9" t="str">
        <f aca="false">IF(AND(H142=0,J142=0),0,IF(H142=0,"New",(J142-H142)/H142))</f>
        <v>New</v>
      </c>
    </row>
    <row r="143" customFormat="false" ht="15" hidden="false" customHeight="false" outlineLevel="0" collapsed="false">
      <c r="A143" s="7" t="n">
        <v>4408203</v>
      </c>
      <c r="B143" s="7" t="str">
        <f aca="false">IFERROR(INDEX('Source 2026'!$C:$C,MATCH($A143,'Source 2026'!$B:$B,0)),IFERROR(INDEX('Source 2025'!$C:$C,MATCH($A143,'Source 2025'!$B:$B,0)),""))</f>
        <v>14 0 חגורה למנותחי בית חזה</v>
      </c>
      <c r="C143" s="8" t="n">
        <f aca="false">SUMIFS('Source 2025'!$K:$K,'Source 2025'!$B:$B,$A143,'Source 2025'!$A:$A,"Quantity (units)")</f>
        <v>0</v>
      </c>
      <c r="D143" s="8" t="n">
        <f aca="false">SUMIFS('Source 2026'!$K:$K,'Source 2026'!$B:$B,$A143,'Source 2026'!$A:$A,"Quantity (units)")</f>
        <v>3</v>
      </c>
      <c r="E143" s="8" t="n">
        <f aca="false">D143*$J$5</f>
        <v>4.11428571428571</v>
      </c>
      <c r="F143" s="8" t="n">
        <f aca="false">E143-C143</f>
        <v>4.11428571428571</v>
      </c>
      <c r="G143" s="9" t="str">
        <f aca="false">IF(AND(C143=0,E143=0),0,IF(C143=0,"New",(E143-C143)/C143))</f>
        <v>New</v>
      </c>
      <c r="H143" s="8" t="n">
        <f aca="false">SUMIFS('Source 2025'!$K:$K,'Source 2025'!$B:$B,$A143,'Source 2025'!$A:$A,"Amount (NIS)")</f>
        <v>0</v>
      </c>
      <c r="I143" s="8" t="n">
        <f aca="false">SUMIFS('Source 2026'!$K:$K,'Source 2026'!$B:$B,$A143,'Source 2026'!$A:$A,"Amount (NIS)")</f>
        <v>480</v>
      </c>
      <c r="J143" s="8" t="n">
        <f aca="false">I143*$J$5</f>
        <v>658.285714285714</v>
      </c>
      <c r="K143" s="8" t="n">
        <f aca="false">J143-H143</f>
        <v>658.285714285714</v>
      </c>
      <c r="L143" s="9" t="str">
        <f aca="false">IF(AND(H143=0,J143=0),0,IF(H143=0,"New",(J143-H143)/H143))</f>
        <v>New</v>
      </c>
    </row>
    <row r="144" customFormat="false" ht="15" hidden="false" customHeight="false" outlineLevel="0" collapsed="false">
      <c r="A144" s="7" t="n">
        <v>4408262</v>
      </c>
      <c r="B144" s="7" t="str">
        <f aca="false">IFERROR(INDEX('Source 2026'!$C:$C,MATCH($A144,'Source 2026'!$B:$B,0)),IFERROR(INDEX('Source 2025'!$C:$C,MATCH($A144,'Source 2025'!$B:$B,0)),""))</f>
        <v>11STO XL  חגורה אחרי ניתוח</v>
      </c>
      <c r="C144" s="8" t="n">
        <f aca="false">SUMIFS('Source 2025'!$K:$K,'Source 2025'!$B:$B,$A144,'Source 2025'!$A:$A,"Quantity (units)")</f>
        <v>0</v>
      </c>
      <c r="D144" s="8" t="n">
        <f aca="false">SUMIFS('Source 2026'!$K:$K,'Source 2026'!$B:$B,$A144,'Source 2026'!$A:$A,"Quantity (units)")</f>
        <v>4</v>
      </c>
      <c r="E144" s="8" t="n">
        <f aca="false">D144*$J$5</f>
        <v>5.48571428571429</v>
      </c>
      <c r="F144" s="8" t="n">
        <f aca="false">E144-C144</f>
        <v>5.48571428571429</v>
      </c>
      <c r="G144" s="9" t="str">
        <f aca="false">IF(AND(C144=0,E144=0),0,IF(C144=0,"New",(E144-C144)/C144))</f>
        <v>New</v>
      </c>
      <c r="H144" s="8" t="n">
        <f aca="false">SUMIFS('Source 2025'!$K:$K,'Source 2025'!$B:$B,$A144,'Source 2025'!$A:$A,"Amount (NIS)")</f>
        <v>0</v>
      </c>
      <c r="I144" s="8" t="n">
        <f aca="false">SUMIFS('Source 2026'!$K:$K,'Source 2026'!$B:$B,$A144,'Source 2026'!$A:$A,"Amount (NIS)")</f>
        <v>454.3</v>
      </c>
      <c r="J144" s="8" t="n">
        <f aca="false">I144*$J$5</f>
        <v>623.04</v>
      </c>
      <c r="K144" s="8" t="n">
        <f aca="false">J144-H144</f>
        <v>623.04</v>
      </c>
      <c r="L144" s="9" t="str">
        <f aca="false">IF(AND(H144=0,J144=0),0,IF(H144=0,"New",(J144-H144)/H144))</f>
        <v>New</v>
      </c>
    </row>
    <row r="145" customFormat="false" ht="15" hidden="false" customHeight="false" outlineLevel="0" collapsed="false">
      <c r="A145" s="7" t="n">
        <v>4422036</v>
      </c>
      <c r="B145" s="7" t="str">
        <f aca="false">IFERROR(INDEX('Source 2026'!$C:$C,MATCH($A145,'Source 2026'!$B:$B,0)),IFERROR(INDEX('Source 2025'!$C:$C,MATCH($A145,'Source 2025'!$B:$B,0)),""))</f>
        <v>FC334  תרסיס דאודורנט לכף הרגל</v>
      </c>
      <c r="C145" s="8" t="n">
        <f aca="false">SUMIFS('Source 2025'!$K:$K,'Source 2025'!$B:$B,$A145,'Source 2025'!$A:$A,"Quantity (units)")</f>
        <v>0</v>
      </c>
      <c r="D145" s="8" t="n">
        <f aca="false">SUMIFS('Source 2026'!$K:$K,'Source 2026'!$B:$B,$A145,'Source 2026'!$A:$A,"Quantity (units)")</f>
        <v>29</v>
      </c>
      <c r="E145" s="8" t="n">
        <f aca="false">D145*$J$5</f>
        <v>39.7714285714286</v>
      </c>
      <c r="F145" s="8" t="n">
        <f aca="false">E145-C145</f>
        <v>39.7714285714286</v>
      </c>
      <c r="G145" s="9" t="str">
        <f aca="false">IF(AND(C145=0,E145=0),0,IF(C145=0,"New",(E145-C145)/C145))</f>
        <v>New</v>
      </c>
      <c r="H145" s="8" t="n">
        <f aca="false">SUMIFS('Source 2025'!$K:$K,'Source 2025'!$B:$B,$A145,'Source 2025'!$A:$A,"Amount (NIS)")</f>
        <v>0</v>
      </c>
      <c r="I145" s="8" t="n">
        <f aca="false">SUMIFS('Source 2026'!$K:$K,'Source 2026'!$B:$B,$A145,'Source 2026'!$A:$A,"Amount (NIS)")</f>
        <v>429.2</v>
      </c>
      <c r="J145" s="8" t="n">
        <f aca="false">I145*$J$5</f>
        <v>588.617142857143</v>
      </c>
      <c r="K145" s="8" t="n">
        <f aca="false">J145-H145</f>
        <v>588.617142857143</v>
      </c>
      <c r="L145" s="9" t="str">
        <f aca="false">IF(AND(H145=0,J145=0),0,IF(H145=0,"New",(J145-H145)/H145))</f>
        <v>New</v>
      </c>
    </row>
    <row r="146" customFormat="false" ht="15" hidden="false" customHeight="false" outlineLevel="0" collapsed="false">
      <c r="A146" s="7" t="n">
        <v>4411026</v>
      </c>
      <c r="B146" s="7" t="str">
        <f aca="false">IFERROR(INDEX('Source 2026'!$C:$C,MATCH($A146,'Source 2026'!$B:$B,0)),IFERROR(INDEX('Source 2025'!$C:$C,MATCH($A146,'Source 2025'!$B:$B,0)),""))</f>
        <v>213CTSL L שמאל CTS כפפות</v>
      </c>
      <c r="C146" s="8" t="n">
        <f aca="false">SUMIFS('Source 2025'!$K:$K,'Source 2025'!$B:$B,$A146,'Source 2025'!$A:$A,"Quantity (units)")</f>
        <v>0</v>
      </c>
      <c r="D146" s="8" t="n">
        <f aca="false">SUMIFS('Source 2026'!$K:$K,'Source 2026'!$B:$B,$A146,'Source 2026'!$A:$A,"Quantity (units)")</f>
        <v>6</v>
      </c>
      <c r="E146" s="8" t="n">
        <f aca="false">D146*$J$5</f>
        <v>8.22857142857143</v>
      </c>
      <c r="F146" s="8" t="n">
        <f aca="false">E146-C146</f>
        <v>8.22857142857143</v>
      </c>
      <c r="G146" s="9" t="str">
        <f aca="false">IF(AND(C146=0,E146=0),0,IF(C146=0,"New",(E146-C146)/C146))</f>
        <v>New</v>
      </c>
      <c r="H146" s="8" t="n">
        <f aca="false">SUMIFS('Source 2025'!$K:$K,'Source 2025'!$B:$B,$A146,'Source 2025'!$A:$A,"Amount (NIS)")</f>
        <v>0</v>
      </c>
      <c r="I146" s="8" t="n">
        <f aca="false">SUMIFS('Source 2026'!$K:$K,'Source 2026'!$B:$B,$A146,'Source 2026'!$A:$A,"Amount (NIS)")</f>
        <v>426</v>
      </c>
      <c r="J146" s="8" t="n">
        <f aca="false">I146*$J$5</f>
        <v>584.228571428571</v>
      </c>
      <c r="K146" s="8" t="n">
        <f aca="false">J146-H146</f>
        <v>584.228571428571</v>
      </c>
      <c r="L146" s="9" t="str">
        <f aca="false">IF(AND(H146=0,J146=0),0,IF(H146=0,"New",(J146-H146)/H146))</f>
        <v>New</v>
      </c>
    </row>
    <row r="147" customFormat="false" ht="15" hidden="false" customHeight="false" outlineLevel="0" collapsed="false">
      <c r="A147" s="7" t="n">
        <v>4403002</v>
      </c>
      <c r="B147" s="7" t="str">
        <f aca="false">IFERROR(INDEX('Source 2026'!$C:$C,MATCH($A147,'Source 2026'!$B:$B,0)),IFERROR(INDEX('Source 2025'!$C:$C,MATCH($A147,'Source 2025'!$B:$B,0)),""))</f>
        <v>390B 43-46.גרב.כסף לסכרתיים שח</v>
      </c>
      <c r="C147" s="8" t="n">
        <f aca="false">SUMIFS('Source 2025'!$K:$K,'Source 2025'!$B:$B,$A147,'Source 2025'!$A:$A,"Quantity (units)")</f>
        <v>0</v>
      </c>
      <c r="D147" s="8" t="n">
        <f aca="false">SUMIFS('Source 2026'!$K:$K,'Source 2026'!$B:$B,$A147,'Source 2026'!$A:$A,"Quantity (units)")</f>
        <v>18</v>
      </c>
      <c r="E147" s="8" t="n">
        <f aca="false">D147*$J$5</f>
        <v>24.6857142857143</v>
      </c>
      <c r="F147" s="8" t="n">
        <f aca="false">E147-C147</f>
        <v>24.6857142857143</v>
      </c>
      <c r="G147" s="9" t="str">
        <f aca="false">IF(AND(C147=0,E147=0),0,IF(C147=0,"New",(E147-C147)/C147))</f>
        <v>New</v>
      </c>
      <c r="H147" s="8" t="n">
        <f aca="false">SUMIFS('Source 2025'!$K:$K,'Source 2025'!$B:$B,$A147,'Source 2025'!$A:$A,"Amount (NIS)")</f>
        <v>0</v>
      </c>
      <c r="I147" s="8" t="n">
        <f aca="false">SUMIFS('Source 2026'!$K:$K,'Source 2026'!$B:$B,$A147,'Source 2026'!$A:$A,"Amount (NIS)")</f>
        <v>424.8</v>
      </c>
      <c r="J147" s="8" t="n">
        <f aca="false">I147*$J$5</f>
        <v>582.582857142857</v>
      </c>
      <c r="K147" s="8" t="n">
        <f aca="false">J147-H147</f>
        <v>582.582857142857</v>
      </c>
      <c r="L147" s="9" t="str">
        <f aca="false">IF(AND(H147=0,J147=0),0,IF(H147=0,"New",(J147-H147)/H147))</f>
        <v>New</v>
      </c>
    </row>
    <row r="148" customFormat="false" ht="15" hidden="false" customHeight="false" outlineLevel="0" collapsed="false">
      <c r="A148" s="7" t="n">
        <v>4413066</v>
      </c>
      <c r="B148" s="7" t="str">
        <f aca="false">IFERROR(INDEX('Source 2026'!$C:$C,MATCH($A148,'Source 2026'!$B:$B,0)),IFERROR(INDEX('Source 2025'!$C:$C,MATCH($A148,'Source 2025'!$B:$B,0)),""))</f>
        <v>3677S-מד.לשחרור לחץ א.הבוניון</v>
      </c>
      <c r="C148" s="8" t="n">
        <f aca="false">SUMIFS('Source 2025'!$K:$K,'Source 2025'!$B:$B,$A148,'Source 2025'!$A:$A,"Quantity (units)")</f>
        <v>0</v>
      </c>
      <c r="D148" s="8" t="n">
        <f aca="false">SUMIFS('Source 2026'!$K:$K,'Source 2026'!$B:$B,$A148,'Source 2026'!$A:$A,"Quantity (units)")</f>
        <v>31</v>
      </c>
      <c r="E148" s="8" t="n">
        <f aca="false">D148*$J$5</f>
        <v>42.5142857142857</v>
      </c>
      <c r="F148" s="8" t="n">
        <f aca="false">E148-C148</f>
        <v>42.5142857142857</v>
      </c>
      <c r="G148" s="9" t="str">
        <f aca="false">IF(AND(C148=0,E148=0),0,IF(C148=0,"New",(E148-C148)/C148))</f>
        <v>New</v>
      </c>
      <c r="H148" s="8" t="n">
        <f aca="false">SUMIFS('Source 2025'!$K:$K,'Source 2025'!$B:$B,$A148,'Source 2025'!$A:$A,"Amount (NIS)")</f>
        <v>0</v>
      </c>
      <c r="I148" s="8" t="n">
        <f aca="false">SUMIFS('Source 2026'!$K:$K,'Source 2026'!$B:$B,$A148,'Source 2026'!$A:$A,"Amount (NIS)")</f>
        <v>404.8</v>
      </c>
      <c r="J148" s="8" t="n">
        <f aca="false">I148*$J$5</f>
        <v>555.154285714286</v>
      </c>
      <c r="K148" s="8" t="n">
        <f aca="false">J148-H148</f>
        <v>555.154285714286</v>
      </c>
      <c r="L148" s="9" t="str">
        <f aca="false">IF(AND(H148=0,J148=0),0,IF(H148=0,"New",(J148-H148)/H148))</f>
        <v>New</v>
      </c>
    </row>
    <row r="149" customFormat="false" ht="15" hidden="false" customHeight="false" outlineLevel="0" collapsed="false">
      <c r="A149" s="7" t="n">
        <v>4408153</v>
      </c>
      <c r="B149" s="7" t="str">
        <f aca="false">IFERROR(INDEX('Source 2026'!$C:$C,MATCH($A149,'Source 2026'!$B:$B,0)),IFERROR(INDEX('Source 2025'!$C:$C,MATCH($A149,'Source 2025'!$B:$B,0)),""))</f>
        <v>11TO XLחגורה למנותחי בית החזה</v>
      </c>
      <c r="C149" s="8" t="n">
        <f aca="false">SUMIFS('Source 2025'!$K:$K,'Source 2025'!$B:$B,$A149,'Source 2025'!$A:$A,"Quantity (units)")</f>
        <v>0</v>
      </c>
      <c r="D149" s="8" t="n">
        <f aca="false">SUMIFS('Source 2026'!$K:$K,'Source 2026'!$B:$B,$A149,'Source 2026'!$A:$A,"Quantity (units)")</f>
        <v>4</v>
      </c>
      <c r="E149" s="8" t="n">
        <f aca="false">D149*$J$5</f>
        <v>5.48571428571429</v>
      </c>
      <c r="F149" s="8" t="n">
        <f aca="false">E149-C149</f>
        <v>5.48571428571429</v>
      </c>
      <c r="G149" s="9" t="str">
        <f aca="false">IF(AND(C149=0,E149=0),0,IF(C149=0,"New",(E149-C149)/C149))</f>
        <v>New</v>
      </c>
      <c r="H149" s="8" t="n">
        <f aca="false">SUMIFS('Source 2025'!$K:$K,'Source 2025'!$B:$B,$A149,'Source 2025'!$A:$A,"Amount (NIS)")</f>
        <v>0</v>
      </c>
      <c r="I149" s="8" t="n">
        <f aca="false">SUMIFS('Source 2026'!$K:$K,'Source 2026'!$B:$B,$A149,'Source 2026'!$A:$A,"Amount (NIS)")</f>
        <v>401.6</v>
      </c>
      <c r="J149" s="8" t="n">
        <f aca="false">I149*$J$5</f>
        <v>550.765714285714</v>
      </c>
      <c r="K149" s="8" t="n">
        <f aca="false">J149-H149</f>
        <v>550.765714285714</v>
      </c>
      <c r="L149" s="9" t="str">
        <f aca="false">IF(AND(H149=0,J149=0),0,IF(H149=0,"New",(J149-H149)/H149))</f>
        <v>New</v>
      </c>
    </row>
    <row r="150" customFormat="false" ht="15" hidden="false" customHeight="false" outlineLevel="0" collapsed="false">
      <c r="A150" s="7" t="n">
        <v>4420003</v>
      </c>
      <c r="B150" s="7" t="str">
        <f aca="false">IFERROR(INDEX('Source 2026'!$C:$C,MATCH($A150,'Source 2026'!$B:$B,0)),IFERROR(INDEX('Source 2025'!$C:$C,MATCH($A150,'Source 2025'!$B:$B,0)),""))</f>
        <v>374 רפידת בולמת זעזועים -זוג</v>
      </c>
      <c r="C150" s="8" t="n">
        <f aca="false">SUMIFS('Source 2025'!$K:$K,'Source 2025'!$B:$B,$A150,'Source 2025'!$A:$A,"Quantity (units)")</f>
        <v>0</v>
      </c>
      <c r="D150" s="8" t="n">
        <f aca="false">SUMIFS('Source 2026'!$K:$K,'Source 2026'!$B:$B,$A150,'Source 2026'!$A:$A,"Quantity (units)")</f>
        <v>44</v>
      </c>
      <c r="E150" s="8" t="n">
        <f aca="false">D150*$J$5</f>
        <v>60.3428571428571</v>
      </c>
      <c r="F150" s="8" t="n">
        <f aca="false">E150-C150</f>
        <v>60.3428571428571</v>
      </c>
      <c r="G150" s="9" t="str">
        <f aca="false">IF(AND(C150=0,E150=0),0,IF(C150=0,"New",(E150-C150)/C150))</f>
        <v>New</v>
      </c>
      <c r="H150" s="8" t="n">
        <f aca="false">SUMIFS('Source 2025'!$K:$K,'Source 2025'!$B:$B,$A150,'Source 2025'!$A:$A,"Amount (NIS)")</f>
        <v>0</v>
      </c>
      <c r="I150" s="8" t="n">
        <f aca="false">SUMIFS('Source 2026'!$K:$K,'Source 2026'!$B:$B,$A150,'Source 2026'!$A:$A,"Amount (NIS)")</f>
        <v>400.2</v>
      </c>
      <c r="J150" s="8" t="n">
        <f aca="false">I150*$J$5</f>
        <v>548.845714285714</v>
      </c>
      <c r="K150" s="8" t="n">
        <f aca="false">J150-H150</f>
        <v>548.845714285714</v>
      </c>
      <c r="L150" s="9" t="str">
        <f aca="false">IF(AND(H150=0,J150=0),0,IF(H150=0,"New",(J150-H150)/H150))</f>
        <v>New</v>
      </c>
    </row>
    <row r="151" customFormat="false" ht="15" hidden="false" customHeight="false" outlineLevel="0" collapsed="false">
      <c r="A151" s="7" t="n">
        <v>4411028</v>
      </c>
      <c r="B151" s="7" t="str">
        <f aca="false">IFERROR(INDEX('Source 2026'!$C:$C,MATCH($A151,'Source 2026'!$B:$B,0)),IFERROR(INDEX('Source 2025'!$C:$C,MATCH($A151,'Source 2025'!$B:$B,0)),""))</f>
        <v>213CTSL S שמאל CTS כפפות</v>
      </c>
      <c r="C151" s="8" t="n">
        <f aca="false">SUMIFS('Source 2025'!$K:$K,'Source 2025'!$B:$B,$A151,'Source 2025'!$A:$A,"Quantity (units)")</f>
        <v>0</v>
      </c>
      <c r="D151" s="8" t="n">
        <f aca="false">SUMIFS('Source 2026'!$K:$K,'Source 2026'!$B:$B,$A151,'Source 2026'!$A:$A,"Quantity (units)")</f>
        <v>5</v>
      </c>
      <c r="E151" s="8" t="n">
        <f aca="false">D151*$J$5</f>
        <v>6.85714285714286</v>
      </c>
      <c r="F151" s="8" t="n">
        <f aca="false">E151-C151</f>
        <v>6.85714285714286</v>
      </c>
      <c r="G151" s="9" t="str">
        <f aca="false">IF(AND(C151=0,E151=0),0,IF(C151=0,"New",(E151-C151)/C151))</f>
        <v>New</v>
      </c>
      <c r="H151" s="8" t="n">
        <f aca="false">SUMIFS('Source 2025'!$K:$K,'Source 2025'!$B:$B,$A151,'Source 2025'!$A:$A,"Amount (NIS)")</f>
        <v>0</v>
      </c>
      <c r="I151" s="8" t="n">
        <f aca="false">SUMIFS('Source 2026'!$K:$K,'Source 2026'!$B:$B,$A151,'Source 2026'!$A:$A,"Amount (NIS)")</f>
        <v>355</v>
      </c>
      <c r="J151" s="8" t="n">
        <f aca="false">I151*$J$5</f>
        <v>486.857142857143</v>
      </c>
      <c r="K151" s="8" t="n">
        <f aca="false">J151-H151</f>
        <v>486.857142857143</v>
      </c>
      <c r="L151" s="9" t="str">
        <f aca="false">IF(AND(H151=0,J151=0),0,IF(H151=0,"New",(J151-H151)/H151))</f>
        <v>New</v>
      </c>
    </row>
    <row r="152" customFormat="false" ht="15" hidden="false" customHeight="false" outlineLevel="0" collapsed="false">
      <c r="A152" s="7" t="n">
        <v>4408016</v>
      </c>
      <c r="B152" s="7" t="str">
        <f aca="false">IFERROR(INDEX('Source 2026'!$C:$C,MATCH($A152,'Source 2026'!$B:$B,0)),IFERROR(INDEX('Source 2025'!$C:$C,MATCH($A152,'Source 2025'!$B:$B,0)),""))</f>
        <v>07AU M ח.גב ""איטלקית"" אורירית</v>
      </c>
      <c r="C152" s="8" t="n">
        <f aca="false">SUMIFS('Source 2025'!$K:$K,'Source 2025'!$B:$B,$A152,'Source 2025'!$A:$A,"Quantity (units)")</f>
        <v>0</v>
      </c>
      <c r="D152" s="8" t="n">
        <f aca="false">SUMIFS('Source 2026'!$K:$K,'Source 2026'!$B:$B,$A152,'Source 2026'!$A:$A,"Quantity (units)")</f>
        <v>2</v>
      </c>
      <c r="E152" s="8" t="n">
        <f aca="false">D152*$J$5</f>
        <v>2.74285714285714</v>
      </c>
      <c r="F152" s="8" t="n">
        <f aca="false">E152-C152</f>
        <v>2.74285714285714</v>
      </c>
      <c r="G152" s="9" t="str">
        <f aca="false">IF(AND(C152=0,E152=0),0,IF(C152=0,"New",(E152-C152)/C152))</f>
        <v>New</v>
      </c>
      <c r="H152" s="8" t="n">
        <f aca="false">SUMIFS('Source 2025'!$K:$K,'Source 2025'!$B:$B,$A152,'Source 2025'!$A:$A,"Amount (NIS)")</f>
        <v>0</v>
      </c>
      <c r="I152" s="8" t="n">
        <f aca="false">SUMIFS('Source 2026'!$K:$K,'Source 2026'!$B:$B,$A152,'Source 2026'!$A:$A,"Amount (NIS)")</f>
        <v>351</v>
      </c>
      <c r="J152" s="8" t="n">
        <f aca="false">I152*$J$5</f>
        <v>481.371428571429</v>
      </c>
      <c r="K152" s="8" t="n">
        <f aca="false">J152-H152</f>
        <v>481.371428571429</v>
      </c>
      <c r="L152" s="9" t="str">
        <f aca="false">IF(AND(H152=0,J152=0),0,IF(H152=0,"New",(J152-H152)/H152))</f>
        <v>New</v>
      </c>
    </row>
    <row r="153" customFormat="false" ht="15" hidden="false" customHeight="false" outlineLevel="0" collapsed="false">
      <c r="A153" s="7" t="n">
        <v>4403025</v>
      </c>
      <c r="B153" s="7" t="str">
        <f aca="false">IFERROR(INDEX('Source 2026'!$C:$C,MATCH($A153,'Source 2026'!$B:$B,0)),IFERROR(INDEX('Source 2025'!$C:$C,MATCH($A153,'Source 2025'!$B:$B,0)),""))</f>
        <v>394W 43-46 גרב.כסף לסכרתים לבן</v>
      </c>
      <c r="C153" s="8" t="n">
        <f aca="false">SUMIFS('Source 2025'!$K:$K,'Source 2025'!$B:$B,$A153,'Source 2025'!$A:$A,"Quantity (units)")</f>
        <v>0</v>
      </c>
      <c r="D153" s="8" t="n">
        <f aca="false">SUMIFS('Source 2026'!$K:$K,'Source 2026'!$B:$B,$A153,'Source 2026'!$A:$A,"Quantity (units)")</f>
        <v>19</v>
      </c>
      <c r="E153" s="8" t="n">
        <f aca="false">D153*$J$5</f>
        <v>26.0571428571429</v>
      </c>
      <c r="F153" s="8" t="n">
        <f aca="false">E153-C153</f>
        <v>26.0571428571429</v>
      </c>
      <c r="G153" s="9" t="str">
        <f aca="false">IF(AND(C153=0,E153=0),0,IF(C153=0,"New",(E153-C153)/C153))</f>
        <v>New</v>
      </c>
      <c r="H153" s="8" t="n">
        <f aca="false">SUMIFS('Source 2025'!$K:$K,'Source 2025'!$B:$B,$A153,'Source 2025'!$A:$A,"Amount (NIS)")</f>
        <v>0</v>
      </c>
      <c r="I153" s="8" t="n">
        <f aca="false">SUMIFS('Source 2026'!$K:$K,'Source 2026'!$B:$B,$A153,'Source 2026'!$A:$A,"Amount (NIS)")</f>
        <v>349.6</v>
      </c>
      <c r="J153" s="8" t="n">
        <f aca="false">I153*$J$5</f>
        <v>479.451428571429</v>
      </c>
      <c r="K153" s="8" t="n">
        <f aca="false">J153-H153</f>
        <v>479.451428571429</v>
      </c>
      <c r="L153" s="9" t="str">
        <f aca="false">IF(AND(H153=0,J153=0),0,IF(H153=0,"New",(J153-H153)/H153))</f>
        <v>New</v>
      </c>
    </row>
    <row r="154" customFormat="false" ht="15" hidden="false" customHeight="false" outlineLevel="0" collapsed="false">
      <c r="A154" s="7" t="n">
        <v>4408080</v>
      </c>
      <c r="B154" s="7" t="str">
        <f aca="false">IFERROR(INDEX('Source 2026'!$C:$C,MATCH($A154,'Source 2026'!$B:$B,0)),IFERROR(INDEX('Source 2025'!$C:$C,MATCH($A154,'Source 2025'!$B:$B,0)),""))</f>
        <v>59R L חגורת שבר לצד ימין</v>
      </c>
      <c r="C154" s="8" t="n">
        <f aca="false">SUMIFS('Source 2025'!$K:$K,'Source 2025'!$B:$B,$A154,'Source 2025'!$A:$A,"Quantity (units)")</f>
        <v>0</v>
      </c>
      <c r="D154" s="8" t="n">
        <f aca="false">SUMIFS('Source 2026'!$K:$K,'Source 2026'!$B:$B,$A154,'Source 2026'!$A:$A,"Quantity (units)")</f>
        <v>3</v>
      </c>
      <c r="E154" s="8" t="n">
        <f aca="false">D154*$J$5</f>
        <v>4.11428571428571</v>
      </c>
      <c r="F154" s="8" t="n">
        <f aca="false">E154-C154</f>
        <v>4.11428571428571</v>
      </c>
      <c r="G154" s="9" t="str">
        <f aca="false">IF(AND(C154=0,E154=0),0,IF(C154=0,"New",(E154-C154)/C154))</f>
        <v>New</v>
      </c>
      <c r="H154" s="8" t="n">
        <f aca="false">SUMIFS('Source 2025'!$K:$K,'Source 2025'!$B:$B,$A154,'Source 2025'!$A:$A,"Amount (NIS)")</f>
        <v>0</v>
      </c>
      <c r="I154" s="8" t="n">
        <f aca="false">SUMIFS('Source 2026'!$K:$K,'Source 2026'!$B:$B,$A154,'Source 2026'!$A:$A,"Amount (NIS)")</f>
        <v>348.1</v>
      </c>
      <c r="J154" s="8" t="n">
        <f aca="false">I154*$J$5</f>
        <v>477.394285714286</v>
      </c>
      <c r="K154" s="8" t="n">
        <f aca="false">J154-H154</f>
        <v>477.394285714286</v>
      </c>
      <c r="L154" s="9" t="str">
        <f aca="false">IF(AND(H154=0,J154=0),0,IF(H154=0,"New",(J154-H154)/H154))</f>
        <v>New</v>
      </c>
    </row>
    <row r="155" customFormat="false" ht="15" hidden="false" customHeight="false" outlineLevel="0" collapsed="false">
      <c r="A155" s="7" t="n">
        <v>4408071</v>
      </c>
      <c r="B155" s="7" t="str">
        <f aca="false">IFERROR(INDEX('Source 2026'!$C:$C,MATCH($A155,'Source 2026'!$B:$B,0)),IFERROR(INDEX('Source 2025'!$C:$C,MATCH($A155,'Source 2025'!$B:$B,0)),""))</f>
        <v>59D L חגורת שבר דו צדדי</v>
      </c>
      <c r="C155" s="8" t="n">
        <f aca="false">SUMIFS('Source 2025'!$K:$K,'Source 2025'!$B:$B,$A155,'Source 2025'!$A:$A,"Quantity (units)")</f>
        <v>0</v>
      </c>
      <c r="D155" s="8" t="n">
        <f aca="false">SUMIFS('Source 2026'!$K:$K,'Source 2026'!$B:$B,$A155,'Source 2026'!$A:$A,"Quantity (units)")</f>
        <v>2</v>
      </c>
      <c r="E155" s="8" t="n">
        <f aca="false">D155*$J$5</f>
        <v>2.74285714285714</v>
      </c>
      <c r="F155" s="8" t="n">
        <f aca="false">E155-C155</f>
        <v>2.74285714285714</v>
      </c>
      <c r="G155" s="9" t="str">
        <f aca="false">IF(AND(C155=0,E155=0),0,IF(C155=0,"New",(E155-C155)/C155))</f>
        <v>New</v>
      </c>
      <c r="H155" s="8" t="n">
        <f aca="false">SUMIFS('Source 2025'!$K:$K,'Source 2025'!$B:$B,$A155,'Source 2025'!$A:$A,"Amount (NIS)")</f>
        <v>0</v>
      </c>
      <c r="I155" s="8" t="n">
        <f aca="false">SUMIFS('Source 2026'!$K:$K,'Source 2026'!$B:$B,$A155,'Source 2026'!$A:$A,"Amount (NIS)")</f>
        <v>342.5</v>
      </c>
      <c r="J155" s="8" t="n">
        <f aca="false">I155*$J$5</f>
        <v>469.714285714286</v>
      </c>
      <c r="K155" s="8" t="n">
        <f aca="false">J155-H155</f>
        <v>469.714285714286</v>
      </c>
      <c r="L155" s="9" t="str">
        <f aca="false">IF(AND(H155=0,J155=0),0,IF(H155=0,"New",(J155-H155)/H155))</f>
        <v>New</v>
      </c>
    </row>
    <row r="156" customFormat="false" ht="15" hidden="false" customHeight="false" outlineLevel="0" collapsed="false">
      <c r="A156" s="7" t="n">
        <v>4408073</v>
      </c>
      <c r="B156" s="7" t="str">
        <f aca="false">IFERROR(INDEX('Source 2026'!$C:$C,MATCH($A156,'Source 2026'!$B:$B,0)),IFERROR(INDEX('Source 2025'!$C:$C,MATCH($A156,'Source 2025'!$B:$B,0)),""))</f>
        <v>59D XL חגורת שבר דו צדדי</v>
      </c>
      <c r="C156" s="8" t="n">
        <f aca="false">SUMIFS('Source 2025'!$K:$K,'Source 2025'!$B:$B,$A156,'Source 2025'!$A:$A,"Quantity (units)")</f>
        <v>0</v>
      </c>
      <c r="D156" s="8" t="n">
        <f aca="false">SUMIFS('Source 2026'!$K:$K,'Source 2026'!$B:$B,$A156,'Source 2026'!$A:$A,"Quantity (units)")</f>
        <v>2</v>
      </c>
      <c r="E156" s="8" t="n">
        <f aca="false">D156*$J$5</f>
        <v>2.74285714285714</v>
      </c>
      <c r="F156" s="8" t="n">
        <f aca="false">E156-C156</f>
        <v>2.74285714285714</v>
      </c>
      <c r="G156" s="9" t="str">
        <f aca="false">IF(AND(C156=0,E156=0),0,IF(C156=0,"New",(E156-C156)/C156))</f>
        <v>New</v>
      </c>
      <c r="H156" s="8" t="n">
        <f aca="false">SUMIFS('Source 2025'!$K:$K,'Source 2025'!$B:$B,$A156,'Source 2025'!$A:$A,"Amount (NIS)")</f>
        <v>0</v>
      </c>
      <c r="I156" s="8" t="n">
        <f aca="false">SUMIFS('Source 2026'!$K:$K,'Source 2026'!$B:$B,$A156,'Source 2026'!$A:$A,"Amount (NIS)")</f>
        <v>342.5</v>
      </c>
      <c r="J156" s="8" t="n">
        <f aca="false">I156*$J$5</f>
        <v>469.714285714286</v>
      </c>
      <c r="K156" s="8" t="n">
        <f aca="false">J156-H156</f>
        <v>469.714285714286</v>
      </c>
      <c r="L156" s="9" t="str">
        <f aca="false">IF(AND(H156=0,J156=0),0,IF(H156=0,"New",(J156-H156)/H156))</f>
        <v>New</v>
      </c>
    </row>
    <row r="157" customFormat="false" ht="15" hidden="false" customHeight="false" outlineLevel="0" collapsed="false">
      <c r="A157" s="7" t="n">
        <v>4403019</v>
      </c>
      <c r="B157" s="7" t="str">
        <f aca="false">IFERROR(INDEX('Source 2026'!$C:$C,MATCH($A157,'Source 2026'!$B:$B,0)),IFERROR(INDEX('Source 2025'!$C:$C,MATCH($A157,'Source 2025'!$B:$B,0)),""))</f>
        <v>394B גרב.כסף לסכרתים שחור43-46</v>
      </c>
      <c r="C157" s="8" t="n">
        <f aca="false">SUMIFS('Source 2025'!$K:$K,'Source 2025'!$B:$B,$A157,'Source 2025'!$A:$A,"Quantity (units)")</f>
        <v>0</v>
      </c>
      <c r="D157" s="8" t="n">
        <f aca="false">SUMIFS('Source 2026'!$K:$K,'Source 2026'!$B:$B,$A157,'Source 2026'!$A:$A,"Quantity (units)")</f>
        <v>18</v>
      </c>
      <c r="E157" s="8" t="n">
        <f aca="false">D157*$J$5</f>
        <v>24.6857142857143</v>
      </c>
      <c r="F157" s="8" t="n">
        <f aca="false">E157-C157</f>
        <v>24.6857142857143</v>
      </c>
      <c r="G157" s="9" t="str">
        <f aca="false">IF(AND(C157=0,E157=0),0,IF(C157=0,"New",(E157-C157)/C157))</f>
        <v>New</v>
      </c>
      <c r="H157" s="8" t="n">
        <f aca="false">SUMIFS('Source 2025'!$K:$K,'Source 2025'!$B:$B,$A157,'Source 2025'!$A:$A,"Amount (NIS)")</f>
        <v>0</v>
      </c>
      <c r="I157" s="8" t="n">
        <f aca="false">SUMIFS('Source 2026'!$K:$K,'Source 2026'!$B:$B,$A157,'Source 2026'!$A:$A,"Amount (NIS)")</f>
        <v>331.2</v>
      </c>
      <c r="J157" s="8" t="n">
        <f aca="false">I157*$J$5</f>
        <v>454.217142857143</v>
      </c>
      <c r="K157" s="8" t="n">
        <f aca="false">J157-H157</f>
        <v>454.217142857143</v>
      </c>
      <c r="L157" s="9" t="str">
        <f aca="false">IF(AND(H157=0,J157=0),0,IF(H157=0,"New",(J157-H157)/H157))</f>
        <v>New</v>
      </c>
    </row>
    <row r="158" customFormat="false" ht="15" hidden="false" customHeight="false" outlineLevel="0" collapsed="false">
      <c r="A158" s="7" t="n">
        <v>4408219</v>
      </c>
      <c r="B158" s="7" t="str">
        <f aca="false">IFERROR(INDEX('Source 2026'!$C:$C,MATCH($A158,'Source 2026'!$B:$B,0)),IFERROR(INDEX('Source 2025'!$C:$C,MATCH($A158,'Source 2025'!$B:$B,0)),""))</f>
        <v>078G-S חגורת גב אפורה</v>
      </c>
      <c r="C158" s="8" t="n">
        <f aca="false">SUMIFS('Source 2025'!$K:$K,'Source 2025'!$B:$B,$A158,'Source 2025'!$A:$A,"Quantity (units)")</f>
        <v>0</v>
      </c>
      <c r="D158" s="8" t="n">
        <f aca="false">SUMIFS('Source 2026'!$K:$K,'Source 2026'!$B:$B,$A158,'Source 2026'!$A:$A,"Quantity (units)")</f>
        <v>5</v>
      </c>
      <c r="E158" s="8" t="n">
        <f aca="false">D158*$J$5</f>
        <v>6.85714285714286</v>
      </c>
      <c r="F158" s="8" t="n">
        <f aca="false">E158-C158</f>
        <v>6.85714285714286</v>
      </c>
      <c r="G158" s="9" t="str">
        <f aca="false">IF(AND(C158=0,E158=0),0,IF(C158=0,"New",(E158-C158)/C158))</f>
        <v>New</v>
      </c>
      <c r="H158" s="8" t="n">
        <f aca="false">SUMIFS('Source 2025'!$K:$K,'Source 2025'!$B:$B,$A158,'Source 2025'!$A:$A,"Amount (NIS)")</f>
        <v>0</v>
      </c>
      <c r="I158" s="8" t="n">
        <f aca="false">SUMIFS('Source 2026'!$K:$K,'Source 2026'!$B:$B,$A158,'Source 2026'!$A:$A,"Amount (NIS)")</f>
        <v>325</v>
      </c>
      <c r="J158" s="8" t="n">
        <f aca="false">I158*$J$5</f>
        <v>445.714285714286</v>
      </c>
      <c r="K158" s="8" t="n">
        <f aca="false">J158-H158</f>
        <v>445.714285714286</v>
      </c>
      <c r="L158" s="9" t="str">
        <f aca="false">IF(AND(H158=0,J158=0),0,IF(H158=0,"New",(J158-H158)/H158))</f>
        <v>New</v>
      </c>
    </row>
    <row r="159" customFormat="false" ht="15" hidden="false" customHeight="false" outlineLevel="0" collapsed="false">
      <c r="A159" s="7" t="n">
        <v>4413071</v>
      </c>
      <c r="B159" s="7" t="str">
        <f aca="false">IFERROR(INDEX('Source 2026'!$C:$C,MATCH($A159,'Source 2026'!$B:$B,0)),IFERROR(INDEX('Source 2025'!$C:$C,MATCH($A159,'Source 2025'!$B:$B,0)),""))</f>
        <v>41 Sמ.ברך מוצלב+ספירלות בצדדים</v>
      </c>
      <c r="C159" s="8" t="n">
        <f aca="false">SUMIFS('Source 2025'!$K:$K,'Source 2025'!$B:$B,$A159,'Source 2025'!$A:$A,"Quantity (units)")</f>
        <v>0</v>
      </c>
      <c r="D159" s="8" t="n">
        <f aca="false">SUMIFS('Source 2026'!$K:$K,'Source 2026'!$B:$B,$A159,'Source 2026'!$A:$A,"Quantity (units)")</f>
        <v>4</v>
      </c>
      <c r="E159" s="8" t="n">
        <f aca="false">D159*$J$5</f>
        <v>5.48571428571429</v>
      </c>
      <c r="F159" s="8" t="n">
        <f aca="false">E159-C159</f>
        <v>5.48571428571429</v>
      </c>
      <c r="G159" s="9" t="str">
        <f aca="false">IF(AND(C159=0,E159=0),0,IF(C159=0,"New",(E159-C159)/C159))</f>
        <v>New</v>
      </c>
      <c r="H159" s="8" t="n">
        <f aca="false">SUMIFS('Source 2025'!$K:$K,'Source 2025'!$B:$B,$A159,'Source 2025'!$A:$A,"Amount (NIS)")</f>
        <v>0</v>
      </c>
      <c r="I159" s="8" t="n">
        <f aca="false">SUMIFS('Source 2026'!$K:$K,'Source 2026'!$B:$B,$A159,'Source 2026'!$A:$A,"Amount (NIS)")</f>
        <v>309</v>
      </c>
      <c r="J159" s="8" t="n">
        <f aca="false">I159*$J$5</f>
        <v>423.771428571429</v>
      </c>
      <c r="K159" s="8" t="n">
        <f aca="false">J159-H159</f>
        <v>423.771428571429</v>
      </c>
      <c r="L159" s="9" t="str">
        <f aca="false">IF(AND(H159=0,J159=0),0,IF(H159=0,"New",(J159-H159)/H159))</f>
        <v>New</v>
      </c>
    </row>
    <row r="160" customFormat="false" ht="15" hidden="false" customHeight="false" outlineLevel="0" collapsed="false">
      <c r="A160" s="7" t="n">
        <v>4403024</v>
      </c>
      <c r="B160" s="7" t="str">
        <f aca="false">IFERROR(INDEX('Source 2026'!$C:$C,MATCH($A160,'Source 2026'!$B:$B,0)),IFERROR(INDEX('Source 2025'!$C:$C,MATCH($A160,'Source 2025'!$B:$B,0)),""))</f>
        <v>394W 39-42 גרב.כסף לסכרתים לבן</v>
      </c>
      <c r="C160" s="8" t="n">
        <f aca="false">SUMIFS('Source 2025'!$K:$K,'Source 2025'!$B:$B,$A160,'Source 2025'!$A:$A,"Quantity (units)")</f>
        <v>0</v>
      </c>
      <c r="D160" s="8" t="n">
        <f aca="false">SUMIFS('Source 2026'!$K:$K,'Source 2026'!$B:$B,$A160,'Source 2026'!$A:$A,"Quantity (units)")</f>
        <v>15</v>
      </c>
      <c r="E160" s="8" t="n">
        <f aca="false">D160*$J$5</f>
        <v>20.5714285714286</v>
      </c>
      <c r="F160" s="8" t="n">
        <f aca="false">E160-C160</f>
        <v>20.5714285714286</v>
      </c>
      <c r="G160" s="9" t="str">
        <f aca="false">IF(AND(C160=0,E160=0),0,IF(C160=0,"New",(E160-C160)/C160))</f>
        <v>New</v>
      </c>
      <c r="H160" s="8" t="n">
        <f aca="false">SUMIFS('Source 2025'!$K:$K,'Source 2025'!$B:$B,$A160,'Source 2025'!$A:$A,"Amount (NIS)")</f>
        <v>0</v>
      </c>
      <c r="I160" s="8" t="n">
        <f aca="false">SUMIFS('Source 2026'!$K:$K,'Source 2026'!$B:$B,$A160,'Source 2026'!$A:$A,"Amount (NIS)")</f>
        <v>276</v>
      </c>
      <c r="J160" s="8" t="n">
        <f aca="false">I160*$J$5</f>
        <v>378.514285714286</v>
      </c>
      <c r="K160" s="8" t="n">
        <f aca="false">J160-H160</f>
        <v>378.514285714286</v>
      </c>
      <c r="L160" s="9" t="str">
        <f aca="false">IF(AND(H160=0,J160=0),0,IF(H160=0,"New",(J160-H160)/H160))</f>
        <v>New</v>
      </c>
    </row>
    <row r="161" customFormat="false" ht="15" hidden="false" customHeight="false" outlineLevel="0" collapsed="false">
      <c r="A161" s="7" t="n">
        <v>4413056</v>
      </c>
      <c r="B161" s="7" t="str">
        <f aca="false">IFERROR(INDEX('Source 2026'!$C:$C,MATCH($A161,'Source 2026'!$B:$B,0)),IFERROR(INDEX('Source 2025'!$C:$C,MATCH($A161,'Source 2025'!$B:$B,0)),""))</f>
        <v>LF360 מדרס מטטרזלי לנעלי עקב</v>
      </c>
      <c r="C161" s="8" t="n">
        <f aca="false">SUMIFS('Source 2025'!$K:$K,'Source 2025'!$B:$B,$A161,'Source 2025'!$A:$A,"Quantity (units)")</f>
        <v>0</v>
      </c>
      <c r="D161" s="8" t="n">
        <f aca="false">SUMIFS('Source 2026'!$K:$K,'Source 2026'!$B:$B,$A161,'Source 2026'!$A:$A,"Quantity (units)")</f>
        <v>17</v>
      </c>
      <c r="E161" s="8" t="n">
        <f aca="false">D161*$J$5</f>
        <v>23.3142857142857</v>
      </c>
      <c r="F161" s="8" t="n">
        <f aca="false">E161-C161</f>
        <v>23.3142857142857</v>
      </c>
      <c r="G161" s="9" t="str">
        <f aca="false">IF(AND(C161=0,E161=0),0,IF(C161=0,"New",(E161-C161)/C161))</f>
        <v>New</v>
      </c>
      <c r="H161" s="8" t="n">
        <f aca="false">SUMIFS('Source 2025'!$K:$K,'Source 2025'!$B:$B,$A161,'Source 2025'!$A:$A,"Amount (NIS)")</f>
        <v>0</v>
      </c>
      <c r="I161" s="8" t="n">
        <f aca="false">SUMIFS('Source 2026'!$K:$K,'Source 2026'!$B:$B,$A161,'Source 2026'!$A:$A,"Amount (NIS)")</f>
        <v>275.4</v>
      </c>
      <c r="J161" s="8" t="n">
        <f aca="false">I161*$J$5</f>
        <v>377.691428571429</v>
      </c>
      <c r="K161" s="8" t="n">
        <f aca="false">J161-H161</f>
        <v>377.691428571429</v>
      </c>
      <c r="L161" s="9" t="str">
        <f aca="false">IF(AND(H161=0,J161=0),0,IF(H161=0,"New",(J161-H161)/H161))</f>
        <v>New</v>
      </c>
    </row>
    <row r="162" customFormat="false" ht="15" hidden="false" customHeight="false" outlineLevel="0" collapsed="false">
      <c r="A162" s="7" t="n">
        <v>4413132</v>
      </c>
      <c r="B162" s="7" t="str">
        <f aca="false">IFERROR(INDEX('Source 2026'!$C:$C,MATCH($A162,'Source 2026'!$B:$B,0)),IFERROR(INDEX('Source 2025'!$C:$C,MATCH($A162,'Source 2025'!$B:$B,0)),""))</f>
        <v>76 Lמיישר כתף יציב יישור רחב</v>
      </c>
      <c r="C162" s="8" t="n">
        <f aca="false">SUMIFS('Source 2025'!$K:$K,'Source 2025'!$B:$B,$A162,'Source 2025'!$A:$A,"Quantity (units)")</f>
        <v>0</v>
      </c>
      <c r="D162" s="8" t="n">
        <f aca="false">SUMIFS('Source 2026'!$K:$K,'Source 2026'!$B:$B,$A162,'Source 2026'!$A:$A,"Quantity (units)")</f>
        <v>2</v>
      </c>
      <c r="E162" s="8" t="n">
        <f aca="false">D162*$J$5</f>
        <v>2.74285714285714</v>
      </c>
      <c r="F162" s="8" t="n">
        <f aca="false">E162-C162</f>
        <v>2.74285714285714</v>
      </c>
      <c r="G162" s="9" t="str">
        <f aca="false">IF(AND(C162=0,E162=0),0,IF(C162=0,"New",(E162-C162)/C162))</f>
        <v>New</v>
      </c>
      <c r="H162" s="8" t="n">
        <f aca="false">SUMIFS('Source 2025'!$K:$K,'Source 2025'!$B:$B,$A162,'Source 2025'!$A:$A,"Amount (NIS)")</f>
        <v>0</v>
      </c>
      <c r="I162" s="8" t="n">
        <f aca="false">SUMIFS('Source 2026'!$K:$K,'Source 2026'!$B:$B,$A162,'Source 2026'!$A:$A,"Amount (NIS)")</f>
        <v>272.6</v>
      </c>
      <c r="J162" s="8" t="n">
        <f aca="false">I162*$J$5</f>
        <v>373.851428571429</v>
      </c>
      <c r="K162" s="8" t="n">
        <f aca="false">J162-H162</f>
        <v>373.851428571429</v>
      </c>
      <c r="L162" s="9" t="str">
        <f aca="false">IF(AND(H162=0,J162=0),0,IF(H162=0,"New",(J162-H162)/H162))</f>
        <v>New</v>
      </c>
    </row>
    <row r="163" customFormat="false" ht="15" hidden="false" customHeight="false" outlineLevel="0" collapsed="false">
      <c r="A163" s="7" t="n">
        <v>4413149</v>
      </c>
      <c r="B163" s="7" t="str">
        <f aca="false">IFERROR(INDEX('Source 2026'!$C:$C,MATCH($A163,'Source 2026'!$B:$B,0)),IFERROR(INDEX('Source 2025'!$C:$C,MATCH($A163,'Source 2025'!$B:$B,0)),""))</f>
        <v>FC321-מלח אמבט לכף הרגל</v>
      </c>
      <c r="C163" s="8" t="n">
        <f aca="false">SUMIFS('Source 2025'!$K:$K,'Source 2025'!$B:$B,$A163,'Source 2025'!$A:$A,"Quantity (units)")</f>
        <v>0</v>
      </c>
      <c r="D163" s="8" t="n">
        <f aca="false">SUMIFS('Source 2026'!$K:$K,'Source 2026'!$B:$B,$A163,'Source 2026'!$A:$A,"Quantity (units)")</f>
        <v>33</v>
      </c>
      <c r="E163" s="8" t="n">
        <f aca="false">D163*$J$5</f>
        <v>45.2571428571429</v>
      </c>
      <c r="F163" s="8" t="n">
        <f aca="false">E163-C163</f>
        <v>45.2571428571429</v>
      </c>
      <c r="G163" s="9" t="str">
        <f aca="false">IF(AND(C163=0,E163=0),0,IF(C163=0,"New",(E163-C163)/C163))</f>
        <v>New</v>
      </c>
      <c r="H163" s="8" t="n">
        <f aca="false">SUMIFS('Source 2025'!$K:$K,'Source 2025'!$B:$B,$A163,'Source 2025'!$A:$A,"Amount (NIS)")</f>
        <v>0</v>
      </c>
      <c r="I163" s="8" t="n">
        <f aca="false">SUMIFS('Source 2026'!$K:$K,'Source 2026'!$B:$B,$A163,'Source 2026'!$A:$A,"Amount (NIS)")</f>
        <v>270.6</v>
      </c>
      <c r="J163" s="8" t="n">
        <f aca="false">I163*$J$5</f>
        <v>371.108571428571</v>
      </c>
      <c r="K163" s="8" t="n">
        <f aca="false">J163-H163</f>
        <v>371.108571428571</v>
      </c>
      <c r="L163" s="9" t="str">
        <f aca="false">IF(AND(H163=0,J163=0),0,IF(H163=0,"New",(J163-H163)/H163))</f>
        <v>New</v>
      </c>
    </row>
    <row r="164" customFormat="false" ht="15" hidden="false" customHeight="false" outlineLevel="0" collapsed="false">
      <c r="A164" s="7" t="n">
        <v>4408217</v>
      </c>
      <c r="B164" s="7" t="str">
        <f aca="false">IFERROR(INDEX('Source 2026'!$C:$C,MATCH($A164,'Source 2026'!$B:$B,0)),IFERROR(INDEX('Source 2025'!$C:$C,MATCH($A164,'Source 2025'!$B:$B,0)),""))</f>
        <v>S078 חגורת גב +סגירה כפולה</v>
      </c>
      <c r="C164" s="8" t="n">
        <f aca="false">SUMIFS('Source 2025'!$K:$K,'Source 2025'!$B:$B,$A164,'Source 2025'!$A:$A,"Quantity (units)")</f>
        <v>0</v>
      </c>
      <c r="D164" s="8" t="n">
        <f aca="false">SUMIFS('Source 2026'!$K:$K,'Source 2026'!$B:$B,$A164,'Source 2026'!$A:$A,"Quantity (units)")</f>
        <v>4</v>
      </c>
      <c r="E164" s="8" t="n">
        <f aca="false">D164*$J$5</f>
        <v>5.48571428571429</v>
      </c>
      <c r="F164" s="8" t="n">
        <f aca="false">E164-C164</f>
        <v>5.48571428571429</v>
      </c>
      <c r="G164" s="9" t="str">
        <f aca="false">IF(AND(C164=0,E164=0),0,IF(C164=0,"New",(E164-C164)/C164))</f>
        <v>New</v>
      </c>
      <c r="H164" s="8" t="n">
        <f aca="false">SUMIFS('Source 2025'!$K:$K,'Source 2025'!$B:$B,$A164,'Source 2025'!$A:$A,"Amount (NIS)")</f>
        <v>0</v>
      </c>
      <c r="I164" s="8" t="n">
        <f aca="false">SUMIFS('Source 2026'!$K:$K,'Source 2026'!$B:$B,$A164,'Source 2026'!$A:$A,"Amount (NIS)")</f>
        <v>260</v>
      </c>
      <c r="J164" s="8" t="n">
        <f aca="false">I164*$J$5</f>
        <v>356.571428571429</v>
      </c>
      <c r="K164" s="8" t="n">
        <f aca="false">J164-H164</f>
        <v>356.571428571429</v>
      </c>
      <c r="L164" s="9" t="str">
        <f aca="false">IF(AND(H164=0,J164=0),0,IF(H164=0,"New",(J164-H164)/H164))</f>
        <v>New</v>
      </c>
    </row>
    <row r="165" customFormat="false" ht="15" hidden="false" customHeight="false" outlineLevel="0" collapsed="false">
      <c r="A165" s="7" t="n">
        <v>4422007</v>
      </c>
      <c r="B165" s="7" t="str">
        <f aca="false">IFERROR(INDEX('Source 2026'!$C:$C,MATCH($A165,'Source 2026'!$B:$B,0)),IFERROR(INDEX('Source 2025'!$C:$C,MATCH($A165,'Source 2025'!$B:$B,0)),""))</f>
        <v>T78 XLתומך זרוע וכתף</v>
      </c>
      <c r="C165" s="8" t="n">
        <f aca="false">SUMIFS('Source 2025'!$K:$K,'Source 2025'!$B:$B,$A165,'Source 2025'!$A:$A,"Quantity (units)")</f>
        <v>0</v>
      </c>
      <c r="D165" s="8" t="n">
        <f aca="false">SUMIFS('Source 2026'!$K:$K,'Source 2026'!$B:$B,$A165,'Source 2026'!$A:$A,"Quantity (units)")</f>
        <v>2</v>
      </c>
      <c r="E165" s="8" t="n">
        <f aca="false">D165*$J$5</f>
        <v>2.74285714285714</v>
      </c>
      <c r="F165" s="8" t="n">
        <f aca="false">E165-C165</f>
        <v>2.74285714285714</v>
      </c>
      <c r="G165" s="9" t="str">
        <f aca="false">IF(AND(C165=0,E165=0),0,IF(C165=0,"New",(E165-C165)/C165))</f>
        <v>New</v>
      </c>
      <c r="H165" s="8" t="n">
        <f aca="false">SUMIFS('Source 2025'!$K:$K,'Source 2025'!$B:$B,$A165,'Source 2025'!$A:$A,"Amount (NIS)")</f>
        <v>0</v>
      </c>
      <c r="I165" s="8" t="n">
        <f aca="false">SUMIFS('Source 2026'!$K:$K,'Source 2026'!$B:$B,$A165,'Source 2026'!$A:$A,"Amount (NIS)")</f>
        <v>257.4</v>
      </c>
      <c r="J165" s="8" t="n">
        <f aca="false">I165*$J$5</f>
        <v>353.005714285714</v>
      </c>
      <c r="K165" s="8" t="n">
        <f aca="false">J165-H165</f>
        <v>353.005714285714</v>
      </c>
      <c r="L165" s="9" t="str">
        <f aca="false">IF(AND(H165=0,J165=0),0,IF(H165=0,"New",(J165-H165)/H165))</f>
        <v>New</v>
      </c>
    </row>
    <row r="166" customFormat="false" ht="15" hidden="false" customHeight="false" outlineLevel="0" collapsed="false">
      <c r="A166" s="7" t="n">
        <v>4408075</v>
      </c>
      <c r="B166" s="7" t="str">
        <f aca="false">IFERROR(INDEX('Source 2026'!$C:$C,MATCH($A166,'Source 2026'!$B:$B,0)),IFERROR(INDEX('Source 2025'!$C:$C,MATCH($A166,'Source 2025'!$B:$B,0)),""))</f>
        <v>59L S חגורת שבר לצד שמאל</v>
      </c>
      <c r="C166" s="8" t="n">
        <f aca="false">SUMIFS('Source 2025'!$K:$K,'Source 2025'!$B:$B,$A166,'Source 2025'!$A:$A,"Quantity (units)")</f>
        <v>0</v>
      </c>
      <c r="D166" s="8" t="n">
        <f aca="false">SUMIFS('Source 2026'!$K:$K,'Source 2026'!$B:$B,$A166,'Source 2026'!$A:$A,"Quantity (units)")</f>
        <v>2</v>
      </c>
      <c r="E166" s="8" t="n">
        <f aca="false">D166*$J$5</f>
        <v>2.74285714285714</v>
      </c>
      <c r="F166" s="8" t="n">
        <f aca="false">E166-C166</f>
        <v>2.74285714285714</v>
      </c>
      <c r="G166" s="9" t="str">
        <f aca="false">IF(AND(C166=0,E166=0),0,IF(C166=0,"New",(E166-C166)/C166))</f>
        <v>New</v>
      </c>
      <c r="H166" s="8" t="n">
        <f aca="false">SUMIFS('Source 2025'!$K:$K,'Source 2025'!$B:$B,$A166,'Source 2025'!$A:$A,"Amount (NIS)")</f>
        <v>0</v>
      </c>
      <c r="I166" s="8" t="n">
        <f aca="false">SUMIFS('Source 2026'!$K:$K,'Source 2026'!$B:$B,$A166,'Source 2026'!$A:$A,"Amount (NIS)")</f>
        <v>253.1</v>
      </c>
      <c r="J166" s="8" t="n">
        <f aca="false">I166*$J$5</f>
        <v>347.108571428571</v>
      </c>
      <c r="K166" s="8" t="n">
        <f aca="false">J166-H166</f>
        <v>347.108571428571</v>
      </c>
      <c r="L166" s="9" t="str">
        <f aca="false">IF(AND(H166=0,J166=0),0,IF(H166=0,"New",(J166-H166)/H166))</f>
        <v>New</v>
      </c>
    </row>
    <row r="167" customFormat="false" ht="15" hidden="false" customHeight="false" outlineLevel="0" collapsed="false">
      <c r="A167" s="7" t="n">
        <v>4408259</v>
      </c>
      <c r="B167" s="7" t="str">
        <f aca="false">IFERROR(INDEX('Source 2026'!$C:$C,MATCH($A167,'Source 2026'!$B:$B,0)),IFERROR(INDEX('Source 2025'!$C:$C,MATCH($A167,'Source 2025'!$B:$B,0)),""))</f>
        <v>11STO S חגורה אחרי ניתוח</v>
      </c>
      <c r="C167" s="8" t="n">
        <f aca="false">SUMIFS('Source 2025'!$K:$K,'Source 2025'!$B:$B,$A167,'Source 2025'!$A:$A,"Quantity (units)")</f>
        <v>0</v>
      </c>
      <c r="D167" s="8" t="n">
        <f aca="false">SUMIFS('Source 2026'!$K:$K,'Source 2026'!$B:$B,$A167,'Source 2026'!$A:$A,"Quantity (units)")</f>
        <v>2</v>
      </c>
      <c r="E167" s="8" t="n">
        <f aca="false">D167*$J$5</f>
        <v>2.74285714285714</v>
      </c>
      <c r="F167" s="8" t="n">
        <f aca="false">E167-C167</f>
        <v>2.74285714285714</v>
      </c>
      <c r="G167" s="9" t="str">
        <f aca="false">IF(AND(C167=0,E167=0),0,IF(C167=0,"New",(E167-C167)/C167))</f>
        <v>New</v>
      </c>
      <c r="H167" s="8" t="n">
        <f aca="false">SUMIFS('Source 2025'!$K:$K,'Source 2025'!$B:$B,$A167,'Source 2025'!$A:$A,"Amount (NIS)")</f>
        <v>0</v>
      </c>
      <c r="I167" s="8" t="n">
        <f aca="false">SUMIFS('Source 2026'!$K:$K,'Source 2026'!$B:$B,$A167,'Source 2026'!$A:$A,"Amount (NIS)")</f>
        <v>227.2</v>
      </c>
      <c r="J167" s="8" t="n">
        <f aca="false">I167*$J$5</f>
        <v>311.588571428571</v>
      </c>
      <c r="K167" s="8" t="n">
        <f aca="false">J167-H167</f>
        <v>311.588571428571</v>
      </c>
      <c r="L167" s="9" t="str">
        <f aca="false">IF(AND(H167=0,J167=0),0,IF(H167=0,"New",(J167-H167)/H167))</f>
        <v>New</v>
      </c>
    </row>
    <row r="168" customFormat="false" ht="15" hidden="false" customHeight="false" outlineLevel="0" collapsed="false">
      <c r="A168" s="7" t="n">
        <v>4408272</v>
      </c>
      <c r="B168" s="7" t="str">
        <f aca="false">IFERROR(INDEX('Source 2026'!$C:$C,MATCH($A168,'Source 2026'!$B:$B,0)),IFERROR(INDEX('Source 2025'!$C:$C,MATCH($A168,'Source 2025'!$B:$B,0)),""))</f>
        <v>70N S חגורת פאבליק</v>
      </c>
      <c r="C168" s="8" t="n">
        <f aca="false">SUMIFS('Source 2025'!$K:$K,'Source 2025'!$B:$B,$A168,'Source 2025'!$A:$A,"Quantity (units)")</f>
        <v>0</v>
      </c>
      <c r="D168" s="8" t="n">
        <f aca="false">SUMIFS('Source 2026'!$K:$K,'Source 2026'!$B:$B,$A168,'Source 2026'!$A:$A,"Quantity (units)")</f>
        <v>1</v>
      </c>
      <c r="E168" s="8" t="n">
        <f aca="false">D168*$J$5</f>
        <v>1.37142857142857</v>
      </c>
      <c r="F168" s="8" t="n">
        <f aca="false">E168-C168</f>
        <v>1.37142857142857</v>
      </c>
      <c r="G168" s="9" t="str">
        <f aca="false">IF(AND(C168=0,E168=0),0,IF(C168=0,"New",(E168-C168)/C168))</f>
        <v>New</v>
      </c>
      <c r="H168" s="8" t="n">
        <f aca="false">SUMIFS('Source 2025'!$K:$K,'Source 2025'!$B:$B,$A168,'Source 2025'!$A:$A,"Amount (NIS)")</f>
        <v>0</v>
      </c>
      <c r="I168" s="8" t="n">
        <f aca="false">SUMIFS('Source 2026'!$K:$K,'Source 2026'!$B:$B,$A168,'Source 2026'!$A:$A,"Amount (NIS)")</f>
        <v>209</v>
      </c>
      <c r="J168" s="8" t="n">
        <f aca="false">I168*$J$5</f>
        <v>286.628571428571</v>
      </c>
      <c r="K168" s="8" t="n">
        <f aca="false">J168-H168</f>
        <v>286.628571428571</v>
      </c>
      <c r="L168" s="9" t="str">
        <f aca="false">IF(AND(H168=0,J168=0),0,IF(H168=0,"New",(J168-H168)/H168))</f>
        <v>New</v>
      </c>
    </row>
    <row r="169" customFormat="false" ht="15" hidden="false" customHeight="false" outlineLevel="0" collapsed="false">
      <c r="A169" s="7" t="n">
        <v>4420024</v>
      </c>
      <c r="B169" s="7" t="str">
        <f aca="false">IFERROR(INDEX('Source 2026'!$C:$C,MATCH($A169,'Source 2026'!$B:$B,0)),IFERROR(INDEX('Source 2025'!$C:$C,MATCH($A169,'Source 2025'!$B:$B,0)),""))</f>
        <v>LFריפוד סיליק.לכרית כף הרגל373</v>
      </c>
      <c r="C169" s="8" t="n">
        <f aca="false">SUMIFS('Source 2025'!$K:$K,'Source 2025'!$B:$B,$A169,'Source 2025'!$A:$A,"Quantity (units)")</f>
        <v>0</v>
      </c>
      <c r="D169" s="8" t="n">
        <f aca="false">SUMIFS('Source 2026'!$K:$K,'Source 2026'!$B:$B,$A169,'Source 2026'!$A:$A,"Quantity (units)")</f>
        <v>15</v>
      </c>
      <c r="E169" s="8" t="n">
        <f aca="false">D169*$J$5</f>
        <v>20.5714285714286</v>
      </c>
      <c r="F169" s="8" t="n">
        <f aca="false">E169-C169</f>
        <v>20.5714285714286</v>
      </c>
      <c r="G169" s="9" t="str">
        <f aca="false">IF(AND(C169=0,E169=0),0,IF(C169=0,"New",(E169-C169)/C169))</f>
        <v>New</v>
      </c>
      <c r="H169" s="8" t="n">
        <f aca="false">SUMIFS('Source 2025'!$K:$K,'Source 2025'!$B:$B,$A169,'Source 2025'!$A:$A,"Amount (NIS)")</f>
        <v>0</v>
      </c>
      <c r="I169" s="8" t="n">
        <f aca="false">SUMIFS('Source 2026'!$K:$K,'Source 2026'!$B:$B,$A169,'Source 2026'!$A:$A,"Amount (NIS)")</f>
        <v>205.9</v>
      </c>
      <c r="J169" s="8" t="n">
        <f aca="false">I169*$J$5</f>
        <v>282.377142857143</v>
      </c>
      <c r="K169" s="8" t="n">
        <f aca="false">J169-H169</f>
        <v>282.377142857143</v>
      </c>
      <c r="L169" s="9" t="str">
        <f aca="false">IF(AND(H169=0,J169=0),0,IF(H169=0,"New",(J169-H169)/H169))</f>
        <v>New</v>
      </c>
    </row>
    <row r="170" customFormat="false" ht="15" hidden="false" customHeight="false" outlineLevel="0" collapsed="false">
      <c r="A170" s="7" t="n">
        <v>4413114</v>
      </c>
      <c r="B170" s="7" t="str">
        <f aca="false">IFERROR(INDEX('Source 2026'!$C:$C,MATCH($A170,'Source 2026'!$B:$B,0)),IFERROR(INDEX('Source 2025'!$C:$C,MATCH($A170,'Source 2025'!$B:$B,0)),""))</f>
        <v>49 XL מגן ירך</v>
      </c>
      <c r="C170" s="8" t="n">
        <f aca="false">SUMIFS('Source 2025'!$K:$K,'Source 2025'!$B:$B,$A170,'Source 2025'!$A:$A,"Quantity (units)")</f>
        <v>0</v>
      </c>
      <c r="D170" s="8" t="n">
        <f aca="false">SUMIFS('Source 2026'!$K:$K,'Source 2026'!$B:$B,$A170,'Source 2026'!$A:$A,"Quantity (units)")</f>
        <v>11</v>
      </c>
      <c r="E170" s="8" t="n">
        <f aca="false">D170*$J$5</f>
        <v>15.0857142857143</v>
      </c>
      <c r="F170" s="8" t="n">
        <f aca="false">E170-C170</f>
        <v>15.0857142857143</v>
      </c>
      <c r="G170" s="9" t="str">
        <f aca="false">IF(AND(C170=0,E170=0),0,IF(C170=0,"New",(E170-C170)/C170))</f>
        <v>New</v>
      </c>
      <c r="H170" s="8" t="n">
        <f aca="false">SUMIFS('Source 2025'!$K:$K,'Source 2025'!$B:$B,$A170,'Source 2025'!$A:$A,"Amount (NIS)")</f>
        <v>0</v>
      </c>
      <c r="I170" s="8" t="n">
        <f aca="false">SUMIFS('Source 2026'!$K:$K,'Source 2026'!$B:$B,$A170,'Source 2026'!$A:$A,"Amount (NIS)")</f>
        <v>204.8</v>
      </c>
      <c r="J170" s="8" t="n">
        <f aca="false">I170*$J$5</f>
        <v>280.868571428571</v>
      </c>
      <c r="K170" s="8" t="n">
        <f aca="false">J170-H170</f>
        <v>280.868571428571</v>
      </c>
      <c r="L170" s="9" t="str">
        <f aca="false">IF(AND(H170=0,J170=0),0,IF(H170=0,"New",(J170-H170)/H170))</f>
        <v>New</v>
      </c>
    </row>
    <row r="171" customFormat="false" ht="15" hidden="false" customHeight="false" outlineLevel="0" collapsed="false">
      <c r="A171" s="7" t="n">
        <v>4409001</v>
      </c>
      <c r="B171" s="7" t="str">
        <f aca="false">IFERROR(INDEX('Source 2026'!$C:$C,MATCH($A171,'Source 2026'!$B:$B,0)),IFERROR(INDEX('Source 2025'!$C:$C,MATCH($A171,'Source 2025'!$B:$B,0)),""))</f>
        <v>365  X-Lטבעת אלסטית מסיליקון</v>
      </c>
      <c r="C171" s="8" t="n">
        <f aca="false">SUMIFS('Source 2025'!$K:$K,'Source 2025'!$B:$B,$A171,'Source 2025'!$A:$A,"Quantity (units)")</f>
        <v>0</v>
      </c>
      <c r="D171" s="8" t="n">
        <f aca="false">SUMIFS('Source 2026'!$K:$K,'Source 2026'!$B:$B,$A171,'Source 2026'!$A:$A,"Quantity (units)")</f>
        <v>26</v>
      </c>
      <c r="E171" s="8" t="n">
        <f aca="false">D171*$J$5</f>
        <v>35.6571428571429</v>
      </c>
      <c r="F171" s="8" t="n">
        <f aca="false">E171-C171</f>
        <v>35.6571428571429</v>
      </c>
      <c r="G171" s="9" t="str">
        <f aca="false">IF(AND(C171=0,E171=0),0,IF(C171=0,"New",(E171-C171)/C171))</f>
        <v>New</v>
      </c>
      <c r="H171" s="8" t="n">
        <f aca="false">SUMIFS('Source 2025'!$K:$K,'Source 2025'!$B:$B,$A171,'Source 2025'!$A:$A,"Amount (NIS)")</f>
        <v>0</v>
      </c>
      <c r="I171" s="8" t="n">
        <f aca="false">SUMIFS('Source 2026'!$K:$K,'Source 2026'!$B:$B,$A171,'Source 2026'!$A:$A,"Amount (NIS)")</f>
        <v>200</v>
      </c>
      <c r="J171" s="8" t="n">
        <f aca="false">I171*$J$5</f>
        <v>274.285714285714</v>
      </c>
      <c r="K171" s="8" t="n">
        <f aca="false">J171-H171</f>
        <v>274.285714285714</v>
      </c>
      <c r="L171" s="9" t="str">
        <f aca="false">IF(AND(H171=0,J171=0),0,IF(H171=0,"New",(J171-H171)/H171))</f>
        <v>New</v>
      </c>
    </row>
    <row r="172" customFormat="false" ht="15" hidden="false" customHeight="false" outlineLevel="0" collapsed="false">
      <c r="A172" s="7" t="n">
        <v>4413051</v>
      </c>
      <c r="B172" s="7" t="str">
        <f aca="false">IFERROR(INDEX('Source 2026'!$C:$C,MATCH($A172,'Source 2026'!$B:$B,0)),IFERROR(INDEX('Source 2025'!$C:$C,MATCH($A172,'Source 2025'!$B:$B,0)),""))</f>
        <v>35 XXL מגן קרסול לבן</v>
      </c>
      <c r="C172" s="8" t="n">
        <f aca="false">SUMIFS('Source 2025'!$K:$K,'Source 2025'!$B:$B,$A172,'Source 2025'!$A:$A,"Quantity (units)")</f>
        <v>0</v>
      </c>
      <c r="D172" s="8" t="n">
        <f aca="false">SUMIFS('Source 2026'!$K:$K,'Source 2026'!$B:$B,$A172,'Source 2026'!$A:$A,"Quantity (units)")</f>
        <v>11</v>
      </c>
      <c r="E172" s="8" t="n">
        <f aca="false">D172*$J$5</f>
        <v>15.0857142857143</v>
      </c>
      <c r="F172" s="8" t="n">
        <f aca="false">E172-C172</f>
        <v>15.0857142857143</v>
      </c>
      <c r="G172" s="9" t="str">
        <f aca="false">IF(AND(C172=0,E172=0),0,IF(C172=0,"New",(E172-C172)/C172))</f>
        <v>New</v>
      </c>
      <c r="H172" s="8" t="n">
        <f aca="false">SUMIFS('Source 2025'!$K:$K,'Source 2025'!$B:$B,$A172,'Source 2025'!$A:$A,"Amount (NIS)")</f>
        <v>0</v>
      </c>
      <c r="I172" s="8" t="n">
        <f aca="false">SUMIFS('Source 2026'!$K:$K,'Source 2026'!$B:$B,$A172,'Source 2026'!$A:$A,"Amount (NIS)")</f>
        <v>178.5</v>
      </c>
      <c r="J172" s="8" t="n">
        <f aca="false">I172*$J$5</f>
        <v>244.8</v>
      </c>
      <c r="K172" s="8" t="n">
        <f aca="false">J172-H172</f>
        <v>244.8</v>
      </c>
      <c r="L172" s="9" t="str">
        <f aca="false">IF(AND(H172=0,J172=0),0,IF(H172=0,"New",(J172-H172)/H172))</f>
        <v>New</v>
      </c>
    </row>
    <row r="173" customFormat="false" ht="15" hidden="false" customHeight="false" outlineLevel="0" collapsed="false">
      <c r="A173" s="7" t="n">
        <v>4420025</v>
      </c>
      <c r="B173" s="7" t="str">
        <f aca="false">IFERROR(INDEX('Source 2026'!$C:$C,MATCH($A173,'Source 2026'!$B:$B,0)),IFERROR(INDEX('Source 2025'!$C:$C,MATCH($A173,'Source 2025'!$B:$B,0)),""))</f>
        <v>LF374 ריפוד סיליק.לעקב תחתון</v>
      </c>
      <c r="C173" s="8" t="n">
        <f aca="false">SUMIFS('Source 2025'!$K:$K,'Source 2025'!$B:$B,$A173,'Source 2025'!$A:$A,"Quantity (units)")</f>
        <v>0</v>
      </c>
      <c r="D173" s="8" t="n">
        <f aca="false">SUMIFS('Source 2026'!$K:$K,'Source 2026'!$B:$B,$A173,'Source 2026'!$A:$A,"Quantity (units)")</f>
        <v>11</v>
      </c>
      <c r="E173" s="8" t="n">
        <f aca="false">D173*$J$5</f>
        <v>15.0857142857143</v>
      </c>
      <c r="F173" s="8" t="n">
        <f aca="false">E173-C173</f>
        <v>15.0857142857143</v>
      </c>
      <c r="G173" s="9" t="str">
        <f aca="false">IF(AND(C173=0,E173=0),0,IF(C173=0,"New",(E173-C173)/C173))</f>
        <v>New</v>
      </c>
      <c r="H173" s="8" t="n">
        <f aca="false">SUMIFS('Source 2025'!$K:$K,'Source 2025'!$B:$B,$A173,'Source 2025'!$A:$A,"Amount (NIS)")</f>
        <v>0</v>
      </c>
      <c r="I173" s="8" t="n">
        <f aca="false">SUMIFS('Source 2026'!$K:$K,'Source 2026'!$B:$B,$A173,'Source 2026'!$A:$A,"Amount (NIS)")</f>
        <v>171</v>
      </c>
      <c r="J173" s="8" t="n">
        <f aca="false">I173*$J$5</f>
        <v>234.514285714286</v>
      </c>
      <c r="K173" s="8" t="n">
        <f aca="false">J173-H173</f>
        <v>234.514285714286</v>
      </c>
      <c r="L173" s="9" t="str">
        <f aca="false">IF(AND(H173=0,J173=0),0,IF(H173=0,"New",(J173-H173)/H173))</f>
        <v>New</v>
      </c>
    </row>
    <row r="174" customFormat="false" ht="15" hidden="false" customHeight="false" outlineLevel="0" collapsed="false">
      <c r="A174" s="7" t="n">
        <v>4408270</v>
      </c>
      <c r="B174" s="7" t="str">
        <f aca="false">IFERROR(INDEX('Source 2026'!$C:$C,MATCH($A174,'Source 2026'!$B:$B,0)),IFERROR(INDEX('Source 2025'!$C:$C,MATCH($A174,'Source 2025'!$B:$B,0)),""))</f>
        <v>ST11  חגורת בטן</v>
      </c>
      <c r="C174" s="8" t="n">
        <f aca="false">SUMIFS('Source 2025'!$K:$K,'Source 2025'!$B:$B,$A174,'Source 2025'!$A:$A,"Quantity (units)")</f>
        <v>0</v>
      </c>
      <c r="D174" s="8" t="n">
        <f aca="false">SUMIFS('Source 2026'!$K:$K,'Source 2026'!$B:$B,$A174,'Source 2026'!$A:$A,"Quantity (units)")</f>
        <v>5</v>
      </c>
      <c r="E174" s="8" t="n">
        <f aca="false">D174*$J$5</f>
        <v>6.85714285714286</v>
      </c>
      <c r="F174" s="8" t="n">
        <f aca="false">E174-C174</f>
        <v>6.85714285714286</v>
      </c>
      <c r="G174" s="9" t="str">
        <f aca="false">IF(AND(C174=0,E174=0),0,IF(C174=0,"New",(E174-C174)/C174))</f>
        <v>New</v>
      </c>
      <c r="H174" s="8" t="n">
        <f aca="false">SUMIFS('Source 2025'!$K:$K,'Source 2025'!$B:$B,$A174,'Source 2025'!$A:$A,"Amount (NIS)")</f>
        <v>0</v>
      </c>
      <c r="I174" s="8" t="n">
        <f aca="false">SUMIFS('Source 2026'!$K:$K,'Source 2026'!$B:$B,$A174,'Source 2026'!$A:$A,"Amount (NIS)")</f>
        <v>171</v>
      </c>
      <c r="J174" s="8" t="n">
        <f aca="false">I174*$J$5</f>
        <v>234.514285714286</v>
      </c>
      <c r="K174" s="8" t="n">
        <f aca="false">J174-H174</f>
        <v>234.514285714286</v>
      </c>
      <c r="L174" s="9" t="str">
        <f aca="false">IF(AND(H174=0,J174=0),0,IF(H174=0,"New",(J174-H174)/H174))</f>
        <v>New</v>
      </c>
    </row>
    <row r="175" customFormat="false" ht="15" hidden="false" customHeight="false" outlineLevel="0" collapsed="false">
      <c r="A175" s="7" t="n">
        <v>4413112</v>
      </c>
      <c r="B175" s="7" t="str">
        <f aca="false">IFERROR(INDEX('Source 2026'!$C:$C,MATCH($A175,'Source 2026'!$B:$B,0)),IFERROR(INDEX('Source 2025'!$C:$C,MATCH($A175,'Source 2025'!$B:$B,0)),""))</f>
        <v>49  L מגן ירך</v>
      </c>
      <c r="C175" s="8" t="n">
        <f aca="false">SUMIFS('Source 2025'!$K:$K,'Source 2025'!$B:$B,$A175,'Source 2025'!$A:$A,"Quantity (units)")</f>
        <v>0</v>
      </c>
      <c r="D175" s="8" t="n">
        <f aca="false">SUMIFS('Source 2026'!$K:$K,'Source 2026'!$B:$B,$A175,'Source 2026'!$A:$A,"Quantity (units)")</f>
        <v>9</v>
      </c>
      <c r="E175" s="8" t="n">
        <f aca="false">D175*$J$5</f>
        <v>12.3428571428571</v>
      </c>
      <c r="F175" s="8" t="n">
        <f aca="false">E175-C175</f>
        <v>12.3428571428571</v>
      </c>
      <c r="G175" s="9" t="str">
        <f aca="false">IF(AND(C175=0,E175=0),0,IF(C175=0,"New",(E175-C175)/C175))</f>
        <v>New</v>
      </c>
      <c r="H175" s="8" t="n">
        <f aca="false">SUMIFS('Source 2025'!$K:$K,'Source 2025'!$B:$B,$A175,'Source 2025'!$A:$A,"Amount (NIS)")</f>
        <v>0</v>
      </c>
      <c r="I175" s="8" t="n">
        <f aca="false">SUMIFS('Source 2026'!$K:$K,'Source 2026'!$B:$B,$A175,'Source 2026'!$A:$A,"Amount (NIS)")</f>
        <v>162.8</v>
      </c>
      <c r="J175" s="8" t="n">
        <f aca="false">I175*$J$5</f>
        <v>223.268571428571</v>
      </c>
      <c r="K175" s="8" t="n">
        <f aca="false">J175-H175</f>
        <v>223.268571428571</v>
      </c>
      <c r="L175" s="9" t="str">
        <f aca="false">IF(AND(H175=0,J175=0),0,IF(H175=0,"New",(J175-H175)/H175))</f>
        <v>New</v>
      </c>
    </row>
    <row r="176" customFormat="false" ht="15" hidden="false" customHeight="false" outlineLevel="0" collapsed="false">
      <c r="A176" s="7" t="n">
        <v>4413303</v>
      </c>
      <c r="B176" s="7" t="str">
        <f aca="false">IFERROR(INDEX('Source 2026'!$C:$C,MATCH($A176,'Source 2026'!$B:$B,0)),IFERROR(INDEX('Source 2025'!$C:$C,MATCH($A176,'Source 2025'!$B:$B,0)),""))</f>
        <v>34+XXL מ.קרסול+עכב סגור+רצועות</v>
      </c>
      <c r="C176" s="8" t="n">
        <f aca="false">SUMIFS('Source 2025'!$K:$K,'Source 2025'!$B:$B,$A176,'Source 2025'!$A:$A,"Quantity (units)")</f>
        <v>0</v>
      </c>
      <c r="D176" s="8" t="n">
        <f aca="false">SUMIFS('Source 2026'!$K:$K,'Source 2026'!$B:$B,$A176,'Source 2026'!$A:$A,"Quantity (units)")</f>
        <v>4</v>
      </c>
      <c r="E176" s="8" t="n">
        <f aca="false">D176*$J$5</f>
        <v>5.48571428571429</v>
      </c>
      <c r="F176" s="8" t="n">
        <f aca="false">E176-C176</f>
        <v>5.48571428571429</v>
      </c>
      <c r="G176" s="9" t="str">
        <f aca="false">IF(AND(C176=0,E176=0),0,IF(C176=0,"New",(E176-C176)/C176))</f>
        <v>New</v>
      </c>
      <c r="H176" s="8" t="n">
        <f aca="false">SUMIFS('Source 2025'!$K:$K,'Source 2025'!$B:$B,$A176,'Source 2025'!$A:$A,"Amount (NIS)")</f>
        <v>0</v>
      </c>
      <c r="I176" s="8" t="n">
        <f aca="false">SUMIFS('Source 2026'!$K:$K,'Source 2026'!$B:$B,$A176,'Source 2026'!$A:$A,"Amount (NIS)")</f>
        <v>158.1</v>
      </c>
      <c r="J176" s="8" t="n">
        <f aca="false">I176*$J$5</f>
        <v>216.822857142857</v>
      </c>
      <c r="K176" s="8" t="n">
        <f aca="false">J176-H176</f>
        <v>216.822857142857</v>
      </c>
      <c r="L176" s="9" t="str">
        <f aca="false">IF(AND(H176=0,J176=0),0,IF(H176=0,"New",(J176-H176)/H176))</f>
        <v>New</v>
      </c>
    </row>
    <row r="177" customFormat="false" ht="15" hidden="false" customHeight="false" outlineLevel="0" collapsed="false">
      <c r="A177" s="7" t="n">
        <v>4408232</v>
      </c>
      <c r="B177" s="7" t="str">
        <f aca="false">IFERROR(INDEX('Source 2026'!$C:$C,MATCH($A177,'Source 2026'!$B:$B,0)),IFERROR(INDEX('Source 2025'!$C:$C,MATCH($A177,'Source 2025'!$B:$B,0)),""))</f>
        <v>16 XXL חגורת הריון</v>
      </c>
      <c r="C177" s="8" t="n">
        <f aca="false">SUMIFS('Source 2025'!$K:$K,'Source 2025'!$B:$B,$A177,'Source 2025'!$A:$A,"Quantity (units)")</f>
        <v>0</v>
      </c>
      <c r="D177" s="8" t="n">
        <f aca="false">SUMIFS('Source 2026'!$K:$K,'Source 2026'!$B:$B,$A177,'Source 2026'!$A:$A,"Quantity (units)")</f>
        <v>2</v>
      </c>
      <c r="E177" s="8" t="n">
        <f aca="false">D177*$J$5</f>
        <v>2.74285714285714</v>
      </c>
      <c r="F177" s="8" t="n">
        <f aca="false">E177-C177</f>
        <v>2.74285714285714</v>
      </c>
      <c r="G177" s="9" t="str">
        <f aca="false">IF(AND(C177=0,E177=0),0,IF(C177=0,"New",(E177-C177)/C177))</f>
        <v>New</v>
      </c>
      <c r="H177" s="8" t="n">
        <f aca="false">SUMIFS('Source 2025'!$K:$K,'Source 2025'!$B:$B,$A177,'Source 2025'!$A:$A,"Amount (NIS)")</f>
        <v>0</v>
      </c>
      <c r="I177" s="8" t="n">
        <f aca="false">SUMIFS('Source 2026'!$K:$K,'Source 2026'!$B:$B,$A177,'Source 2026'!$A:$A,"Amount (NIS)")</f>
        <v>155.6</v>
      </c>
      <c r="J177" s="8" t="n">
        <f aca="false">I177*$J$5</f>
        <v>213.394285714286</v>
      </c>
      <c r="K177" s="8" t="n">
        <f aca="false">J177-H177</f>
        <v>213.394285714286</v>
      </c>
      <c r="L177" s="9" t="str">
        <f aca="false">IF(AND(H177=0,J177=0),0,IF(H177=0,"New",(J177-H177)/H177))</f>
        <v>New</v>
      </c>
    </row>
    <row r="178" customFormat="false" ht="15" hidden="false" customHeight="false" outlineLevel="0" collapsed="false">
      <c r="A178" s="7" t="n">
        <v>4408031</v>
      </c>
      <c r="B178" s="7" t="str">
        <f aca="false">IFERROR(INDEX('Source 2026'!$C:$C,MATCH($A178,'Source 2026'!$B:$B,0)),IFERROR(INDEX('Source 2025'!$C:$C,MATCH($A178,'Source 2025'!$B:$B,0)),""))</f>
        <v>11 S""חגורת בטן""אורירית</v>
      </c>
      <c r="C178" s="8" t="n">
        <f aca="false">SUMIFS('Source 2025'!$K:$K,'Source 2025'!$B:$B,$A178,'Source 2025'!$A:$A,"Quantity (units)")</f>
        <v>0</v>
      </c>
      <c r="D178" s="8" t="n">
        <f aca="false">SUMIFS('Source 2026'!$K:$K,'Source 2026'!$B:$B,$A178,'Source 2026'!$A:$A,"Quantity (units)")</f>
        <v>2</v>
      </c>
      <c r="E178" s="8" t="n">
        <f aca="false">D178*$J$5</f>
        <v>2.74285714285714</v>
      </c>
      <c r="F178" s="8" t="n">
        <f aca="false">E178-C178</f>
        <v>2.74285714285714</v>
      </c>
      <c r="G178" s="9" t="str">
        <f aca="false">IF(AND(C178=0,E178=0),0,IF(C178=0,"New",(E178-C178)/C178))</f>
        <v>New</v>
      </c>
      <c r="H178" s="8" t="n">
        <f aca="false">SUMIFS('Source 2025'!$K:$K,'Source 2025'!$B:$B,$A178,'Source 2025'!$A:$A,"Amount (NIS)")</f>
        <v>0</v>
      </c>
      <c r="I178" s="8" t="n">
        <f aca="false">SUMIFS('Source 2026'!$K:$K,'Source 2026'!$B:$B,$A178,'Source 2026'!$A:$A,"Amount (NIS)")</f>
        <v>144.7</v>
      </c>
      <c r="J178" s="8" t="n">
        <f aca="false">I178*$J$5</f>
        <v>198.445714285714</v>
      </c>
      <c r="K178" s="8" t="n">
        <f aca="false">J178-H178</f>
        <v>198.445714285714</v>
      </c>
      <c r="L178" s="9" t="str">
        <f aca="false">IF(AND(H178=0,J178=0),0,IF(H178=0,"New",(J178-H178)/H178))</f>
        <v>New</v>
      </c>
    </row>
    <row r="179" customFormat="false" ht="15" hidden="false" customHeight="false" outlineLevel="0" collapsed="false">
      <c r="A179" s="7" t="n">
        <v>4420022</v>
      </c>
      <c r="B179" s="7" t="str">
        <f aca="false">IFERROR(INDEX('Source 2026'!$C:$C,MATCH($A179,'Source 2026'!$B:$B,0)),IFERROR(INDEX('Source 2025'!$C:$C,MATCH($A179,'Source 2025'!$B:$B,0)),""))</f>
        <v>LF370 ריפוד סיליקון לעקב אחורי</v>
      </c>
      <c r="C179" s="8" t="n">
        <f aca="false">SUMIFS('Source 2025'!$K:$K,'Source 2025'!$B:$B,$A179,'Source 2025'!$A:$A,"Quantity (units)")</f>
        <v>0</v>
      </c>
      <c r="D179" s="8" t="n">
        <f aca="false">SUMIFS('Source 2026'!$K:$K,'Source 2026'!$B:$B,$A179,'Source 2026'!$A:$A,"Quantity (units)")</f>
        <v>9</v>
      </c>
      <c r="E179" s="8" t="n">
        <f aca="false">D179*$J$5</f>
        <v>12.3428571428571</v>
      </c>
      <c r="F179" s="8" t="n">
        <f aca="false">E179-C179</f>
        <v>12.3428571428571</v>
      </c>
      <c r="G179" s="9" t="str">
        <f aca="false">IF(AND(C179=0,E179=0),0,IF(C179=0,"New",(E179-C179)/C179))</f>
        <v>New</v>
      </c>
      <c r="H179" s="8" t="n">
        <f aca="false">SUMIFS('Source 2025'!$K:$K,'Source 2025'!$B:$B,$A179,'Source 2025'!$A:$A,"Amount (NIS)")</f>
        <v>0</v>
      </c>
      <c r="I179" s="8" t="n">
        <f aca="false">SUMIFS('Source 2026'!$K:$K,'Source 2026'!$B:$B,$A179,'Source 2026'!$A:$A,"Amount (NIS)")</f>
        <v>135.2</v>
      </c>
      <c r="J179" s="8" t="n">
        <f aca="false">I179*$J$5</f>
        <v>185.417142857143</v>
      </c>
      <c r="K179" s="8" t="n">
        <f aca="false">J179-H179</f>
        <v>185.417142857143</v>
      </c>
      <c r="L179" s="9" t="str">
        <f aca="false">IF(AND(H179=0,J179=0),0,IF(H179=0,"New",(J179-H179)/H179))</f>
        <v>New</v>
      </c>
    </row>
    <row r="180" customFormat="false" ht="15" hidden="false" customHeight="false" outlineLevel="0" collapsed="false">
      <c r="A180" s="7" t="n">
        <v>4403017</v>
      </c>
      <c r="B180" s="7" t="str">
        <f aca="false">IFERROR(INDEX('Source 2026'!$C:$C,MATCH($A180,'Source 2026'!$B:$B,0)),IFERROR(INDEX('Source 2025'!$C:$C,MATCH($A180,'Source 2025'!$B:$B,0)),""))</f>
        <v>394B גרב.כסף לסכרתים שחור35-38</v>
      </c>
      <c r="C180" s="8" t="n">
        <f aca="false">SUMIFS('Source 2025'!$K:$K,'Source 2025'!$B:$B,$A180,'Source 2025'!$A:$A,"Quantity (units)")</f>
        <v>0</v>
      </c>
      <c r="D180" s="8" t="n">
        <f aca="false">SUMIFS('Source 2026'!$K:$K,'Source 2026'!$B:$B,$A180,'Source 2026'!$A:$A,"Quantity (units)")</f>
        <v>7</v>
      </c>
      <c r="E180" s="8" t="n">
        <f aca="false">D180*$J$5</f>
        <v>9.6</v>
      </c>
      <c r="F180" s="8" t="n">
        <f aca="false">E180-C180</f>
        <v>9.6</v>
      </c>
      <c r="G180" s="9" t="str">
        <f aca="false">IF(AND(C180=0,E180=0),0,IF(C180=0,"New",(E180-C180)/C180))</f>
        <v>New</v>
      </c>
      <c r="H180" s="8" t="n">
        <f aca="false">SUMIFS('Source 2025'!$K:$K,'Source 2025'!$B:$B,$A180,'Source 2025'!$A:$A,"Amount (NIS)")</f>
        <v>0</v>
      </c>
      <c r="I180" s="8" t="n">
        <f aca="false">SUMIFS('Source 2026'!$K:$K,'Source 2026'!$B:$B,$A180,'Source 2026'!$A:$A,"Amount (NIS)")</f>
        <v>128.8</v>
      </c>
      <c r="J180" s="8" t="n">
        <f aca="false">I180*$J$5</f>
        <v>176.64</v>
      </c>
      <c r="K180" s="8" t="n">
        <f aca="false">J180-H180</f>
        <v>176.64</v>
      </c>
      <c r="L180" s="9" t="str">
        <f aca="false">IF(AND(H180=0,J180=0),0,IF(H180=0,"New",(J180-H180)/H180))</f>
        <v>New</v>
      </c>
    </row>
    <row r="181" customFormat="false" ht="15" hidden="false" customHeight="false" outlineLevel="0" collapsed="false">
      <c r="A181" s="7" t="n">
        <v>4403023</v>
      </c>
      <c r="B181" s="7" t="str">
        <f aca="false">IFERROR(INDEX('Source 2026'!$C:$C,MATCH($A181,'Source 2026'!$B:$B,0)),IFERROR(INDEX('Source 2025'!$C:$C,MATCH($A181,'Source 2025'!$B:$B,0)),""))</f>
        <v>394W 35-38 גרב.כסף לסכרתים לבן</v>
      </c>
      <c r="C181" s="8" t="n">
        <f aca="false">SUMIFS('Source 2025'!$K:$K,'Source 2025'!$B:$B,$A181,'Source 2025'!$A:$A,"Quantity (units)")</f>
        <v>0</v>
      </c>
      <c r="D181" s="8" t="n">
        <f aca="false">SUMIFS('Source 2026'!$K:$K,'Source 2026'!$B:$B,$A181,'Source 2026'!$A:$A,"Quantity (units)")</f>
        <v>7</v>
      </c>
      <c r="E181" s="8" t="n">
        <f aca="false">D181*$J$5</f>
        <v>9.6</v>
      </c>
      <c r="F181" s="8" t="n">
        <f aca="false">E181-C181</f>
        <v>9.6</v>
      </c>
      <c r="G181" s="9" t="str">
        <f aca="false">IF(AND(C181=0,E181=0),0,IF(C181=0,"New",(E181-C181)/C181))</f>
        <v>New</v>
      </c>
      <c r="H181" s="8" t="n">
        <f aca="false">SUMIFS('Source 2025'!$K:$K,'Source 2025'!$B:$B,$A181,'Source 2025'!$A:$A,"Amount (NIS)")</f>
        <v>0</v>
      </c>
      <c r="I181" s="8" t="n">
        <f aca="false">SUMIFS('Source 2026'!$K:$K,'Source 2026'!$B:$B,$A181,'Source 2026'!$A:$A,"Amount (NIS)")</f>
        <v>128.8</v>
      </c>
      <c r="J181" s="8" t="n">
        <f aca="false">I181*$J$5</f>
        <v>176.64</v>
      </c>
      <c r="K181" s="8" t="n">
        <f aca="false">J181-H181</f>
        <v>176.64</v>
      </c>
      <c r="L181" s="9" t="str">
        <f aca="false">IF(AND(H181=0,J181=0),0,IF(H181=0,"New",(J181-H181)/H181))</f>
        <v>New</v>
      </c>
    </row>
    <row r="182" customFormat="false" ht="15" hidden="false" customHeight="false" outlineLevel="0" collapsed="false">
      <c r="A182" s="7" t="n">
        <v>4408077</v>
      </c>
      <c r="B182" s="7" t="str">
        <f aca="false">IFERROR(INDEX('Source 2026'!$C:$C,MATCH($A182,'Source 2026'!$B:$B,0)),IFERROR(INDEX('Source 2025'!$C:$C,MATCH($A182,'Source 2025'!$B:$B,0)),""))</f>
        <v>59L M חגורת שבר לצד שמאל</v>
      </c>
      <c r="C182" s="8" t="n">
        <f aca="false">SUMIFS('Source 2025'!$K:$K,'Source 2025'!$B:$B,$A182,'Source 2025'!$A:$A,"Quantity (units)")</f>
        <v>0</v>
      </c>
      <c r="D182" s="8" t="n">
        <f aca="false">SUMIFS('Source 2026'!$K:$K,'Source 2026'!$B:$B,$A182,'Source 2026'!$A:$A,"Quantity (units)")</f>
        <v>1</v>
      </c>
      <c r="E182" s="8" t="n">
        <f aca="false">D182*$J$5</f>
        <v>1.37142857142857</v>
      </c>
      <c r="F182" s="8" t="n">
        <f aca="false">E182-C182</f>
        <v>1.37142857142857</v>
      </c>
      <c r="G182" s="9" t="str">
        <f aca="false">IF(AND(C182=0,E182=0),0,IF(C182=0,"New",(E182-C182)/C182))</f>
        <v>New</v>
      </c>
      <c r="H182" s="8" t="n">
        <f aca="false">SUMIFS('Source 2025'!$K:$K,'Source 2025'!$B:$B,$A182,'Source 2025'!$A:$A,"Amount (NIS)")</f>
        <v>0</v>
      </c>
      <c r="I182" s="8" t="n">
        <f aca="false">SUMIFS('Source 2026'!$K:$K,'Source 2026'!$B:$B,$A182,'Source 2026'!$A:$A,"Amount (NIS)")</f>
        <v>126.6</v>
      </c>
      <c r="J182" s="8" t="n">
        <f aca="false">I182*$J$5</f>
        <v>173.622857142857</v>
      </c>
      <c r="K182" s="8" t="n">
        <f aca="false">J182-H182</f>
        <v>173.622857142857</v>
      </c>
      <c r="L182" s="9" t="str">
        <f aca="false">IF(AND(H182=0,J182=0),0,IF(H182=0,"New",(J182-H182)/H182))</f>
        <v>New</v>
      </c>
    </row>
    <row r="183" customFormat="false" ht="15" hidden="false" customHeight="false" outlineLevel="0" collapsed="false">
      <c r="A183" s="7" t="n">
        <v>4403003</v>
      </c>
      <c r="B183" s="7" t="str">
        <f aca="false">IFERROR(INDEX('Source 2026'!$C:$C,MATCH($A183,'Source 2026'!$B:$B,0)),IFERROR(INDEX('Source 2025'!$C:$C,MATCH($A183,'Source 2025'!$B:$B,0)),""))</f>
        <v>390G ג.כסף לסכרתיים אפור35-38</v>
      </c>
      <c r="C183" s="8" t="n">
        <f aca="false">SUMIFS('Source 2025'!$K:$K,'Source 2025'!$B:$B,$A183,'Source 2025'!$A:$A,"Quantity (units)")</f>
        <v>0</v>
      </c>
      <c r="D183" s="8" t="n">
        <f aca="false">SUMIFS('Source 2026'!$K:$K,'Source 2026'!$B:$B,$A183,'Source 2026'!$A:$A,"Quantity (units)")</f>
        <v>5</v>
      </c>
      <c r="E183" s="8" t="n">
        <f aca="false">D183*$J$5</f>
        <v>6.85714285714286</v>
      </c>
      <c r="F183" s="8" t="n">
        <f aca="false">E183-C183</f>
        <v>6.85714285714286</v>
      </c>
      <c r="G183" s="9" t="str">
        <f aca="false">IF(AND(C183=0,E183=0),0,IF(C183=0,"New",(E183-C183)/C183))</f>
        <v>New</v>
      </c>
      <c r="H183" s="8" t="n">
        <f aca="false">SUMIFS('Source 2025'!$K:$K,'Source 2025'!$B:$B,$A183,'Source 2025'!$A:$A,"Amount (NIS)")</f>
        <v>0</v>
      </c>
      <c r="I183" s="8" t="n">
        <f aca="false">SUMIFS('Source 2026'!$K:$K,'Source 2026'!$B:$B,$A183,'Source 2026'!$A:$A,"Amount (NIS)")</f>
        <v>118</v>
      </c>
      <c r="J183" s="8" t="n">
        <f aca="false">I183*$J$5</f>
        <v>161.828571428571</v>
      </c>
      <c r="K183" s="8" t="n">
        <f aca="false">J183-H183</f>
        <v>161.828571428571</v>
      </c>
      <c r="L183" s="9" t="str">
        <f aca="false">IF(AND(H183=0,J183=0),0,IF(H183=0,"New",(J183-H183)/H183))</f>
        <v>New</v>
      </c>
    </row>
    <row r="184" customFormat="false" ht="15" hidden="false" customHeight="false" outlineLevel="0" collapsed="false">
      <c r="A184" s="7" t="n">
        <v>4420018</v>
      </c>
      <c r="B184" s="7" t="str">
        <f aca="false">IFERROR(INDEX('Source 2026'!$C:$C,MATCH($A184,'Source 2026'!$B:$B,0)),IFERROR(INDEX('Source 2025'!$C:$C,MATCH($A184,'Source 2025'!$B:$B,0)),""))</f>
        <v>T90 רצועת טניס אלבו עם פלסטיק</v>
      </c>
      <c r="C184" s="8" t="n">
        <f aca="false">SUMIFS('Source 2025'!$K:$K,'Source 2025'!$B:$B,$A184,'Source 2025'!$A:$A,"Quantity (units)")</f>
        <v>0</v>
      </c>
      <c r="D184" s="8" t="n">
        <f aca="false">SUMIFS('Source 2026'!$K:$K,'Source 2026'!$B:$B,$A184,'Source 2026'!$A:$A,"Quantity (units)")</f>
        <v>2</v>
      </c>
      <c r="E184" s="8" t="n">
        <f aca="false">D184*$J$5</f>
        <v>2.74285714285714</v>
      </c>
      <c r="F184" s="8" t="n">
        <f aca="false">E184-C184</f>
        <v>2.74285714285714</v>
      </c>
      <c r="G184" s="9" t="str">
        <f aca="false">IF(AND(C184=0,E184=0),0,IF(C184=0,"New",(E184-C184)/C184))</f>
        <v>New</v>
      </c>
      <c r="H184" s="8" t="n">
        <f aca="false">SUMIFS('Source 2025'!$K:$K,'Source 2025'!$B:$B,$A184,'Source 2025'!$A:$A,"Amount (NIS)")</f>
        <v>0</v>
      </c>
      <c r="I184" s="8" t="n">
        <f aca="false">SUMIFS('Source 2026'!$K:$K,'Source 2026'!$B:$B,$A184,'Source 2026'!$A:$A,"Amount (NIS)")</f>
        <v>115.9</v>
      </c>
      <c r="J184" s="8" t="n">
        <f aca="false">I184*$J$5</f>
        <v>158.948571428571</v>
      </c>
      <c r="K184" s="8" t="n">
        <f aca="false">J184-H184</f>
        <v>158.948571428571</v>
      </c>
      <c r="L184" s="9" t="str">
        <f aca="false">IF(AND(H184=0,J184=0),0,IF(H184=0,"New",(J184-H184)/H184))</f>
        <v>New</v>
      </c>
    </row>
    <row r="185" customFormat="false" ht="15" hidden="false" customHeight="false" outlineLevel="0" collapsed="false">
      <c r="A185" s="7" t="n">
        <v>4415080</v>
      </c>
      <c r="B185" s="7" t="str">
        <f aca="false">IFERROR(INDEX('Source 2026'!$C:$C,MATCH($A185,'Source 2026'!$B:$B,0)),IFERROR(INDEX('Source 2025'!$C:$C,MATCH($A185,'Source 2025'!$B:$B,0)),""))</f>
        <v>PD346-10 סכינים למקצוע</v>
      </c>
      <c r="C185" s="8" t="n">
        <f aca="false">SUMIFS('Source 2025'!$K:$K,'Source 2025'!$B:$B,$A185,'Source 2025'!$A:$A,"Quantity (units)")</f>
        <v>0</v>
      </c>
      <c r="D185" s="8" t="n">
        <f aca="false">SUMIFS('Source 2026'!$K:$K,'Source 2026'!$B:$B,$A185,'Source 2026'!$A:$A,"Quantity (units)")</f>
        <v>17</v>
      </c>
      <c r="E185" s="8" t="n">
        <f aca="false">D185*$J$5</f>
        <v>23.3142857142857</v>
      </c>
      <c r="F185" s="8" t="n">
        <f aca="false">E185-C185</f>
        <v>23.3142857142857</v>
      </c>
      <c r="G185" s="9" t="str">
        <f aca="false">IF(AND(C185=0,E185=0),0,IF(C185=0,"New",(E185-C185)/C185))</f>
        <v>New</v>
      </c>
      <c r="H185" s="8" t="n">
        <f aca="false">SUMIFS('Source 2025'!$K:$K,'Source 2025'!$B:$B,$A185,'Source 2025'!$A:$A,"Amount (NIS)")</f>
        <v>0</v>
      </c>
      <c r="I185" s="8" t="n">
        <f aca="false">SUMIFS('Source 2026'!$K:$K,'Source 2026'!$B:$B,$A185,'Source 2026'!$A:$A,"Amount (NIS)")</f>
        <v>115.6</v>
      </c>
      <c r="J185" s="8" t="n">
        <f aca="false">I185*$J$5</f>
        <v>158.537142857143</v>
      </c>
      <c r="K185" s="8" t="n">
        <f aca="false">J185-H185</f>
        <v>158.537142857143</v>
      </c>
      <c r="L185" s="9" t="str">
        <f aca="false">IF(AND(H185=0,J185=0),0,IF(H185=0,"New",(J185-H185)/H185))</f>
        <v>New</v>
      </c>
    </row>
    <row r="186" customFormat="false" ht="15" hidden="false" customHeight="false" outlineLevel="0" collapsed="false">
      <c r="A186" s="7" t="n">
        <v>4408260</v>
      </c>
      <c r="B186" s="7" t="str">
        <f aca="false">IFERROR(INDEX('Source 2026'!$C:$C,MATCH($A186,'Source 2026'!$B:$B,0)),IFERROR(INDEX('Source 2025'!$C:$C,MATCH($A186,'Source 2025'!$B:$B,0)),""))</f>
        <v>11STO M חגורה אחרי ניתוח</v>
      </c>
      <c r="C186" s="8" t="n">
        <f aca="false">SUMIFS('Source 2025'!$K:$K,'Source 2025'!$B:$B,$A186,'Source 2025'!$A:$A,"Quantity (units)")</f>
        <v>0</v>
      </c>
      <c r="D186" s="8" t="n">
        <f aca="false">SUMIFS('Source 2026'!$K:$K,'Source 2026'!$B:$B,$A186,'Source 2026'!$A:$A,"Quantity (units)")</f>
        <v>1</v>
      </c>
      <c r="E186" s="8" t="n">
        <f aca="false">D186*$J$5</f>
        <v>1.37142857142857</v>
      </c>
      <c r="F186" s="8" t="n">
        <f aca="false">E186-C186</f>
        <v>1.37142857142857</v>
      </c>
      <c r="G186" s="9" t="str">
        <f aca="false">IF(AND(C186=0,E186=0),0,IF(C186=0,"New",(E186-C186)/C186))</f>
        <v>New</v>
      </c>
      <c r="H186" s="8" t="n">
        <f aca="false">SUMIFS('Source 2025'!$K:$K,'Source 2025'!$B:$B,$A186,'Source 2025'!$A:$A,"Amount (NIS)")</f>
        <v>0</v>
      </c>
      <c r="I186" s="8" t="n">
        <f aca="false">SUMIFS('Source 2026'!$K:$K,'Source 2026'!$B:$B,$A186,'Source 2026'!$A:$A,"Amount (NIS)")</f>
        <v>113.6</v>
      </c>
      <c r="J186" s="8" t="n">
        <f aca="false">I186*$J$5</f>
        <v>155.794285714286</v>
      </c>
      <c r="K186" s="8" t="n">
        <f aca="false">J186-H186</f>
        <v>155.794285714286</v>
      </c>
      <c r="L186" s="9" t="str">
        <f aca="false">IF(AND(H186=0,J186=0),0,IF(H186=0,"New",(J186-H186)/H186))</f>
        <v>New</v>
      </c>
    </row>
    <row r="187" customFormat="false" ht="15" hidden="false" customHeight="false" outlineLevel="0" collapsed="false">
      <c r="A187" s="7" t="n">
        <v>4408261</v>
      </c>
      <c r="B187" s="7" t="str">
        <f aca="false">IFERROR(INDEX('Source 2026'!$C:$C,MATCH($A187,'Source 2026'!$B:$B,0)),IFERROR(INDEX('Source 2025'!$C:$C,MATCH($A187,'Source 2025'!$B:$B,0)),""))</f>
        <v>11STO L חגורה אחרי ניתוח</v>
      </c>
      <c r="C187" s="8" t="n">
        <f aca="false">SUMIFS('Source 2025'!$K:$K,'Source 2025'!$B:$B,$A187,'Source 2025'!$A:$A,"Quantity (units)")</f>
        <v>0</v>
      </c>
      <c r="D187" s="8" t="n">
        <f aca="false">SUMIFS('Source 2026'!$K:$K,'Source 2026'!$B:$B,$A187,'Source 2026'!$A:$A,"Quantity (units)")</f>
        <v>1</v>
      </c>
      <c r="E187" s="8" t="n">
        <f aca="false">D187*$J$5</f>
        <v>1.37142857142857</v>
      </c>
      <c r="F187" s="8" t="n">
        <f aca="false">E187-C187</f>
        <v>1.37142857142857</v>
      </c>
      <c r="G187" s="9" t="str">
        <f aca="false">IF(AND(C187=0,E187=0),0,IF(C187=0,"New",(E187-C187)/C187))</f>
        <v>New</v>
      </c>
      <c r="H187" s="8" t="n">
        <f aca="false">SUMIFS('Source 2025'!$K:$K,'Source 2025'!$B:$B,$A187,'Source 2025'!$A:$A,"Amount (NIS)")</f>
        <v>0</v>
      </c>
      <c r="I187" s="8" t="n">
        <f aca="false">SUMIFS('Source 2026'!$K:$K,'Source 2026'!$B:$B,$A187,'Source 2026'!$A:$A,"Amount (NIS)")</f>
        <v>113.6</v>
      </c>
      <c r="J187" s="8" t="n">
        <f aca="false">I187*$J$5</f>
        <v>155.794285714286</v>
      </c>
      <c r="K187" s="8" t="n">
        <f aca="false">J187-H187</f>
        <v>155.794285714286</v>
      </c>
      <c r="L187" s="9" t="str">
        <f aca="false">IF(AND(H187=0,J187=0),0,IF(H187=0,"New",(J187-H187)/H187))</f>
        <v>New</v>
      </c>
    </row>
    <row r="188" customFormat="false" ht="15" hidden="false" customHeight="false" outlineLevel="0" collapsed="false">
      <c r="A188" s="7" t="n">
        <v>4408263</v>
      </c>
      <c r="B188" s="7" t="str">
        <f aca="false">IFERROR(INDEX('Source 2026'!$C:$C,MATCH($A188,'Source 2026'!$B:$B,0)),IFERROR(INDEX('Source 2025'!$C:$C,MATCH($A188,'Source 2025'!$B:$B,0)),""))</f>
        <v>11STO XXL חגורה אחרי ניתוח</v>
      </c>
      <c r="C188" s="8" t="n">
        <f aca="false">SUMIFS('Source 2025'!$K:$K,'Source 2025'!$B:$B,$A188,'Source 2025'!$A:$A,"Quantity (units)")</f>
        <v>0</v>
      </c>
      <c r="D188" s="8" t="n">
        <f aca="false">SUMIFS('Source 2026'!$K:$K,'Source 2026'!$B:$B,$A188,'Source 2026'!$A:$A,"Quantity (units)")</f>
        <v>1</v>
      </c>
      <c r="E188" s="8" t="n">
        <f aca="false">D188*$J$5</f>
        <v>1.37142857142857</v>
      </c>
      <c r="F188" s="8" t="n">
        <f aca="false">E188-C188</f>
        <v>1.37142857142857</v>
      </c>
      <c r="G188" s="9" t="str">
        <f aca="false">IF(AND(C188=0,E188=0),0,IF(C188=0,"New",(E188-C188)/C188))</f>
        <v>New</v>
      </c>
      <c r="H188" s="8" t="n">
        <f aca="false">SUMIFS('Source 2025'!$K:$K,'Source 2025'!$B:$B,$A188,'Source 2025'!$A:$A,"Amount (NIS)")</f>
        <v>0</v>
      </c>
      <c r="I188" s="8" t="n">
        <f aca="false">SUMIFS('Source 2026'!$K:$K,'Source 2026'!$B:$B,$A188,'Source 2026'!$A:$A,"Amount (NIS)")</f>
        <v>113.6</v>
      </c>
      <c r="J188" s="8" t="n">
        <f aca="false">I188*$J$5</f>
        <v>155.794285714286</v>
      </c>
      <c r="K188" s="8" t="n">
        <f aca="false">J188-H188</f>
        <v>155.794285714286</v>
      </c>
      <c r="L188" s="9" t="str">
        <f aca="false">IF(AND(H188=0,J188=0),0,IF(H188=0,"New",(J188-H188)/H188))</f>
        <v>New</v>
      </c>
    </row>
    <row r="189" customFormat="false" ht="15" hidden="false" customHeight="false" outlineLevel="0" collapsed="false">
      <c r="A189" s="7" t="n">
        <v>4403001</v>
      </c>
      <c r="B189" s="7" t="str">
        <f aca="false">IFERROR(INDEX('Source 2026'!$C:$C,MATCH($A189,'Source 2026'!$B:$B,0)),IFERROR(INDEX('Source 2025'!$C:$C,MATCH($A189,'Source 2025'!$B:$B,0)),""))</f>
        <v>390B 39-42.גרב.כסף לסכרתיים שח</v>
      </c>
      <c r="C189" s="8" t="n">
        <f aca="false">SUMIFS('Source 2025'!$K:$K,'Source 2025'!$B:$B,$A189,'Source 2025'!$A:$A,"Quantity (units)")</f>
        <v>0</v>
      </c>
      <c r="D189" s="8" t="n">
        <f aca="false">SUMIFS('Source 2026'!$K:$K,'Source 2026'!$B:$B,$A189,'Source 2026'!$A:$A,"Quantity (units)")</f>
        <v>6</v>
      </c>
      <c r="E189" s="8" t="n">
        <f aca="false">D189*$J$5</f>
        <v>8.22857142857143</v>
      </c>
      <c r="F189" s="8" t="n">
        <f aca="false">E189-C189</f>
        <v>8.22857142857143</v>
      </c>
      <c r="G189" s="9" t="str">
        <f aca="false">IF(AND(C189=0,E189=0),0,IF(C189=0,"New",(E189-C189)/C189))</f>
        <v>New</v>
      </c>
      <c r="H189" s="8" t="n">
        <f aca="false">SUMIFS('Source 2025'!$K:$K,'Source 2025'!$B:$B,$A189,'Source 2025'!$A:$A,"Amount (NIS)")</f>
        <v>0</v>
      </c>
      <c r="I189" s="8" t="n">
        <f aca="false">SUMIFS('Source 2026'!$K:$K,'Source 2026'!$B:$B,$A189,'Source 2026'!$A:$A,"Amount (NIS)")</f>
        <v>112.1</v>
      </c>
      <c r="J189" s="8" t="n">
        <f aca="false">I189*$J$5</f>
        <v>153.737142857143</v>
      </c>
      <c r="K189" s="8" t="n">
        <f aca="false">J189-H189</f>
        <v>153.737142857143</v>
      </c>
      <c r="L189" s="9" t="str">
        <f aca="false">IF(AND(H189=0,J189=0),0,IF(H189=0,"New",(J189-H189)/H189))</f>
        <v>New</v>
      </c>
    </row>
    <row r="190" customFormat="false" ht="15" hidden="false" customHeight="false" outlineLevel="0" collapsed="false">
      <c r="A190" s="7" t="n">
        <v>4408151</v>
      </c>
      <c r="B190" s="7" t="str">
        <f aca="false">IFERROR(INDEX('Source 2026'!$C:$C,MATCH($A190,'Source 2026'!$B:$B,0)),IFERROR(INDEX('Source 2025'!$C:$C,MATCH($A190,'Source 2025'!$B:$B,0)),""))</f>
        <v>11TO M חגורה למנותחי בית החזה</v>
      </c>
      <c r="C190" s="8" t="n">
        <f aca="false">SUMIFS('Source 2025'!$K:$K,'Source 2025'!$B:$B,$A190,'Source 2025'!$A:$A,"Quantity (units)")</f>
        <v>0</v>
      </c>
      <c r="D190" s="8" t="n">
        <f aca="false">SUMIFS('Source 2026'!$K:$K,'Source 2026'!$B:$B,$A190,'Source 2026'!$A:$A,"Quantity (units)")</f>
        <v>1</v>
      </c>
      <c r="E190" s="8" t="n">
        <f aca="false">D190*$J$5</f>
        <v>1.37142857142857</v>
      </c>
      <c r="F190" s="8" t="n">
        <f aca="false">E190-C190</f>
        <v>1.37142857142857</v>
      </c>
      <c r="G190" s="9" t="str">
        <f aca="false">IF(AND(C190=0,E190=0),0,IF(C190=0,"New",(E190-C190)/C190))</f>
        <v>New</v>
      </c>
      <c r="H190" s="8" t="n">
        <f aca="false">SUMIFS('Source 2025'!$K:$K,'Source 2025'!$B:$B,$A190,'Source 2025'!$A:$A,"Amount (NIS)")</f>
        <v>0</v>
      </c>
      <c r="I190" s="8" t="n">
        <f aca="false">SUMIFS('Source 2026'!$K:$K,'Source 2026'!$B:$B,$A190,'Source 2026'!$A:$A,"Amount (NIS)")</f>
        <v>107.1</v>
      </c>
      <c r="J190" s="8" t="n">
        <f aca="false">I190*$J$5</f>
        <v>146.88</v>
      </c>
      <c r="K190" s="8" t="n">
        <f aca="false">J190-H190</f>
        <v>146.88</v>
      </c>
      <c r="L190" s="9" t="str">
        <f aca="false">IF(AND(H190=0,J190=0),0,IF(H190=0,"New",(J190-H190)/H190))</f>
        <v>New</v>
      </c>
    </row>
    <row r="191" customFormat="false" ht="15" hidden="false" customHeight="false" outlineLevel="0" collapsed="false">
      <c r="A191" s="7" t="n">
        <v>4413143</v>
      </c>
      <c r="B191" s="7" t="str">
        <f aca="false">IFERROR(INDEX('Source 2026'!$C:$C,MATCH($A191,'Source 2026'!$B:$B,0)),IFERROR(INDEX('Source 2025'!$C:$C,MATCH($A191,'Source 2025'!$B:$B,0)),""))</f>
        <v>95 XS מגן מרפק רגיל לבן</v>
      </c>
      <c r="C191" s="8" t="n">
        <f aca="false">SUMIFS('Source 2025'!$K:$K,'Source 2025'!$B:$B,$A191,'Source 2025'!$A:$A,"Quantity (units)")</f>
        <v>0</v>
      </c>
      <c r="D191" s="8" t="n">
        <f aca="false">SUMIFS('Source 2026'!$K:$K,'Source 2026'!$B:$B,$A191,'Source 2026'!$A:$A,"Quantity (units)")</f>
        <v>4</v>
      </c>
      <c r="E191" s="8" t="n">
        <f aca="false">D191*$J$5</f>
        <v>5.48571428571429</v>
      </c>
      <c r="F191" s="8" t="n">
        <f aca="false">E191-C191</f>
        <v>5.48571428571429</v>
      </c>
      <c r="G191" s="9" t="str">
        <f aca="false">IF(AND(C191=0,E191=0),0,IF(C191=0,"New",(E191-C191)/C191))</f>
        <v>New</v>
      </c>
      <c r="H191" s="8" t="n">
        <f aca="false">SUMIFS('Source 2025'!$K:$K,'Source 2025'!$B:$B,$A191,'Source 2025'!$A:$A,"Amount (NIS)")</f>
        <v>0</v>
      </c>
      <c r="I191" s="8" t="n">
        <f aca="false">SUMIFS('Source 2026'!$K:$K,'Source 2026'!$B:$B,$A191,'Source 2026'!$A:$A,"Amount (NIS)")</f>
        <v>68</v>
      </c>
      <c r="J191" s="8" t="n">
        <f aca="false">I191*$J$5</f>
        <v>93.2571428571429</v>
      </c>
      <c r="K191" s="8" t="n">
        <f aca="false">J191-H191</f>
        <v>93.2571428571429</v>
      </c>
      <c r="L191" s="9" t="str">
        <f aca="false">IF(AND(H191=0,J191=0),0,IF(H191=0,"New",(J191-H191)/H191))</f>
        <v>New</v>
      </c>
    </row>
    <row r="192" customFormat="false" ht="15" hidden="false" customHeight="false" outlineLevel="0" collapsed="false">
      <c r="A192" s="7" t="n">
        <v>4419014</v>
      </c>
      <c r="B192" s="7" t="str">
        <f aca="false">IFERROR(INDEX('Source 2026'!$C:$C,MATCH($A192,'Source 2026'!$B:$B,0)),IFERROR(INDEX('Source 2025'!$C:$C,MATCH($A192,'Source 2025'!$B:$B,0)),""))</f>
        <v>239TR L-XL STRAP4U</v>
      </c>
      <c r="C192" s="8" t="n">
        <f aca="false">SUMIFS('Source 2025'!$K:$K,'Source 2025'!$B:$B,$A192,'Source 2025'!$A:$A,"Quantity (units)")</f>
        <v>0</v>
      </c>
      <c r="D192" s="8" t="n">
        <f aca="false">SUMIFS('Source 2026'!$K:$K,'Source 2026'!$B:$B,$A192,'Source 2026'!$A:$A,"Quantity (units)")</f>
        <v>6</v>
      </c>
      <c r="E192" s="8" t="n">
        <f aca="false">D192*$J$5</f>
        <v>8.22857142857143</v>
      </c>
      <c r="F192" s="8" t="n">
        <f aca="false">E192-C192</f>
        <v>8.22857142857143</v>
      </c>
      <c r="G192" s="9" t="str">
        <f aca="false">IF(AND(C192=0,E192=0),0,IF(C192=0,"New",(E192-C192)/C192))</f>
        <v>New</v>
      </c>
      <c r="H192" s="8" t="n">
        <f aca="false">SUMIFS('Source 2025'!$K:$K,'Source 2025'!$B:$B,$A192,'Source 2025'!$A:$A,"Amount (NIS)")</f>
        <v>0</v>
      </c>
      <c r="I192" s="8" t="n">
        <f aca="false">SUMIFS('Source 2026'!$K:$K,'Source 2026'!$B:$B,$A192,'Source 2026'!$A:$A,"Amount (NIS)")</f>
        <v>66</v>
      </c>
      <c r="J192" s="8" t="n">
        <f aca="false">I192*$J$5</f>
        <v>90.5142857142857</v>
      </c>
      <c r="K192" s="8" t="n">
        <f aca="false">J192-H192</f>
        <v>90.5142857142857</v>
      </c>
      <c r="L192" s="9" t="str">
        <f aca="false">IF(AND(H192=0,J192=0),0,IF(H192=0,"New",(J192-H192)/H192))</f>
        <v>New</v>
      </c>
    </row>
    <row r="193" customFormat="false" ht="15" hidden="false" customHeight="false" outlineLevel="0" collapsed="false">
      <c r="A193" s="7" t="n">
        <v>4413533</v>
      </c>
      <c r="B193" s="7" t="str">
        <f aca="false">IFERROR(INDEX('Source 2026'!$C:$C,MATCH($A193,'Source 2026'!$B:$B,0)),IFERROR(INDEX('Source 2025'!$C:$C,MATCH($A193,'Source 2025'!$B:$B,0)),""))</f>
        <v>ST49 מגן ירך</v>
      </c>
      <c r="C193" s="8" t="n">
        <f aca="false">SUMIFS('Source 2025'!$K:$K,'Source 2025'!$B:$B,$A193,'Source 2025'!$A:$A,"Quantity (units)")</f>
        <v>0</v>
      </c>
      <c r="D193" s="8" t="n">
        <f aca="false">SUMIFS('Source 2026'!$K:$K,'Source 2026'!$B:$B,$A193,'Source 2026'!$A:$A,"Quantity (units)")</f>
        <v>3</v>
      </c>
      <c r="E193" s="8" t="n">
        <f aca="false">D193*$J$5</f>
        <v>4.11428571428571</v>
      </c>
      <c r="F193" s="8" t="n">
        <f aca="false">E193-C193</f>
        <v>4.11428571428571</v>
      </c>
      <c r="G193" s="9" t="str">
        <f aca="false">IF(AND(C193=0,E193=0),0,IF(C193=0,"New",(E193-C193)/C193))</f>
        <v>New</v>
      </c>
      <c r="H193" s="8" t="n">
        <f aca="false">SUMIFS('Source 2025'!$K:$K,'Source 2025'!$B:$B,$A193,'Source 2025'!$A:$A,"Amount (NIS)")</f>
        <v>0</v>
      </c>
      <c r="I193" s="8" t="n">
        <f aca="false">SUMIFS('Source 2026'!$K:$K,'Source 2026'!$B:$B,$A193,'Source 2026'!$A:$A,"Amount (NIS)")</f>
        <v>61.5</v>
      </c>
      <c r="J193" s="8" t="n">
        <f aca="false">I193*$J$5</f>
        <v>84.3428571428571</v>
      </c>
      <c r="K193" s="8" t="n">
        <f aca="false">J193-H193</f>
        <v>84.3428571428571</v>
      </c>
      <c r="L193" s="9" t="str">
        <f aca="false">IF(AND(H193=0,J193=0),0,IF(H193=0,"New",(J193-H193)/H193))</f>
        <v>New</v>
      </c>
    </row>
    <row r="194" customFormat="false" ht="15" hidden="false" customHeight="false" outlineLevel="0" collapsed="false">
      <c r="A194" s="7" t="n">
        <v>4403005</v>
      </c>
      <c r="B194" s="7" t="str">
        <f aca="false">IFERROR(INDEX('Source 2026'!$C:$C,MATCH($A194,'Source 2026'!$B:$B,0)),IFERROR(INDEX('Source 2025'!$C:$C,MATCH($A194,'Source 2025'!$B:$B,0)),""))</f>
        <v>G390.43-46 גרבי כסף לסכרת מידה</v>
      </c>
      <c r="C194" s="8" t="n">
        <f aca="false">SUMIFS('Source 2025'!$K:$K,'Source 2025'!$B:$B,$A194,'Source 2025'!$A:$A,"Quantity (units)")</f>
        <v>0</v>
      </c>
      <c r="D194" s="8" t="n">
        <f aca="false">SUMIFS('Source 2026'!$K:$K,'Source 2026'!$B:$B,$A194,'Source 2026'!$A:$A,"Quantity (units)")</f>
        <v>3</v>
      </c>
      <c r="E194" s="8" t="n">
        <f aca="false">D194*$J$5</f>
        <v>4.11428571428571</v>
      </c>
      <c r="F194" s="8" t="n">
        <f aca="false">E194-C194</f>
        <v>4.11428571428571</v>
      </c>
      <c r="G194" s="9" t="str">
        <f aca="false">IF(AND(C194=0,E194=0),0,IF(C194=0,"New",(E194-C194)/C194))</f>
        <v>New</v>
      </c>
      <c r="H194" s="8" t="n">
        <f aca="false">SUMIFS('Source 2025'!$K:$K,'Source 2025'!$B:$B,$A194,'Source 2025'!$A:$A,"Amount (NIS)")</f>
        <v>0</v>
      </c>
      <c r="I194" s="8" t="n">
        <f aca="false">SUMIFS('Source 2026'!$K:$K,'Source 2026'!$B:$B,$A194,'Source 2026'!$A:$A,"Amount (NIS)")</f>
        <v>53.1</v>
      </c>
      <c r="J194" s="8" t="n">
        <f aca="false">I194*$J$5</f>
        <v>72.8228571428572</v>
      </c>
      <c r="K194" s="8" t="n">
        <f aca="false">J194-H194</f>
        <v>72.8228571428572</v>
      </c>
      <c r="L194" s="9" t="str">
        <f aca="false">IF(AND(H194=0,J194=0),0,IF(H194=0,"New",(J194-H194)/H194))</f>
        <v>New</v>
      </c>
    </row>
    <row r="195" customFormat="false" ht="15" hidden="false" customHeight="false" outlineLevel="0" collapsed="false">
      <c r="A195" s="7" t="n">
        <v>4403000</v>
      </c>
      <c r="B195" s="7" t="str">
        <f aca="false">IFERROR(INDEX('Source 2026'!$C:$C,MATCH($A195,'Source 2026'!$B:$B,0)),IFERROR(INDEX('Source 2025'!$C:$C,MATCH($A195,'Source 2025'!$B:$B,0)),""))</f>
        <v>390B גרב.כסף לסכרתים שחור35-38</v>
      </c>
      <c r="C195" s="8" t="n">
        <f aca="false">SUMIFS('Source 2025'!$K:$K,'Source 2025'!$B:$B,$A195,'Source 2025'!$A:$A,"Quantity (units)")</f>
        <v>0</v>
      </c>
      <c r="D195" s="8" t="n">
        <f aca="false">SUMIFS('Source 2026'!$K:$K,'Source 2026'!$B:$B,$A195,'Source 2026'!$A:$A,"Quantity (units)")</f>
        <v>2</v>
      </c>
      <c r="E195" s="8" t="n">
        <f aca="false">D195*$J$5</f>
        <v>2.74285714285714</v>
      </c>
      <c r="F195" s="8" t="n">
        <f aca="false">E195-C195</f>
        <v>2.74285714285714</v>
      </c>
      <c r="G195" s="9" t="str">
        <f aca="false">IF(AND(C195=0,E195=0),0,IF(C195=0,"New",(E195-C195)/C195))</f>
        <v>New</v>
      </c>
      <c r="H195" s="8" t="n">
        <f aca="false">SUMIFS('Source 2025'!$K:$K,'Source 2025'!$B:$B,$A195,'Source 2025'!$A:$A,"Amount (NIS)")</f>
        <v>0</v>
      </c>
      <c r="I195" s="8" t="n">
        <f aca="false">SUMIFS('Source 2026'!$K:$K,'Source 2026'!$B:$B,$A195,'Source 2026'!$A:$A,"Amount (NIS)")</f>
        <v>41.3</v>
      </c>
      <c r="J195" s="8" t="n">
        <f aca="false">I195*$J$5</f>
        <v>56.64</v>
      </c>
      <c r="K195" s="8" t="n">
        <f aca="false">J195-H195</f>
        <v>56.64</v>
      </c>
      <c r="L195" s="9" t="str">
        <f aca="false">IF(AND(H195=0,J195=0),0,IF(H195=0,"New",(J195-H195)/H195))</f>
        <v>New</v>
      </c>
    </row>
    <row r="196" customFormat="false" ht="15" hidden="false" customHeight="false" outlineLevel="0" collapsed="false">
      <c r="A196" s="7" t="n">
        <v>4413277</v>
      </c>
      <c r="B196" s="7" t="str">
        <f aca="false">IFERROR(INDEX('Source 2026'!$C:$C,MATCH($A196,'Source 2026'!$B:$B,0)),IFERROR(INDEX('Source 2025'!$C:$C,MATCH($A196,'Source 2025'!$B:$B,0)),""))</f>
        <v>LF377 M-מדרס סיליקון לנעלי עקב</v>
      </c>
      <c r="C196" s="8" t="n">
        <f aca="false">SUMIFS('Source 2025'!$K:$K,'Source 2025'!$B:$B,$A196,'Source 2025'!$A:$A,"Quantity (units)")</f>
        <v>0</v>
      </c>
      <c r="D196" s="8" t="n">
        <f aca="false">SUMIFS('Source 2026'!$K:$K,'Source 2026'!$B:$B,$A196,'Source 2026'!$A:$A,"Quantity (units)")</f>
        <v>1</v>
      </c>
      <c r="E196" s="8" t="n">
        <f aca="false">D196*$J$5</f>
        <v>1.37142857142857</v>
      </c>
      <c r="F196" s="8" t="n">
        <f aca="false">E196-C196</f>
        <v>1.37142857142857</v>
      </c>
      <c r="G196" s="9" t="str">
        <f aca="false">IF(AND(C196=0,E196=0),0,IF(C196=0,"New",(E196-C196)/C196))</f>
        <v>New</v>
      </c>
      <c r="H196" s="8" t="n">
        <f aca="false">SUMIFS('Source 2025'!$K:$K,'Source 2025'!$B:$B,$A196,'Source 2025'!$A:$A,"Amount (NIS)")</f>
        <v>0</v>
      </c>
      <c r="I196" s="8" t="n">
        <f aca="false">SUMIFS('Source 2026'!$K:$K,'Source 2026'!$B:$B,$A196,'Source 2026'!$A:$A,"Amount (NIS)")</f>
        <v>32.1</v>
      </c>
      <c r="J196" s="8" t="n">
        <f aca="false">I196*$J$5</f>
        <v>44.0228571428572</v>
      </c>
      <c r="K196" s="8" t="n">
        <f aca="false">J196-H196</f>
        <v>44.0228571428572</v>
      </c>
      <c r="L196" s="9" t="str">
        <f aca="false">IF(AND(H196=0,J196=0),0,IF(H196=0,"New",(J196-H196)/H196))</f>
        <v>New</v>
      </c>
    </row>
    <row r="197" customFormat="false" ht="15" hidden="false" customHeight="false" outlineLevel="0" collapsed="false">
      <c r="A197" s="7" t="n">
        <v>4413111</v>
      </c>
      <c r="B197" s="7" t="str">
        <f aca="false">IFERROR(INDEX('Source 2026'!$C:$C,MATCH($A197,'Source 2026'!$B:$B,0)),IFERROR(INDEX('Source 2025'!$C:$C,MATCH($A197,'Source 2025'!$B:$B,0)),""))</f>
        <v>49  S מגן ירך</v>
      </c>
      <c r="C197" s="8" t="n">
        <f aca="false">SUMIFS('Source 2025'!$K:$K,'Source 2025'!$B:$B,$A197,'Source 2025'!$A:$A,"Quantity (units)")</f>
        <v>0</v>
      </c>
      <c r="D197" s="8" t="n">
        <f aca="false">SUMIFS('Source 2026'!$K:$K,'Source 2026'!$B:$B,$A197,'Source 2026'!$A:$A,"Quantity (units)")</f>
        <v>1</v>
      </c>
      <c r="E197" s="8" t="n">
        <f aca="false">D197*$J$5</f>
        <v>1.37142857142857</v>
      </c>
      <c r="F197" s="8" t="n">
        <f aca="false">E197-C197</f>
        <v>1.37142857142857</v>
      </c>
      <c r="G197" s="9" t="str">
        <f aca="false">IF(AND(C197=0,E197=0),0,IF(C197=0,"New",(E197-C197)/C197))</f>
        <v>New</v>
      </c>
      <c r="H197" s="8" t="n">
        <f aca="false">SUMIFS('Source 2025'!$K:$K,'Source 2025'!$B:$B,$A197,'Source 2025'!$A:$A,"Amount (NIS)")</f>
        <v>0</v>
      </c>
      <c r="I197" s="8" t="n">
        <f aca="false">SUMIFS('Source 2026'!$K:$K,'Source 2026'!$B:$B,$A197,'Source 2026'!$A:$A,"Amount (NIS)")</f>
        <v>21</v>
      </c>
      <c r="J197" s="8" t="n">
        <f aca="false">I197*$J$5</f>
        <v>28.8</v>
      </c>
      <c r="K197" s="8" t="n">
        <f aca="false">J197-H197</f>
        <v>28.8</v>
      </c>
      <c r="L197" s="9" t="str">
        <f aca="false">IF(AND(H197=0,J197=0),0,IF(H197=0,"New",(J197-H197)/H197))</f>
        <v>New</v>
      </c>
    </row>
    <row r="198" customFormat="false" ht="15" hidden="false" customHeight="false" outlineLevel="0" collapsed="false">
      <c r="A198" s="7" t="n">
        <v>4413144</v>
      </c>
      <c r="B198" s="7" t="str">
        <f aca="false">IFERROR(INDEX('Source 2026'!$C:$C,MATCH($A198,'Source 2026'!$B:$B,0)),IFERROR(INDEX('Source 2025'!$C:$C,MATCH($A198,'Source 2025'!$B:$B,0)),""))</f>
        <v>95 XXL מגן מרפק רגיל לבן</v>
      </c>
      <c r="C198" s="8" t="n">
        <f aca="false">SUMIFS('Source 2025'!$K:$K,'Source 2025'!$B:$B,$A198,'Source 2025'!$A:$A,"Quantity (units)")</f>
        <v>0</v>
      </c>
      <c r="D198" s="8" t="n">
        <f aca="false">SUMIFS('Source 2026'!$K:$K,'Source 2026'!$B:$B,$A198,'Source 2026'!$A:$A,"Quantity (units)")</f>
        <v>1</v>
      </c>
      <c r="E198" s="8" t="n">
        <f aca="false">D198*$J$5</f>
        <v>1.37142857142857</v>
      </c>
      <c r="F198" s="8" t="n">
        <f aca="false">E198-C198</f>
        <v>1.37142857142857</v>
      </c>
      <c r="G198" s="9" t="str">
        <f aca="false">IF(AND(C198=0,E198=0),0,IF(C198=0,"New",(E198-C198)/C198))</f>
        <v>New</v>
      </c>
      <c r="H198" s="8" t="n">
        <f aca="false">SUMIFS('Source 2025'!$K:$K,'Source 2025'!$B:$B,$A198,'Source 2025'!$A:$A,"Amount (NIS)")</f>
        <v>0</v>
      </c>
      <c r="I198" s="8" t="n">
        <f aca="false">SUMIFS('Source 2026'!$K:$K,'Source 2026'!$B:$B,$A198,'Source 2026'!$A:$A,"Amount (NIS)")</f>
        <v>17</v>
      </c>
      <c r="J198" s="8" t="n">
        <f aca="false">I198*$J$5</f>
        <v>23.3142857142857</v>
      </c>
      <c r="K198" s="8" t="n">
        <f aca="false">J198-H198</f>
        <v>23.3142857142857</v>
      </c>
      <c r="L198" s="9" t="str">
        <f aca="false">IF(AND(H198=0,J198=0),0,IF(H198=0,"New",(J198-H198)/H198))</f>
        <v>New</v>
      </c>
    </row>
    <row r="200" customFormat="false" ht="15" hidden="false" customHeight="false" outlineLevel="0" collapsed="false">
      <c r="A200" s="21"/>
      <c r="B200" s="22" t="s">
        <v>72</v>
      </c>
      <c r="C200" s="23" t="n">
        <f aca="false">SUM(C9:C198)</f>
        <v>0</v>
      </c>
      <c r="D200" s="23" t="n">
        <f aca="false">SUM(D9:D198)</f>
        <v>10034</v>
      </c>
      <c r="E200" s="23" t="n">
        <f aca="false">SUM(E9:E198)</f>
        <v>13760.9142857143</v>
      </c>
      <c r="F200" s="23" t="n">
        <f aca="false">SUM(F9:F198)</f>
        <v>13760.9142857143</v>
      </c>
      <c r="G200" s="24" t="str">
        <f aca="false">IF(C200=0,"N/A",F200/C200)</f>
        <v>N/A</v>
      </c>
      <c r="H200" s="23" t="n">
        <f aca="false">SUM(H9:H198)</f>
        <v>0</v>
      </c>
      <c r="I200" s="23" t="n">
        <f aca="false">SUM(I9:I198)</f>
        <v>306848.4</v>
      </c>
      <c r="J200" s="23" t="n">
        <f aca="false">SUM(J9:J198)</f>
        <v>420820.662857143</v>
      </c>
      <c r="K200" s="23" t="n">
        <f aca="false">SUM(K9:K198)</f>
        <v>420820.662857143</v>
      </c>
      <c r="L200" s="24" t="str">
        <f aca="false">IF(H200=0,"N/A",K200/H200)</f>
        <v>N/A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1</v>
      </c>
      <c r="B2" s="3" t="n">
        <v>46289</v>
      </c>
    </row>
    <row r="3" customFormat="false" ht="99.75" hidden="false" customHeight="true" outlineLevel="0" collapsed="false">
      <c r="A3" s="4" t="s">
        <v>80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54.75" hidden="false" customHeight="true" outlineLevel="0" collapsed="false">
      <c r="A4" s="4" t="s">
        <v>51</v>
      </c>
      <c r="B4" s="4"/>
      <c r="C4" s="4"/>
      <c r="D4" s="4"/>
      <c r="E4" s="4"/>
      <c r="F4" s="4"/>
      <c r="G4" s="4"/>
      <c r="H4" s="4"/>
      <c r="I4" s="14" t="s">
        <v>52</v>
      </c>
      <c r="J4" s="15" t="n">
        <v>12</v>
      </c>
      <c r="K4" s="16" t="s">
        <v>53</v>
      </c>
      <c r="L4" s="15" t="n">
        <v>8.75</v>
      </c>
    </row>
    <row r="5" customFormat="false" ht="30" hidden="false" customHeight="true" outlineLevel="0" collapsed="false">
      <c r="A5" s="17" t="s">
        <v>54</v>
      </c>
      <c r="B5" s="18" t="n">
        <f aca="false">SUMPRODUCT(--((($C$9:$C$11&lt;&gt;0)+($H$9:$H$11&lt;&gt;0)&gt;0)*(($D$9:$D$11=0)*($I$9:$I$11=0))))</f>
        <v>0</v>
      </c>
      <c r="C5" s="17" t="s">
        <v>55</v>
      </c>
      <c r="D5" s="18" t="n">
        <f aca="false">SUMPRODUCT(--((($D$9:$D$11&lt;&gt;0)+($I$9:$I$11&lt;&gt;0)&gt;0)*(($C$9:$C$11=0)*($H$9:$H$11=0))))</f>
        <v>3</v>
      </c>
      <c r="I5" s="17" t="s">
        <v>56</v>
      </c>
      <c r="J5" s="19" t="n">
        <f aca="false">J4/L4</f>
        <v>1.37142857142857</v>
      </c>
    </row>
    <row r="6" customFormat="false" ht="30" hidden="false" customHeight="true" outlineLevel="0" collapsed="false">
      <c r="A6" s="17" t="s">
        <v>57</v>
      </c>
      <c r="B6" s="18" t="n">
        <f aca="false">SUMPRODUCT(--((($C$9:$C$11&lt;&gt;0)+($H$9:$H$11&lt;&gt;0)&gt;0)*(($D$9:$D$11=0)*($I$9:$I$11=0)))*$C$9:$C$11)</f>
        <v>0</v>
      </c>
      <c r="C6" s="17" t="s">
        <v>58</v>
      </c>
      <c r="D6" s="18" t="n">
        <f aca="false">SUMPRODUCT(--((($C$9:$C$11&lt;&gt;0)+($H$9:$H$11&lt;&gt;0)&gt;0)*(($D$9:$D$11=0)*($I$9:$I$11=0)))*$H$9:$H$11)</f>
        <v>0</v>
      </c>
      <c r="E6" s="17" t="s">
        <v>59</v>
      </c>
      <c r="F6" s="18" t="n">
        <f aca="false">SUMPRODUCT(--((($D$9:$D$11&lt;&gt;0)+($I$9:$I$11&lt;&gt;0)&gt;0)*(($C$9:$C$11=0)*($H$9:$H$11=0)))*$D$9:$D$11)</f>
        <v>3</v>
      </c>
      <c r="G6" s="17" t="s">
        <v>60</v>
      </c>
      <c r="H6" s="18" t="n">
        <f aca="false">SUMPRODUCT(--((($D$9:$D$11&lt;&gt;0)+($I$9:$I$11&lt;&gt;0)&gt;0)*(($C$9:$C$11=0)*($H$9:$H$11=0)))*$I$9:$I$11)</f>
        <v>666</v>
      </c>
      <c r="I6" s="17" t="s">
        <v>61</v>
      </c>
      <c r="J6" s="18" t="n">
        <f aca="false">F6*$J$5</f>
        <v>4.11428571428571</v>
      </c>
      <c r="K6" s="17" t="s">
        <v>62</v>
      </c>
      <c r="L6" s="18" t="n">
        <f aca="false">H6*$J$5</f>
        <v>913.371428571429</v>
      </c>
    </row>
    <row r="8" customFormat="false" ht="43.5" hidden="false" customHeight="true" outlineLevel="0" collapsed="false">
      <c r="A8" s="5" t="s">
        <v>63</v>
      </c>
      <c r="B8" s="5" t="s">
        <v>64</v>
      </c>
      <c r="C8" s="5" t="s">
        <v>17</v>
      </c>
      <c r="D8" s="20" t="s">
        <v>65</v>
      </c>
      <c r="E8" s="5" t="s">
        <v>66</v>
      </c>
      <c r="F8" s="5" t="s">
        <v>67</v>
      </c>
      <c r="G8" s="5" t="s">
        <v>68</v>
      </c>
      <c r="H8" s="5" t="s">
        <v>21</v>
      </c>
      <c r="I8" s="20" t="s">
        <v>69</v>
      </c>
      <c r="J8" s="5" t="s">
        <v>23</v>
      </c>
      <c r="K8" s="5" t="s">
        <v>70</v>
      </c>
      <c r="L8" s="5" t="s">
        <v>71</v>
      </c>
    </row>
    <row r="9" customFormat="false" ht="15" hidden="false" customHeight="false" outlineLevel="0" collapsed="false">
      <c r="A9" s="7" t="n">
        <v>4408272</v>
      </c>
      <c r="B9" s="7" t="str">
        <f aca="false">IFERROR(INDEX('Source 2026'!$C:$C,MATCH($A9,'Source 2026'!$B:$B,0)),IFERROR(INDEX('Source 2025'!$C:$C,MATCH($A9,'Source 2025'!$B:$B,0)),""))</f>
        <v>70N S חגורת פאבליק</v>
      </c>
      <c r="C9" s="8" t="n">
        <f aca="false">SUMIFS('Source 2025'!$L:$L,'Source 2025'!$B:$B,$A9,'Source 2025'!$A:$A,"Quantity (units)")</f>
        <v>0</v>
      </c>
      <c r="D9" s="8" t="n">
        <f aca="false">SUMIFS('Source 2026'!$L:$L,'Source 2026'!$B:$B,$A9,'Source 2026'!$A:$A,"Quantity (units)")</f>
        <v>1</v>
      </c>
      <c r="E9" s="8" t="n">
        <f aca="false">D9*$J$5</f>
        <v>1.37142857142857</v>
      </c>
      <c r="F9" s="8" t="n">
        <f aca="false">E9-C9</f>
        <v>1.37142857142857</v>
      </c>
      <c r="G9" s="9" t="str">
        <f aca="false">IF(AND(C9=0,E9=0),0,IF(C9=0,"New",(E9-C9)/C9))</f>
        <v>New</v>
      </c>
      <c r="H9" s="8" t="n">
        <f aca="false">SUMIFS('Source 2025'!$L:$L,'Source 2025'!$B:$B,$A9,'Source 2025'!$A:$A,"Amount (NIS)")</f>
        <v>0</v>
      </c>
      <c r="I9" s="8" t="n">
        <f aca="false">SUMIFS('Source 2026'!$L:$L,'Source 2026'!$B:$B,$A9,'Source 2026'!$A:$A,"Amount (NIS)")</f>
        <v>222</v>
      </c>
      <c r="J9" s="8" t="n">
        <f aca="false">I9*$J$5</f>
        <v>304.457142857143</v>
      </c>
      <c r="K9" s="8" t="n">
        <f aca="false">J9-H9</f>
        <v>304.457142857143</v>
      </c>
      <c r="L9" s="9" t="str">
        <f aca="false">IF(AND(H9=0,J9=0),0,IF(H9=0,"New",(J9-H9)/H9))</f>
        <v>New</v>
      </c>
    </row>
    <row r="10" customFormat="false" ht="15" hidden="false" customHeight="false" outlineLevel="0" collapsed="false">
      <c r="A10" s="7" t="n">
        <v>4408273</v>
      </c>
      <c r="B10" s="7" t="str">
        <f aca="false">IFERROR(INDEX('Source 2026'!$C:$C,MATCH($A10,'Source 2026'!$B:$B,0)),IFERROR(INDEX('Source 2025'!$C:$C,MATCH($A10,'Source 2025'!$B:$B,0)),""))</f>
        <v>70N M חגורת פאבליק</v>
      </c>
      <c r="C10" s="8" t="n">
        <f aca="false">SUMIFS('Source 2025'!$L:$L,'Source 2025'!$B:$B,$A10,'Source 2025'!$A:$A,"Quantity (units)")</f>
        <v>0</v>
      </c>
      <c r="D10" s="8" t="n">
        <f aca="false">SUMIFS('Source 2026'!$L:$L,'Source 2026'!$B:$B,$A10,'Source 2026'!$A:$A,"Quantity (units)")</f>
        <v>1</v>
      </c>
      <c r="E10" s="8" t="n">
        <f aca="false">D10*$J$5</f>
        <v>1.37142857142857</v>
      </c>
      <c r="F10" s="8" t="n">
        <f aca="false">E10-C10</f>
        <v>1.37142857142857</v>
      </c>
      <c r="G10" s="9" t="str">
        <f aca="false">IF(AND(C10=0,E10=0),0,IF(C10=0,"New",(E10-C10)/C10))</f>
        <v>New</v>
      </c>
      <c r="H10" s="8" t="n">
        <f aca="false">SUMIFS('Source 2025'!$L:$L,'Source 2025'!$B:$B,$A10,'Source 2025'!$A:$A,"Amount (NIS)")</f>
        <v>0</v>
      </c>
      <c r="I10" s="8" t="n">
        <f aca="false">SUMIFS('Source 2026'!$L:$L,'Source 2026'!$B:$B,$A10,'Source 2026'!$A:$A,"Amount (NIS)")</f>
        <v>222</v>
      </c>
      <c r="J10" s="8" t="n">
        <f aca="false">I10*$J$5</f>
        <v>304.457142857143</v>
      </c>
      <c r="K10" s="8" t="n">
        <f aca="false">J10-H10</f>
        <v>304.457142857143</v>
      </c>
      <c r="L10" s="9" t="str">
        <f aca="false">IF(AND(H10=0,J10=0),0,IF(H10=0,"New",(J10-H10)/H10))</f>
        <v>New</v>
      </c>
    </row>
    <row r="11" customFormat="false" ht="15" hidden="false" customHeight="false" outlineLevel="0" collapsed="false">
      <c r="A11" s="7" t="n">
        <v>4408274</v>
      </c>
      <c r="B11" s="7" t="str">
        <f aca="false">IFERROR(INDEX('Source 2026'!$C:$C,MATCH($A11,'Source 2026'!$B:$B,0)),IFERROR(INDEX('Source 2025'!$C:$C,MATCH($A11,'Source 2025'!$B:$B,0)),""))</f>
        <v>70N L חגורת פאבליק</v>
      </c>
      <c r="C11" s="8" t="n">
        <f aca="false">SUMIFS('Source 2025'!$L:$L,'Source 2025'!$B:$B,$A11,'Source 2025'!$A:$A,"Quantity (units)")</f>
        <v>0</v>
      </c>
      <c r="D11" s="8" t="n">
        <f aca="false">SUMIFS('Source 2026'!$L:$L,'Source 2026'!$B:$B,$A11,'Source 2026'!$A:$A,"Quantity (units)")</f>
        <v>1</v>
      </c>
      <c r="E11" s="8" t="n">
        <f aca="false">D11*$J$5</f>
        <v>1.37142857142857</v>
      </c>
      <c r="F11" s="8" t="n">
        <f aca="false">E11-C11</f>
        <v>1.37142857142857</v>
      </c>
      <c r="G11" s="9" t="str">
        <f aca="false">IF(AND(C11=0,E11=0),0,IF(C11=0,"New",(E11-C11)/C11))</f>
        <v>New</v>
      </c>
      <c r="H11" s="8" t="n">
        <f aca="false">SUMIFS('Source 2025'!$L:$L,'Source 2025'!$B:$B,$A11,'Source 2025'!$A:$A,"Amount (NIS)")</f>
        <v>0</v>
      </c>
      <c r="I11" s="8" t="n">
        <f aca="false">SUMIFS('Source 2026'!$L:$L,'Source 2026'!$B:$B,$A11,'Source 2026'!$A:$A,"Amount (NIS)")</f>
        <v>222</v>
      </c>
      <c r="J11" s="8" t="n">
        <f aca="false">I11*$J$5</f>
        <v>304.457142857143</v>
      </c>
      <c r="K11" s="8" t="n">
        <f aca="false">J11-H11</f>
        <v>304.457142857143</v>
      </c>
      <c r="L11" s="9" t="str">
        <f aca="false">IF(AND(H11=0,J11=0),0,IF(H11=0,"New",(J11-H11)/H11))</f>
        <v>New</v>
      </c>
    </row>
    <row r="13" customFormat="false" ht="15" hidden="false" customHeight="false" outlineLevel="0" collapsed="false">
      <c r="A13" s="21"/>
      <c r="B13" s="22" t="s">
        <v>72</v>
      </c>
      <c r="C13" s="23" t="n">
        <f aca="false">SUM(C9:C11)</f>
        <v>0</v>
      </c>
      <c r="D13" s="23" t="n">
        <f aca="false">SUM(D9:D11)</f>
        <v>3</v>
      </c>
      <c r="E13" s="23" t="n">
        <f aca="false">SUM(E9:E11)</f>
        <v>4.11428571428571</v>
      </c>
      <c r="F13" s="23" t="n">
        <f aca="false">SUM(F9:F11)</f>
        <v>4.11428571428571</v>
      </c>
      <c r="G13" s="24" t="str">
        <f aca="false">IF(C13=0,"N/A",F13/C13)</f>
        <v>N/A</v>
      </c>
      <c r="H13" s="23" t="n">
        <f aca="false">SUM(H9:H11)</f>
        <v>0</v>
      </c>
      <c r="I13" s="23" t="n">
        <f aca="false">SUM(I9:I11)</f>
        <v>666</v>
      </c>
      <c r="J13" s="23" t="n">
        <f aca="false">SUM(J9:J11)</f>
        <v>913.371428571429</v>
      </c>
      <c r="K13" s="23" t="n">
        <f aca="false">SUM(K9:K11)</f>
        <v>913.371428571429</v>
      </c>
      <c r="L13" s="24" t="str">
        <f aca="false">IF(H13=0,"N/A",K13/H13)</f>
        <v>N/A</v>
      </c>
    </row>
  </sheetData>
  <mergeCells count="2">
    <mergeCell ref="A3:L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13" min="4" style="0" width="13"/>
  </cols>
  <sheetData>
    <row r="1" customFormat="false" ht="14.15" hidden="false" customHeight="false" outlineLevel="0" collapsed="false">
      <c r="A1" s="10" t="s">
        <v>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25" t="s">
        <v>82</v>
      </c>
      <c r="B2" s="25" t="s">
        <v>83</v>
      </c>
      <c r="C2" s="25" t="s">
        <v>84</v>
      </c>
      <c r="D2" s="25" t="s">
        <v>36</v>
      </c>
      <c r="E2" s="25" t="s">
        <v>38</v>
      </c>
      <c r="F2" s="25" t="s">
        <v>39</v>
      </c>
      <c r="G2" s="25" t="s">
        <v>40</v>
      </c>
      <c r="H2" s="25" t="s">
        <v>44</v>
      </c>
      <c r="I2" s="25" t="s">
        <v>26</v>
      </c>
      <c r="J2" s="25" t="s">
        <v>41</v>
      </c>
      <c r="K2" s="25" t="s">
        <v>45</v>
      </c>
      <c r="L2" s="25" t="s">
        <v>46</v>
      </c>
      <c r="M2" s="25" t="s">
        <v>42</v>
      </c>
    </row>
    <row r="3" customFormat="false" ht="15" hidden="false" customHeight="false" outlineLevel="0" collapsed="false">
      <c r="A3" s="7" t="s">
        <v>85</v>
      </c>
      <c r="B3" s="7" t="n">
        <v>4402014</v>
      </c>
      <c r="C3" s="7" t="s">
        <v>86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0</v>
      </c>
      <c r="L3" s="26" t="n">
        <v>0</v>
      </c>
      <c r="M3" s="26" t="n">
        <v>0</v>
      </c>
    </row>
    <row r="4" customFormat="false" ht="15" hidden="false" customHeight="false" outlineLevel="0" collapsed="false">
      <c r="A4" s="7" t="s">
        <v>87</v>
      </c>
      <c r="B4" s="7" t="n">
        <v>4402014</v>
      </c>
      <c r="C4" s="7" t="s">
        <v>86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0</v>
      </c>
      <c r="M4" s="26" t="n">
        <v>0</v>
      </c>
    </row>
    <row r="5" customFormat="false" ht="15" hidden="false" customHeight="false" outlineLevel="0" collapsed="false">
      <c r="A5" s="7" t="s">
        <v>85</v>
      </c>
      <c r="B5" s="7" t="n">
        <v>4402012</v>
      </c>
      <c r="C5" s="7" t="s">
        <v>88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-8</v>
      </c>
      <c r="J5" s="26" t="n">
        <v>0</v>
      </c>
      <c r="K5" s="26" t="n">
        <v>0</v>
      </c>
      <c r="L5" s="26" t="n">
        <v>0</v>
      </c>
      <c r="M5" s="26" t="n">
        <v>0</v>
      </c>
    </row>
    <row r="6" customFormat="false" ht="15" hidden="false" customHeight="false" outlineLevel="0" collapsed="false">
      <c r="A6" s="7" t="s">
        <v>87</v>
      </c>
      <c r="B6" s="7" t="n">
        <v>4402012</v>
      </c>
      <c r="C6" s="7" t="s">
        <v>88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-26.4</v>
      </c>
      <c r="J6" s="26" t="n">
        <v>0</v>
      </c>
      <c r="K6" s="26" t="n">
        <v>0</v>
      </c>
      <c r="L6" s="26" t="n">
        <v>0</v>
      </c>
      <c r="M6" s="26" t="n">
        <v>0</v>
      </c>
    </row>
    <row r="7" customFormat="false" ht="15" hidden="false" customHeight="false" outlineLevel="0" collapsed="false">
      <c r="A7" s="7" t="s">
        <v>85</v>
      </c>
      <c r="B7" s="7" t="n">
        <v>4402013</v>
      </c>
      <c r="C7" s="7" t="s">
        <v>89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</row>
    <row r="8" customFormat="false" ht="15" hidden="false" customHeight="false" outlineLevel="0" collapsed="false">
      <c r="A8" s="7" t="s">
        <v>87</v>
      </c>
      <c r="B8" s="7" t="n">
        <v>4402013</v>
      </c>
      <c r="C8" s="7" t="s">
        <v>89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</row>
    <row r="9" customFormat="false" ht="15" hidden="false" customHeight="false" outlineLevel="0" collapsed="false">
      <c r="A9" s="7" t="s">
        <v>85</v>
      </c>
      <c r="B9" s="7" t="n">
        <v>4402015</v>
      </c>
      <c r="C9" s="7" t="s">
        <v>90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</row>
    <row r="10" customFormat="false" ht="15" hidden="false" customHeight="false" outlineLevel="0" collapsed="false">
      <c r="A10" s="7" t="s">
        <v>87</v>
      </c>
      <c r="B10" s="7" t="n">
        <v>4402015</v>
      </c>
      <c r="C10" s="7" t="s">
        <v>90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</row>
    <row r="11" customFormat="false" ht="15" hidden="false" customHeight="false" outlineLevel="0" collapsed="false">
      <c r="A11" s="7" t="s">
        <v>85</v>
      </c>
      <c r="B11" s="7" t="n">
        <v>4402016</v>
      </c>
      <c r="C11" s="7" t="s">
        <v>91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</row>
    <row r="12" customFormat="false" ht="15" hidden="false" customHeight="false" outlineLevel="0" collapsed="false">
      <c r="A12" s="7" t="s">
        <v>87</v>
      </c>
      <c r="B12" s="7" t="n">
        <v>4402016</v>
      </c>
      <c r="C12" s="7" t="s">
        <v>91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</row>
    <row r="13" customFormat="false" ht="15" hidden="false" customHeight="false" outlineLevel="0" collapsed="false">
      <c r="A13" s="7" t="s">
        <v>85</v>
      </c>
      <c r="B13" s="7" t="n">
        <v>4402017</v>
      </c>
      <c r="C13" s="7" t="s">
        <v>92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</row>
    <row r="14" customFormat="false" ht="15" hidden="false" customHeight="false" outlineLevel="0" collapsed="false">
      <c r="A14" s="7" t="s">
        <v>87</v>
      </c>
      <c r="B14" s="7" t="n">
        <v>4402017</v>
      </c>
      <c r="C14" s="7" t="s">
        <v>92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</row>
    <row r="15" customFormat="false" ht="15" hidden="false" customHeight="false" outlineLevel="0" collapsed="false">
      <c r="A15" s="7" t="s">
        <v>85</v>
      </c>
      <c r="B15" s="7" t="n">
        <v>4402018</v>
      </c>
      <c r="C15" s="7" t="s">
        <v>93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</row>
    <row r="16" customFormat="false" ht="15" hidden="false" customHeight="false" outlineLevel="0" collapsed="false">
      <c r="A16" s="7" t="s">
        <v>87</v>
      </c>
      <c r="B16" s="7" t="n">
        <v>4402018</v>
      </c>
      <c r="C16" s="7" t="s">
        <v>93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</row>
    <row r="17" customFormat="false" ht="15" hidden="false" customHeight="false" outlineLevel="0" collapsed="false">
      <c r="A17" s="7" t="s">
        <v>85</v>
      </c>
      <c r="B17" s="7" t="n">
        <v>4402019</v>
      </c>
      <c r="C17" s="7" t="s">
        <v>94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</row>
    <row r="18" customFormat="false" ht="15" hidden="false" customHeight="false" outlineLevel="0" collapsed="false">
      <c r="A18" s="7" t="s">
        <v>87</v>
      </c>
      <c r="B18" s="7" t="n">
        <v>4402019</v>
      </c>
      <c r="C18" s="7" t="s">
        <v>94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</row>
    <row r="19" customFormat="false" ht="15" hidden="false" customHeight="false" outlineLevel="0" collapsed="false">
      <c r="A19" s="7" t="s">
        <v>85</v>
      </c>
      <c r="B19" s="7" t="n">
        <v>4402020</v>
      </c>
      <c r="C19" s="7" t="s">
        <v>95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-2</v>
      </c>
      <c r="J19" s="26" t="n">
        <v>0</v>
      </c>
      <c r="K19" s="26" t="n">
        <v>0</v>
      </c>
      <c r="L19" s="26" t="n">
        <v>0</v>
      </c>
      <c r="M19" s="26" t="n">
        <v>0</v>
      </c>
    </row>
    <row r="20" customFormat="false" ht="15" hidden="false" customHeight="false" outlineLevel="0" collapsed="false">
      <c r="A20" s="7" t="s">
        <v>87</v>
      </c>
      <c r="B20" s="7" t="n">
        <v>4402020</v>
      </c>
      <c r="C20" s="7" t="s">
        <v>95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-48</v>
      </c>
      <c r="J20" s="26" t="n">
        <v>0</v>
      </c>
      <c r="K20" s="26" t="n">
        <v>0</v>
      </c>
      <c r="L20" s="26" t="n">
        <v>0</v>
      </c>
      <c r="M20" s="26" t="n">
        <v>0</v>
      </c>
    </row>
    <row r="21" customFormat="false" ht="15" hidden="false" customHeight="false" outlineLevel="0" collapsed="false">
      <c r="A21" s="7" t="s">
        <v>85</v>
      </c>
      <c r="B21" s="7" t="n">
        <v>4402021</v>
      </c>
      <c r="C21" s="7" t="s">
        <v>96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-1</v>
      </c>
      <c r="J21" s="26" t="n">
        <v>0</v>
      </c>
      <c r="K21" s="26" t="n">
        <v>0</v>
      </c>
      <c r="L21" s="26" t="n">
        <v>0</v>
      </c>
      <c r="M21" s="26" t="n">
        <v>0</v>
      </c>
    </row>
    <row r="22" customFormat="false" ht="15" hidden="false" customHeight="false" outlineLevel="0" collapsed="false">
      <c r="A22" s="7" t="s">
        <v>87</v>
      </c>
      <c r="B22" s="7" t="n">
        <v>4402021</v>
      </c>
      <c r="C22" s="7" t="s">
        <v>96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-24</v>
      </c>
      <c r="J22" s="26" t="n">
        <v>0</v>
      </c>
      <c r="K22" s="26" t="n">
        <v>0</v>
      </c>
      <c r="L22" s="26" t="n">
        <v>0</v>
      </c>
      <c r="M22" s="26" t="n">
        <v>0</v>
      </c>
    </row>
    <row r="23" customFormat="false" ht="15" hidden="false" customHeight="false" outlineLevel="0" collapsed="false">
      <c r="A23" s="7" t="s">
        <v>85</v>
      </c>
      <c r="B23" s="7" t="n">
        <v>4402022</v>
      </c>
      <c r="C23" s="7" t="s">
        <v>97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</row>
    <row r="24" customFormat="false" ht="15" hidden="false" customHeight="false" outlineLevel="0" collapsed="false">
      <c r="A24" s="7" t="s">
        <v>87</v>
      </c>
      <c r="B24" s="7" t="n">
        <v>4402022</v>
      </c>
      <c r="C24" s="7" t="s">
        <v>97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0</v>
      </c>
      <c r="L24" s="26" t="n">
        <v>0</v>
      </c>
      <c r="M24" s="26" t="n">
        <v>0</v>
      </c>
    </row>
    <row r="25" customFormat="false" ht="15" hidden="false" customHeight="false" outlineLevel="0" collapsed="false">
      <c r="A25" s="7" t="s">
        <v>85</v>
      </c>
      <c r="B25" s="7" t="n">
        <v>4420016</v>
      </c>
      <c r="C25" s="7" t="s">
        <v>98</v>
      </c>
      <c r="D25" s="26" t="n">
        <v>46</v>
      </c>
      <c r="E25" s="26" t="n">
        <v>0</v>
      </c>
      <c r="F25" s="26" t="n">
        <v>0</v>
      </c>
      <c r="G25" s="26" t="n">
        <v>0</v>
      </c>
      <c r="H25" s="26" t="n">
        <v>965</v>
      </c>
      <c r="I25" s="26" t="n">
        <v>56</v>
      </c>
      <c r="J25" s="26" t="n">
        <v>0</v>
      </c>
      <c r="K25" s="26" t="n">
        <v>0</v>
      </c>
      <c r="L25" s="26" t="n">
        <v>0</v>
      </c>
      <c r="M25" s="26" t="n">
        <v>0</v>
      </c>
    </row>
    <row r="26" customFormat="false" ht="15" hidden="false" customHeight="false" outlineLevel="0" collapsed="false">
      <c r="A26" s="7" t="s">
        <v>87</v>
      </c>
      <c r="B26" s="7" t="n">
        <v>4420016</v>
      </c>
      <c r="C26" s="7" t="s">
        <v>98</v>
      </c>
      <c r="D26" s="26" t="n">
        <v>2335.3</v>
      </c>
      <c r="E26" s="26" t="n">
        <v>0</v>
      </c>
      <c r="F26" s="26" t="n">
        <v>0</v>
      </c>
      <c r="G26" s="26" t="n">
        <v>0</v>
      </c>
      <c r="H26" s="26" t="n">
        <v>43385.1</v>
      </c>
      <c r="I26" s="26" t="n">
        <v>2715.4</v>
      </c>
      <c r="J26" s="26" t="n">
        <v>0</v>
      </c>
      <c r="K26" s="26" t="n">
        <v>0</v>
      </c>
      <c r="L26" s="26" t="n">
        <v>0</v>
      </c>
      <c r="M26" s="26" t="n">
        <v>0</v>
      </c>
    </row>
    <row r="27" customFormat="false" ht="15" hidden="false" customHeight="false" outlineLevel="0" collapsed="false">
      <c r="A27" s="7" t="s">
        <v>85</v>
      </c>
      <c r="B27" s="7" t="n">
        <v>4420017</v>
      </c>
      <c r="C27" s="7" t="s">
        <v>99</v>
      </c>
      <c r="D27" s="26" t="n">
        <v>35</v>
      </c>
      <c r="E27" s="26" t="n">
        <v>0</v>
      </c>
      <c r="F27" s="26" t="n">
        <v>0</v>
      </c>
      <c r="G27" s="26" t="n">
        <v>0</v>
      </c>
      <c r="H27" s="26" t="n">
        <v>40</v>
      </c>
      <c r="I27" s="26" t="n">
        <v>0</v>
      </c>
      <c r="J27" s="26" t="n">
        <v>0</v>
      </c>
      <c r="K27" s="26" t="n">
        <v>0</v>
      </c>
      <c r="L27" s="26" t="n">
        <v>0</v>
      </c>
      <c r="M27" s="26" t="n">
        <v>0</v>
      </c>
    </row>
    <row r="28" customFormat="false" ht="15" hidden="false" customHeight="false" outlineLevel="0" collapsed="false">
      <c r="A28" s="7" t="s">
        <v>87</v>
      </c>
      <c r="B28" s="7" t="n">
        <v>4420017</v>
      </c>
      <c r="C28" s="7" t="s">
        <v>99</v>
      </c>
      <c r="D28" s="26" t="n">
        <v>3191.1</v>
      </c>
      <c r="E28" s="26" t="n">
        <v>0</v>
      </c>
      <c r="F28" s="26" t="n">
        <v>0</v>
      </c>
      <c r="G28" s="26" t="n">
        <v>0</v>
      </c>
      <c r="H28" s="26" t="n">
        <v>3726.4</v>
      </c>
      <c r="I28" s="26" t="n">
        <v>0</v>
      </c>
      <c r="J28" s="26" t="n">
        <v>0</v>
      </c>
      <c r="K28" s="26" t="n">
        <v>0</v>
      </c>
      <c r="L28" s="26" t="n">
        <v>0</v>
      </c>
      <c r="M28" s="26" t="n">
        <v>0</v>
      </c>
    </row>
    <row r="29" customFormat="false" ht="15" hidden="false" customHeight="false" outlineLevel="0" collapsed="false">
      <c r="A29" s="7" t="s">
        <v>85</v>
      </c>
      <c r="B29" s="7" t="n">
        <v>4413074</v>
      </c>
      <c r="C29" s="7" t="s">
        <v>100</v>
      </c>
      <c r="D29" s="26" t="n">
        <v>11</v>
      </c>
      <c r="E29" s="26" t="n">
        <v>0</v>
      </c>
      <c r="F29" s="26" t="n">
        <v>0</v>
      </c>
      <c r="G29" s="26" t="n">
        <v>0</v>
      </c>
      <c r="H29" s="26" t="n">
        <v>3</v>
      </c>
      <c r="I29" s="26" t="n">
        <v>6</v>
      </c>
      <c r="J29" s="26" t="n">
        <v>0</v>
      </c>
      <c r="K29" s="26" t="n">
        <v>0</v>
      </c>
      <c r="L29" s="26" t="n">
        <v>0</v>
      </c>
      <c r="M29" s="26" t="n">
        <v>0</v>
      </c>
    </row>
    <row r="30" customFormat="false" ht="15" hidden="false" customHeight="false" outlineLevel="0" collapsed="false">
      <c r="A30" s="7" t="s">
        <v>87</v>
      </c>
      <c r="B30" s="7" t="n">
        <v>4413074</v>
      </c>
      <c r="C30" s="7" t="s">
        <v>100</v>
      </c>
      <c r="D30" s="26" t="n">
        <v>1301.8</v>
      </c>
      <c r="E30" s="26" t="n">
        <v>0</v>
      </c>
      <c r="F30" s="26" t="n">
        <v>0</v>
      </c>
      <c r="G30" s="26" t="n">
        <v>0</v>
      </c>
      <c r="H30" s="26" t="n">
        <v>319.4</v>
      </c>
      <c r="I30" s="26" t="n">
        <v>688</v>
      </c>
      <c r="J30" s="26" t="n">
        <v>0</v>
      </c>
      <c r="K30" s="26" t="n">
        <v>0</v>
      </c>
      <c r="L30" s="26" t="n">
        <v>0</v>
      </c>
      <c r="M30" s="26" t="n">
        <v>0</v>
      </c>
    </row>
    <row r="31" customFormat="false" ht="15" hidden="false" customHeight="false" outlineLevel="0" collapsed="false">
      <c r="A31" s="7" t="s">
        <v>85</v>
      </c>
      <c r="B31" s="7" t="n">
        <v>4413072</v>
      </c>
      <c r="C31" s="7" t="s">
        <v>101</v>
      </c>
      <c r="D31" s="26" t="n">
        <v>13</v>
      </c>
      <c r="E31" s="26" t="n">
        <v>0</v>
      </c>
      <c r="F31" s="26" t="n">
        <v>0</v>
      </c>
      <c r="G31" s="26" t="n">
        <v>0</v>
      </c>
      <c r="H31" s="26" t="n">
        <v>3</v>
      </c>
      <c r="I31" s="26" t="n">
        <v>4</v>
      </c>
      <c r="J31" s="26" t="n">
        <v>0</v>
      </c>
      <c r="K31" s="26" t="n">
        <v>0</v>
      </c>
      <c r="L31" s="26" t="n">
        <v>0</v>
      </c>
      <c r="M31" s="26" t="n">
        <v>0</v>
      </c>
    </row>
    <row r="32" customFormat="false" ht="15" hidden="false" customHeight="false" outlineLevel="0" collapsed="false">
      <c r="A32" s="7" t="s">
        <v>87</v>
      </c>
      <c r="B32" s="7" t="n">
        <v>4413072</v>
      </c>
      <c r="C32" s="7" t="s">
        <v>101</v>
      </c>
      <c r="D32" s="26" t="n">
        <v>1545.1</v>
      </c>
      <c r="E32" s="26" t="n">
        <v>0</v>
      </c>
      <c r="F32" s="26" t="n">
        <v>0</v>
      </c>
      <c r="G32" s="26" t="n">
        <v>0</v>
      </c>
      <c r="H32" s="26" t="n">
        <v>319.4</v>
      </c>
      <c r="I32" s="26" t="n">
        <v>458.7</v>
      </c>
      <c r="J32" s="26" t="n">
        <v>0</v>
      </c>
      <c r="K32" s="26" t="n">
        <v>0</v>
      </c>
      <c r="L32" s="26" t="n">
        <v>0</v>
      </c>
      <c r="M32" s="26" t="n">
        <v>0</v>
      </c>
    </row>
    <row r="33" customFormat="false" ht="15" hidden="false" customHeight="false" outlineLevel="0" collapsed="false">
      <c r="A33" s="7" t="s">
        <v>85</v>
      </c>
      <c r="B33" s="7" t="n">
        <v>4413073</v>
      </c>
      <c r="C33" s="7" t="s">
        <v>102</v>
      </c>
      <c r="D33" s="26" t="n">
        <v>4</v>
      </c>
      <c r="E33" s="26" t="n">
        <v>0</v>
      </c>
      <c r="F33" s="26" t="n">
        <v>0</v>
      </c>
      <c r="G33" s="26" t="n">
        <v>0</v>
      </c>
      <c r="H33" s="26" t="n">
        <v>1</v>
      </c>
      <c r="I33" s="26" t="n">
        <v>6</v>
      </c>
      <c r="J33" s="26" t="n">
        <v>0</v>
      </c>
      <c r="K33" s="26" t="n">
        <v>0</v>
      </c>
      <c r="L33" s="26" t="n">
        <v>0</v>
      </c>
      <c r="M33" s="26" t="n">
        <v>0</v>
      </c>
    </row>
    <row r="34" customFormat="false" ht="15" hidden="false" customHeight="false" outlineLevel="0" collapsed="false">
      <c r="A34" s="7" t="s">
        <v>87</v>
      </c>
      <c r="B34" s="7" t="n">
        <v>4413073</v>
      </c>
      <c r="C34" s="7" t="s">
        <v>102</v>
      </c>
      <c r="D34" s="26" t="n">
        <v>412.1</v>
      </c>
      <c r="E34" s="26" t="n">
        <v>0</v>
      </c>
      <c r="F34" s="26" t="n">
        <v>0</v>
      </c>
      <c r="G34" s="26" t="n">
        <v>0</v>
      </c>
      <c r="H34" s="26" t="n">
        <v>106.5</v>
      </c>
      <c r="I34" s="26" t="n">
        <v>688</v>
      </c>
      <c r="J34" s="26" t="n">
        <v>0</v>
      </c>
      <c r="K34" s="26" t="n">
        <v>0</v>
      </c>
      <c r="L34" s="26" t="n">
        <v>0</v>
      </c>
      <c r="M34" s="26" t="n">
        <v>0</v>
      </c>
    </row>
    <row r="35" customFormat="false" ht="15" hidden="false" customHeight="false" outlineLevel="0" collapsed="false">
      <c r="A35" s="7" t="s">
        <v>85</v>
      </c>
      <c r="B35" s="7" t="n">
        <v>4413071</v>
      </c>
      <c r="C35" s="7" t="s">
        <v>103</v>
      </c>
      <c r="D35" s="26" t="n">
        <v>1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2</v>
      </c>
      <c r="J35" s="26" t="n">
        <v>0</v>
      </c>
      <c r="K35" s="26" t="n">
        <v>0</v>
      </c>
      <c r="L35" s="26" t="n">
        <v>0</v>
      </c>
      <c r="M35" s="26" t="n">
        <v>0</v>
      </c>
    </row>
    <row r="36" customFormat="false" ht="15" hidden="false" customHeight="false" outlineLevel="0" collapsed="false">
      <c r="A36" s="7" t="s">
        <v>87</v>
      </c>
      <c r="B36" s="7" t="n">
        <v>4413071</v>
      </c>
      <c r="C36" s="7" t="s">
        <v>103</v>
      </c>
      <c r="D36" s="26" t="n">
        <v>118.1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229.3</v>
      </c>
      <c r="J36" s="26" t="n">
        <v>0</v>
      </c>
      <c r="K36" s="26" t="n">
        <v>0</v>
      </c>
      <c r="L36" s="26" t="n">
        <v>0</v>
      </c>
      <c r="M36" s="26" t="n">
        <v>0</v>
      </c>
    </row>
    <row r="37" customFormat="false" ht="15" hidden="false" customHeight="false" outlineLevel="0" collapsed="false">
      <c r="A37" s="7" t="s">
        <v>85</v>
      </c>
      <c r="B37" s="7" t="n">
        <v>4413275</v>
      </c>
      <c r="C37" s="7" t="s">
        <v>104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</row>
    <row r="38" customFormat="false" ht="15" hidden="false" customHeight="false" outlineLevel="0" collapsed="false">
      <c r="A38" s="7" t="s">
        <v>87</v>
      </c>
      <c r="B38" s="7" t="n">
        <v>4413275</v>
      </c>
      <c r="C38" s="7" t="s">
        <v>104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</row>
    <row r="39" customFormat="false" ht="15" hidden="false" customHeight="false" outlineLevel="0" collapsed="false">
      <c r="A39" s="7" t="s">
        <v>85</v>
      </c>
      <c r="B39" s="7" t="n">
        <v>4413075</v>
      </c>
      <c r="C39" s="7" t="s">
        <v>105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</row>
    <row r="40" customFormat="false" ht="15" hidden="false" customHeight="false" outlineLevel="0" collapsed="false">
      <c r="A40" s="7" t="s">
        <v>87</v>
      </c>
      <c r="B40" s="7" t="n">
        <v>4413075</v>
      </c>
      <c r="C40" s="7" t="s">
        <v>105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</row>
    <row r="41" customFormat="false" ht="15" hidden="false" customHeight="false" outlineLevel="0" collapsed="false">
      <c r="A41" s="7" t="s">
        <v>85</v>
      </c>
      <c r="B41" s="7" t="n">
        <v>4413076</v>
      </c>
      <c r="C41" s="7" t="s">
        <v>106</v>
      </c>
      <c r="D41" s="26" t="n">
        <v>7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5</v>
      </c>
      <c r="J41" s="26" t="n">
        <v>0</v>
      </c>
      <c r="K41" s="26" t="n">
        <v>0</v>
      </c>
      <c r="L41" s="26" t="n">
        <v>0</v>
      </c>
      <c r="M41" s="26" t="n">
        <v>0</v>
      </c>
    </row>
    <row r="42" customFormat="false" ht="15" hidden="false" customHeight="false" outlineLevel="0" collapsed="false">
      <c r="A42" s="7" t="s">
        <v>87</v>
      </c>
      <c r="B42" s="7" t="n">
        <v>4413076</v>
      </c>
      <c r="C42" s="7" t="s">
        <v>106</v>
      </c>
      <c r="D42" s="26" t="n">
        <v>942.1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628.6</v>
      </c>
      <c r="J42" s="26" t="n">
        <v>0</v>
      </c>
      <c r="K42" s="26" t="n">
        <v>0</v>
      </c>
      <c r="L42" s="26" t="n">
        <v>0</v>
      </c>
      <c r="M42" s="26" t="n">
        <v>0</v>
      </c>
    </row>
    <row r="43" customFormat="false" ht="15" hidden="false" customHeight="false" outlineLevel="0" collapsed="false">
      <c r="A43" s="7" t="s">
        <v>85</v>
      </c>
      <c r="B43" s="7" t="n">
        <v>4413077</v>
      </c>
      <c r="C43" s="7" t="s">
        <v>107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0</v>
      </c>
      <c r="L43" s="26" t="n">
        <v>0</v>
      </c>
      <c r="M43" s="26" t="n">
        <v>0</v>
      </c>
    </row>
    <row r="44" customFormat="false" ht="15" hidden="false" customHeight="false" outlineLevel="0" collapsed="false">
      <c r="A44" s="7" t="s">
        <v>87</v>
      </c>
      <c r="B44" s="7" t="n">
        <v>4413077</v>
      </c>
      <c r="C44" s="7" t="s">
        <v>107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0</v>
      </c>
      <c r="L44" s="26" t="n">
        <v>0</v>
      </c>
      <c r="M44" s="26" t="n">
        <v>0</v>
      </c>
    </row>
    <row r="45" customFormat="false" ht="15" hidden="false" customHeight="false" outlineLevel="0" collapsed="false">
      <c r="A45" s="7" t="s">
        <v>85</v>
      </c>
      <c r="B45" s="7" t="n">
        <v>4413078</v>
      </c>
      <c r="C45" s="7" t="s">
        <v>108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-1</v>
      </c>
      <c r="I45" s="26" t="n">
        <v>1</v>
      </c>
      <c r="J45" s="26" t="n">
        <v>0</v>
      </c>
      <c r="K45" s="26" t="n">
        <v>0</v>
      </c>
      <c r="L45" s="26" t="n">
        <v>0</v>
      </c>
      <c r="M45" s="26" t="n">
        <v>0</v>
      </c>
    </row>
    <row r="46" customFormat="false" ht="15" hidden="false" customHeight="false" outlineLevel="0" collapsed="false">
      <c r="A46" s="7" t="s">
        <v>87</v>
      </c>
      <c r="B46" s="7" t="n">
        <v>4413078</v>
      </c>
      <c r="C46" s="7" t="s">
        <v>108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-116.7</v>
      </c>
      <c r="I46" s="26" t="n">
        <v>125.7</v>
      </c>
      <c r="J46" s="26" t="n">
        <v>0</v>
      </c>
      <c r="K46" s="26" t="n">
        <v>0</v>
      </c>
      <c r="L46" s="26" t="n">
        <v>0</v>
      </c>
      <c r="M46" s="26" t="n">
        <v>0</v>
      </c>
    </row>
    <row r="47" customFormat="false" ht="15" hidden="false" customHeight="false" outlineLevel="0" collapsed="false">
      <c r="A47" s="7" t="s">
        <v>85</v>
      </c>
      <c r="B47" s="7" t="n">
        <v>4413079</v>
      </c>
      <c r="C47" s="7" t="s">
        <v>109</v>
      </c>
      <c r="D47" s="26" t="n">
        <v>1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3</v>
      </c>
      <c r="J47" s="26" t="n">
        <v>0</v>
      </c>
      <c r="K47" s="26" t="n">
        <v>0</v>
      </c>
      <c r="L47" s="26" t="n">
        <v>0</v>
      </c>
      <c r="M47" s="26" t="n">
        <v>0</v>
      </c>
    </row>
    <row r="48" customFormat="false" ht="15" hidden="false" customHeight="false" outlineLevel="0" collapsed="false">
      <c r="A48" s="7" t="s">
        <v>87</v>
      </c>
      <c r="B48" s="7" t="n">
        <v>4413079</v>
      </c>
      <c r="C48" s="7" t="s">
        <v>109</v>
      </c>
      <c r="D48" s="26" t="n">
        <v>135.9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377.1</v>
      </c>
      <c r="J48" s="26" t="n">
        <v>0</v>
      </c>
      <c r="K48" s="26" t="n">
        <v>0</v>
      </c>
      <c r="L48" s="26" t="n">
        <v>0</v>
      </c>
      <c r="M48" s="26" t="n">
        <v>0</v>
      </c>
    </row>
    <row r="49" customFormat="false" ht="15" hidden="false" customHeight="false" outlineLevel="0" collapsed="false">
      <c r="A49" s="7" t="s">
        <v>85</v>
      </c>
      <c r="B49" s="7" t="n">
        <v>4413080</v>
      </c>
      <c r="C49" s="7" t="s">
        <v>110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</row>
    <row r="50" customFormat="false" ht="15" hidden="false" customHeight="false" outlineLevel="0" collapsed="false">
      <c r="A50" s="7" t="s">
        <v>87</v>
      </c>
      <c r="B50" s="7" t="n">
        <v>4413080</v>
      </c>
      <c r="C50" s="7" t="s">
        <v>110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</row>
    <row r="51" customFormat="false" ht="15" hidden="false" customHeight="false" outlineLevel="0" collapsed="false">
      <c r="A51" s="7" t="s">
        <v>85</v>
      </c>
      <c r="B51" s="7" t="n">
        <v>4413081</v>
      </c>
      <c r="C51" s="7" t="s">
        <v>111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</row>
    <row r="52" customFormat="false" ht="15" hidden="false" customHeight="false" outlineLevel="0" collapsed="false">
      <c r="A52" s="7" t="s">
        <v>87</v>
      </c>
      <c r="B52" s="7" t="n">
        <v>4413081</v>
      </c>
      <c r="C52" s="7" t="s">
        <v>111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</row>
    <row r="53" customFormat="false" ht="15" hidden="false" customHeight="false" outlineLevel="0" collapsed="false">
      <c r="A53" s="7" t="s">
        <v>85</v>
      </c>
      <c r="B53" s="7" t="n">
        <v>4413087</v>
      </c>
      <c r="C53" s="7" t="s">
        <v>112</v>
      </c>
      <c r="D53" s="26" t="n">
        <v>5</v>
      </c>
      <c r="E53" s="26" t="n">
        <v>0</v>
      </c>
      <c r="F53" s="26" t="n">
        <v>0</v>
      </c>
      <c r="G53" s="26" t="n">
        <v>0</v>
      </c>
      <c r="H53" s="26" t="n">
        <v>-2</v>
      </c>
      <c r="I53" s="26" t="n">
        <v>1</v>
      </c>
      <c r="J53" s="26" t="n">
        <v>0</v>
      </c>
      <c r="K53" s="26" t="n">
        <v>0</v>
      </c>
      <c r="L53" s="26" t="n">
        <v>0</v>
      </c>
      <c r="M53" s="26" t="n">
        <v>0</v>
      </c>
    </row>
    <row r="54" customFormat="false" ht="15" hidden="false" customHeight="false" outlineLevel="0" collapsed="false">
      <c r="A54" s="7" t="s">
        <v>87</v>
      </c>
      <c r="B54" s="7" t="n">
        <v>4413087</v>
      </c>
      <c r="C54" s="7" t="s">
        <v>112</v>
      </c>
      <c r="D54" s="26" t="n">
        <v>899.5</v>
      </c>
      <c r="E54" s="26" t="n">
        <v>0</v>
      </c>
      <c r="F54" s="26" t="n">
        <v>0</v>
      </c>
      <c r="G54" s="26" t="n">
        <v>0</v>
      </c>
      <c r="H54" s="26" t="n">
        <v>-272.8</v>
      </c>
      <c r="I54" s="26" t="n">
        <v>163.2</v>
      </c>
      <c r="J54" s="26" t="n">
        <v>0</v>
      </c>
      <c r="K54" s="26" t="n">
        <v>0</v>
      </c>
      <c r="L54" s="26" t="n">
        <v>0</v>
      </c>
      <c r="M54" s="26" t="n">
        <v>0</v>
      </c>
    </row>
    <row r="55" customFormat="false" ht="15" hidden="false" customHeight="false" outlineLevel="0" collapsed="false">
      <c r="A55" s="7" t="s">
        <v>85</v>
      </c>
      <c r="B55" s="7" t="n">
        <v>4413088</v>
      </c>
      <c r="C55" s="7" t="s">
        <v>113</v>
      </c>
      <c r="D55" s="26" t="n">
        <v>2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2</v>
      </c>
      <c r="J55" s="26" t="n">
        <v>0</v>
      </c>
      <c r="K55" s="26" t="n">
        <v>0</v>
      </c>
      <c r="L55" s="26" t="n">
        <v>0</v>
      </c>
      <c r="M55" s="26" t="n">
        <v>0</v>
      </c>
    </row>
    <row r="56" customFormat="false" ht="15" hidden="false" customHeight="false" outlineLevel="0" collapsed="false">
      <c r="A56" s="7" t="s">
        <v>87</v>
      </c>
      <c r="B56" s="7" t="n">
        <v>4413088</v>
      </c>
      <c r="C56" s="7" t="s">
        <v>113</v>
      </c>
      <c r="D56" s="26" t="n">
        <v>349.7</v>
      </c>
      <c r="E56" s="26" t="n">
        <v>0</v>
      </c>
      <c r="F56" s="26" t="n">
        <v>0</v>
      </c>
      <c r="G56" s="26" t="n">
        <v>0</v>
      </c>
      <c r="H56" s="26" t="n">
        <v>30.3</v>
      </c>
      <c r="I56" s="26" t="n">
        <v>326.4</v>
      </c>
      <c r="J56" s="26" t="n">
        <v>0</v>
      </c>
      <c r="K56" s="26" t="n">
        <v>0</v>
      </c>
      <c r="L56" s="26" t="n">
        <v>0</v>
      </c>
      <c r="M56" s="26" t="n">
        <v>0</v>
      </c>
    </row>
    <row r="57" customFormat="false" ht="15" hidden="false" customHeight="false" outlineLevel="0" collapsed="false">
      <c r="A57" s="7" t="s">
        <v>85</v>
      </c>
      <c r="B57" s="7" t="n">
        <v>4413089</v>
      </c>
      <c r="C57" s="7" t="s">
        <v>114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-3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</row>
    <row r="58" customFormat="false" ht="15" hidden="false" customHeight="false" outlineLevel="0" collapsed="false">
      <c r="A58" s="7" t="s">
        <v>87</v>
      </c>
      <c r="B58" s="7" t="n">
        <v>4413089</v>
      </c>
      <c r="C58" s="7" t="s">
        <v>114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-454.6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</row>
    <row r="59" customFormat="false" ht="15" hidden="false" customHeight="false" outlineLevel="0" collapsed="false">
      <c r="A59" s="7" t="s">
        <v>85</v>
      </c>
      <c r="B59" s="7" t="n">
        <v>4413090</v>
      </c>
      <c r="C59" s="7" t="s">
        <v>115</v>
      </c>
      <c r="D59" s="26" t="n">
        <v>8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</row>
    <row r="60" customFormat="false" ht="15" hidden="false" customHeight="false" outlineLevel="0" collapsed="false">
      <c r="A60" s="7" t="s">
        <v>87</v>
      </c>
      <c r="B60" s="7" t="n">
        <v>4413090</v>
      </c>
      <c r="C60" s="7" t="s">
        <v>115</v>
      </c>
      <c r="D60" s="26" t="n">
        <v>1449.2</v>
      </c>
      <c r="E60" s="26" t="n">
        <v>0</v>
      </c>
      <c r="F60" s="26" t="n">
        <v>0</v>
      </c>
      <c r="G60" s="26" t="n">
        <v>0</v>
      </c>
      <c r="H60" s="26" t="n">
        <v>7.6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</row>
    <row r="61" customFormat="false" ht="15" hidden="false" customHeight="false" outlineLevel="0" collapsed="false">
      <c r="A61" s="7" t="s">
        <v>85</v>
      </c>
      <c r="B61" s="7" t="n">
        <v>4413091</v>
      </c>
      <c r="C61" s="7" t="s">
        <v>116</v>
      </c>
      <c r="D61" s="26" t="n">
        <v>2</v>
      </c>
      <c r="E61" s="26" t="n">
        <v>0</v>
      </c>
      <c r="F61" s="26" t="n">
        <v>0</v>
      </c>
      <c r="G61" s="26" t="n">
        <v>0</v>
      </c>
      <c r="H61" s="26" t="n">
        <v>2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</row>
    <row r="62" customFormat="false" ht="15" hidden="false" customHeight="false" outlineLevel="0" collapsed="false">
      <c r="A62" s="7" t="s">
        <v>87</v>
      </c>
      <c r="B62" s="7" t="n">
        <v>4413091</v>
      </c>
      <c r="C62" s="7" t="s">
        <v>116</v>
      </c>
      <c r="D62" s="26" t="n">
        <v>374.9</v>
      </c>
      <c r="E62" s="26" t="n">
        <v>0</v>
      </c>
      <c r="F62" s="26" t="n">
        <v>0</v>
      </c>
      <c r="G62" s="26" t="n">
        <v>0</v>
      </c>
      <c r="H62" s="26" t="n">
        <v>303.1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</row>
    <row r="63" customFormat="false" ht="15" hidden="false" customHeight="false" outlineLevel="0" collapsed="false">
      <c r="A63" s="7" t="s">
        <v>85</v>
      </c>
      <c r="B63" s="7" t="n">
        <v>4413083</v>
      </c>
      <c r="C63" s="7" t="s">
        <v>117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26" t="n">
        <v>0</v>
      </c>
      <c r="M63" s="26" t="n">
        <v>0</v>
      </c>
    </row>
    <row r="64" customFormat="false" ht="15" hidden="false" customHeight="false" outlineLevel="0" collapsed="false">
      <c r="A64" s="7" t="s">
        <v>87</v>
      </c>
      <c r="B64" s="7" t="n">
        <v>4413083</v>
      </c>
      <c r="C64" s="7" t="s">
        <v>117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</row>
    <row r="65" customFormat="false" ht="15" hidden="false" customHeight="false" outlineLevel="0" collapsed="false">
      <c r="A65" s="7" t="s">
        <v>85</v>
      </c>
      <c r="B65" s="7" t="n">
        <v>4413084</v>
      </c>
      <c r="C65" s="7" t="s">
        <v>118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v>0</v>
      </c>
    </row>
    <row r="66" customFormat="false" ht="15" hidden="false" customHeight="false" outlineLevel="0" collapsed="false">
      <c r="A66" s="7" t="s">
        <v>87</v>
      </c>
      <c r="B66" s="7" t="n">
        <v>4413084</v>
      </c>
      <c r="C66" s="7" t="s">
        <v>118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0</v>
      </c>
      <c r="M66" s="26" t="n">
        <v>0</v>
      </c>
    </row>
    <row r="67" customFormat="false" ht="15" hidden="false" customHeight="false" outlineLevel="0" collapsed="false">
      <c r="A67" s="7" t="s">
        <v>85</v>
      </c>
      <c r="B67" s="7" t="n">
        <v>4413085</v>
      </c>
      <c r="C67" s="7" t="s">
        <v>119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26" t="n">
        <v>0</v>
      </c>
      <c r="M67" s="26" t="n">
        <v>0</v>
      </c>
    </row>
    <row r="68" customFormat="false" ht="15" hidden="false" customHeight="false" outlineLevel="0" collapsed="false">
      <c r="A68" s="7" t="s">
        <v>87</v>
      </c>
      <c r="B68" s="7" t="n">
        <v>4413085</v>
      </c>
      <c r="C68" s="7" t="s">
        <v>119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0</v>
      </c>
      <c r="L68" s="26" t="n">
        <v>0</v>
      </c>
      <c r="M68" s="26" t="n">
        <v>0</v>
      </c>
    </row>
    <row r="69" customFormat="false" ht="15" hidden="false" customHeight="false" outlineLevel="0" collapsed="false">
      <c r="A69" s="7" t="s">
        <v>85</v>
      </c>
      <c r="B69" s="7" t="n">
        <v>4413086</v>
      </c>
      <c r="C69" s="7" t="s">
        <v>120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</row>
    <row r="70" customFormat="false" ht="15" hidden="false" customHeight="false" outlineLevel="0" collapsed="false">
      <c r="A70" s="7" t="s">
        <v>87</v>
      </c>
      <c r="B70" s="7" t="n">
        <v>4413086</v>
      </c>
      <c r="C70" s="7" t="s">
        <v>120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26" t="n">
        <v>0</v>
      </c>
      <c r="M70" s="26" t="n">
        <v>0</v>
      </c>
    </row>
    <row r="71" customFormat="false" ht="15" hidden="false" customHeight="false" outlineLevel="0" collapsed="false">
      <c r="A71" s="7" t="s">
        <v>85</v>
      </c>
      <c r="B71" s="7" t="n">
        <v>4413279</v>
      </c>
      <c r="C71" s="7" t="s">
        <v>121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-1</v>
      </c>
      <c r="J71" s="26" t="n">
        <v>0</v>
      </c>
      <c r="K71" s="26" t="n">
        <v>0</v>
      </c>
      <c r="L71" s="26" t="n">
        <v>0</v>
      </c>
      <c r="M71" s="26" t="n">
        <v>0</v>
      </c>
    </row>
    <row r="72" customFormat="false" ht="15" hidden="false" customHeight="false" outlineLevel="0" collapsed="false">
      <c r="A72" s="7" t="s">
        <v>87</v>
      </c>
      <c r="B72" s="7" t="n">
        <v>4413279</v>
      </c>
      <c r="C72" s="7" t="s">
        <v>121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-271</v>
      </c>
      <c r="J72" s="26" t="n">
        <v>0</v>
      </c>
      <c r="K72" s="26" t="n">
        <v>0</v>
      </c>
      <c r="L72" s="26" t="n">
        <v>0</v>
      </c>
      <c r="M72" s="26" t="n">
        <v>0</v>
      </c>
    </row>
    <row r="73" customFormat="false" ht="15" hidden="false" customHeight="false" outlineLevel="0" collapsed="false">
      <c r="A73" s="7" t="s">
        <v>85</v>
      </c>
      <c r="B73" s="7" t="n">
        <v>4413280</v>
      </c>
      <c r="C73" s="7" t="s">
        <v>122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0</v>
      </c>
      <c r="J73" s="26" t="n">
        <v>0</v>
      </c>
      <c r="K73" s="26" t="n">
        <v>0</v>
      </c>
      <c r="L73" s="26" t="n">
        <v>0</v>
      </c>
      <c r="M73" s="26" t="n">
        <v>0</v>
      </c>
    </row>
    <row r="74" customFormat="false" ht="15" hidden="false" customHeight="false" outlineLevel="0" collapsed="false">
      <c r="A74" s="7" t="s">
        <v>87</v>
      </c>
      <c r="B74" s="7" t="n">
        <v>4413280</v>
      </c>
      <c r="C74" s="7" t="s">
        <v>122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0</v>
      </c>
    </row>
    <row r="75" customFormat="false" ht="15" hidden="false" customHeight="false" outlineLevel="0" collapsed="false">
      <c r="A75" s="7" t="s">
        <v>85</v>
      </c>
      <c r="B75" s="7" t="n">
        <v>4413281</v>
      </c>
      <c r="C75" s="7" t="s">
        <v>123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-2</v>
      </c>
      <c r="I75" s="26" t="n">
        <v>-2</v>
      </c>
      <c r="J75" s="26" t="n">
        <v>0</v>
      </c>
      <c r="K75" s="26" t="n">
        <v>0</v>
      </c>
      <c r="L75" s="26" t="n">
        <v>0</v>
      </c>
      <c r="M75" s="26" t="n">
        <v>0</v>
      </c>
    </row>
    <row r="76" customFormat="false" ht="15" hidden="false" customHeight="false" outlineLevel="0" collapsed="false">
      <c r="A76" s="7" t="s">
        <v>87</v>
      </c>
      <c r="B76" s="7" t="n">
        <v>4413281</v>
      </c>
      <c r="C76" s="7" t="s">
        <v>123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-365.4</v>
      </c>
      <c r="I76" s="26" t="n">
        <v>-393.5</v>
      </c>
      <c r="J76" s="26" t="n">
        <v>0</v>
      </c>
      <c r="K76" s="26" t="n">
        <v>0</v>
      </c>
      <c r="L76" s="26" t="n">
        <v>0</v>
      </c>
      <c r="M76" s="26" t="n">
        <v>0</v>
      </c>
    </row>
    <row r="77" customFormat="false" ht="15" hidden="false" customHeight="false" outlineLevel="0" collapsed="false">
      <c r="A77" s="7" t="s">
        <v>85</v>
      </c>
      <c r="B77" s="7" t="n">
        <v>4413282</v>
      </c>
      <c r="C77" s="7" t="s">
        <v>124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-2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</row>
    <row r="78" customFormat="false" ht="15" hidden="false" customHeight="false" outlineLevel="0" collapsed="false">
      <c r="A78" s="7" t="s">
        <v>87</v>
      </c>
      <c r="B78" s="7" t="n">
        <v>4413282</v>
      </c>
      <c r="C78" s="7" t="s">
        <v>124</v>
      </c>
      <c r="D78" s="26" t="n">
        <v>-13.5</v>
      </c>
      <c r="E78" s="26" t="n">
        <v>0</v>
      </c>
      <c r="F78" s="26" t="n">
        <v>0</v>
      </c>
      <c r="G78" s="26" t="n">
        <v>0</v>
      </c>
      <c r="H78" s="26" t="n">
        <v>-365.4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</row>
    <row r="79" customFormat="false" ht="15" hidden="false" customHeight="false" outlineLevel="0" collapsed="false">
      <c r="A79" s="7" t="s">
        <v>85</v>
      </c>
      <c r="B79" s="7" t="n">
        <v>4413283</v>
      </c>
      <c r="C79" s="7" t="s">
        <v>125</v>
      </c>
      <c r="D79" s="26" t="n">
        <v>1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4</v>
      </c>
      <c r="J79" s="26" t="n">
        <v>0</v>
      </c>
      <c r="K79" s="26" t="n">
        <v>0</v>
      </c>
      <c r="L79" s="26" t="n">
        <v>0</v>
      </c>
      <c r="M79" s="26" t="n">
        <v>0</v>
      </c>
    </row>
    <row r="80" customFormat="false" ht="15" hidden="false" customHeight="false" outlineLevel="0" collapsed="false">
      <c r="A80" s="7" t="s">
        <v>87</v>
      </c>
      <c r="B80" s="7" t="n">
        <v>4413283</v>
      </c>
      <c r="C80" s="7" t="s">
        <v>125</v>
      </c>
      <c r="D80" s="26" t="n">
        <v>189.8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787</v>
      </c>
      <c r="J80" s="26" t="n">
        <v>0</v>
      </c>
      <c r="K80" s="26" t="n">
        <v>0</v>
      </c>
      <c r="L80" s="26" t="n">
        <v>0</v>
      </c>
      <c r="M80" s="26" t="n">
        <v>0</v>
      </c>
    </row>
    <row r="81" customFormat="false" ht="15" hidden="false" customHeight="false" outlineLevel="0" collapsed="false">
      <c r="A81" s="7" t="s">
        <v>85</v>
      </c>
      <c r="B81" s="7" t="n">
        <v>4413284</v>
      </c>
      <c r="C81" s="7" t="s">
        <v>126</v>
      </c>
      <c r="D81" s="26" t="n">
        <v>1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</row>
    <row r="82" customFormat="false" ht="15" hidden="false" customHeight="false" outlineLevel="0" collapsed="false">
      <c r="A82" s="7" t="s">
        <v>87</v>
      </c>
      <c r="B82" s="7" t="n">
        <v>4413284</v>
      </c>
      <c r="C82" s="7" t="s">
        <v>126</v>
      </c>
      <c r="D82" s="26" t="n">
        <v>203.4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  <c r="L82" s="26" t="n">
        <v>0</v>
      </c>
      <c r="M82" s="26" t="n">
        <v>0</v>
      </c>
    </row>
    <row r="83" customFormat="false" ht="15" hidden="false" customHeight="false" outlineLevel="0" collapsed="false">
      <c r="A83" s="7" t="s">
        <v>85</v>
      </c>
      <c r="B83" s="7" t="n">
        <v>4413341</v>
      </c>
      <c r="C83" s="7" t="s">
        <v>127</v>
      </c>
      <c r="D83" s="26" t="n">
        <v>3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26" t="n">
        <v>0</v>
      </c>
      <c r="M83" s="26" t="n">
        <v>0</v>
      </c>
    </row>
    <row r="84" customFormat="false" ht="15" hidden="false" customHeight="false" outlineLevel="0" collapsed="false">
      <c r="A84" s="7" t="s">
        <v>87</v>
      </c>
      <c r="B84" s="7" t="n">
        <v>4413341</v>
      </c>
      <c r="C84" s="7" t="s">
        <v>127</v>
      </c>
      <c r="D84" s="26" t="n">
        <v>512.4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26" t="n">
        <v>0</v>
      </c>
      <c r="M84" s="26" t="n">
        <v>0</v>
      </c>
    </row>
    <row r="85" customFormat="false" ht="15" hidden="false" customHeight="false" outlineLevel="0" collapsed="false">
      <c r="A85" s="7" t="s">
        <v>85</v>
      </c>
      <c r="B85" s="7" t="n">
        <v>4413342</v>
      </c>
      <c r="C85" s="7" t="s">
        <v>128</v>
      </c>
      <c r="D85" s="26" t="n">
        <v>4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  <c r="L85" s="26" t="n">
        <v>0</v>
      </c>
      <c r="M85" s="26" t="n">
        <v>0</v>
      </c>
    </row>
    <row r="86" customFormat="false" ht="15" hidden="false" customHeight="false" outlineLevel="0" collapsed="false">
      <c r="A86" s="7" t="s">
        <v>87</v>
      </c>
      <c r="B86" s="7" t="n">
        <v>4413342</v>
      </c>
      <c r="C86" s="7" t="s">
        <v>128</v>
      </c>
      <c r="D86" s="26" t="n">
        <v>685.1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  <c r="L86" s="26" t="n">
        <v>0</v>
      </c>
      <c r="M86" s="26" t="n">
        <v>0</v>
      </c>
    </row>
    <row r="87" customFormat="false" ht="15" hidden="false" customHeight="false" outlineLevel="0" collapsed="false">
      <c r="A87" s="7" t="s">
        <v>85</v>
      </c>
      <c r="B87" s="7" t="n">
        <v>4413344</v>
      </c>
      <c r="C87" s="7" t="s">
        <v>129</v>
      </c>
      <c r="D87" s="26" t="n">
        <v>1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0</v>
      </c>
      <c r="M87" s="26" t="n">
        <v>0</v>
      </c>
    </row>
    <row r="88" customFormat="false" ht="15" hidden="false" customHeight="false" outlineLevel="0" collapsed="false">
      <c r="A88" s="7" t="s">
        <v>87</v>
      </c>
      <c r="B88" s="7" t="n">
        <v>4413344</v>
      </c>
      <c r="C88" s="7" t="s">
        <v>129</v>
      </c>
      <c r="D88" s="26" t="n">
        <v>175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  <c r="L88" s="26" t="n">
        <v>0</v>
      </c>
      <c r="M88" s="26" t="n">
        <v>0</v>
      </c>
    </row>
    <row r="89" customFormat="false" ht="15" hidden="false" customHeight="false" outlineLevel="0" collapsed="false">
      <c r="A89" s="7" t="s">
        <v>85</v>
      </c>
      <c r="B89" s="7" t="n">
        <v>4413345</v>
      </c>
      <c r="C89" s="7" t="s">
        <v>130</v>
      </c>
      <c r="D89" s="26" t="n">
        <v>3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  <c r="L89" s="26" t="n">
        <v>0</v>
      </c>
      <c r="M89" s="26" t="n">
        <v>0</v>
      </c>
    </row>
    <row r="90" customFormat="false" ht="15" hidden="false" customHeight="false" outlineLevel="0" collapsed="false">
      <c r="A90" s="7" t="s">
        <v>87</v>
      </c>
      <c r="B90" s="7" t="n">
        <v>4413345</v>
      </c>
      <c r="C90" s="7" t="s">
        <v>130</v>
      </c>
      <c r="D90" s="26" t="n">
        <v>524.8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0</v>
      </c>
      <c r="M90" s="26" t="n">
        <v>0</v>
      </c>
    </row>
    <row r="91" customFormat="false" ht="15" hidden="false" customHeight="false" outlineLevel="0" collapsed="false">
      <c r="A91" s="7" t="s">
        <v>85</v>
      </c>
      <c r="B91" s="7" t="n">
        <v>4415104</v>
      </c>
      <c r="C91" s="7" t="s">
        <v>131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</row>
    <row r="92" customFormat="false" ht="15" hidden="false" customHeight="false" outlineLevel="0" collapsed="false">
      <c r="A92" s="7" t="s">
        <v>87</v>
      </c>
      <c r="B92" s="7" t="n">
        <v>4415104</v>
      </c>
      <c r="C92" s="7" t="s">
        <v>131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</row>
    <row r="93" customFormat="false" ht="15" hidden="false" customHeight="false" outlineLevel="0" collapsed="false">
      <c r="A93" s="7" t="s">
        <v>85</v>
      </c>
      <c r="B93" s="7" t="n">
        <v>4413332</v>
      </c>
      <c r="C93" s="7" t="s">
        <v>132</v>
      </c>
      <c r="D93" s="26" t="n">
        <v>5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</row>
    <row r="94" customFormat="false" ht="15" hidden="false" customHeight="false" outlineLevel="0" collapsed="false">
      <c r="A94" s="7" t="s">
        <v>87</v>
      </c>
      <c r="B94" s="7" t="n">
        <v>4413332</v>
      </c>
      <c r="C94" s="7" t="s">
        <v>132</v>
      </c>
      <c r="D94" s="26" t="n">
        <v>146.2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</row>
    <row r="95" customFormat="false" ht="15" hidden="false" customHeight="false" outlineLevel="0" collapsed="false">
      <c r="A95" s="7" t="s">
        <v>85</v>
      </c>
      <c r="B95" s="7" t="n">
        <v>4413092</v>
      </c>
      <c r="C95" s="7" t="s">
        <v>133</v>
      </c>
      <c r="D95" s="26" t="n">
        <v>319</v>
      </c>
      <c r="E95" s="26" t="n">
        <v>0</v>
      </c>
      <c r="F95" s="26" t="n">
        <v>0</v>
      </c>
      <c r="G95" s="26" t="n">
        <v>0</v>
      </c>
      <c r="H95" s="26" t="n">
        <v>1539</v>
      </c>
      <c r="I95" s="26" t="n">
        <v>229</v>
      </c>
      <c r="J95" s="26" t="n">
        <v>0</v>
      </c>
      <c r="K95" s="26" t="n">
        <v>0</v>
      </c>
      <c r="L95" s="26" t="n">
        <v>0</v>
      </c>
      <c r="M95" s="26" t="n">
        <v>0</v>
      </c>
    </row>
    <row r="96" customFormat="false" ht="15" hidden="false" customHeight="false" outlineLevel="0" collapsed="false">
      <c r="A96" s="7" t="s">
        <v>87</v>
      </c>
      <c r="B96" s="7" t="n">
        <v>4413092</v>
      </c>
      <c r="C96" s="7" t="s">
        <v>133</v>
      </c>
      <c r="D96" s="26" t="n">
        <v>9500.5</v>
      </c>
      <c r="E96" s="26" t="n">
        <v>0</v>
      </c>
      <c r="F96" s="26" t="n">
        <v>0</v>
      </c>
      <c r="G96" s="26" t="n">
        <v>0</v>
      </c>
      <c r="H96" s="26" t="n">
        <v>39564.5</v>
      </c>
      <c r="I96" s="26" t="n">
        <v>6364.9</v>
      </c>
      <c r="J96" s="26" t="n">
        <v>0</v>
      </c>
      <c r="K96" s="26" t="n">
        <v>0</v>
      </c>
      <c r="L96" s="26" t="n">
        <v>0</v>
      </c>
      <c r="M96" s="26" t="n">
        <v>0</v>
      </c>
    </row>
    <row r="97" customFormat="false" ht="15" hidden="false" customHeight="false" outlineLevel="0" collapsed="false">
      <c r="A97" s="7" t="s">
        <v>85</v>
      </c>
      <c r="B97" s="7" t="n">
        <v>4413093</v>
      </c>
      <c r="C97" s="7" t="s">
        <v>134</v>
      </c>
      <c r="D97" s="26" t="n">
        <v>282</v>
      </c>
      <c r="E97" s="26" t="n">
        <v>0</v>
      </c>
      <c r="F97" s="26" t="n">
        <v>0</v>
      </c>
      <c r="G97" s="26" t="n">
        <v>3</v>
      </c>
      <c r="H97" s="26" t="n">
        <v>1665</v>
      </c>
      <c r="I97" s="26" t="n">
        <v>223</v>
      </c>
      <c r="J97" s="26" t="n">
        <v>0</v>
      </c>
      <c r="K97" s="26" t="n">
        <v>0</v>
      </c>
      <c r="L97" s="26" t="n">
        <v>0</v>
      </c>
      <c r="M97" s="26" t="n">
        <v>0</v>
      </c>
    </row>
    <row r="98" customFormat="false" ht="15" hidden="false" customHeight="false" outlineLevel="0" collapsed="false">
      <c r="A98" s="7" t="s">
        <v>87</v>
      </c>
      <c r="B98" s="7" t="n">
        <v>4413093</v>
      </c>
      <c r="C98" s="7" t="s">
        <v>134</v>
      </c>
      <c r="D98" s="26" t="n">
        <v>8358.7</v>
      </c>
      <c r="E98" s="26" t="n">
        <v>0</v>
      </c>
      <c r="F98" s="26" t="n">
        <v>0</v>
      </c>
      <c r="G98" s="26" t="n">
        <v>80.3</v>
      </c>
      <c r="H98" s="26" t="n">
        <v>42810</v>
      </c>
      <c r="I98" s="26" t="n">
        <v>6200.4</v>
      </c>
      <c r="J98" s="26" t="n">
        <v>0</v>
      </c>
      <c r="K98" s="26" t="n">
        <v>0</v>
      </c>
      <c r="L98" s="26" t="n">
        <v>0</v>
      </c>
      <c r="M98" s="26" t="n">
        <v>0</v>
      </c>
    </row>
    <row r="99" customFormat="false" ht="15" hidden="false" customHeight="false" outlineLevel="0" collapsed="false">
      <c r="A99" s="7" t="s">
        <v>85</v>
      </c>
      <c r="B99" s="7" t="n">
        <v>4413094</v>
      </c>
      <c r="C99" s="7" t="s">
        <v>135</v>
      </c>
      <c r="D99" s="26" t="n">
        <v>116</v>
      </c>
      <c r="E99" s="26" t="n">
        <v>0</v>
      </c>
      <c r="F99" s="26" t="n">
        <v>3</v>
      </c>
      <c r="G99" s="26" t="n">
        <v>0</v>
      </c>
      <c r="H99" s="26" t="n">
        <v>956</v>
      </c>
      <c r="I99" s="26" t="n">
        <v>114</v>
      </c>
      <c r="J99" s="26" t="n">
        <v>1</v>
      </c>
      <c r="K99" s="26" t="n">
        <v>0</v>
      </c>
      <c r="L99" s="26" t="n">
        <v>0</v>
      </c>
      <c r="M99" s="26" t="n">
        <v>0</v>
      </c>
    </row>
    <row r="100" customFormat="false" ht="15" hidden="false" customHeight="false" outlineLevel="0" collapsed="false">
      <c r="A100" s="7" t="s">
        <v>87</v>
      </c>
      <c r="B100" s="7" t="n">
        <v>4413094</v>
      </c>
      <c r="C100" s="7" t="s">
        <v>135</v>
      </c>
      <c r="D100" s="26" t="n">
        <v>3411.6</v>
      </c>
      <c r="E100" s="26" t="n">
        <v>0</v>
      </c>
      <c r="F100" s="26" t="n">
        <v>92.7</v>
      </c>
      <c r="G100" s="26" t="n">
        <v>0</v>
      </c>
      <c r="H100" s="26" t="n">
        <v>24598.1</v>
      </c>
      <c r="I100" s="26" t="n">
        <v>3164.6</v>
      </c>
      <c r="J100" s="26" t="n">
        <v>28.8</v>
      </c>
      <c r="K100" s="26" t="n">
        <v>0</v>
      </c>
      <c r="L100" s="26" t="n">
        <v>0</v>
      </c>
      <c r="M100" s="26" t="n">
        <v>0</v>
      </c>
    </row>
    <row r="101" customFormat="false" ht="15" hidden="false" customHeight="false" outlineLevel="0" collapsed="false">
      <c r="A101" s="7" t="s">
        <v>85</v>
      </c>
      <c r="B101" s="7" t="n">
        <v>4413095</v>
      </c>
      <c r="C101" s="7" t="s">
        <v>136</v>
      </c>
      <c r="D101" s="26" t="n">
        <v>241</v>
      </c>
      <c r="E101" s="26" t="n">
        <v>0</v>
      </c>
      <c r="F101" s="26" t="n">
        <v>0</v>
      </c>
      <c r="G101" s="26" t="n">
        <v>0</v>
      </c>
      <c r="H101" s="26" t="n">
        <v>1001</v>
      </c>
      <c r="I101" s="26" t="n">
        <v>147</v>
      </c>
      <c r="J101" s="26" t="n">
        <v>0</v>
      </c>
      <c r="K101" s="26" t="n">
        <v>0</v>
      </c>
      <c r="L101" s="26" t="n">
        <v>0</v>
      </c>
      <c r="M101" s="26" t="n">
        <v>0</v>
      </c>
    </row>
    <row r="102" customFormat="false" ht="15" hidden="false" customHeight="false" outlineLevel="0" collapsed="false">
      <c r="A102" s="7" t="s">
        <v>87</v>
      </c>
      <c r="B102" s="7" t="n">
        <v>4413095</v>
      </c>
      <c r="C102" s="7" t="s">
        <v>136</v>
      </c>
      <c r="D102" s="26" t="n">
        <v>7175.7</v>
      </c>
      <c r="E102" s="26" t="n">
        <v>0</v>
      </c>
      <c r="F102" s="26" t="n">
        <v>0</v>
      </c>
      <c r="G102" s="26" t="n">
        <v>0</v>
      </c>
      <c r="H102" s="26" t="n">
        <v>25735.4</v>
      </c>
      <c r="I102" s="26" t="n">
        <v>4100.5</v>
      </c>
      <c r="J102" s="26" t="n">
        <v>0</v>
      </c>
      <c r="K102" s="26" t="n">
        <v>0</v>
      </c>
      <c r="L102" s="26" t="n">
        <v>0</v>
      </c>
      <c r="M102" s="26" t="n">
        <v>0</v>
      </c>
    </row>
    <row r="103" customFormat="false" ht="15" hidden="false" customHeight="false" outlineLevel="0" collapsed="false">
      <c r="A103" s="7" t="s">
        <v>85</v>
      </c>
      <c r="B103" s="7" t="n">
        <v>4413096</v>
      </c>
      <c r="C103" s="7" t="s">
        <v>137</v>
      </c>
      <c r="D103" s="26" t="n">
        <v>118</v>
      </c>
      <c r="E103" s="26" t="n">
        <v>0</v>
      </c>
      <c r="F103" s="26" t="n">
        <v>0</v>
      </c>
      <c r="G103" s="26" t="n">
        <v>3</v>
      </c>
      <c r="H103" s="26" t="n">
        <v>288</v>
      </c>
      <c r="I103" s="26" t="n">
        <v>94</v>
      </c>
      <c r="J103" s="26" t="n">
        <v>0</v>
      </c>
      <c r="K103" s="26" t="n">
        <v>0</v>
      </c>
      <c r="L103" s="26" t="n">
        <v>0</v>
      </c>
      <c r="M103" s="26" t="n">
        <v>0</v>
      </c>
    </row>
    <row r="104" customFormat="false" ht="15" hidden="false" customHeight="false" outlineLevel="0" collapsed="false">
      <c r="A104" s="7" t="s">
        <v>87</v>
      </c>
      <c r="B104" s="7" t="n">
        <v>4413096</v>
      </c>
      <c r="C104" s="7" t="s">
        <v>137</v>
      </c>
      <c r="D104" s="26" t="n">
        <v>3555.1</v>
      </c>
      <c r="E104" s="26" t="n">
        <v>0</v>
      </c>
      <c r="F104" s="26" t="n">
        <v>0</v>
      </c>
      <c r="G104" s="26" t="n">
        <v>80.3</v>
      </c>
      <c r="H104" s="26" t="n">
        <v>7405</v>
      </c>
      <c r="I104" s="26" t="n">
        <v>2609.4</v>
      </c>
      <c r="J104" s="26" t="n">
        <v>0</v>
      </c>
      <c r="K104" s="26" t="n">
        <v>0</v>
      </c>
      <c r="L104" s="26" t="n">
        <v>0</v>
      </c>
      <c r="M104" s="26" t="n">
        <v>0</v>
      </c>
    </row>
    <row r="105" customFormat="false" ht="15" hidden="false" customHeight="false" outlineLevel="0" collapsed="false">
      <c r="A105" s="7" t="s">
        <v>85</v>
      </c>
      <c r="B105" s="7" t="n">
        <v>4413495</v>
      </c>
      <c r="C105" s="7" t="s">
        <v>138</v>
      </c>
      <c r="D105" s="26" t="n">
        <v>385</v>
      </c>
      <c r="E105" s="26" t="n">
        <v>0</v>
      </c>
      <c r="F105" s="26" t="n">
        <v>3</v>
      </c>
      <c r="G105" s="26" t="n">
        <v>0</v>
      </c>
      <c r="H105" s="26" t="n">
        <v>0</v>
      </c>
      <c r="I105" s="26" t="n">
        <v>44</v>
      </c>
      <c r="J105" s="26" t="n">
        <v>0</v>
      </c>
      <c r="K105" s="26" t="n">
        <v>0</v>
      </c>
      <c r="L105" s="26" t="n">
        <v>0</v>
      </c>
      <c r="M105" s="26" t="n">
        <v>0</v>
      </c>
    </row>
    <row r="106" customFormat="false" ht="15" hidden="false" customHeight="false" outlineLevel="0" collapsed="false">
      <c r="A106" s="7" t="s">
        <v>87</v>
      </c>
      <c r="B106" s="7" t="n">
        <v>4413495</v>
      </c>
      <c r="C106" s="7" t="s">
        <v>138</v>
      </c>
      <c r="D106" s="26" t="n">
        <v>11265.9</v>
      </c>
      <c r="E106" s="26" t="n">
        <v>0</v>
      </c>
      <c r="F106" s="26" t="n">
        <v>89.2</v>
      </c>
      <c r="G106" s="26" t="n">
        <v>0</v>
      </c>
      <c r="H106" s="26" t="n">
        <v>0</v>
      </c>
      <c r="I106" s="26" t="n">
        <v>1221</v>
      </c>
      <c r="J106" s="26" t="n">
        <v>0</v>
      </c>
      <c r="K106" s="26" t="n">
        <v>0</v>
      </c>
      <c r="L106" s="26" t="n">
        <v>0</v>
      </c>
      <c r="M106" s="26" t="n">
        <v>0</v>
      </c>
    </row>
    <row r="107" customFormat="false" ht="15" hidden="false" customHeight="false" outlineLevel="0" collapsed="false">
      <c r="A107" s="7" t="s">
        <v>85</v>
      </c>
      <c r="B107" s="7" t="n">
        <v>4413497</v>
      </c>
      <c r="C107" s="7" t="s">
        <v>139</v>
      </c>
      <c r="D107" s="26" t="n">
        <v>276</v>
      </c>
      <c r="E107" s="26" t="n">
        <v>0</v>
      </c>
      <c r="F107" s="26" t="n">
        <v>0</v>
      </c>
      <c r="G107" s="26" t="n">
        <v>0</v>
      </c>
      <c r="H107" s="26" t="n">
        <v>0</v>
      </c>
      <c r="I107" s="26" t="n">
        <v>40</v>
      </c>
      <c r="J107" s="26" t="n">
        <v>0</v>
      </c>
      <c r="K107" s="26" t="n">
        <v>0</v>
      </c>
      <c r="L107" s="26" t="n">
        <v>0</v>
      </c>
      <c r="M107" s="26" t="n">
        <v>0</v>
      </c>
    </row>
    <row r="108" customFormat="false" ht="15" hidden="false" customHeight="false" outlineLevel="0" collapsed="false">
      <c r="A108" s="7" t="s">
        <v>87</v>
      </c>
      <c r="B108" s="7" t="n">
        <v>4413497</v>
      </c>
      <c r="C108" s="7" t="s">
        <v>139</v>
      </c>
      <c r="D108" s="26" t="n">
        <v>8129.6</v>
      </c>
      <c r="E108" s="26" t="n">
        <v>0</v>
      </c>
      <c r="F108" s="26" t="n">
        <v>0</v>
      </c>
      <c r="G108" s="26" t="n">
        <v>0</v>
      </c>
      <c r="H108" s="26" t="n">
        <v>0</v>
      </c>
      <c r="I108" s="26" t="n">
        <v>1110</v>
      </c>
      <c r="J108" s="26" t="n">
        <v>0</v>
      </c>
      <c r="K108" s="26" t="n">
        <v>0</v>
      </c>
      <c r="L108" s="26" t="n">
        <v>0</v>
      </c>
      <c r="M108" s="26" t="n">
        <v>0</v>
      </c>
    </row>
    <row r="109" customFormat="false" ht="15" hidden="false" customHeight="false" outlineLevel="0" collapsed="false">
      <c r="A109" s="7" t="s">
        <v>85</v>
      </c>
      <c r="B109" s="7" t="n">
        <v>4413498</v>
      </c>
      <c r="C109" s="7" t="s">
        <v>140</v>
      </c>
      <c r="D109" s="26" t="n">
        <v>121</v>
      </c>
      <c r="E109" s="26" t="n">
        <v>0</v>
      </c>
      <c r="F109" s="26" t="n">
        <v>1</v>
      </c>
      <c r="G109" s="26" t="n">
        <v>0</v>
      </c>
      <c r="H109" s="26" t="n">
        <v>0</v>
      </c>
      <c r="I109" s="26" t="n">
        <v>12</v>
      </c>
      <c r="J109" s="26" t="n">
        <v>0</v>
      </c>
      <c r="K109" s="26" t="n">
        <v>0</v>
      </c>
      <c r="L109" s="26" t="n">
        <v>0</v>
      </c>
      <c r="M109" s="26" t="n">
        <v>0</v>
      </c>
    </row>
    <row r="110" customFormat="false" ht="15" hidden="false" customHeight="false" outlineLevel="0" collapsed="false">
      <c r="A110" s="7" t="s">
        <v>87</v>
      </c>
      <c r="B110" s="7" t="n">
        <v>4413498</v>
      </c>
      <c r="C110" s="7" t="s">
        <v>140</v>
      </c>
      <c r="D110" s="26" t="n">
        <v>3671.8</v>
      </c>
      <c r="E110" s="26" t="n">
        <v>0</v>
      </c>
      <c r="F110" s="26" t="n">
        <v>29.7</v>
      </c>
      <c r="G110" s="26" t="n">
        <v>0</v>
      </c>
      <c r="H110" s="26" t="n">
        <v>0</v>
      </c>
      <c r="I110" s="26" t="n">
        <v>333</v>
      </c>
      <c r="J110" s="26" t="n">
        <v>0</v>
      </c>
      <c r="K110" s="26" t="n">
        <v>0</v>
      </c>
      <c r="L110" s="26" t="n">
        <v>0</v>
      </c>
      <c r="M110" s="26" t="n">
        <v>0</v>
      </c>
    </row>
    <row r="111" customFormat="false" ht="15" hidden="false" customHeight="false" outlineLevel="0" collapsed="false">
      <c r="A111" s="7" t="s">
        <v>85</v>
      </c>
      <c r="B111" s="7" t="n">
        <v>4413496</v>
      </c>
      <c r="C111" s="7" t="s">
        <v>141</v>
      </c>
      <c r="D111" s="26" t="n">
        <v>279</v>
      </c>
      <c r="E111" s="26" t="n">
        <v>0</v>
      </c>
      <c r="F111" s="26" t="n">
        <v>2</v>
      </c>
      <c r="G111" s="26" t="n">
        <v>0</v>
      </c>
      <c r="H111" s="26" t="n">
        <v>0</v>
      </c>
      <c r="I111" s="26" t="n">
        <v>13</v>
      </c>
      <c r="J111" s="26" t="n">
        <v>0</v>
      </c>
      <c r="K111" s="26" t="n">
        <v>0</v>
      </c>
      <c r="L111" s="26" t="n">
        <v>0</v>
      </c>
      <c r="M111" s="26" t="n">
        <v>0</v>
      </c>
    </row>
    <row r="112" customFormat="false" ht="15" hidden="false" customHeight="false" outlineLevel="0" collapsed="false">
      <c r="A112" s="7" t="s">
        <v>87</v>
      </c>
      <c r="B112" s="7" t="n">
        <v>4413496</v>
      </c>
      <c r="C112" s="7" t="s">
        <v>141</v>
      </c>
      <c r="D112" s="26" t="n">
        <v>8104.1</v>
      </c>
      <c r="E112" s="26" t="n">
        <v>0</v>
      </c>
      <c r="F112" s="26" t="n">
        <v>29.7</v>
      </c>
      <c r="G112" s="26" t="n">
        <v>0</v>
      </c>
      <c r="H112" s="26" t="n">
        <v>0</v>
      </c>
      <c r="I112" s="26" t="n">
        <v>360.8</v>
      </c>
      <c r="J112" s="26" t="n">
        <v>0</v>
      </c>
      <c r="K112" s="26" t="n">
        <v>0</v>
      </c>
      <c r="L112" s="26" t="n">
        <v>0</v>
      </c>
      <c r="M112" s="26" t="n">
        <v>0</v>
      </c>
    </row>
    <row r="113" customFormat="false" ht="15" hidden="false" customHeight="false" outlineLevel="0" collapsed="false">
      <c r="A113" s="7" t="s">
        <v>85</v>
      </c>
      <c r="B113" s="7" t="n">
        <v>4413499</v>
      </c>
      <c r="C113" s="7" t="s">
        <v>142</v>
      </c>
      <c r="D113" s="26" t="n">
        <v>83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20</v>
      </c>
      <c r="J113" s="26" t="n">
        <v>0</v>
      </c>
      <c r="K113" s="26" t="n">
        <v>0</v>
      </c>
      <c r="L113" s="26" t="n">
        <v>0</v>
      </c>
      <c r="M113" s="26" t="n">
        <v>0</v>
      </c>
    </row>
    <row r="114" customFormat="false" ht="15" hidden="false" customHeight="false" outlineLevel="0" collapsed="false">
      <c r="A114" s="7" t="s">
        <v>87</v>
      </c>
      <c r="B114" s="7" t="n">
        <v>4413499</v>
      </c>
      <c r="C114" s="7" t="s">
        <v>142</v>
      </c>
      <c r="D114" s="26" t="n">
        <v>2454.1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555</v>
      </c>
      <c r="J114" s="26" t="n">
        <v>0</v>
      </c>
      <c r="K114" s="26" t="n">
        <v>0</v>
      </c>
      <c r="L114" s="26" t="n">
        <v>0</v>
      </c>
      <c r="M114" s="26" t="n">
        <v>0</v>
      </c>
    </row>
    <row r="115" customFormat="false" ht="15" hidden="false" customHeight="false" outlineLevel="0" collapsed="false">
      <c r="A115" s="7" t="s">
        <v>85</v>
      </c>
      <c r="B115" s="7" t="n">
        <v>4413098</v>
      </c>
      <c r="C115" s="7" t="s">
        <v>143</v>
      </c>
      <c r="D115" s="26" t="n">
        <v>463</v>
      </c>
      <c r="E115" s="26" t="n">
        <v>0</v>
      </c>
      <c r="F115" s="26" t="n">
        <v>0</v>
      </c>
      <c r="G115" s="26" t="n">
        <v>0</v>
      </c>
      <c r="H115" s="26" t="n">
        <v>3042</v>
      </c>
      <c r="I115" s="26" t="n">
        <v>320</v>
      </c>
      <c r="J115" s="26" t="n">
        <v>2</v>
      </c>
      <c r="K115" s="26" t="n">
        <v>0</v>
      </c>
      <c r="L115" s="26" t="n">
        <v>0</v>
      </c>
      <c r="M115" s="26" t="n">
        <v>0</v>
      </c>
    </row>
    <row r="116" customFormat="false" ht="15" hidden="false" customHeight="false" outlineLevel="0" collapsed="false">
      <c r="A116" s="7" t="s">
        <v>87</v>
      </c>
      <c r="B116" s="7" t="n">
        <v>4413098</v>
      </c>
      <c r="C116" s="7" t="s">
        <v>143</v>
      </c>
      <c r="D116" s="26" t="n">
        <v>13909.2</v>
      </c>
      <c r="E116" s="26" t="n">
        <v>0</v>
      </c>
      <c r="F116" s="26" t="n">
        <v>0</v>
      </c>
      <c r="G116" s="26" t="n">
        <v>0</v>
      </c>
      <c r="H116" s="26" t="n">
        <v>78269.8</v>
      </c>
      <c r="I116" s="26" t="n">
        <v>8908.9</v>
      </c>
      <c r="J116" s="26" t="n">
        <v>55.5</v>
      </c>
      <c r="K116" s="26" t="n">
        <v>0</v>
      </c>
      <c r="L116" s="26" t="n">
        <v>0</v>
      </c>
      <c r="M116" s="26" t="n">
        <v>0</v>
      </c>
    </row>
    <row r="117" customFormat="false" ht="15" hidden="false" customHeight="false" outlineLevel="0" collapsed="false">
      <c r="A117" s="7" t="s">
        <v>85</v>
      </c>
      <c r="B117" s="7" t="n">
        <v>4413099</v>
      </c>
      <c r="C117" s="7" t="s">
        <v>144</v>
      </c>
      <c r="D117" s="26" t="n">
        <v>371</v>
      </c>
      <c r="E117" s="26" t="n">
        <v>0</v>
      </c>
      <c r="F117" s="26" t="n">
        <v>0</v>
      </c>
      <c r="G117" s="26" t="n">
        <v>0</v>
      </c>
      <c r="H117" s="26" t="n">
        <v>3009</v>
      </c>
      <c r="I117" s="26" t="n">
        <v>287</v>
      </c>
      <c r="J117" s="26" t="n">
        <v>0</v>
      </c>
      <c r="K117" s="26" t="n">
        <v>0</v>
      </c>
      <c r="L117" s="26" t="n">
        <v>0</v>
      </c>
      <c r="M117" s="26" t="n">
        <v>0</v>
      </c>
    </row>
    <row r="118" customFormat="false" ht="15" hidden="false" customHeight="false" outlineLevel="0" collapsed="false">
      <c r="A118" s="7" t="s">
        <v>87</v>
      </c>
      <c r="B118" s="7" t="n">
        <v>4413099</v>
      </c>
      <c r="C118" s="7" t="s">
        <v>144</v>
      </c>
      <c r="D118" s="26" t="n">
        <v>11145.9</v>
      </c>
      <c r="E118" s="26" t="n">
        <v>0</v>
      </c>
      <c r="F118" s="26" t="n">
        <v>0</v>
      </c>
      <c r="G118" s="26" t="n">
        <v>0</v>
      </c>
      <c r="H118" s="26" t="n">
        <v>77434.1</v>
      </c>
      <c r="I118" s="26" t="n">
        <v>7982.9</v>
      </c>
      <c r="J118" s="26" t="n">
        <v>0</v>
      </c>
      <c r="K118" s="26" t="n">
        <v>0</v>
      </c>
      <c r="L118" s="26" t="n">
        <v>0</v>
      </c>
      <c r="M118" s="26" t="n">
        <v>0</v>
      </c>
    </row>
    <row r="119" customFormat="false" ht="15" hidden="false" customHeight="false" outlineLevel="0" collapsed="false">
      <c r="A119" s="7" t="s">
        <v>85</v>
      </c>
      <c r="B119" s="7" t="n">
        <v>4413097</v>
      </c>
      <c r="C119" s="7" t="s">
        <v>145</v>
      </c>
      <c r="D119" s="26" t="n">
        <v>155</v>
      </c>
      <c r="E119" s="26" t="n">
        <v>0</v>
      </c>
      <c r="F119" s="26" t="n">
        <v>3</v>
      </c>
      <c r="G119" s="26" t="n">
        <v>0</v>
      </c>
      <c r="H119" s="26" t="n">
        <v>1789</v>
      </c>
      <c r="I119" s="26" t="n">
        <v>154</v>
      </c>
      <c r="J119" s="26" t="n">
        <v>0</v>
      </c>
      <c r="K119" s="26" t="n">
        <v>0</v>
      </c>
      <c r="L119" s="26" t="n">
        <v>0</v>
      </c>
      <c r="M119" s="26" t="n">
        <v>0</v>
      </c>
    </row>
    <row r="120" customFormat="false" ht="15" hidden="false" customHeight="false" outlineLevel="0" collapsed="false">
      <c r="A120" s="7" t="s">
        <v>87</v>
      </c>
      <c r="B120" s="7" t="n">
        <v>4413097</v>
      </c>
      <c r="C120" s="7" t="s">
        <v>145</v>
      </c>
      <c r="D120" s="26" t="n">
        <v>4644.5</v>
      </c>
      <c r="E120" s="26" t="n">
        <v>0</v>
      </c>
      <c r="F120" s="26" t="n">
        <v>92.7</v>
      </c>
      <c r="G120" s="26" t="n">
        <v>0</v>
      </c>
      <c r="H120" s="26" t="n">
        <v>46049.9</v>
      </c>
      <c r="I120" s="26" t="n">
        <v>4279</v>
      </c>
      <c r="J120" s="26" t="n">
        <v>0</v>
      </c>
      <c r="K120" s="26" t="n">
        <v>0</v>
      </c>
      <c r="L120" s="26" t="n">
        <v>0</v>
      </c>
      <c r="M120" s="26" t="n">
        <v>0</v>
      </c>
    </row>
    <row r="121" customFormat="false" ht="15" hidden="false" customHeight="false" outlineLevel="0" collapsed="false">
      <c r="A121" s="7" t="s">
        <v>85</v>
      </c>
      <c r="B121" s="7" t="n">
        <v>4413100</v>
      </c>
      <c r="C121" s="7" t="s">
        <v>146</v>
      </c>
      <c r="D121" s="26" t="n">
        <v>331</v>
      </c>
      <c r="E121" s="26" t="n">
        <v>0</v>
      </c>
      <c r="F121" s="26" t="n">
        <v>0</v>
      </c>
      <c r="G121" s="26" t="n">
        <v>0</v>
      </c>
      <c r="H121" s="26" t="n">
        <v>2229</v>
      </c>
      <c r="I121" s="26" t="n">
        <v>272</v>
      </c>
      <c r="J121" s="26" t="n">
        <v>0</v>
      </c>
      <c r="K121" s="26" t="n">
        <v>0</v>
      </c>
      <c r="L121" s="26" t="n">
        <v>0</v>
      </c>
      <c r="M121" s="26" t="n">
        <v>0</v>
      </c>
    </row>
    <row r="122" customFormat="false" ht="15" hidden="false" customHeight="false" outlineLevel="0" collapsed="false">
      <c r="A122" s="7" t="s">
        <v>87</v>
      </c>
      <c r="B122" s="7" t="n">
        <v>4413100</v>
      </c>
      <c r="C122" s="7" t="s">
        <v>146</v>
      </c>
      <c r="D122" s="26" t="n">
        <v>9904.8</v>
      </c>
      <c r="E122" s="26" t="n">
        <v>0</v>
      </c>
      <c r="F122" s="26" t="n">
        <v>0</v>
      </c>
      <c r="G122" s="26" t="n">
        <v>0</v>
      </c>
      <c r="H122" s="26" t="n">
        <v>57363.1</v>
      </c>
      <c r="I122" s="26" t="n">
        <v>7568.5</v>
      </c>
      <c r="J122" s="26" t="n">
        <v>0</v>
      </c>
      <c r="K122" s="26" t="n">
        <v>0</v>
      </c>
      <c r="L122" s="26" t="n">
        <v>0</v>
      </c>
      <c r="M122" s="26" t="n">
        <v>0</v>
      </c>
    </row>
    <row r="123" customFormat="false" ht="15" hidden="false" customHeight="false" outlineLevel="0" collapsed="false">
      <c r="A123" s="7" t="s">
        <v>85</v>
      </c>
      <c r="B123" s="7" t="n">
        <v>4413102</v>
      </c>
      <c r="C123" s="7" t="s">
        <v>147</v>
      </c>
      <c r="D123" s="26" t="n">
        <v>137</v>
      </c>
      <c r="E123" s="26" t="n">
        <v>0</v>
      </c>
      <c r="F123" s="26" t="n">
        <v>0</v>
      </c>
      <c r="G123" s="26" t="n">
        <v>5</v>
      </c>
      <c r="H123" s="26" t="n">
        <v>1537</v>
      </c>
      <c r="I123" s="26" t="n">
        <v>243</v>
      </c>
      <c r="J123" s="26" t="n">
        <v>0</v>
      </c>
      <c r="K123" s="26" t="n">
        <v>0</v>
      </c>
      <c r="L123" s="26" t="n">
        <v>0</v>
      </c>
      <c r="M123" s="26" t="n">
        <v>0</v>
      </c>
    </row>
    <row r="124" customFormat="false" ht="15" hidden="false" customHeight="false" outlineLevel="0" collapsed="false">
      <c r="A124" s="7" t="s">
        <v>87</v>
      </c>
      <c r="B124" s="7" t="n">
        <v>4413102</v>
      </c>
      <c r="C124" s="7" t="s">
        <v>147</v>
      </c>
      <c r="D124" s="26" t="n">
        <v>4946.6</v>
      </c>
      <c r="E124" s="26" t="n">
        <v>0</v>
      </c>
      <c r="F124" s="26" t="n">
        <v>0</v>
      </c>
      <c r="G124" s="26" t="n">
        <v>162.3</v>
      </c>
      <c r="H124" s="26" t="n">
        <v>47701.2</v>
      </c>
      <c r="I124" s="26" t="n">
        <v>8152.4</v>
      </c>
      <c r="J124" s="26" t="n">
        <v>0</v>
      </c>
      <c r="K124" s="26" t="n">
        <v>0</v>
      </c>
      <c r="L124" s="26" t="n">
        <v>0</v>
      </c>
      <c r="M124" s="26" t="n">
        <v>0</v>
      </c>
    </row>
    <row r="125" customFormat="false" ht="15" hidden="false" customHeight="false" outlineLevel="0" collapsed="false">
      <c r="A125" s="7" t="s">
        <v>85</v>
      </c>
      <c r="B125" s="7" t="n">
        <v>4413103</v>
      </c>
      <c r="C125" s="7" t="s">
        <v>148</v>
      </c>
      <c r="D125" s="26" t="n">
        <v>127</v>
      </c>
      <c r="E125" s="26" t="n">
        <v>0</v>
      </c>
      <c r="F125" s="26" t="n">
        <v>0</v>
      </c>
      <c r="G125" s="26" t="n">
        <v>12</v>
      </c>
      <c r="H125" s="26" t="n">
        <v>1338</v>
      </c>
      <c r="I125" s="26" t="n">
        <v>205</v>
      </c>
      <c r="J125" s="26" t="n">
        <v>0</v>
      </c>
      <c r="K125" s="26" t="n">
        <v>0</v>
      </c>
      <c r="L125" s="26" t="n">
        <v>0</v>
      </c>
      <c r="M125" s="26" t="n">
        <v>0</v>
      </c>
    </row>
    <row r="126" customFormat="false" ht="15" hidden="false" customHeight="false" outlineLevel="0" collapsed="false">
      <c r="A126" s="7" t="s">
        <v>87</v>
      </c>
      <c r="B126" s="7" t="n">
        <v>4413103</v>
      </c>
      <c r="C126" s="7" t="s">
        <v>148</v>
      </c>
      <c r="D126" s="26" t="n">
        <v>4562.7</v>
      </c>
      <c r="E126" s="26" t="n">
        <v>0</v>
      </c>
      <c r="F126" s="26" t="n">
        <v>0</v>
      </c>
      <c r="G126" s="26" t="n">
        <v>389.5</v>
      </c>
      <c r="H126" s="26" t="n">
        <v>41507.4</v>
      </c>
      <c r="I126" s="26" t="n">
        <v>6872.6</v>
      </c>
      <c r="J126" s="26" t="n">
        <v>0</v>
      </c>
      <c r="K126" s="26" t="n">
        <v>0</v>
      </c>
      <c r="L126" s="26" t="n">
        <v>0</v>
      </c>
      <c r="M126" s="26" t="n">
        <v>0</v>
      </c>
    </row>
    <row r="127" customFormat="false" ht="15" hidden="false" customHeight="false" outlineLevel="0" collapsed="false">
      <c r="A127" s="7" t="s">
        <v>85</v>
      </c>
      <c r="B127" s="7" t="n">
        <v>4413101</v>
      </c>
      <c r="C127" s="7" t="s">
        <v>149</v>
      </c>
      <c r="D127" s="26" t="n">
        <v>33</v>
      </c>
      <c r="E127" s="26" t="n">
        <v>0</v>
      </c>
      <c r="F127" s="26" t="n">
        <v>3</v>
      </c>
      <c r="G127" s="26" t="n">
        <v>0</v>
      </c>
      <c r="H127" s="26" t="n">
        <v>533</v>
      </c>
      <c r="I127" s="26" t="n">
        <v>86</v>
      </c>
      <c r="J127" s="26" t="n">
        <v>0</v>
      </c>
      <c r="K127" s="26" t="n">
        <v>0</v>
      </c>
      <c r="L127" s="26" t="n">
        <v>0</v>
      </c>
      <c r="M127" s="26" t="n">
        <v>0</v>
      </c>
    </row>
    <row r="128" customFormat="false" ht="15" hidden="false" customHeight="false" outlineLevel="0" collapsed="false">
      <c r="A128" s="7" t="s">
        <v>87</v>
      </c>
      <c r="B128" s="7" t="n">
        <v>4413101</v>
      </c>
      <c r="C128" s="7" t="s">
        <v>149</v>
      </c>
      <c r="D128" s="26" t="n">
        <v>1206.7</v>
      </c>
      <c r="E128" s="26" t="n">
        <v>0</v>
      </c>
      <c r="F128" s="26" t="n">
        <v>112.4</v>
      </c>
      <c r="G128" s="26" t="n">
        <v>0</v>
      </c>
      <c r="H128" s="26" t="n">
        <v>16595.5</v>
      </c>
      <c r="I128" s="26" t="n">
        <v>2882.5</v>
      </c>
      <c r="J128" s="26" t="n">
        <v>0</v>
      </c>
      <c r="K128" s="26" t="n">
        <v>0</v>
      </c>
      <c r="L128" s="26" t="n">
        <v>0</v>
      </c>
      <c r="M128" s="26" t="n">
        <v>0</v>
      </c>
    </row>
    <row r="129" customFormat="false" ht="15" hidden="false" customHeight="false" outlineLevel="0" collapsed="false">
      <c r="A129" s="7" t="s">
        <v>85</v>
      </c>
      <c r="B129" s="7" t="n">
        <v>4413104</v>
      </c>
      <c r="C129" s="7" t="s">
        <v>150</v>
      </c>
      <c r="D129" s="26" t="n">
        <v>120</v>
      </c>
      <c r="E129" s="26" t="n">
        <v>0</v>
      </c>
      <c r="F129" s="26" t="n">
        <v>0</v>
      </c>
      <c r="G129" s="26" t="n">
        <v>4</v>
      </c>
      <c r="H129" s="26" t="n">
        <v>1095</v>
      </c>
      <c r="I129" s="26" t="n">
        <v>188</v>
      </c>
      <c r="J129" s="26" t="n">
        <v>0</v>
      </c>
      <c r="K129" s="26" t="n">
        <v>0</v>
      </c>
      <c r="L129" s="26" t="n">
        <v>0</v>
      </c>
      <c r="M129" s="26" t="n">
        <v>0</v>
      </c>
    </row>
    <row r="130" customFormat="false" ht="15" hidden="false" customHeight="false" outlineLevel="0" collapsed="false">
      <c r="A130" s="7" t="s">
        <v>87</v>
      </c>
      <c r="B130" s="7" t="n">
        <v>4413104</v>
      </c>
      <c r="C130" s="7" t="s">
        <v>150</v>
      </c>
      <c r="D130" s="26" t="n">
        <v>4345.7</v>
      </c>
      <c r="E130" s="26" t="n">
        <v>0</v>
      </c>
      <c r="F130" s="26" t="n">
        <v>0</v>
      </c>
      <c r="G130" s="26" t="n">
        <v>128.5</v>
      </c>
      <c r="H130" s="26" t="n">
        <v>33971.4</v>
      </c>
      <c r="I130" s="26" t="n">
        <v>6315.2</v>
      </c>
      <c r="J130" s="26" t="n">
        <v>0</v>
      </c>
      <c r="K130" s="26" t="n">
        <v>0</v>
      </c>
      <c r="L130" s="26" t="n">
        <v>0</v>
      </c>
      <c r="M130" s="26" t="n">
        <v>0</v>
      </c>
    </row>
    <row r="131" customFormat="false" ht="15" hidden="false" customHeight="false" outlineLevel="0" collapsed="false">
      <c r="A131" s="7" t="s">
        <v>85</v>
      </c>
      <c r="B131" s="7" t="n">
        <v>4413105</v>
      </c>
      <c r="C131" s="7" t="s">
        <v>151</v>
      </c>
      <c r="D131" s="26" t="n">
        <v>40</v>
      </c>
      <c r="E131" s="26" t="n">
        <v>0</v>
      </c>
      <c r="F131" s="26" t="n">
        <v>0</v>
      </c>
      <c r="G131" s="26" t="n">
        <v>1</v>
      </c>
      <c r="H131" s="26" t="n">
        <v>154</v>
      </c>
      <c r="I131" s="26" t="n">
        <v>131</v>
      </c>
      <c r="J131" s="26" t="n">
        <v>0</v>
      </c>
      <c r="K131" s="26" t="n">
        <v>0</v>
      </c>
      <c r="L131" s="26" t="n">
        <v>0</v>
      </c>
      <c r="M131" s="26" t="n">
        <v>0</v>
      </c>
    </row>
    <row r="132" customFormat="false" ht="15" hidden="false" customHeight="false" outlineLevel="0" collapsed="false">
      <c r="A132" s="7" t="s">
        <v>87</v>
      </c>
      <c r="B132" s="7" t="n">
        <v>4413105</v>
      </c>
      <c r="C132" s="7" t="s">
        <v>151</v>
      </c>
      <c r="D132" s="26" t="n">
        <v>1443.6</v>
      </c>
      <c r="E132" s="26" t="n">
        <v>0</v>
      </c>
      <c r="F132" s="26" t="n">
        <v>0</v>
      </c>
      <c r="G132" s="26" t="n">
        <v>32.5</v>
      </c>
      <c r="H132" s="26" t="n">
        <v>4772.4</v>
      </c>
      <c r="I132" s="26" t="n">
        <v>4412.8</v>
      </c>
      <c r="J132" s="26" t="n">
        <v>0</v>
      </c>
      <c r="K132" s="26" t="n">
        <v>0</v>
      </c>
      <c r="L132" s="26" t="n">
        <v>0</v>
      </c>
      <c r="M132" s="26" t="n">
        <v>0</v>
      </c>
    </row>
    <row r="133" customFormat="false" ht="15" hidden="false" customHeight="false" outlineLevel="0" collapsed="false">
      <c r="A133" s="7" t="s">
        <v>85</v>
      </c>
      <c r="B133" s="7" t="n">
        <v>4413396</v>
      </c>
      <c r="C133" s="7" t="s">
        <v>152</v>
      </c>
      <c r="D133" s="26" t="n">
        <v>100</v>
      </c>
      <c r="E133" s="26" t="n">
        <v>0</v>
      </c>
      <c r="F133" s="26" t="n">
        <v>0</v>
      </c>
      <c r="G133" s="26" t="n">
        <v>0</v>
      </c>
      <c r="H133" s="26" t="n">
        <v>2670</v>
      </c>
      <c r="I133" s="26" t="n">
        <v>0</v>
      </c>
      <c r="J133" s="26" t="n">
        <v>0</v>
      </c>
      <c r="K133" s="26" t="n">
        <v>0</v>
      </c>
      <c r="L133" s="26" t="n">
        <v>0</v>
      </c>
      <c r="M133" s="26" t="n">
        <v>0</v>
      </c>
    </row>
    <row r="134" customFormat="false" ht="15" hidden="false" customHeight="false" outlineLevel="0" collapsed="false">
      <c r="A134" s="7" t="s">
        <v>87</v>
      </c>
      <c r="B134" s="7" t="n">
        <v>4413396</v>
      </c>
      <c r="C134" s="7" t="s">
        <v>152</v>
      </c>
      <c r="D134" s="26" t="n">
        <v>3606.2</v>
      </c>
      <c r="E134" s="26" t="n">
        <v>0</v>
      </c>
      <c r="F134" s="26" t="n">
        <v>0</v>
      </c>
      <c r="G134" s="26" t="n">
        <v>0</v>
      </c>
      <c r="H134" s="26" t="n">
        <v>82929.1</v>
      </c>
      <c r="I134" s="26" t="n">
        <v>0</v>
      </c>
      <c r="J134" s="26" t="n">
        <v>0</v>
      </c>
      <c r="K134" s="26" t="n">
        <v>0</v>
      </c>
      <c r="L134" s="26" t="n">
        <v>0</v>
      </c>
      <c r="M134" s="26" t="n">
        <v>0</v>
      </c>
    </row>
    <row r="135" customFormat="false" ht="15" hidden="false" customHeight="false" outlineLevel="0" collapsed="false">
      <c r="A135" s="7" t="s">
        <v>85</v>
      </c>
      <c r="B135" s="7" t="n">
        <v>4413395</v>
      </c>
      <c r="C135" s="7" t="s">
        <v>153</v>
      </c>
      <c r="D135" s="26" t="n">
        <v>93</v>
      </c>
      <c r="E135" s="26" t="n">
        <v>0</v>
      </c>
      <c r="F135" s="26" t="n">
        <v>0</v>
      </c>
      <c r="G135" s="26" t="n">
        <v>0</v>
      </c>
      <c r="H135" s="26" t="n">
        <v>2788</v>
      </c>
      <c r="I135" s="26" t="n">
        <v>0</v>
      </c>
      <c r="J135" s="26" t="n">
        <v>0</v>
      </c>
      <c r="K135" s="26" t="n">
        <v>0</v>
      </c>
      <c r="L135" s="26" t="n">
        <v>0</v>
      </c>
      <c r="M135" s="26" t="n">
        <v>0</v>
      </c>
    </row>
    <row r="136" customFormat="false" ht="15" hidden="false" customHeight="false" outlineLevel="0" collapsed="false">
      <c r="A136" s="7" t="s">
        <v>87</v>
      </c>
      <c r="B136" s="7" t="n">
        <v>4413395</v>
      </c>
      <c r="C136" s="7" t="s">
        <v>153</v>
      </c>
      <c r="D136" s="26" t="n">
        <v>3323.9</v>
      </c>
      <c r="E136" s="26" t="n">
        <v>0</v>
      </c>
      <c r="F136" s="26" t="n">
        <v>0</v>
      </c>
      <c r="G136" s="26" t="n">
        <v>0</v>
      </c>
      <c r="H136" s="26" t="n">
        <v>86595.2</v>
      </c>
      <c r="I136" s="26" t="n">
        <v>0</v>
      </c>
      <c r="J136" s="26" t="n">
        <v>0</v>
      </c>
      <c r="K136" s="26" t="n">
        <v>0</v>
      </c>
      <c r="L136" s="26" t="n">
        <v>0</v>
      </c>
      <c r="M136" s="26" t="n">
        <v>0</v>
      </c>
    </row>
    <row r="137" customFormat="false" ht="15" hidden="false" customHeight="false" outlineLevel="0" collapsed="false">
      <c r="A137" s="7" t="s">
        <v>85</v>
      </c>
      <c r="B137" s="7" t="n">
        <v>4413394</v>
      </c>
      <c r="C137" s="7" t="s">
        <v>154</v>
      </c>
      <c r="D137" s="26" t="n">
        <v>35</v>
      </c>
      <c r="E137" s="26" t="n">
        <v>0</v>
      </c>
      <c r="F137" s="26" t="n">
        <v>0</v>
      </c>
      <c r="G137" s="26" t="n">
        <v>0</v>
      </c>
      <c r="H137" s="26" t="n">
        <v>1231</v>
      </c>
      <c r="I137" s="26" t="n">
        <v>0</v>
      </c>
      <c r="J137" s="26" t="n">
        <v>0</v>
      </c>
      <c r="K137" s="26" t="n">
        <v>0</v>
      </c>
      <c r="L137" s="26" t="n">
        <v>0</v>
      </c>
      <c r="M137" s="26" t="n">
        <v>0</v>
      </c>
    </row>
    <row r="138" customFormat="false" ht="15" hidden="false" customHeight="false" outlineLevel="0" collapsed="false">
      <c r="A138" s="7" t="s">
        <v>87</v>
      </c>
      <c r="B138" s="7" t="n">
        <v>4413394</v>
      </c>
      <c r="C138" s="7" t="s">
        <v>154</v>
      </c>
      <c r="D138" s="26" t="n">
        <v>1256.9</v>
      </c>
      <c r="E138" s="26" t="n">
        <v>0</v>
      </c>
      <c r="F138" s="26" t="n">
        <v>0</v>
      </c>
      <c r="G138" s="26" t="n">
        <v>0</v>
      </c>
      <c r="H138" s="26" t="n">
        <v>38220.3</v>
      </c>
      <c r="I138" s="26" t="n">
        <v>0</v>
      </c>
      <c r="J138" s="26" t="n">
        <v>0</v>
      </c>
      <c r="K138" s="26" t="n">
        <v>0</v>
      </c>
      <c r="L138" s="26" t="n">
        <v>0</v>
      </c>
      <c r="M138" s="26" t="n">
        <v>0</v>
      </c>
    </row>
    <row r="139" customFormat="false" ht="15" hidden="false" customHeight="false" outlineLevel="0" collapsed="false">
      <c r="A139" s="7" t="s">
        <v>85</v>
      </c>
      <c r="B139" s="7" t="n">
        <v>4413397</v>
      </c>
      <c r="C139" s="7" t="s">
        <v>155</v>
      </c>
      <c r="D139" s="26" t="n">
        <v>103</v>
      </c>
      <c r="E139" s="26" t="n">
        <v>0</v>
      </c>
      <c r="F139" s="26" t="n">
        <v>0</v>
      </c>
      <c r="G139" s="26" t="n">
        <v>0</v>
      </c>
      <c r="H139" s="26" t="n">
        <v>2302</v>
      </c>
      <c r="I139" s="26" t="n">
        <v>0</v>
      </c>
      <c r="J139" s="26" t="n">
        <v>0</v>
      </c>
      <c r="K139" s="26" t="n">
        <v>0</v>
      </c>
      <c r="L139" s="26" t="n">
        <v>0</v>
      </c>
      <c r="M139" s="26" t="n">
        <v>0</v>
      </c>
    </row>
    <row r="140" customFormat="false" ht="15" hidden="false" customHeight="false" outlineLevel="0" collapsed="false">
      <c r="A140" s="7" t="s">
        <v>87</v>
      </c>
      <c r="B140" s="7" t="n">
        <v>4413397</v>
      </c>
      <c r="C140" s="7" t="s">
        <v>155</v>
      </c>
      <c r="D140" s="26" t="n">
        <v>3709.6</v>
      </c>
      <c r="E140" s="26" t="n">
        <v>0</v>
      </c>
      <c r="F140" s="26" t="n">
        <v>0</v>
      </c>
      <c r="G140" s="26" t="n">
        <v>0</v>
      </c>
      <c r="H140" s="26" t="n">
        <v>71479.1</v>
      </c>
      <c r="I140" s="26" t="n">
        <v>0</v>
      </c>
      <c r="J140" s="26" t="n">
        <v>0</v>
      </c>
      <c r="K140" s="26" t="n">
        <v>0</v>
      </c>
      <c r="L140" s="26" t="n">
        <v>0</v>
      </c>
      <c r="M140" s="26" t="n">
        <v>0</v>
      </c>
    </row>
    <row r="141" customFormat="false" ht="15" hidden="false" customHeight="false" outlineLevel="0" collapsed="false">
      <c r="A141" s="7" t="s">
        <v>85</v>
      </c>
      <c r="B141" s="7" t="n">
        <v>4413398</v>
      </c>
      <c r="C141" s="7" t="s">
        <v>156</v>
      </c>
      <c r="D141" s="26" t="n">
        <v>43</v>
      </c>
      <c r="E141" s="26" t="n">
        <v>0</v>
      </c>
      <c r="F141" s="26" t="n">
        <v>0</v>
      </c>
      <c r="G141" s="26" t="n">
        <v>0</v>
      </c>
      <c r="H141" s="26" t="n">
        <v>360</v>
      </c>
      <c r="I141" s="26" t="n">
        <v>0</v>
      </c>
      <c r="J141" s="26" t="n">
        <v>1</v>
      </c>
      <c r="K141" s="26" t="n">
        <v>0</v>
      </c>
      <c r="L141" s="26" t="n">
        <v>0</v>
      </c>
      <c r="M141" s="26" t="n">
        <v>0</v>
      </c>
    </row>
    <row r="142" customFormat="false" ht="15" hidden="false" customHeight="false" outlineLevel="0" collapsed="false">
      <c r="A142" s="7" t="s">
        <v>87</v>
      </c>
      <c r="B142" s="7" t="n">
        <v>4413398</v>
      </c>
      <c r="C142" s="7" t="s">
        <v>156</v>
      </c>
      <c r="D142" s="26" t="n">
        <v>1579.8</v>
      </c>
      <c r="E142" s="26" t="n">
        <v>0</v>
      </c>
      <c r="F142" s="26" t="n">
        <v>0</v>
      </c>
      <c r="G142" s="26" t="n">
        <v>0</v>
      </c>
      <c r="H142" s="26" t="n">
        <v>11165</v>
      </c>
      <c r="I142" s="26" t="n">
        <v>0</v>
      </c>
      <c r="J142" s="26" t="n">
        <v>33.5</v>
      </c>
      <c r="K142" s="26" t="n">
        <v>0</v>
      </c>
      <c r="L142" s="26" t="n">
        <v>0</v>
      </c>
      <c r="M142" s="26" t="n">
        <v>0</v>
      </c>
    </row>
    <row r="143" customFormat="false" ht="15" hidden="false" customHeight="false" outlineLevel="0" collapsed="false">
      <c r="A143" s="7" t="s">
        <v>85</v>
      </c>
      <c r="B143" s="7" t="n">
        <v>4413107</v>
      </c>
      <c r="C143" s="7" t="s">
        <v>157</v>
      </c>
      <c r="D143" s="26" t="n">
        <v>14</v>
      </c>
      <c r="E143" s="26" t="n">
        <v>0</v>
      </c>
      <c r="F143" s="26" t="n">
        <v>0</v>
      </c>
      <c r="G143" s="26" t="n">
        <v>1</v>
      </c>
      <c r="H143" s="26" t="n">
        <v>13</v>
      </c>
      <c r="I143" s="26" t="n">
        <v>10</v>
      </c>
      <c r="J143" s="26" t="n">
        <v>0</v>
      </c>
      <c r="K143" s="26" t="n">
        <v>0</v>
      </c>
      <c r="L143" s="26" t="n">
        <v>0</v>
      </c>
      <c r="M143" s="26" t="n">
        <v>0</v>
      </c>
    </row>
    <row r="144" customFormat="false" ht="15" hidden="false" customHeight="false" outlineLevel="0" collapsed="false">
      <c r="A144" s="7" t="s">
        <v>87</v>
      </c>
      <c r="B144" s="7" t="n">
        <v>4413107</v>
      </c>
      <c r="C144" s="7" t="s">
        <v>157</v>
      </c>
      <c r="D144" s="26" t="n">
        <v>778.3</v>
      </c>
      <c r="E144" s="26" t="n">
        <v>0</v>
      </c>
      <c r="F144" s="26" t="n">
        <v>0</v>
      </c>
      <c r="G144" s="26" t="n">
        <v>49.1</v>
      </c>
      <c r="H144" s="26" t="n">
        <v>632.1</v>
      </c>
      <c r="I144" s="26" t="n">
        <v>523.6</v>
      </c>
      <c r="J144" s="26" t="n">
        <v>0</v>
      </c>
      <c r="K144" s="26" t="n">
        <v>0</v>
      </c>
      <c r="L144" s="26" t="n">
        <v>0</v>
      </c>
      <c r="M144" s="26" t="n">
        <v>0</v>
      </c>
    </row>
    <row r="145" customFormat="false" ht="15" hidden="false" customHeight="false" outlineLevel="0" collapsed="false">
      <c r="A145" s="7" t="s">
        <v>85</v>
      </c>
      <c r="B145" s="7" t="n">
        <v>4413108</v>
      </c>
      <c r="C145" s="7" t="s">
        <v>158</v>
      </c>
      <c r="D145" s="26" t="n">
        <v>13</v>
      </c>
      <c r="E145" s="26" t="n">
        <v>0</v>
      </c>
      <c r="F145" s="26" t="n">
        <v>0</v>
      </c>
      <c r="G145" s="26" t="n">
        <v>0</v>
      </c>
      <c r="H145" s="26" t="n">
        <v>5</v>
      </c>
      <c r="I145" s="26" t="n">
        <v>17</v>
      </c>
      <c r="J145" s="26" t="n">
        <v>0</v>
      </c>
      <c r="K145" s="26" t="n">
        <v>0</v>
      </c>
      <c r="L145" s="26" t="n">
        <v>0</v>
      </c>
      <c r="M145" s="26" t="n">
        <v>0</v>
      </c>
    </row>
    <row r="146" customFormat="false" ht="15" hidden="false" customHeight="false" outlineLevel="0" collapsed="false">
      <c r="A146" s="7" t="s">
        <v>87</v>
      </c>
      <c r="B146" s="7" t="n">
        <v>4413108</v>
      </c>
      <c r="C146" s="7" t="s">
        <v>158</v>
      </c>
      <c r="D146" s="26" t="n">
        <v>721.6</v>
      </c>
      <c r="E146" s="26" t="n">
        <v>0</v>
      </c>
      <c r="F146" s="26" t="n">
        <v>0</v>
      </c>
      <c r="G146" s="26" t="n">
        <v>0</v>
      </c>
      <c r="H146" s="26" t="n">
        <v>243.1</v>
      </c>
      <c r="I146" s="26" t="n">
        <v>890.1</v>
      </c>
      <c r="J146" s="26" t="n">
        <v>0</v>
      </c>
      <c r="K146" s="26" t="n">
        <v>0</v>
      </c>
      <c r="L146" s="26" t="n">
        <v>0</v>
      </c>
      <c r="M146" s="26" t="n">
        <v>0</v>
      </c>
    </row>
    <row r="147" customFormat="false" ht="15" hidden="false" customHeight="false" outlineLevel="0" collapsed="false">
      <c r="A147" s="7" t="s">
        <v>85</v>
      </c>
      <c r="B147" s="7" t="n">
        <v>4413106</v>
      </c>
      <c r="C147" s="7" t="s">
        <v>159</v>
      </c>
      <c r="D147" s="26" t="n">
        <v>3</v>
      </c>
      <c r="E147" s="26" t="n">
        <v>0</v>
      </c>
      <c r="F147" s="26" t="n">
        <v>0</v>
      </c>
      <c r="G147" s="26" t="n">
        <v>0</v>
      </c>
      <c r="H147" s="26" t="n">
        <v>2</v>
      </c>
      <c r="I147" s="26" t="n">
        <v>3</v>
      </c>
      <c r="J147" s="26" t="n">
        <v>0</v>
      </c>
      <c r="K147" s="26" t="n">
        <v>0</v>
      </c>
      <c r="L147" s="26" t="n">
        <v>0</v>
      </c>
      <c r="M147" s="26" t="n">
        <v>0</v>
      </c>
    </row>
    <row r="148" customFormat="false" ht="15" hidden="false" customHeight="false" outlineLevel="0" collapsed="false">
      <c r="A148" s="7" t="s">
        <v>87</v>
      </c>
      <c r="B148" s="7" t="n">
        <v>4413106</v>
      </c>
      <c r="C148" s="7" t="s">
        <v>159</v>
      </c>
      <c r="D148" s="26" t="n">
        <v>170</v>
      </c>
      <c r="E148" s="26" t="n">
        <v>0</v>
      </c>
      <c r="F148" s="26" t="n">
        <v>0</v>
      </c>
      <c r="G148" s="26" t="n">
        <v>0</v>
      </c>
      <c r="H148" s="26" t="n">
        <v>97.2</v>
      </c>
      <c r="I148" s="26" t="n">
        <v>157.1</v>
      </c>
      <c r="J148" s="26" t="n">
        <v>0</v>
      </c>
      <c r="K148" s="26" t="n">
        <v>0</v>
      </c>
      <c r="L148" s="26" t="n">
        <v>0</v>
      </c>
      <c r="M148" s="26" t="n">
        <v>0</v>
      </c>
    </row>
    <row r="149" customFormat="false" ht="15" hidden="false" customHeight="false" outlineLevel="0" collapsed="false">
      <c r="A149" s="7" t="s">
        <v>85</v>
      </c>
      <c r="B149" s="7" t="n">
        <v>4413109</v>
      </c>
      <c r="C149" s="7" t="s">
        <v>160</v>
      </c>
      <c r="D149" s="26" t="n">
        <v>3</v>
      </c>
      <c r="E149" s="26" t="n">
        <v>0</v>
      </c>
      <c r="F149" s="26" t="n">
        <v>0</v>
      </c>
      <c r="G149" s="26" t="n">
        <v>0</v>
      </c>
      <c r="H149" s="26" t="n">
        <v>8</v>
      </c>
      <c r="I149" s="26" t="n">
        <v>4</v>
      </c>
      <c r="J149" s="26" t="n">
        <v>0</v>
      </c>
      <c r="K149" s="26" t="n">
        <v>0</v>
      </c>
      <c r="L149" s="26" t="n">
        <v>0</v>
      </c>
      <c r="M149" s="26" t="n">
        <v>0</v>
      </c>
    </row>
    <row r="150" customFormat="false" ht="15" hidden="false" customHeight="false" outlineLevel="0" collapsed="false">
      <c r="A150" s="7" t="s">
        <v>87</v>
      </c>
      <c r="B150" s="7" t="n">
        <v>4413109</v>
      </c>
      <c r="C150" s="7" t="s">
        <v>160</v>
      </c>
      <c r="D150" s="26" t="n">
        <v>162.5</v>
      </c>
      <c r="E150" s="26" t="n">
        <v>0</v>
      </c>
      <c r="F150" s="26" t="n">
        <v>0</v>
      </c>
      <c r="G150" s="26" t="n">
        <v>0</v>
      </c>
      <c r="H150" s="26" t="n">
        <v>389</v>
      </c>
      <c r="I150" s="26" t="n">
        <v>209.4</v>
      </c>
      <c r="J150" s="26" t="n">
        <v>0</v>
      </c>
      <c r="K150" s="26" t="n">
        <v>0</v>
      </c>
      <c r="L150" s="26" t="n">
        <v>0</v>
      </c>
      <c r="M150" s="26" t="n">
        <v>0</v>
      </c>
    </row>
    <row r="151" customFormat="false" ht="15" hidden="false" customHeight="false" outlineLevel="0" collapsed="false">
      <c r="A151" s="7" t="s">
        <v>85</v>
      </c>
      <c r="B151" s="7" t="n">
        <v>4413110</v>
      </c>
      <c r="C151" s="7" t="s">
        <v>161</v>
      </c>
      <c r="D151" s="26" t="n">
        <v>1</v>
      </c>
      <c r="E151" s="26" t="n">
        <v>0</v>
      </c>
      <c r="F151" s="26" t="n">
        <v>0</v>
      </c>
      <c r="G151" s="26" t="n">
        <v>1</v>
      </c>
      <c r="H151" s="26" t="n">
        <v>2</v>
      </c>
      <c r="I151" s="26" t="n">
        <v>9</v>
      </c>
      <c r="J151" s="26" t="n">
        <v>0</v>
      </c>
      <c r="K151" s="26" t="n">
        <v>0</v>
      </c>
      <c r="L151" s="26" t="n">
        <v>0</v>
      </c>
      <c r="M151" s="26" t="n">
        <v>0</v>
      </c>
    </row>
    <row r="152" customFormat="false" ht="15" hidden="false" customHeight="false" outlineLevel="0" collapsed="false">
      <c r="A152" s="7" t="s">
        <v>87</v>
      </c>
      <c r="B152" s="7" t="n">
        <v>4413110</v>
      </c>
      <c r="C152" s="7" t="s">
        <v>161</v>
      </c>
      <c r="D152" s="26" t="n">
        <v>56.7</v>
      </c>
      <c r="E152" s="26" t="n">
        <v>0</v>
      </c>
      <c r="F152" s="26" t="n">
        <v>0</v>
      </c>
      <c r="G152" s="26" t="n">
        <v>49.1</v>
      </c>
      <c r="H152" s="26" t="n">
        <v>97.2</v>
      </c>
      <c r="I152" s="26" t="n">
        <v>471.2</v>
      </c>
      <c r="J152" s="26" t="n">
        <v>0</v>
      </c>
      <c r="K152" s="26" t="n">
        <v>0</v>
      </c>
      <c r="L152" s="26" t="n">
        <v>0</v>
      </c>
      <c r="M152" s="26" t="n">
        <v>0</v>
      </c>
    </row>
    <row r="153" customFormat="false" ht="15" hidden="false" customHeight="false" outlineLevel="0" collapsed="false">
      <c r="A153" s="7" t="s">
        <v>85</v>
      </c>
      <c r="B153" s="7" t="n">
        <v>4420026</v>
      </c>
      <c r="C153" s="7" t="s">
        <v>162</v>
      </c>
      <c r="D153" s="26" t="n">
        <v>4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  <c r="L153" s="26" t="n">
        <v>0</v>
      </c>
      <c r="M153" s="26" t="n">
        <v>0</v>
      </c>
    </row>
    <row r="154" customFormat="false" ht="15" hidden="false" customHeight="false" outlineLevel="0" collapsed="false">
      <c r="A154" s="7" t="s">
        <v>87</v>
      </c>
      <c r="B154" s="7" t="n">
        <v>4420026</v>
      </c>
      <c r="C154" s="7" t="s">
        <v>162</v>
      </c>
      <c r="D154" s="26" t="n">
        <v>315.3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  <c r="L154" s="26" t="n">
        <v>0</v>
      </c>
      <c r="M154" s="26" t="n">
        <v>0</v>
      </c>
    </row>
    <row r="155" customFormat="false" ht="15" hidden="false" customHeight="false" outlineLevel="0" collapsed="false">
      <c r="A155" s="7" t="s">
        <v>85</v>
      </c>
      <c r="B155" s="7" t="n">
        <v>4413328</v>
      </c>
      <c r="C155" s="7" t="s">
        <v>163</v>
      </c>
      <c r="D155" s="26" t="n">
        <v>103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3</v>
      </c>
      <c r="J155" s="26" t="n">
        <v>0</v>
      </c>
      <c r="K155" s="26" t="n">
        <v>0</v>
      </c>
      <c r="L155" s="26" t="n">
        <v>0</v>
      </c>
      <c r="M155" s="26" t="n">
        <v>0</v>
      </c>
    </row>
    <row r="156" customFormat="false" ht="15" hidden="false" customHeight="false" outlineLevel="0" collapsed="false">
      <c r="A156" s="7" t="s">
        <v>87</v>
      </c>
      <c r="B156" s="7" t="n">
        <v>4413328</v>
      </c>
      <c r="C156" s="7" t="s">
        <v>163</v>
      </c>
      <c r="D156" s="26" t="n">
        <v>9674.1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270.4</v>
      </c>
      <c r="J156" s="26" t="n">
        <v>0</v>
      </c>
      <c r="K156" s="26" t="n">
        <v>0</v>
      </c>
      <c r="L156" s="26" t="n">
        <v>0</v>
      </c>
      <c r="M156" s="26" t="n">
        <v>0</v>
      </c>
    </row>
    <row r="157" customFormat="false" ht="15" hidden="false" customHeight="false" outlineLevel="0" collapsed="false">
      <c r="A157" s="7" t="s">
        <v>85</v>
      </c>
      <c r="B157" s="7" t="n">
        <v>4413329</v>
      </c>
      <c r="C157" s="7" t="s">
        <v>164</v>
      </c>
      <c r="D157" s="26" t="n">
        <v>541</v>
      </c>
      <c r="E157" s="26" t="n">
        <v>11</v>
      </c>
      <c r="F157" s="26" t="n">
        <v>2</v>
      </c>
      <c r="G157" s="26" t="n">
        <v>0</v>
      </c>
      <c r="H157" s="26" t="n">
        <v>87</v>
      </c>
      <c r="I157" s="26" t="n">
        <v>0</v>
      </c>
      <c r="J157" s="26" t="n">
        <v>1</v>
      </c>
      <c r="K157" s="26" t="n">
        <v>0</v>
      </c>
      <c r="L157" s="26" t="n">
        <v>0</v>
      </c>
      <c r="M157" s="26" t="n">
        <v>0</v>
      </c>
    </row>
    <row r="158" customFormat="false" ht="15" hidden="false" customHeight="false" outlineLevel="0" collapsed="false">
      <c r="A158" s="7" t="s">
        <v>87</v>
      </c>
      <c r="B158" s="7" t="n">
        <v>4413329</v>
      </c>
      <c r="C158" s="7" t="s">
        <v>164</v>
      </c>
      <c r="D158" s="26" t="n">
        <v>35979.5</v>
      </c>
      <c r="E158" s="26" t="n">
        <v>795.8</v>
      </c>
      <c r="F158" s="26" t="n">
        <v>141.7</v>
      </c>
      <c r="G158" s="26" t="n">
        <v>0</v>
      </c>
      <c r="H158" s="26" t="n">
        <v>5062.6</v>
      </c>
      <c r="I158" s="26" t="n">
        <v>0</v>
      </c>
      <c r="J158" s="26" t="n">
        <v>70</v>
      </c>
      <c r="K158" s="26" t="n">
        <v>0</v>
      </c>
      <c r="L158" s="26" t="n">
        <v>0</v>
      </c>
      <c r="M158" s="26" t="n">
        <v>0</v>
      </c>
    </row>
    <row r="159" customFormat="false" ht="15" hidden="false" customHeight="false" outlineLevel="0" collapsed="false">
      <c r="A159" s="7" t="s">
        <v>85</v>
      </c>
      <c r="B159" s="7" t="n">
        <v>4402011</v>
      </c>
      <c r="C159" s="7" t="s">
        <v>165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0</v>
      </c>
      <c r="J159" s="26" t="n">
        <v>0</v>
      </c>
      <c r="K159" s="26" t="n">
        <v>0</v>
      </c>
      <c r="L159" s="26" t="n">
        <v>0</v>
      </c>
      <c r="M159" s="26" t="n">
        <v>0</v>
      </c>
    </row>
    <row r="160" customFormat="false" ht="15" hidden="false" customHeight="false" outlineLevel="0" collapsed="false">
      <c r="A160" s="7" t="s">
        <v>87</v>
      </c>
      <c r="B160" s="7" t="n">
        <v>4402011</v>
      </c>
      <c r="C160" s="7" t="s">
        <v>165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0</v>
      </c>
      <c r="J160" s="26" t="n">
        <v>0</v>
      </c>
      <c r="K160" s="26" t="n">
        <v>0</v>
      </c>
      <c r="L160" s="26" t="n">
        <v>0</v>
      </c>
      <c r="M160" s="26" t="n">
        <v>0</v>
      </c>
    </row>
    <row r="161" customFormat="false" ht="15" hidden="false" customHeight="false" outlineLevel="0" collapsed="false">
      <c r="A161" s="7" t="s">
        <v>85</v>
      </c>
      <c r="B161" s="7" t="n">
        <v>4413438</v>
      </c>
      <c r="C161" s="7" t="s">
        <v>166</v>
      </c>
      <c r="D161" s="26" t="n">
        <v>6</v>
      </c>
      <c r="E161" s="26" t="n">
        <v>0</v>
      </c>
      <c r="F161" s="26" t="n">
        <v>0</v>
      </c>
      <c r="G161" s="26" t="n">
        <v>0</v>
      </c>
      <c r="H161" s="26" t="n">
        <v>14</v>
      </c>
      <c r="I161" s="26" t="n">
        <v>0</v>
      </c>
      <c r="J161" s="26" t="n">
        <v>0</v>
      </c>
      <c r="K161" s="26" t="n">
        <v>0</v>
      </c>
      <c r="L161" s="26" t="n">
        <v>0</v>
      </c>
      <c r="M161" s="26" t="n">
        <v>0</v>
      </c>
    </row>
    <row r="162" customFormat="false" ht="15" hidden="false" customHeight="false" outlineLevel="0" collapsed="false">
      <c r="A162" s="7" t="s">
        <v>87</v>
      </c>
      <c r="B162" s="7" t="n">
        <v>4413438</v>
      </c>
      <c r="C162" s="7" t="s">
        <v>166</v>
      </c>
      <c r="D162" s="26" t="n">
        <v>830.5</v>
      </c>
      <c r="E162" s="26" t="n">
        <v>0</v>
      </c>
      <c r="F162" s="26" t="n">
        <v>0</v>
      </c>
      <c r="G162" s="26" t="n">
        <v>0</v>
      </c>
      <c r="H162" s="26" t="n">
        <v>1880.3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v>0</v>
      </c>
    </row>
    <row r="163" customFormat="false" ht="15" hidden="false" customHeight="false" outlineLevel="0" collapsed="false">
      <c r="A163" s="7" t="s">
        <v>85</v>
      </c>
      <c r="B163" s="7" t="n">
        <v>4413442</v>
      </c>
      <c r="C163" s="7" t="s">
        <v>167</v>
      </c>
      <c r="D163" s="26" t="n">
        <v>1</v>
      </c>
      <c r="E163" s="26" t="n">
        <v>0</v>
      </c>
      <c r="F163" s="26" t="n">
        <v>0</v>
      </c>
      <c r="G163" s="26" t="n">
        <v>0</v>
      </c>
      <c r="H163" s="26" t="n">
        <v>4</v>
      </c>
      <c r="I163" s="26" t="n">
        <v>0</v>
      </c>
      <c r="J163" s="26" t="n">
        <v>0</v>
      </c>
      <c r="K163" s="26" t="n">
        <v>0</v>
      </c>
      <c r="L163" s="26" t="n">
        <v>0</v>
      </c>
      <c r="M163" s="26" t="n">
        <v>0</v>
      </c>
    </row>
    <row r="164" customFormat="false" ht="15" hidden="false" customHeight="false" outlineLevel="0" collapsed="false">
      <c r="A164" s="7" t="s">
        <v>87</v>
      </c>
      <c r="B164" s="7" t="n">
        <v>4413442</v>
      </c>
      <c r="C164" s="7" t="s">
        <v>167</v>
      </c>
      <c r="D164" s="26" t="n">
        <v>112.7</v>
      </c>
      <c r="E164" s="26" t="n">
        <v>0</v>
      </c>
      <c r="F164" s="26" t="n">
        <v>0</v>
      </c>
      <c r="G164" s="26" t="n">
        <v>0</v>
      </c>
      <c r="H164" s="26" t="n">
        <v>469.1</v>
      </c>
      <c r="I164" s="26" t="n">
        <v>-93.9</v>
      </c>
      <c r="J164" s="26" t="n">
        <v>0</v>
      </c>
      <c r="K164" s="26" t="n">
        <v>0</v>
      </c>
      <c r="L164" s="26" t="n">
        <v>0</v>
      </c>
      <c r="M164" s="26" t="n">
        <v>0</v>
      </c>
    </row>
    <row r="165" customFormat="false" ht="15" hidden="false" customHeight="false" outlineLevel="0" collapsed="false">
      <c r="A165" s="7" t="s">
        <v>85</v>
      </c>
      <c r="B165" s="7" t="n">
        <v>4422037</v>
      </c>
      <c r="C165" s="7" t="s">
        <v>168</v>
      </c>
      <c r="D165" s="26" t="n">
        <v>1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0</v>
      </c>
      <c r="L165" s="26" t="n">
        <v>0</v>
      </c>
      <c r="M165" s="26" t="n">
        <v>0</v>
      </c>
    </row>
    <row r="166" customFormat="false" ht="15" hidden="false" customHeight="false" outlineLevel="0" collapsed="false">
      <c r="A166" s="7" t="s">
        <v>87</v>
      </c>
      <c r="B166" s="7" t="n">
        <v>4422037</v>
      </c>
      <c r="C166" s="7" t="s">
        <v>168</v>
      </c>
      <c r="D166" s="26" t="n">
        <v>215.4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0</v>
      </c>
      <c r="L166" s="26" t="n">
        <v>0</v>
      </c>
      <c r="M166" s="26" t="n">
        <v>0</v>
      </c>
    </row>
    <row r="167" customFormat="false" ht="15" hidden="false" customHeight="false" outlineLevel="0" collapsed="false">
      <c r="A167" s="7" t="s">
        <v>85</v>
      </c>
      <c r="B167" s="7" t="n">
        <v>4422038</v>
      </c>
      <c r="C167" s="7" t="s">
        <v>169</v>
      </c>
      <c r="D167" s="26" t="n">
        <v>3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0</v>
      </c>
      <c r="L167" s="26" t="n">
        <v>0</v>
      </c>
      <c r="M167" s="26" t="n">
        <v>0</v>
      </c>
    </row>
    <row r="168" customFormat="false" ht="15" hidden="false" customHeight="false" outlineLevel="0" collapsed="false">
      <c r="A168" s="7" t="s">
        <v>87</v>
      </c>
      <c r="B168" s="7" t="n">
        <v>4422038</v>
      </c>
      <c r="C168" s="7" t="s">
        <v>169</v>
      </c>
      <c r="D168" s="26" t="n">
        <v>646.1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0</v>
      </c>
      <c r="L168" s="26" t="n">
        <v>0</v>
      </c>
      <c r="M168" s="26" t="n">
        <v>0</v>
      </c>
    </row>
    <row r="169" customFormat="false" ht="15" hidden="false" customHeight="false" outlineLevel="0" collapsed="false">
      <c r="A169" s="7" t="s">
        <v>85</v>
      </c>
      <c r="B169" s="7" t="n">
        <v>4422039</v>
      </c>
      <c r="C169" s="7" t="s">
        <v>170</v>
      </c>
      <c r="D169" s="26" t="n">
        <v>3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0</v>
      </c>
      <c r="J169" s="26" t="n">
        <v>0</v>
      </c>
      <c r="K169" s="26" t="n">
        <v>0</v>
      </c>
      <c r="L169" s="26" t="n">
        <v>0</v>
      </c>
      <c r="M169" s="26" t="n">
        <v>0</v>
      </c>
    </row>
    <row r="170" customFormat="false" ht="15" hidden="false" customHeight="false" outlineLevel="0" collapsed="false">
      <c r="A170" s="7" t="s">
        <v>87</v>
      </c>
      <c r="B170" s="7" t="n">
        <v>4422039</v>
      </c>
      <c r="C170" s="7" t="s">
        <v>170</v>
      </c>
      <c r="D170" s="26" t="n">
        <v>646.1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0</v>
      </c>
      <c r="J170" s="26" t="n">
        <v>0</v>
      </c>
      <c r="K170" s="26" t="n">
        <v>0</v>
      </c>
      <c r="L170" s="26" t="n">
        <v>0</v>
      </c>
      <c r="M170" s="26" t="n">
        <v>0</v>
      </c>
    </row>
    <row r="171" customFormat="false" ht="15" hidden="false" customHeight="false" outlineLevel="0" collapsed="false">
      <c r="A171" s="7" t="s">
        <v>85</v>
      </c>
      <c r="B171" s="7" t="n">
        <v>4422040</v>
      </c>
      <c r="C171" s="7" t="s">
        <v>171</v>
      </c>
      <c r="D171" s="26" t="n">
        <v>6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0</v>
      </c>
      <c r="J171" s="26" t="n">
        <v>0</v>
      </c>
      <c r="K171" s="26" t="n">
        <v>0</v>
      </c>
      <c r="L171" s="26" t="n">
        <v>0</v>
      </c>
      <c r="M171" s="26" t="n">
        <v>0</v>
      </c>
    </row>
    <row r="172" customFormat="false" ht="15" hidden="false" customHeight="false" outlineLevel="0" collapsed="false">
      <c r="A172" s="7" t="s">
        <v>87</v>
      </c>
      <c r="B172" s="7" t="n">
        <v>4422040</v>
      </c>
      <c r="C172" s="7" t="s">
        <v>171</v>
      </c>
      <c r="D172" s="26" t="n">
        <v>1263.5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0</v>
      </c>
      <c r="J172" s="26" t="n">
        <v>0</v>
      </c>
      <c r="K172" s="26" t="n">
        <v>0</v>
      </c>
      <c r="L172" s="26" t="n">
        <v>0</v>
      </c>
      <c r="M172" s="26" t="n">
        <v>0</v>
      </c>
    </row>
    <row r="173" customFormat="false" ht="15" hidden="false" customHeight="false" outlineLevel="0" collapsed="false">
      <c r="A173" s="7" t="s">
        <v>85</v>
      </c>
      <c r="B173" s="7" t="n">
        <v>4422041</v>
      </c>
      <c r="C173" s="7" t="s">
        <v>172</v>
      </c>
      <c r="D173" s="26" t="n">
        <v>6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0</v>
      </c>
      <c r="J173" s="26" t="n">
        <v>0</v>
      </c>
      <c r="K173" s="26" t="n">
        <v>0</v>
      </c>
      <c r="L173" s="26" t="n">
        <v>0</v>
      </c>
      <c r="M173" s="26" t="n">
        <v>0</v>
      </c>
    </row>
    <row r="174" customFormat="false" ht="15" hidden="false" customHeight="false" outlineLevel="0" collapsed="false">
      <c r="A174" s="7" t="s">
        <v>87</v>
      </c>
      <c r="B174" s="7" t="n">
        <v>4422041</v>
      </c>
      <c r="C174" s="7" t="s">
        <v>172</v>
      </c>
      <c r="D174" s="26" t="n">
        <v>1263.5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0</v>
      </c>
      <c r="J174" s="26" t="n">
        <v>0</v>
      </c>
      <c r="K174" s="26" t="n">
        <v>0</v>
      </c>
      <c r="L174" s="26" t="n">
        <v>0</v>
      </c>
      <c r="M174" s="26" t="n">
        <v>0</v>
      </c>
    </row>
    <row r="175" customFormat="false" ht="15" hidden="false" customHeight="false" outlineLevel="0" collapsed="false">
      <c r="A175" s="7" t="s">
        <v>85</v>
      </c>
      <c r="B175" s="7" t="n">
        <v>4422042</v>
      </c>
      <c r="C175" s="7" t="s">
        <v>173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0</v>
      </c>
      <c r="J175" s="26" t="n">
        <v>0</v>
      </c>
      <c r="K175" s="26" t="n">
        <v>0</v>
      </c>
      <c r="L175" s="26" t="n">
        <v>0</v>
      </c>
      <c r="M175" s="26" t="n">
        <v>0</v>
      </c>
    </row>
    <row r="176" customFormat="false" ht="15" hidden="false" customHeight="false" outlineLevel="0" collapsed="false">
      <c r="A176" s="7" t="s">
        <v>87</v>
      </c>
      <c r="B176" s="7" t="n">
        <v>4422042</v>
      </c>
      <c r="C176" s="7" t="s">
        <v>173</v>
      </c>
      <c r="D176" s="26" t="n">
        <v>0</v>
      </c>
      <c r="E176" s="26" t="n">
        <v>0</v>
      </c>
      <c r="F176" s="26" t="n">
        <v>0</v>
      </c>
      <c r="G176" s="26" t="n">
        <v>0</v>
      </c>
      <c r="H176" s="26" t="n">
        <v>0</v>
      </c>
      <c r="I176" s="26" t="n">
        <v>0</v>
      </c>
      <c r="J176" s="26" t="n">
        <v>0</v>
      </c>
      <c r="K176" s="26" t="n">
        <v>0</v>
      </c>
      <c r="L176" s="26" t="n">
        <v>0</v>
      </c>
      <c r="M176" s="26" t="n">
        <v>0</v>
      </c>
    </row>
    <row r="177" customFormat="false" ht="15" hidden="false" customHeight="false" outlineLevel="0" collapsed="false">
      <c r="A177" s="7" t="s">
        <v>85</v>
      </c>
      <c r="B177" s="7" t="n">
        <v>4413532</v>
      </c>
      <c r="C177" s="7" t="s">
        <v>174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0</v>
      </c>
      <c r="J177" s="26" t="n">
        <v>0</v>
      </c>
      <c r="K177" s="26" t="n">
        <v>0</v>
      </c>
      <c r="L177" s="26" t="n">
        <v>0</v>
      </c>
      <c r="M177" s="26" t="n">
        <v>0</v>
      </c>
    </row>
    <row r="178" customFormat="false" ht="15" hidden="false" customHeight="false" outlineLevel="0" collapsed="false">
      <c r="A178" s="7" t="s">
        <v>87</v>
      </c>
      <c r="B178" s="7" t="n">
        <v>4413532</v>
      </c>
      <c r="C178" s="7" t="s">
        <v>174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0</v>
      </c>
      <c r="J178" s="26" t="n">
        <v>0</v>
      </c>
      <c r="K178" s="26" t="n">
        <v>0</v>
      </c>
      <c r="L178" s="26" t="n">
        <v>0</v>
      </c>
      <c r="M178" s="26" t="n">
        <v>0</v>
      </c>
    </row>
    <row r="179" customFormat="false" ht="15" hidden="false" customHeight="false" outlineLevel="0" collapsed="false">
      <c r="A179" s="7" t="s">
        <v>85</v>
      </c>
      <c r="B179" s="7" t="n">
        <v>4413184</v>
      </c>
      <c r="C179" s="7" t="s">
        <v>175</v>
      </c>
      <c r="D179" s="26" t="n">
        <v>4</v>
      </c>
      <c r="E179" s="26" t="n">
        <v>0</v>
      </c>
      <c r="F179" s="26" t="n">
        <v>0</v>
      </c>
      <c r="G179" s="26" t="n">
        <v>0</v>
      </c>
      <c r="H179" s="26" t="n">
        <v>87</v>
      </c>
      <c r="I179" s="26" t="n">
        <v>14</v>
      </c>
      <c r="J179" s="26" t="n">
        <v>0</v>
      </c>
      <c r="K179" s="26" t="n">
        <v>0</v>
      </c>
      <c r="L179" s="26" t="n">
        <v>0</v>
      </c>
      <c r="M179" s="26" t="n">
        <v>0</v>
      </c>
    </row>
    <row r="180" customFormat="false" ht="15" hidden="false" customHeight="false" outlineLevel="0" collapsed="false">
      <c r="A180" s="7" t="s">
        <v>87</v>
      </c>
      <c r="B180" s="7" t="n">
        <v>4413184</v>
      </c>
      <c r="C180" s="7" t="s">
        <v>175</v>
      </c>
      <c r="D180" s="26" t="n">
        <v>417.5</v>
      </c>
      <c r="E180" s="26" t="n">
        <v>0</v>
      </c>
      <c r="F180" s="26" t="n">
        <v>0</v>
      </c>
      <c r="G180" s="26" t="n">
        <v>0</v>
      </c>
      <c r="H180" s="26" t="n">
        <v>7827.9</v>
      </c>
      <c r="I180" s="26" t="n">
        <v>1358.4</v>
      </c>
      <c r="J180" s="26" t="n">
        <v>0</v>
      </c>
      <c r="K180" s="26" t="n">
        <v>0</v>
      </c>
      <c r="L180" s="26" t="n">
        <v>0</v>
      </c>
      <c r="M180" s="26" t="n">
        <v>0</v>
      </c>
    </row>
    <row r="181" customFormat="false" ht="15" hidden="false" customHeight="false" outlineLevel="0" collapsed="false">
      <c r="A181" s="7" t="s">
        <v>85</v>
      </c>
      <c r="B181" s="7" t="n">
        <v>4413183</v>
      </c>
      <c r="C181" s="7" t="s">
        <v>176</v>
      </c>
      <c r="D181" s="26" t="n">
        <v>1</v>
      </c>
      <c r="E181" s="26" t="n">
        <v>0</v>
      </c>
      <c r="F181" s="26" t="n">
        <v>0</v>
      </c>
      <c r="G181" s="26" t="n">
        <v>0</v>
      </c>
      <c r="H181" s="26" t="n">
        <v>78</v>
      </c>
      <c r="I181" s="26" t="n">
        <v>9</v>
      </c>
      <c r="J181" s="26" t="n">
        <v>0</v>
      </c>
      <c r="K181" s="26" t="n">
        <v>0</v>
      </c>
      <c r="L181" s="26" t="n">
        <v>0</v>
      </c>
      <c r="M181" s="26" t="n">
        <v>0</v>
      </c>
    </row>
    <row r="182" customFormat="false" ht="15" hidden="false" customHeight="false" outlineLevel="0" collapsed="false">
      <c r="A182" s="7" t="s">
        <v>87</v>
      </c>
      <c r="B182" s="7" t="n">
        <v>4413183</v>
      </c>
      <c r="C182" s="7" t="s">
        <v>176</v>
      </c>
      <c r="D182" s="26" t="n">
        <v>104</v>
      </c>
      <c r="E182" s="26" t="n">
        <v>0</v>
      </c>
      <c r="F182" s="26" t="n">
        <v>0</v>
      </c>
      <c r="G182" s="26" t="n">
        <v>0</v>
      </c>
      <c r="H182" s="26" t="n">
        <v>7014.3</v>
      </c>
      <c r="I182" s="26" t="n">
        <v>873.3</v>
      </c>
      <c r="J182" s="26" t="n">
        <v>0</v>
      </c>
      <c r="K182" s="26" t="n">
        <v>0</v>
      </c>
      <c r="L182" s="26" t="n">
        <v>0</v>
      </c>
      <c r="M182" s="26" t="n">
        <v>0</v>
      </c>
    </row>
    <row r="183" customFormat="false" ht="15" hidden="false" customHeight="false" outlineLevel="0" collapsed="false">
      <c r="A183" s="7" t="s">
        <v>85</v>
      </c>
      <c r="B183" s="7" t="n">
        <v>4413185</v>
      </c>
      <c r="C183" s="7" t="s">
        <v>177</v>
      </c>
      <c r="D183" s="26" t="n">
        <v>5</v>
      </c>
      <c r="E183" s="26" t="n">
        <v>0</v>
      </c>
      <c r="F183" s="26" t="n">
        <v>0</v>
      </c>
      <c r="G183" s="26" t="n">
        <v>0</v>
      </c>
      <c r="H183" s="26" t="n">
        <v>95</v>
      </c>
      <c r="I183" s="26" t="n">
        <v>19</v>
      </c>
      <c r="J183" s="26" t="n">
        <v>0</v>
      </c>
      <c r="K183" s="26" t="n">
        <v>0</v>
      </c>
      <c r="L183" s="26" t="n">
        <v>0</v>
      </c>
      <c r="M183" s="26" t="n">
        <v>0</v>
      </c>
    </row>
    <row r="184" customFormat="false" ht="15" hidden="false" customHeight="false" outlineLevel="0" collapsed="false">
      <c r="A184" s="7" t="s">
        <v>87</v>
      </c>
      <c r="B184" s="7" t="n">
        <v>4413185</v>
      </c>
      <c r="C184" s="7" t="s">
        <v>177</v>
      </c>
      <c r="D184" s="26" t="n">
        <v>525.6</v>
      </c>
      <c r="E184" s="26" t="n">
        <v>0</v>
      </c>
      <c r="F184" s="26" t="n">
        <v>0</v>
      </c>
      <c r="G184" s="26" t="n">
        <v>0</v>
      </c>
      <c r="H184" s="26" t="n">
        <v>8568.6</v>
      </c>
      <c r="I184" s="26" t="n">
        <v>1843.6</v>
      </c>
      <c r="J184" s="26" t="n">
        <v>0</v>
      </c>
      <c r="K184" s="26" t="n">
        <v>0</v>
      </c>
      <c r="L184" s="26" t="n">
        <v>0</v>
      </c>
      <c r="M184" s="26" t="n">
        <v>0</v>
      </c>
    </row>
    <row r="185" customFormat="false" ht="15" hidden="false" customHeight="false" outlineLevel="0" collapsed="false">
      <c r="A185" s="7" t="s">
        <v>85</v>
      </c>
      <c r="B185" s="7" t="n">
        <v>4420021</v>
      </c>
      <c r="C185" s="7" t="s">
        <v>178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-1</v>
      </c>
      <c r="I185" s="26" t="n">
        <v>0</v>
      </c>
      <c r="J185" s="26" t="n">
        <v>0</v>
      </c>
      <c r="K185" s="26" t="n">
        <v>0</v>
      </c>
      <c r="L185" s="26" t="n">
        <v>0</v>
      </c>
      <c r="M185" s="26" t="n">
        <v>0</v>
      </c>
    </row>
    <row r="186" customFormat="false" ht="15" hidden="false" customHeight="false" outlineLevel="0" collapsed="false">
      <c r="A186" s="7" t="s">
        <v>87</v>
      </c>
      <c r="B186" s="7" t="n">
        <v>4420021</v>
      </c>
      <c r="C186" s="7" t="s">
        <v>178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-73.9</v>
      </c>
      <c r="I186" s="26" t="n">
        <v>0</v>
      </c>
      <c r="J186" s="26" t="n">
        <v>0</v>
      </c>
      <c r="K186" s="26" t="n">
        <v>0</v>
      </c>
      <c r="L186" s="26" t="n">
        <v>0</v>
      </c>
      <c r="M186" s="26" t="n">
        <v>0</v>
      </c>
    </row>
    <row r="187" customFormat="false" ht="15" hidden="false" customHeight="false" outlineLevel="0" collapsed="false">
      <c r="A187" s="7" t="s">
        <v>85</v>
      </c>
      <c r="B187" s="7" t="n">
        <v>4413171</v>
      </c>
      <c r="C187" s="7" t="s">
        <v>179</v>
      </c>
      <c r="D187" s="26" t="n">
        <v>3</v>
      </c>
      <c r="E187" s="26" t="n">
        <v>0</v>
      </c>
      <c r="F187" s="26" t="n">
        <v>0</v>
      </c>
      <c r="G187" s="26" t="n">
        <v>0</v>
      </c>
      <c r="H187" s="26" t="n">
        <v>0</v>
      </c>
      <c r="I187" s="26" t="n">
        <v>-1</v>
      </c>
      <c r="J187" s="26" t="n">
        <v>0</v>
      </c>
      <c r="K187" s="26" t="n">
        <v>0</v>
      </c>
      <c r="L187" s="26" t="n">
        <v>0</v>
      </c>
      <c r="M187" s="26" t="n">
        <v>0</v>
      </c>
    </row>
    <row r="188" customFormat="false" ht="15" hidden="false" customHeight="false" outlineLevel="0" collapsed="false">
      <c r="A188" s="7" t="s">
        <v>87</v>
      </c>
      <c r="B188" s="7" t="n">
        <v>4413171</v>
      </c>
      <c r="C188" s="7" t="s">
        <v>179</v>
      </c>
      <c r="D188" s="26" t="n">
        <v>271.1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-88.2</v>
      </c>
      <c r="J188" s="26" t="n">
        <v>0</v>
      </c>
      <c r="K188" s="26" t="n">
        <v>0</v>
      </c>
      <c r="L188" s="26" t="n">
        <v>0</v>
      </c>
      <c r="M188" s="26" t="n">
        <v>0</v>
      </c>
    </row>
    <row r="189" customFormat="false" ht="15" hidden="false" customHeight="false" outlineLevel="0" collapsed="false">
      <c r="A189" s="7" t="s">
        <v>85</v>
      </c>
      <c r="B189" s="7" t="n">
        <v>4413170</v>
      </c>
      <c r="C189" s="7" t="s">
        <v>180</v>
      </c>
      <c r="D189" s="26" t="n">
        <v>1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3</v>
      </c>
      <c r="J189" s="26" t="n">
        <v>0</v>
      </c>
      <c r="K189" s="26" t="n">
        <v>0</v>
      </c>
      <c r="L189" s="26" t="n">
        <v>0</v>
      </c>
      <c r="M189" s="26" t="n">
        <v>0</v>
      </c>
    </row>
    <row r="190" customFormat="false" ht="15" hidden="false" customHeight="false" outlineLevel="0" collapsed="false">
      <c r="A190" s="7" t="s">
        <v>87</v>
      </c>
      <c r="B190" s="7" t="n">
        <v>4413170</v>
      </c>
      <c r="C190" s="7" t="s">
        <v>180</v>
      </c>
      <c r="D190" s="26" t="n">
        <v>94.5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264.6</v>
      </c>
      <c r="J190" s="26" t="n">
        <v>0</v>
      </c>
      <c r="K190" s="26" t="n">
        <v>0</v>
      </c>
      <c r="L190" s="26" t="n">
        <v>0</v>
      </c>
      <c r="M190" s="26" t="n">
        <v>0</v>
      </c>
    </row>
    <row r="191" customFormat="false" ht="15" hidden="false" customHeight="false" outlineLevel="0" collapsed="false">
      <c r="A191" s="7" t="s">
        <v>85</v>
      </c>
      <c r="B191" s="7" t="n">
        <v>4413169</v>
      </c>
      <c r="C191" s="7" t="s">
        <v>181</v>
      </c>
      <c r="D191" s="26" t="n">
        <v>1</v>
      </c>
      <c r="E191" s="26" t="n">
        <v>0</v>
      </c>
      <c r="F191" s="26" t="n">
        <v>0</v>
      </c>
      <c r="G191" s="26" t="n">
        <v>0</v>
      </c>
      <c r="H191" s="26" t="n">
        <v>-1</v>
      </c>
      <c r="I191" s="26" t="n">
        <v>0</v>
      </c>
      <c r="J191" s="26" t="n">
        <v>0</v>
      </c>
      <c r="K191" s="26" t="n">
        <v>0</v>
      </c>
      <c r="L191" s="26" t="n">
        <v>0</v>
      </c>
      <c r="M191" s="26" t="n">
        <v>0</v>
      </c>
    </row>
    <row r="192" customFormat="false" ht="15" hidden="false" customHeight="false" outlineLevel="0" collapsed="false">
      <c r="A192" s="7" t="s">
        <v>87</v>
      </c>
      <c r="B192" s="7" t="n">
        <v>4413169</v>
      </c>
      <c r="C192" s="7" t="s">
        <v>181</v>
      </c>
      <c r="D192" s="26" t="n">
        <v>94.6</v>
      </c>
      <c r="E192" s="26" t="n">
        <v>0</v>
      </c>
      <c r="F192" s="26" t="n">
        <v>0</v>
      </c>
      <c r="G192" s="26" t="n">
        <v>0</v>
      </c>
      <c r="H192" s="26" t="n">
        <v>-81.9</v>
      </c>
      <c r="I192" s="26" t="n">
        <v>0</v>
      </c>
      <c r="J192" s="26" t="n">
        <v>0</v>
      </c>
      <c r="K192" s="26" t="n">
        <v>0</v>
      </c>
      <c r="L192" s="26" t="n">
        <v>0</v>
      </c>
      <c r="M192" s="26" t="n">
        <v>0</v>
      </c>
    </row>
    <row r="193" customFormat="false" ht="15" hidden="false" customHeight="false" outlineLevel="0" collapsed="false">
      <c r="A193" s="7" t="s">
        <v>85</v>
      </c>
      <c r="B193" s="7" t="n">
        <v>4413172</v>
      </c>
      <c r="C193" s="7" t="s">
        <v>182</v>
      </c>
      <c r="D193" s="26" t="n">
        <v>4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0</v>
      </c>
      <c r="J193" s="26" t="n">
        <v>0</v>
      </c>
      <c r="K193" s="26" t="n">
        <v>0</v>
      </c>
      <c r="L193" s="26" t="n">
        <v>0</v>
      </c>
      <c r="M193" s="26" t="n">
        <v>0</v>
      </c>
    </row>
    <row r="194" customFormat="false" ht="15" hidden="false" customHeight="false" outlineLevel="0" collapsed="false">
      <c r="A194" s="7" t="s">
        <v>87</v>
      </c>
      <c r="B194" s="7" t="n">
        <v>4413172</v>
      </c>
      <c r="C194" s="7" t="s">
        <v>182</v>
      </c>
      <c r="D194" s="26" t="n">
        <v>365.6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0</v>
      </c>
      <c r="J194" s="26" t="n">
        <v>0</v>
      </c>
      <c r="K194" s="26" t="n">
        <v>0</v>
      </c>
      <c r="L194" s="26" t="n">
        <v>0</v>
      </c>
      <c r="M194" s="26" t="n">
        <v>0</v>
      </c>
    </row>
    <row r="195" customFormat="false" ht="15" hidden="false" customHeight="false" outlineLevel="0" collapsed="false">
      <c r="A195" s="7" t="s">
        <v>85</v>
      </c>
      <c r="B195" s="7" t="n">
        <v>4413173</v>
      </c>
      <c r="C195" s="7" t="s">
        <v>183</v>
      </c>
      <c r="D195" s="26" t="n">
        <v>0</v>
      </c>
      <c r="E195" s="26" t="n">
        <v>0</v>
      </c>
      <c r="F195" s="26" t="n">
        <v>0</v>
      </c>
      <c r="G195" s="26" t="n">
        <v>1</v>
      </c>
      <c r="H195" s="26" t="n">
        <v>0</v>
      </c>
      <c r="I195" s="26" t="n">
        <v>0</v>
      </c>
      <c r="J195" s="26" t="n">
        <v>0</v>
      </c>
      <c r="K195" s="26" t="n">
        <v>0</v>
      </c>
      <c r="L195" s="26" t="n">
        <v>0</v>
      </c>
      <c r="M195" s="26" t="n">
        <v>0</v>
      </c>
    </row>
    <row r="196" customFormat="false" ht="15" hidden="false" customHeight="false" outlineLevel="0" collapsed="false">
      <c r="A196" s="7" t="s">
        <v>87</v>
      </c>
      <c r="B196" s="7" t="n">
        <v>4413173</v>
      </c>
      <c r="C196" s="7" t="s">
        <v>183</v>
      </c>
      <c r="D196" s="26" t="n">
        <v>0</v>
      </c>
      <c r="E196" s="26" t="n">
        <v>0</v>
      </c>
      <c r="F196" s="26" t="n">
        <v>0</v>
      </c>
      <c r="G196" s="26" t="n">
        <v>82</v>
      </c>
      <c r="H196" s="26" t="n">
        <v>0</v>
      </c>
      <c r="I196" s="26" t="n">
        <v>0</v>
      </c>
      <c r="J196" s="26" t="n">
        <v>0</v>
      </c>
      <c r="K196" s="26" t="n">
        <v>0</v>
      </c>
      <c r="L196" s="26" t="n">
        <v>0</v>
      </c>
      <c r="M196" s="26" t="n">
        <v>0</v>
      </c>
    </row>
    <row r="197" customFormat="false" ht="15" hidden="false" customHeight="false" outlineLevel="0" collapsed="false">
      <c r="A197" s="7" t="s">
        <v>85</v>
      </c>
      <c r="B197" s="7" t="n">
        <v>4420039</v>
      </c>
      <c r="C197" s="7" t="s">
        <v>184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0</v>
      </c>
      <c r="J197" s="26" t="n">
        <v>0</v>
      </c>
      <c r="K197" s="26" t="n">
        <v>0</v>
      </c>
      <c r="L197" s="26" t="n">
        <v>0</v>
      </c>
      <c r="M197" s="26" t="n">
        <v>0</v>
      </c>
    </row>
    <row r="198" customFormat="false" ht="15" hidden="false" customHeight="false" outlineLevel="0" collapsed="false">
      <c r="A198" s="7" t="s">
        <v>87</v>
      </c>
      <c r="B198" s="7" t="n">
        <v>4420039</v>
      </c>
      <c r="C198" s="7" t="s">
        <v>184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0</v>
      </c>
      <c r="J198" s="26" t="n">
        <v>0</v>
      </c>
      <c r="K198" s="26" t="n">
        <v>0</v>
      </c>
      <c r="L198" s="26" t="n">
        <v>0</v>
      </c>
      <c r="M198" s="26" t="n">
        <v>0</v>
      </c>
    </row>
    <row r="199" customFormat="false" ht="15" hidden="false" customHeight="false" outlineLevel="0" collapsed="false">
      <c r="A199" s="7" t="s">
        <v>85</v>
      </c>
      <c r="B199" s="7" t="n">
        <v>4413287</v>
      </c>
      <c r="C199" s="7" t="s">
        <v>185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0</v>
      </c>
      <c r="J199" s="26" t="n">
        <v>0</v>
      </c>
      <c r="K199" s="26" t="n">
        <v>0</v>
      </c>
      <c r="L199" s="26" t="n">
        <v>0</v>
      </c>
      <c r="M199" s="26" t="n">
        <v>0</v>
      </c>
    </row>
    <row r="200" customFormat="false" ht="15" hidden="false" customHeight="false" outlineLevel="0" collapsed="false">
      <c r="A200" s="7" t="s">
        <v>87</v>
      </c>
      <c r="B200" s="7" t="n">
        <v>4413287</v>
      </c>
      <c r="C200" s="7" t="s">
        <v>185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0</v>
      </c>
      <c r="J200" s="26" t="n">
        <v>0</v>
      </c>
      <c r="K200" s="26" t="n">
        <v>0</v>
      </c>
      <c r="L200" s="26" t="n">
        <v>0</v>
      </c>
      <c r="M200" s="26" t="n">
        <v>0</v>
      </c>
    </row>
    <row r="201" customFormat="false" ht="15" hidden="false" customHeight="false" outlineLevel="0" collapsed="false">
      <c r="A201" s="7" t="s">
        <v>85</v>
      </c>
      <c r="B201" s="7" t="n">
        <v>4413240</v>
      </c>
      <c r="C201" s="7" t="s">
        <v>186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0</v>
      </c>
      <c r="L201" s="26" t="n">
        <v>0</v>
      </c>
      <c r="M201" s="26" t="n">
        <v>0</v>
      </c>
    </row>
    <row r="202" customFormat="false" ht="15" hidden="false" customHeight="false" outlineLevel="0" collapsed="false">
      <c r="A202" s="7" t="s">
        <v>87</v>
      </c>
      <c r="B202" s="7" t="n">
        <v>4413240</v>
      </c>
      <c r="C202" s="7" t="s">
        <v>186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  <c r="L202" s="26" t="n">
        <v>0</v>
      </c>
      <c r="M202" s="26" t="n">
        <v>0</v>
      </c>
    </row>
    <row r="203" customFormat="false" ht="15" hidden="false" customHeight="false" outlineLevel="0" collapsed="false">
      <c r="A203" s="7" t="s">
        <v>85</v>
      </c>
      <c r="B203" s="7" t="n">
        <v>4413188</v>
      </c>
      <c r="C203" s="7" t="s">
        <v>187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  <c r="L203" s="26" t="n">
        <v>0</v>
      </c>
      <c r="M203" s="26" t="n">
        <v>0</v>
      </c>
    </row>
    <row r="204" customFormat="false" ht="15" hidden="false" customHeight="false" outlineLevel="0" collapsed="false">
      <c r="A204" s="7" t="s">
        <v>87</v>
      </c>
      <c r="B204" s="7" t="n">
        <v>4413188</v>
      </c>
      <c r="C204" s="7" t="s">
        <v>187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0</v>
      </c>
      <c r="I204" s="26" t="n">
        <v>0</v>
      </c>
      <c r="J204" s="26" t="n">
        <v>0</v>
      </c>
      <c r="K204" s="26" t="n">
        <v>0</v>
      </c>
      <c r="L204" s="26" t="n">
        <v>0</v>
      </c>
      <c r="M204" s="26" t="n">
        <v>0</v>
      </c>
    </row>
    <row r="205" customFormat="false" ht="15" hidden="false" customHeight="false" outlineLevel="0" collapsed="false">
      <c r="A205" s="7" t="s">
        <v>85</v>
      </c>
      <c r="B205" s="7" t="n">
        <v>4413187</v>
      </c>
      <c r="C205" s="7" t="s">
        <v>188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0</v>
      </c>
      <c r="J205" s="26" t="n">
        <v>0</v>
      </c>
      <c r="K205" s="26" t="n">
        <v>0</v>
      </c>
      <c r="L205" s="26" t="n">
        <v>0</v>
      </c>
      <c r="M205" s="26" t="n">
        <v>0</v>
      </c>
    </row>
    <row r="206" customFormat="false" ht="15" hidden="false" customHeight="false" outlineLevel="0" collapsed="false">
      <c r="A206" s="7" t="s">
        <v>87</v>
      </c>
      <c r="B206" s="7" t="n">
        <v>4413187</v>
      </c>
      <c r="C206" s="7" t="s">
        <v>188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0</v>
      </c>
      <c r="J206" s="26" t="n">
        <v>0</v>
      </c>
      <c r="K206" s="26" t="n">
        <v>0</v>
      </c>
      <c r="L206" s="26" t="n">
        <v>0</v>
      </c>
      <c r="M206" s="26" t="n">
        <v>0</v>
      </c>
    </row>
    <row r="207" customFormat="false" ht="15" hidden="false" customHeight="false" outlineLevel="0" collapsed="false">
      <c r="A207" s="7" t="s">
        <v>85</v>
      </c>
      <c r="B207" s="7" t="n">
        <v>4413189</v>
      </c>
      <c r="C207" s="7" t="s">
        <v>189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  <c r="L207" s="26" t="n">
        <v>0</v>
      </c>
      <c r="M207" s="26" t="n">
        <v>0</v>
      </c>
    </row>
    <row r="208" customFormat="false" ht="15" hidden="false" customHeight="false" outlineLevel="0" collapsed="false">
      <c r="A208" s="7" t="s">
        <v>87</v>
      </c>
      <c r="B208" s="7" t="n">
        <v>4413189</v>
      </c>
      <c r="C208" s="7" t="s">
        <v>189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0</v>
      </c>
      <c r="J208" s="26" t="n">
        <v>0</v>
      </c>
      <c r="K208" s="26" t="n">
        <v>0</v>
      </c>
      <c r="L208" s="26" t="n">
        <v>0</v>
      </c>
      <c r="M208" s="26" t="n">
        <v>0</v>
      </c>
    </row>
    <row r="209" customFormat="false" ht="15" hidden="false" customHeight="false" outlineLevel="0" collapsed="false">
      <c r="A209" s="7" t="s">
        <v>85</v>
      </c>
      <c r="B209" s="7" t="n">
        <v>4413182</v>
      </c>
      <c r="C209" s="7" t="s">
        <v>190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-2</v>
      </c>
      <c r="I209" s="26" t="n">
        <v>0</v>
      </c>
      <c r="J209" s="26" t="n">
        <v>0</v>
      </c>
      <c r="K209" s="26" t="n">
        <v>0</v>
      </c>
      <c r="L209" s="26" t="n">
        <v>0</v>
      </c>
      <c r="M209" s="26" t="n">
        <v>0</v>
      </c>
    </row>
    <row r="210" customFormat="false" ht="15" hidden="false" customHeight="false" outlineLevel="0" collapsed="false">
      <c r="A210" s="7" t="s">
        <v>87</v>
      </c>
      <c r="B210" s="7" t="n">
        <v>4413182</v>
      </c>
      <c r="C210" s="7" t="s">
        <v>190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-173.9</v>
      </c>
      <c r="I210" s="26" t="n">
        <v>0</v>
      </c>
      <c r="J210" s="26" t="n">
        <v>0</v>
      </c>
      <c r="K210" s="26" t="n">
        <v>0</v>
      </c>
      <c r="L210" s="26" t="n">
        <v>0</v>
      </c>
      <c r="M210" s="26" t="n">
        <v>0</v>
      </c>
    </row>
    <row r="211" customFormat="false" ht="15" hidden="false" customHeight="false" outlineLevel="0" collapsed="false">
      <c r="A211" s="7" t="s">
        <v>85</v>
      </c>
      <c r="B211" s="7" t="n">
        <v>4413286</v>
      </c>
      <c r="C211" s="7" t="s">
        <v>191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27</v>
      </c>
      <c r="I211" s="26" t="n">
        <v>0</v>
      </c>
      <c r="J211" s="26" t="n">
        <v>0</v>
      </c>
      <c r="K211" s="26" t="n">
        <v>0</v>
      </c>
      <c r="L211" s="26" t="n">
        <v>0</v>
      </c>
      <c r="M211" s="26" t="n">
        <v>0</v>
      </c>
    </row>
    <row r="212" customFormat="false" ht="15" hidden="false" customHeight="false" outlineLevel="0" collapsed="false">
      <c r="A212" s="7" t="s">
        <v>87</v>
      </c>
      <c r="B212" s="7" t="n">
        <v>4413286</v>
      </c>
      <c r="C212" s="7" t="s">
        <v>191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2428.2</v>
      </c>
      <c r="I212" s="26" t="n">
        <v>0</v>
      </c>
      <c r="J212" s="26" t="n">
        <v>0</v>
      </c>
      <c r="K212" s="26" t="n">
        <v>0</v>
      </c>
      <c r="L212" s="26" t="n">
        <v>0</v>
      </c>
      <c r="M212" s="26" t="n">
        <v>0</v>
      </c>
    </row>
    <row r="213" customFormat="false" ht="15" hidden="false" customHeight="false" outlineLevel="0" collapsed="false">
      <c r="A213" s="7" t="s">
        <v>85</v>
      </c>
      <c r="B213" s="7" t="n">
        <v>4413260</v>
      </c>
      <c r="C213" s="7" t="s">
        <v>192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0</v>
      </c>
      <c r="L213" s="26" t="n">
        <v>0</v>
      </c>
      <c r="M213" s="26" t="n">
        <v>0</v>
      </c>
    </row>
    <row r="214" customFormat="false" ht="15" hidden="false" customHeight="false" outlineLevel="0" collapsed="false">
      <c r="A214" s="7" t="s">
        <v>87</v>
      </c>
      <c r="B214" s="7" t="n">
        <v>4413260</v>
      </c>
      <c r="C214" s="7" t="s">
        <v>192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0</v>
      </c>
      <c r="L214" s="26" t="n">
        <v>0</v>
      </c>
      <c r="M214" s="26" t="n">
        <v>0</v>
      </c>
    </row>
    <row r="215" customFormat="false" ht="15" hidden="false" customHeight="false" outlineLevel="0" collapsed="false">
      <c r="A215" s="7" t="s">
        <v>85</v>
      </c>
      <c r="B215" s="7" t="n">
        <v>4413226</v>
      </c>
      <c r="C215" s="7" t="s">
        <v>193</v>
      </c>
      <c r="D215" s="26" t="n">
        <v>2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0</v>
      </c>
      <c r="L215" s="26" t="n">
        <v>0</v>
      </c>
      <c r="M215" s="26" t="n">
        <v>0</v>
      </c>
    </row>
    <row r="216" customFormat="false" ht="15" hidden="false" customHeight="false" outlineLevel="0" collapsed="false">
      <c r="A216" s="7" t="s">
        <v>87</v>
      </c>
      <c r="B216" s="7" t="n">
        <v>4413226</v>
      </c>
      <c r="C216" s="7" t="s">
        <v>193</v>
      </c>
      <c r="D216" s="26" t="n">
        <v>237.1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0</v>
      </c>
      <c r="L216" s="26" t="n">
        <v>0</v>
      </c>
      <c r="M216" s="26" t="n">
        <v>0</v>
      </c>
    </row>
    <row r="217" customFormat="false" ht="15" hidden="false" customHeight="false" outlineLevel="0" collapsed="false">
      <c r="A217" s="7" t="s">
        <v>85</v>
      </c>
      <c r="B217" s="7" t="n">
        <v>4413225</v>
      </c>
      <c r="C217" s="7" t="s">
        <v>194</v>
      </c>
      <c r="D217" s="26" t="n">
        <v>1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0</v>
      </c>
      <c r="J217" s="26" t="n">
        <v>0</v>
      </c>
      <c r="K217" s="26" t="n">
        <v>0</v>
      </c>
      <c r="L217" s="26" t="n">
        <v>0</v>
      </c>
      <c r="M217" s="26" t="n">
        <v>0</v>
      </c>
    </row>
    <row r="218" customFormat="false" ht="15" hidden="false" customHeight="false" outlineLevel="0" collapsed="false">
      <c r="A218" s="7" t="s">
        <v>87</v>
      </c>
      <c r="B218" s="7" t="n">
        <v>4413225</v>
      </c>
      <c r="C218" s="7" t="s">
        <v>194</v>
      </c>
      <c r="D218" s="26" t="n">
        <v>118.6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0</v>
      </c>
      <c r="J218" s="26" t="n">
        <v>0</v>
      </c>
      <c r="K218" s="26" t="n">
        <v>0</v>
      </c>
      <c r="L218" s="26" t="n">
        <v>0</v>
      </c>
      <c r="M218" s="26" t="n">
        <v>0</v>
      </c>
    </row>
    <row r="219" customFormat="false" ht="15" hidden="false" customHeight="false" outlineLevel="0" collapsed="false">
      <c r="A219" s="7" t="s">
        <v>85</v>
      </c>
      <c r="B219" s="7" t="n">
        <v>4413227</v>
      </c>
      <c r="C219" s="7" t="s">
        <v>195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0</v>
      </c>
      <c r="J219" s="26" t="n">
        <v>0</v>
      </c>
      <c r="K219" s="26" t="n">
        <v>0</v>
      </c>
      <c r="L219" s="26" t="n">
        <v>0</v>
      </c>
      <c r="M219" s="26" t="n">
        <v>0</v>
      </c>
    </row>
    <row r="220" customFormat="false" ht="15" hidden="false" customHeight="false" outlineLevel="0" collapsed="false">
      <c r="A220" s="7" t="s">
        <v>87</v>
      </c>
      <c r="B220" s="7" t="n">
        <v>4413227</v>
      </c>
      <c r="C220" s="7" t="s">
        <v>195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0</v>
      </c>
      <c r="J220" s="26" t="n">
        <v>0</v>
      </c>
      <c r="K220" s="26" t="n">
        <v>0</v>
      </c>
      <c r="L220" s="26" t="n">
        <v>0</v>
      </c>
      <c r="M220" s="26" t="n">
        <v>0</v>
      </c>
    </row>
    <row r="221" customFormat="false" ht="15" hidden="false" customHeight="false" outlineLevel="0" collapsed="false">
      <c r="A221" s="7" t="s">
        <v>85</v>
      </c>
      <c r="B221" s="7" t="n">
        <v>4413224</v>
      </c>
      <c r="C221" s="7" t="s">
        <v>196</v>
      </c>
      <c r="D221" s="26" t="n">
        <v>2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0</v>
      </c>
      <c r="J221" s="26" t="n">
        <v>0</v>
      </c>
      <c r="K221" s="26" t="n">
        <v>0</v>
      </c>
      <c r="L221" s="26" t="n">
        <v>0</v>
      </c>
      <c r="M221" s="26" t="n">
        <v>0</v>
      </c>
    </row>
    <row r="222" customFormat="false" ht="15" hidden="false" customHeight="false" outlineLevel="0" collapsed="false">
      <c r="A222" s="7" t="s">
        <v>87</v>
      </c>
      <c r="B222" s="7" t="n">
        <v>4413224</v>
      </c>
      <c r="C222" s="7" t="s">
        <v>196</v>
      </c>
      <c r="D222" s="26" t="n">
        <v>237.1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0</v>
      </c>
      <c r="J222" s="26" t="n">
        <v>0</v>
      </c>
      <c r="K222" s="26" t="n">
        <v>0</v>
      </c>
      <c r="L222" s="26" t="n">
        <v>0</v>
      </c>
      <c r="M222" s="26" t="n">
        <v>0</v>
      </c>
    </row>
    <row r="223" customFormat="false" ht="15" hidden="false" customHeight="false" outlineLevel="0" collapsed="false">
      <c r="A223" s="7" t="s">
        <v>85</v>
      </c>
      <c r="B223" s="7" t="n">
        <v>4403011</v>
      </c>
      <c r="C223" s="7" t="s">
        <v>197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-1</v>
      </c>
      <c r="I223" s="26" t="n">
        <v>0</v>
      </c>
      <c r="J223" s="26" t="n">
        <v>0</v>
      </c>
      <c r="K223" s="26" t="n">
        <v>0</v>
      </c>
      <c r="L223" s="26" t="n">
        <v>0</v>
      </c>
      <c r="M223" s="26" t="n">
        <v>0</v>
      </c>
    </row>
    <row r="224" customFormat="false" ht="15" hidden="false" customHeight="false" outlineLevel="0" collapsed="false">
      <c r="A224" s="7" t="s">
        <v>87</v>
      </c>
      <c r="B224" s="7" t="n">
        <v>4403011</v>
      </c>
      <c r="C224" s="7" t="s">
        <v>197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-28.4</v>
      </c>
      <c r="I224" s="26" t="n">
        <v>0</v>
      </c>
      <c r="J224" s="26" t="n">
        <v>0</v>
      </c>
      <c r="K224" s="26" t="n">
        <v>0</v>
      </c>
      <c r="L224" s="26" t="n">
        <v>0</v>
      </c>
      <c r="M224" s="26" t="n">
        <v>0</v>
      </c>
    </row>
    <row r="225" customFormat="false" ht="15" hidden="false" customHeight="false" outlineLevel="0" collapsed="false">
      <c r="A225" s="7" t="s">
        <v>85</v>
      </c>
      <c r="B225" s="7" t="n">
        <v>4403040</v>
      </c>
      <c r="C225" s="7" t="s">
        <v>198</v>
      </c>
      <c r="D225" s="26" t="n">
        <v>110</v>
      </c>
      <c r="E225" s="26" t="n">
        <v>0</v>
      </c>
      <c r="F225" s="26" t="n">
        <v>0</v>
      </c>
      <c r="G225" s="26" t="n">
        <v>0</v>
      </c>
      <c r="H225" s="26" t="n">
        <v>111</v>
      </c>
      <c r="I225" s="26" t="n">
        <v>0</v>
      </c>
      <c r="J225" s="26" t="n">
        <v>0</v>
      </c>
      <c r="K225" s="26" t="n">
        <v>0</v>
      </c>
      <c r="L225" s="26" t="n">
        <v>0</v>
      </c>
      <c r="M225" s="26" t="n">
        <v>0</v>
      </c>
    </row>
    <row r="226" customFormat="false" ht="15" hidden="false" customHeight="false" outlineLevel="0" collapsed="false">
      <c r="A226" s="7" t="s">
        <v>87</v>
      </c>
      <c r="B226" s="7" t="n">
        <v>4403040</v>
      </c>
      <c r="C226" s="7" t="s">
        <v>198</v>
      </c>
      <c r="D226" s="26" t="n">
        <v>4004.4</v>
      </c>
      <c r="E226" s="26" t="n">
        <v>0</v>
      </c>
      <c r="F226" s="26" t="n">
        <v>0</v>
      </c>
      <c r="G226" s="26" t="n">
        <v>0</v>
      </c>
      <c r="H226" s="26" t="n">
        <v>3384.7</v>
      </c>
      <c r="I226" s="26" t="n">
        <v>0</v>
      </c>
      <c r="J226" s="26" t="n">
        <v>0</v>
      </c>
      <c r="K226" s="26" t="n">
        <v>0</v>
      </c>
      <c r="L226" s="26" t="n">
        <v>0</v>
      </c>
      <c r="M226" s="26" t="n">
        <v>0</v>
      </c>
    </row>
    <row r="227" customFormat="false" ht="15" hidden="false" customHeight="false" outlineLevel="0" collapsed="false">
      <c r="A227" s="7" t="s">
        <v>85</v>
      </c>
      <c r="B227" s="7" t="n">
        <v>4403027</v>
      </c>
      <c r="C227" s="7" t="s">
        <v>199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  <c r="L227" s="26" t="n">
        <v>0</v>
      </c>
      <c r="M227" s="26" t="n">
        <v>0</v>
      </c>
    </row>
    <row r="228" customFormat="false" ht="15" hidden="false" customHeight="false" outlineLevel="0" collapsed="false">
      <c r="A228" s="7" t="s">
        <v>87</v>
      </c>
      <c r="B228" s="7" t="n">
        <v>4403027</v>
      </c>
      <c r="C228" s="7" t="s">
        <v>199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0</v>
      </c>
      <c r="J228" s="26" t="n">
        <v>0</v>
      </c>
      <c r="K228" s="26" t="n">
        <v>0</v>
      </c>
      <c r="L228" s="26" t="n">
        <v>0</v>
      </c>
      <c r="M228" s="26" t="n">
        <v>0</v>
      </c>
    </row>
    <row r="229" customFormat="false" ht="15" hidden="false" customHeight="false" outlineLevel="0" collapsed="false">
      <c r="A229" s="7" t="s">
        <v>85</v>
      </c>
      <c r="B229" s="7" t="n">
        <v>4403001</v>
      </c>
      <c r="C229" s="7" t="s">
        <v>200</v>
      </c>
      <c r="D229" s="26" t="n">
        <v>42</v>
      </c>
      <c r="E229" s="26" t="n">
        <v>0</v>
      </c>
      <c r="F229" s="26" t="n">
        <v>0</v>
      </c>
      <c r="G229" s="26" t="n">
        <v>0</v>
      </c>
      <c r="H229" s="26" t="n">
        <v>75</v>
      </c>
      <c r="I229" s="26" t="n">
        <v>14</v>
      </c>
      <c r="J229" s="26" t="n">
        <v>0</v>
      </c>
      <c r="K229" s="26" t="n">
        <v>0</v>
      </c>
      <c r="L229" s="26" t="n">
        <v>0</v>
      </c>
      <c r="M229" s="26" t="n">
        <v>0</v>
      </c>
    </row>
    <row r="230" customFormat="false" ht="15" hidden="false" customHeight="false" outlineLevel="0" collapsed="false">
      <c r="A230" s="7" t="s">
        <v>87</v>
      </c>
      <c r="B230" s="7" t="n">
        <v>4403001</v>
      </c>
      <c r="C230" s="7" t="s">
        <v>200</v>
      </c>
      <c r="D230" s="26" t="n">
        <v>1277.4</v>
      </c>
      <c r="E230" s="26" t="n">
        <v>0</v>
      </c>
      <c r="F230" s="26" t="n">
        <v>0</v>
      </c>
      <c r="G230" s="26" t="n">
        <v>0</v>
      </c>
      <c r="H230" s="26" t="n">
        <v>2179.1</v>
      </c>
      <c r="I230" s="26" t="n">
        <v>440.4</v>
      </c>
      <c r="J230" s="26" t="n">
        <v>0</v>
      </c>
      <c r="K230" s="26" t="n">
        <v>0</v>
      </c>
      <c r="L230" s="26" t="n">
        <v>0</v>
      </c>
      <c r="M230" s="26" t="n">
        <v>0</v>
      </c>
    </row>
    <row r="231" customFormat="false" ht="15" hidden="false" customHeight="false" outlineLevel="0" collapsed="false">
      <c r="A231" s="7" t="s">
        <v>85</v>
      </c>
      <c r="B231" s="7" t="n">
        <v>4403002</v>
      </c>
      <c r="C231" s="7" t="s">
        <v>201</v>
      </c>
      <c r="D231" s="26" t="n">
        <v>73</v>
      </c>
      <c r="E231" s="26" t="n">
        <v>0</v>
      </c>
      <c r="F231" s="26" t="n">
        <v>0</v>
      </c>
      <c r="G231" s="26" t="n">
        <v>0</v>
      </c>
      <c r="H231" s="26" t="n">
        <v>96</v>
      </c>
      <c r="I231" s="26" t="n">
        <v>18</v>
      </c>
      <c r="J231" s="26" t="n">
        <v>0</v>
      </c>
      <c r="K231" s="26" t="n">
        <v>0</v>
      </c>
      <c r="L231" s="26" t="n">
        <v>0</v>
      </c>
      <c r="M231" s="26" t="n">
        <v>0</v>
      </c>
    </row>
    <row r="232" customFormat="false" ht="15" hidden="false" customHeight="false" outlineLevel="0" collapsed="false">
      <c r="A232" s="7" t="s">
        <v>87</v>
      </c>
      <c r="B232" s="7" t="n">
        <v>4403002</v>
      </c>
      <c r="C232" s="7" t="s">
        <v>201</v>
      </c>
      <c r="D232" s="26" t="n">
        <v>2296</v>
      </c>
      <c r="E232" s="26" t="n">
        <v>0</v>
      </c>
      <c r="F232" s="26" t="n">
        <v>0</v>
      </c>
      <c r="G232" s="26" t="n">
        <v>0</v>
      </c>
      <c r="H232" s="26" t="n">
        <v>2791.6</v>
      </c>
      <c r="I232" s="26" t="n">
        <v>566.3</v>
      </c>
      <c r="J232" s="26" t="n">
        <v>0</v>
      </c>
      <c r="K232" s="26" t="n">
        <v>0</v>
      </c>
      <c r="L232" s="26" t="n">
        <v>0</v>
      </c>
      <c r="M232" s="26" t="n">
        <v>0</v>
      </c>
    </row>
    <row r="233" customFormat="false" ht="15" hidden="false" customHeight="false" outlineLevel="0" collapsed="false">
      <c r="A233" s="7" t="s">
        <v>85</v>
      </c>
      <c r="B233" s="7" t="n">
        <v>4403000</v>
      </c>
      <c r="C233" s="7" t="s">
        <v>202</v>
      </c>
      <c r="D233" s="26" t="n">
        <v>21</v>
      </c>
      <c r="E233" s="26" t="n">
        <v>0</v>
      </c>
      <c r="F233" s="26" t="n">
        <v>0</v>
      </c>
      <c r="G233" s="26" t="n">
        <v>0</v>
      </c>
      <c r="H233" s="26" t="n">
        <v>30</v>
      </c>
      <c r="I233" s="26" t="n">
        <v>0</v>
      </c>
      <c r="J233" s="26" t="n">
        <v>0</v>
      </c>
      <c r="K233" s="26" t="n">
        <v>0</v>
      </c>
      <c r="L233" s="26" t="n">
        <v>0</v>
      </c>
      <c r="M233" s="26" t="n">
        <v>0</v>
      </c>
    </row>
    <row r="234" customFormat="false" ht="15" hidden="false" customHeight="false" outlineLevel="0" collapsed="false">
      <c r="A234" s="7" t="s">
        <v>87</v>
      </c>
      <c r="B234" s="7" t="n">
        <v>4403000</v>
      </c>
      <c r="C234" s="7" t="s">
        <v>202</v>
      </c>
      <c r="D234" s="26" t="n">
        <v>614.1</v>
      </c>
      <c r="E234" s="26" t="n">
        <v>0</v>
      </c>
      <c r="F234" s="26" t="n">
        <v>0</v>
      </c>
      <c r="G234" s="26" t="n">
        <v>0</v>
      </c>
      <c r="H234" s="26" t="n">
        <v>882.1</v>
      </c>
      <c r="I234" s="26" t="n">
        <v>0</v>
      </c>
      <c r="J234" s="26" t="n">
        <v>0</v>
      </c>
      <c r="K234" s="26" t="n">
        <v>0</v>
      </c>
      <c r="L234" s="26" t="n">
        <v>0</v>
      </c>
      <c r="M234" s="26" t="n">
        <v>0</v>
      </c>
    </row>
    <row r="235" customFormat="false" ht="15" hidden="false" customHeight="false" outlineLevel="0" collapsed="false">
      <c r="A235" s="7" t="s">
        <v>85</v>
      </c>
      <c r="B235" s="7" t="n">
        <v>4403004</v>
      </c>
      <c r="C235" s="7" t="s">
        <v>203</v>
      </c>
      <c r="D235" s="26" t="n">
        <v>16</v>
      </c>
      <c r="E235" s="26" t="n">
        <v>0</v>
      </c>
      <c r="F235" s="26" t="n">
        <v>0</v>
      </c>
      <c r="G235" s="26" t="n">
        <v>0</v>
      </c>
      <c r="H235" s="26" t="n">
        <v>52</v>
      </c>
      <c r="I235" s="26" t="n">
        <v>2</v>
      </c>
      <c r="J235" s="26" t="n">
        <v>0</v>
      </c>
      <c r="K235" s="26" t="n">
        <v>0</v>
      </c>
      <c r="L235" s="26" t="n">
        <v>0</v>
      </c>
      <c r="M235" s="26" t="n">
        <v>0</v>
      </c>
    </row>
    <row r="236" customFormat="false" ht="15" hidden="false" customHeight="false" outlineLevel="0" collapsed="false">
      <c r="A236" s="7" t="s">
        <v>87</v>
      </c>
      <c r="B236" s="7" t="n">
        <v>4403004</v>
      </c>
      <c r="C236" s="7" t="s">
        <v>203</v>
      </c>
      <c r="D236" s="26" t="n">
        <v>549.5</v>
      </c>
      <c r="E236" s="26" t="n">
        <v>0</v>
      </c>
      <c r="F236" s="26" t="n">
        <v>0</v>
      </c>
      <c r="G236" s="26" t="n">
        <v>0</v>
      </c>
      <c r="H236" s="26" t="n">
        <v>1517.5</v>
      </c>
      <c r="I236" s="26" t="n">
        <v>62.9</v>
      </c>
      <c r="J236" s="26" t="n">
        <v>0</v>
      </c>
      <c r="K236" s="26" t="n">
        <v>0</v>
      </c>
      <c r="L236" s="26" t="n">
        <v>0</v>
      </c>
      <c r="M236" s="26" t="n">
        <v>0</v>
      </c>
    </row>
    <row r="237" customFormat="false" ht="15" hidden="false" customHeight="false" outlineLevel="0" collapsed="false">
      <c r="A237" s="7" t="s">
        <v>85</v>
      </c>
      <c r="B237" s="7" t="n">
        <v>4403003</v>
      </c>
      <c r="C237" s="7" t="s">
        <v>204</v>
      </c>
      <c r="D237" s="26" t="n">
        <v>2</v>
      </c>
      <c r="E237" s="26" t="n">
        <v>0</v>
      </c>
      <c r="F237" s="26" t="n">
        <v>0</v>
      </c>
      <c r="G237" s="26" t="n">
        <v>0</v>
      </c>
      <c r="H237" s="26" t="n">
        <v>22</v>
      </c>
      <c r="I237" s="26" t="n">
        <v>2</v>
      </c>
      <c r="J237" s="26" t="n">
        <v>0</v>
      </c>
      <c r="K237" s="26" t="n">
        <v>0</v>
      </c>
      <c r="L237" s="26" t="n">
        <v>0</v>
      </c>
      <c r="M237" s="26" t="n">
        <v>0</v>
      </c>
    </row>
    <row r="238" customFormat="false" ht="15" hidden="false" customHeight="false" outlineLevel="0" collapsed="false">
      <c r="A238" s="7" t="s">
        <v>87</v>
      </c>
      <c r="B238" s="7" t="n">
        <v>4403003</v>
      </c>
      <c r="C238" s="7" t="s">
        <v>204</v>
      </c>
      <c r="D238" s="26" t="n">
        <v>51</v>
      </c>
      <c r="E238" s="26" t="n">
        <v>0</v>
      </c>
      <c r="F238" s="26" t="n">
        <v>0</v>
      </c>
      <c r="G238" s="26" t="n">
        <v>0</v>
      </c>
      <c r="H238" s="26" t="n">
        <v>644.1</v>
      </c>
      <c r="I238" s="26" t="n">
        <v>62.9</v>
      </c>
      <c r="J238" s="26" t="n">
        <v>0</v>
      </c>
      <c r="K238" s="26" t="n">
        <v>0</v>
      </c>
      <c r="L238" s="26" t="n">
        <v>0</v>
      </c>
      <c r="M238" s="26" t="n">
        <v>0</v>
      </c>
    </row>
    <row r="239" customFormat="false" ht="15" hidden="false" customHeight="false" outlineLevel="0" collapsed="false">
      <c r="A239" s="7" t="s">
        <v>85</v>
      </c>
      <c r="B239" s="7" t="n">
        <v>4403006</v>
      </c>
      <c r="C239" s="7" t="s">
        <v>205</v>
      </c>
      <c r="D239" s="26" t="n">
        <v>7</v>
      </c>
      <c r="E239" s="26" t="n">
        <v>0</v>
      </c>
      <c r="F239" s="26" t="n">
        <v>5</v>
      </c>
      <c r="G239" s="26" t="n">
        <v>0</v>
      </c>
      <c r="H239" s="26" t="n">
        <v>20</v>
      </c>
      <c r="I239" s="26" t="n">
        <v>2</v>
      </c>
      <c r="J239" s="26" t="n">
        <v>0</v>
      </c>
      <c r="K239" s="26" t="n">
        <v>0</v>
      </c>
      <c r="L239" s="26" t="n">
        <v>0</v>
      </c>
      <c r="M239" s="26" t="n">
        <v>0</v>
      </c>
    </row>
    <row r="240" customFormat="false" ht="15" hidden="false" customHeight="false" outlineLevel="0" collapsed="false">
      <c r="A240" s="7" t="s">
        <v>87</v>
      </c>
      <c r="B240" s="7" t="n">
        <v>4403006</v>
      </c>
      <c r="C240" s="7" t="s">
        <v>205</v>
      </c>
      <c r="D240" s="26" t="n">
        <v>198.9</v>
      </c>
      <c r="E240" s="26" t="n">
        <v>0</v>
      </c>
      <c r="F240" s="26" t="n">
        <v>146.1</v>
      </c>
      <c r="G240" s="26" t="n">
        <v>0</v>
      </c>
      <c r="H240" s="26" t="n">
        <v>585.7</v>
      </c>
      <c r="I240" s="26" t="n">
        <v>62.9</v>
      </c>
      <c r="J240" s="26" t="n">
        <v>0</v>
      </c>
      <c r="K240" s="26" t="n">
        <v>0</v>
      </c>
      <c r="L240" s="26" t="n">
        <v>0</v>
      </c>
      <c r="M240" s="26" t="n">
        <v>0</v>
      </c>
    </row>
    <row r="241" customFormat="false" ht="15" hidden="false" customHeight="false" outlineLevel="0" collapsed="false">
      <c r="A241" s="7" t="s">
        <v>85</v>
      </c>
      <c r="B241" s="7" t="n">
        <v>4403007</v>
      </c>
      <c r="C241" s="7" t="s">
        <v>206</v>
      </c>
      <c r="D241" s="26" t="n">
        <v>18</v>
      </c>
      <c r="E241" s="26" t="n">
        <v>0</v>
      </c>
      <c r="F241" s="26" t="n">
        <v>0</v>
      </c>
      <c r="G241" s="26" t="n">
        <v>0</v>
      </c>
      <c r="H241" s="26" t="n">
        <v>35</v>
      </c>
      <c r="I241" s="26" t="n">
        <v>16</v>
      </c>
      <c r="J241" s="26" t="n">
        <v>0</v>
      </c>
      <c r="K241" s="26" t="n">
        <v>0</v>
      </c>
      <c r="L241" s="26" t="n">
        <v>0</v>
      </c>
      <c r="M241" s="26" t="n">
        <v>0</v>
      </c>
    </row>
    <row r="242" customFormat="false" ht="15" hidden="false" customHeight="false" outlineLevel="0" collapsed="false">
      <c r="A242" s="7" t="s">
        <v>87</v>
      </c>
      <c r="B242" s="7" t="n">
        <v>4403007</v>
      </c>
      <c r="C242" s="7" t="s">
        <v>206</v>
      </c>
      <c r="D242" s="26" t="n">
        <v>559.9</v>
      </c>
      <c r="E242" s="26" t="n">
        <v>0</v>
      </c>
      <c r="F242" s="26" t="n">
        <v>0</v>
      </c>
      <c r="G242" s="26" t="n">
        <v>0</v>
      </c>
      <c r="H242" s="26" t="n">
        <v>1022.4</v>
      </c>
      <c r="I242" s="26" t="n">
        <v>500</v>
      </c>
      <c r="J242" s="26" t="n">
        <v>0</v>
      </c>
      <c r="K242" s="26" t="n">
        <v>0</v>
      </c>
      <c r="L242" s="26" t="n">
        <v>0</v>
      </c>
      <c r="M242" s="26" t="n">
        <v>0</v>
      </c>
    </row>
    <row r="243" customFormat="false" ht="15" hidden="false" customHeight="false" outlineLevel="0" collapsed="false">
      <c r="A243" s="7" t="s">
        <v>85</v>
      </c>
      <c r="B243" s="7" t="n">
        <v>4403008</v>
      </c>
      <c r="C243" s="7" t="s">
        <v>207</v>
      </c>
      <c r="D243" s="26" t="n">
        <v>20</v>
      </c>
      <c r="E243" s="26" t="n">
        <v>0</v>
      </c>
      <c r="F243" s="26" t="n">
        <v>0</v>
      </c>
      <c r="G243" s="26" t="n">
        <v>0</v>
      </c>
      <c r="H243" s="26" t="n">
        <v>34</v>
      </c>
      <c r="I243" s="26" t="n">
        <v>0</v>
      </c>
      <c r="J243" s="26" t="n">
        <v>0</v>
      </c>
      <c r="K243" s="26" t="n">
        <v>0</v>
      </c>
      <c r="L243" s="26" t="n">
        <v>0</v>
      </c>
      <c r="M243" s="26" t="n">
        <v>0</v>
      </c>
    </row>
    <row r="244" customFormat="false" ht="15" hidden="false" customHeight="false" outlineLevel="0" collapsed="false">
      <c r="A244" s="7" t="s">
        <v>87</v>
      </c>
      <c r="B244" s="7" t="n">
        <v>4403008</v>
      </c>
      <c r="C244" s="7" t="s">
        <v>207</v>
      </c>
      <c r="D244" s="26" t="n">
        <v>601.1</v>
      </c>
      <c r="E244" s="26" t="n">
        <v>0</v>
      </c>
      <c r="F244" s="26" t="n">
        <v>0</v>
      </c>
      <c r="G244" s="26" t="n">
        <v>0</v>
      </c>
      <c r="H244" s="26" t="n">
        <v>992.3</v>
      </c>
      <c r="I244" s="26" t="n">
        <v>0</v>
      </c>
      <c r="J244" s="26" t="n">
        <v>0</v>
      </c>
      <c r="K244" s="26" t="n">
        <v>0</v>
      </c>
      <c r="L244" s="26" t="n">
        <v>0</v>
      </c>
      <c r="M244" s="26" t="n">
        <v>0</v>
      </c>
    </row>
    <row r="245" customFormat="false" ht="15" hidden="false" customHeight="false" outlineLevel="0" collapsed="false">
      <c r="A245" s="7" t="s">
        <v>85</v>
      </c>
      <c r="B245" s="7" t="n">
        <v>4403017</v>
      </c>
      <c r="C245" s="7" t="s">
        <v>208</v>
      </c>
      <c r="D245" s="26" t="n">
        <v>52</v>
      </c>
      <c r="E245" s="26" t="n">
        <v>0</v>
      </c>
      <c r="F245" s="26" t="n">
        <v>10</v>
      </c>
      <c r="G245" s="26" t="n">
        <v>0</v>
      </c>
      <c r="H245" s="26" t="n">
        <v>77</v>
      </c>
      <c r="I245" s="26" t="n">
        <v>0</v>
      </c>
      <c r="J245" s="26" t="n">
        <v>0</v>
      </c>
      <c r="K245" s="26" t="n">
        <v>0</v>
      </c>
      <c r="L245" s="26" t="n">
        <v>0</v>
      </c>
      <c r="M245" s="26" t="n">
        <v>0</v>
      </c>
    </row>
    <row r="246" customFormat="false" ht="15" hidden="false" customHeight="false" outlineLevel="0" collapsed="false">
      <c r="A246" s="7" t="s">
        <v>87</v>
      </c>
      <c r="B246" s="7" t="n">
        <v>4403017</v>
      </c>
      <c r="C246" s="7" t="s">
        <v>208</v>
      </c>
      <c r="D246" s="26" t="n">
        <v>1326.5</v>
      </c>
      <c r="E246" s="26" t="n">
        <v>0</v>
      </c>
      <c r="F246" s="26" t="n">
        <v>262</v>
      </c>
      <c r="G246" s="26" t="n">
        <v>0</v>
      </c>
      <c r="H246" s="26" t="n">
        <v>1714.9</v>
      </c>
      <c r="I246" s="26" t="n">
        <v>0</v>
      </c>
      <c r="J246" s="26" t="n">
        <v>0</v>
      </c>
      <c r="K246" s="26" t="n">
        <v>0</v>
      </c>
      <c r="L246" s="26" t="n">
        <v>0</v>
      </c>
      <c r="M246" s="26" t="n">
        <v>0</v>
      </c>
    </row>
    <row r="247" customFormat="false" ht="15" hidden="false" customHeight="false" outlineLevel="0" collapsed="false">
      <c r="A247" s="7" t="s">
        <v>85</v>
      </c>
      <c r="B247" s="7" t="n">
        <v>4403018</v>
      </c>
      <c r="C247" s="7" t="s">
        <v>209</v>
      </c>
      <c r="D247" s="26" t="n">
        <v>90</v>
      </c>
      <c r="E247" s="26" t="n">
        <v>0</v>
      </c>
      <c r="F247" s="26" t="n">
        <v>0</v>
      </c>
      <c r="G247" s="26" t="n">
        <v>29</v>
      </c>
      <c r="H247" s="26" t="n">
        <v>148</v>
      </c>
      <c r="I247" s="26" t="n">
        <v>25</v>
      </c>
      <c r="J247" s="26" t="n">
        <v>4</v>
      </c>
      <c r="K247" s="26" t="n">
        <v>0</v>
      </c>
      <c r="L247" s="26" t="n">
        <v>0</v>
      </c>
      <c r="M247" s="26" t="n">
        <v>0</v>
      </c>
    </row>
    <row r="248" customFormat="false" ht="15" hidden="false" customHeight="false" outlineLevel="0" collapsed="false">
      <c r="A248" s="7" t="s">
        <v>87</v>
      </c>
      <c r="B248" s="7" t="n">
        <v>4403018</v>
      </c>
      <c r="C248" s="7" t="s">
        <v>209</v>
      </c>
      <c r="D248" s="26" t="n">
        <v>2306.8</v>
      </c>
      <c r="E248" s="26" t="n">
        <v>0</v>
      </c>
      <c r="F248" s="26" t="n">
        <v>0</v>
      </c>
      <c r="G248" s="26" t="n">
        <v>718.2</v>
      </c>
      <c r="H248" s="26" t="n">
        <v>3293.1</v>
      </c>
      <c r="I248" s="26" t="n">
        <v>600.5</v>
      </c>
      <c r="J248" s="26" t="n">
        <v>96.1</v>
      </c>
      <c r="K248" s="26" t="n">
        <v>0</v>
      </c>
      <c r="L248" s="26" t="n">
        <v>0</v>
      </c>
      <c r="M248" s="26" t="n">
        <v>0</v>
      </c>
    </row>
    <row r="249" customFormat="false" ht="15" hidden="false" customHeight="false" outlineLevel="0" collapsed="false">
      <c r="A249" s="7" t="s">
        <v>85</v>
      </c>
      <c r="B249" s="7" t="n">
        <v>4403019</v>
      </c>
      <c r="C249" s="7" t="s">
        <v>210</v>
      </c>
      <c r="D249" s="26" t="n">
        <v>146</v>
      </c>
      <c r="E249" s="26" t="n">
        <v>0</v>
      </c>
      <c r="F249" s="26" t="n">
        <v>0</v>
      </c>
      <c r="G249" s="26" t="n">
        <v>34</v>
      </c>
      <c r="H249" s="26" t="n">
        <v>213</v>
      </c>
      <c r="I249" s="26" t="n">
        <v>0</v>
      </c>
      <c r="J249" s="26" t="n">
        <v>0</v>
      </c>
      <c r="K249" s="26" t="n">
        <v>0</v>
      </c>
      <c r="L249" s="26" t="n">
        <v>0</v>
      </c>
      <c r="M249" s="26" t="n">
        <v>0</v>
      </c>
    </row>
    <row r="250" customFormat="false" ht="15" hidden="false" customHeight="false" outlineLevel="0" collapsed="false">
      <c r="A250" s="7" t="s">
        <v>87</v>
      </c>
      <c r="B250" s="7" t="n">
        <v>4403019</v>
      </c>
      <c r="C250" s="7" t="s">
        <v>210</v>
      </c>
      <c r="D250" s="26" t="n">
        <v>3750.6</v>
      </c>
      <c r="E250" s="26" t="n">
        <v>0</v>
      </c>
      <c r="F250" s="26" t="n">
        <v>0</v>
      </c>
      <c r="G250" s="26" t="n">
        <v>827.4</v>
      </c>
      <c r="H250" s="26" t="n">
        <v>4724.4</v>
      </c>
      <c r="I250" s="26" t="n">
        <v>0</v>
      </c>
      <c r="J250" s="26" t="n">
        <v>0</v>
      </c>
      <c r="K250" s="26" t="n">
        <v>0</v>
      </c>
      <c r="L250" s="26" t="n">
        <v>0</v>
      </c>
      <c r="M250" s="26" t="n">
        <v>0</v>
      </c>
    </row>
    <row r="251" customFormat="false" ht="15" hidden="false" customHeight="false" outlineLevel="0" collapsed="false">
      <c r="A251" s="7" t="s">
        <v>85</v>
      </c>
      <c r="B251" s="7" t="n">
        <v>4403020</v>
      </c>
      <c r="C251" s="7" t="s">
        <v>211</v>
      </c>
      <c r="D251" s="26" t="n">
        <v>13</v>
      </c>
      <c r="E251" s="26" t="n">
        <v>0</v>
      </c>
      <c r="F251" s="26" t="n">
        <v>0</v>
      </c>
      <c r="G251" s="26" t="n">
        <v>4</v>
      </c>
      <c r="H251" s="26" t="n">
        <v>42</v>
      </c>
      <c r="I251" s="26" t="n">
        <v>0</v>
      </c>
      <c r="J251" s="26" t="n">
        <v>0</v>
      </c>
      <c r="K251" s="26" t="n">
        <v>0</v>
      </c>
      <c r="L251" s="26" t="n">
        <v>0</v>
      </c>
      <c r="M251" s="26" t="n">
        <v>0</v>
      </c>
    </row>
    <row r="252" customFormat="false" ht="15" hidden="false" customHeight="false" outlineLevel="0" collapsed="false">
      <c r="A252" s="7" t="s">
        <v>87</v>
      </c>
      <c r="B252" s="7" t="n">
        <v>4403020</v>
      </c>
      <c r="C252" s="7" t="s">
        <v>211</v>
      </c>
      <c r="D252" s="26" t="n">
        <v>328.9</v>
      </c>
      <c r="E252" s="26" t="n">
        <v>0</v>
      </c>
      <c r="F252" s="26" t="n">
        <v>0</v>
      </c>
      <c r="G252" s="26" t="n">
        <v>97.3</v>
      </c>
      <c r="H252" s="26" t="n">
        <v>939.9</v>
      </c>
      <c r="I252" s="26" t="n">
        <v>0</v>
      </c>
      <c r="J252" s="26" t="n">
        <v>0</v>
      </c>
      <c r="K252" s="26" t="n">
        <v>0</v>
      </c>
      <c r="L252" s="26" t="n">
        <v>0</v>
      </c>
      <c r="M252" s="26" t="n">
        <v>0</v>
      </c>
    </row>
    <row r="253" customFormat="false" ht="15" hidden="false" customHeight="false" outlineLevel="0" collapsed="false">
      <c r="A253" s="7" t="s">
        <v>85</v>
      </c>
      <c r="B253" s="7" t="n">
        <v>4403021</v>
      </c>
      <c r="C253" s="7" t="s">
        <v>212</v>
      </c>
      <c r="D253" s="26" t="n">
        <v>26</v>
      </c>
      <c r="E253" s="26" t="n">
        <v>0</v>
      </c>
      <c r="F253" s="26" t="n">
        <v>0</v>
      </c>
      <c r="G253" s="26" t="n">
        <v>4</v>
      </c>
      <c r="H253" s="26" t="n">
        <v>57</v>
      </c>
      <c r="I253" s="26" t="n">
        <v>0</v>
      </c>
      <c r="J253" s="26" t="n">
        <v>0</v>
      </c>
      <c r="K253" s="26" t="n">
        <v>0</v>
      </c>
      <c r="L253" s="26" t="n">
        <v>0</v>
      </c>
      <c r="M253" s="26" t="n">
        <v>0</v>
      </c>
    </row>
    <row r="254" customFormat="false" ht="15" hidden="false" customHeight="false" outlineLevel="0" collapsed="false">
      <c r="A254" s="7" t="s">
        <v>87</v>
      </c>
      <c r="B254" s="7" t="n">
        <v>4403021</v>
      </c>
      <c r="C254" s="7" t="s">
        <v>212</v>
      </c>
      <c r="D254" s="26" t="n">
        <v>689.3</v>
      </c>
      <c r="E254" s="26" t="n">
        <v>0</v>
      </c>
      <c r="F254" s="26" t="n">
        <v>0</v>
      </c>
      <c r="G254" s="26" t="n">
        <v>91.2</v>
      </c>
      <c r="H254" s="26" t="n">
        <v>1262.2</v>
      </c>
      <c r="I254" s="26" t="n">
        <v>0</v>
      </c>
      <c r="J254" s="26" t="n">
        <v>0</v>
      </c>
      <c r="K254" s="26" t="n">
        <v>0</v>
      </c>
      <c r="L254" s="26" t="n">
        <v>0</v>
      </c>
      <c r="M254" s="26" t="n">
        <v>0</v>
      </c>
    </row>
    <row r="255" customFormat="false" ht="15" hidden="false" customHeight="false" outlineLevel="0" collapsed="false">
      <c r="A255" s="7" t="s">
        <v>85</v>
      </c>
      <c r="B255" s="7" t="n">
        <v>4403022</v>
      </c>
      <c r="C255" s="7" t="s">
        <v>213</v>
      </c>
      <c r="D255" s="26" t="n">
        <v>23</v>
      </c>
      <c r="E255" s="26" t="n">
        <v>0</v>
      </c>
      <c r="F255" s="26" t="n">
        <v>0</v>
      </c>
      <c r="G255" s="26" t="n">
        <v>14</v>
      </c>
      <c r="H255" s="26" t="n">
        <v>58</v>
      </c>
      <c r="I255" s="26" t="n">
        <v>4</v>
      </c>
      <c r="J255" s="26" t="n">
        <v>0</v>
      </c>
      <c r="K255" s="26" t="n">
        <v>0</v>
      </c>
      <c r="L255" s="26" t="n">
        <v>0</v>
      </c>
      <c r="M255" s="26" t="n">
        <v>0</v>
      </c>
    </row>
    <row r="256" customFormat="false" ht="15" hidden="false" customHeight="false" outlineLevel="0" collapsed="false">
      <c r="A256" s="7" t="s">
        <v>87</v>
      </c>
      <c r="B256" s="7" t="n">
        <v>4403022</v>
      </c>
      <c r="C256" s="7" t="s">
        <v>213</v>
      </c>
      <c r="D256" s="26" t="n">
        <v>622.5</v>
      </c>
      <c r="E256" s="26" t="n">
        <v>0</v>
      </c>
      <c r="F256" s="26" t="n">
        <v>0</v>
      </c>
      <c r="G256" s="26" t="n">
        <v>318.3</v>
      </c>
      <c r="H256" s="26" t="n">
        <v>1297.6</v>
      </c>
      <c r="I256" s="26" t="n">
        <v>96.1</v>
      </c>
      <c r="J256" s="26" t="n">
        <v>0</v>
      </c>
      <c r="K256" s="26" t="n">
        <v>0</v>
      </c>
      <c r="L256" s="26" t="n">
        <v>0</v>
      </c>
      <c r="M256" s="26" t="n">
        <v>0</v>
      </c>
    </row>
    <row r="257" customFormat="false" ht="15" hidden="false" customHeight="false" outlineLevel="0" collapsed="false">
      <c r="A257" s="7" t="s">
        <v>85</v>
      </c>
      <c r="B257" s="7" t="n">
        <v>4403023</v>
      </c>
      <c r="C257" s="7" t="s">
        <v>214</v>
      </c>
      <c r="D257" s="26" t="n">
        <v>34</v>
      </c>
      <c r="E257" s="26" t="n">
        <v>0</v>
      </c>
      <c r="F257" s="26" t="n">
        <v>0</v>
      </c>
      <c r="G257" s="26" t="n">
        <v>0</v>
      </c>
      <c r="H257" s="26" t="n">
        <v>25</v>
      </c>
      <c r="I257" s="26" t="n">
        <v>4</v>
      </c>
      <c r="J257" s="26" t="n">
        <v>0</v>
      </c>
      <c r="K257" s="26" t="n">
        <v>0</v>
      </c>
      <c r="L257" s="26" t="n">
        <v>0</v>
      </c>
      <c r="M257" s="26" t="n">
        <v>0</v>
      </c>
    </row>
    <row r="258" customFormat="false" ht="15" hidden="false" customHeight="false" outlineLevel="0" collapsed="false">
      <c r="A258" s="7" t="s">
        <v>87</v>
      </c>
      <c r="B258" s="7" t="n">
        <v>4403023</v>
      </c>
      <c r="C258" s="7" t="s">
        <v>214</v>
      </c>
      <c r="D258" s="26" t="n">
        <v>843.2</v>
      </c>
      <c r="E258" s="26" t="n">
        <v>0</v>
      </c>
      <c r="F258" s="26" t="n">
        <v>0</v>
      </c>
      <c r="G258" s="26" t="n">
        <v>0</v>
      </c>
      <c r="H258" s="26" t="n">
        <v>561.1</v>
      </c>
      <c r="I258" s="26" t="n">
        <v>96.1</v>
      </c>
      <c r="J258" s="26" t="n">
        <v>0</v>
      </c>
      <c r="K258" s="26" t="n">
        <v>0</v>
      </c>
      <c r="L258" s="26" t="n">
        <v>0</v>
      </c>
      <c r="M258" s="26" t="n">
        <v>0</v>
      </c>
    </row>
    <row r="259" customFormat="false" ht="15" hidden="false" customHeight="false" outlineLevel="0" collapsed="false">
      <c r="A259" s="7" t="s">
        <v>85</v>
      </c>
      <c r="B259" s="7" t="n">
        <v>4403024</v>
      </c>
      <c r="C259" s="7" t="s">
        <v>215</v>
      </c>
      <c r="D259" s="26" t="n">
        <v>61</v>
      </c>
      <c r="E259" s="26" t="n">
        <v>0</v>
      </c>
      <c r="F259" s="26" t="n">
        <v>0</v>
      </c>
      <c r="G259" s="26" t="n">
        <v>1</v>
      </c>
      <c r="H259" s="26" t="n">
        <v>78</v>
      </c>
      <c r="I259" s="26" t="n">
        <v>10</v>
      </c>
      <c r="J259" s="26" t="n">
        <v>4</v>
      </c>
      <c r="K259" s="26" t="n">
        <v>0</v>
      </c>
      <c r="L259" s="26" t="n">
        <v>0</v>
      </c>
      <c r="M259" s="26" t="n">
        <v>0</v>
      </c>
    </row>
    <row r="260" customFormat="false" ht="15" hidden="false" customHeight="false" outlineLevel="0" collapsed="false">
      <c r="A260" s="7" t="s">
        <v>87</v>
      </c>
      <c r="B260" s="7" t="n">
        <v>4403024</v>
      </c>
      <c r="C260" s="7" t="s">
        <v>215</v>
      </c>
      <c r="D260" s="26" t="n">
        <v>1538.3</v>
      </c>
      <c r="E260" s="26" t="n">
        <v>0</v>
      </c>
      <c r="F260" s="26" t="n">
        <v>0</v>
      </c>
      <c r="G260" s="26" t="n">
        <v>22.3</v>
      </c>
      <c r="H260" s="26" t="n">
        <v>1734.3</v>
      </c>
      <c r="I260" s="26" t="n">
        <v>226.8</v>
      </c>
      <c r="J260" s="26" t="n">
        <v>96.1</v>
      </c>
      <c r="K260" s="26" t="n">
        <v>0</v>
      </c>
      <c r="L260" s="26" t="n">
        <v>0</v>
      </c>
      <c r="M260" s="26" t="n">
        <v>0</v>
      </c>
    </row>
    <row r="261" customFormat="false" ht="15" hidden="false" customHeight="false" outlineLevel="0" collapsed="false">
      <c r="A261" s="7" t="s">
        <v>85</v>
      </c>
      <c r="B261" s="7" t="n">
        <v>4403025</v>
      </c>
      <c r="C261" s="7" t="s">
        <v>216</v>
      </c>
      <c r="D261" s="26" t="n">
        <v>49</v>
      </c>
      <c r="E261" s="26" t="n">
        <v>0</v>
      </c>
      <c r="F261" s="26" t="n">
        <v>0</v>
      </c>
      <c r="G261" s="26" t="n">
        <v>29</v>
      </c>
      <c r="H261" s="26" t="n">
        <v>85</v>
      </c>
      <c r="I261" s="26" t="n">
        <v>7</v>
      </c>
      <c r="J261" s="26" t="n">
        <v>0</v>
      </c>
      <c r="K261" s="26" t="n">
        <v>0</v>
      </c>
      <c r="L261" s="26" t="n">
        <v>0</v>
      </c>
      <c r="M261" s="26" t="n">
        <v>0</v>
      </c>
    </row>
    <row r="262" customFormat="false" ht="15" hidden="false" customHeight="false" outlineLevel="0" collapsed="false">
      <c r="A262" s="7" t="s">
        <v>87</v>
      </c>
      <c r="B262" s="7" t="n">
        <v>4403025</v>
      </c>
      <c r="C262" s="7" t="s">
        <v>216</v>
      </c>
      <c r="D262" s="26" t="n">
        <v>1227</v>
      </c>
      <c r="E262" s="26" t="n">
        <v>0</v>
      </c>
      <c r="F262" s="26" t="n">
        <v>0</v>
      </c>
      <c r="G262" s="26" t="n">
        <v>689.4</v>
      </c>
      <c r="H262" s="26" t="n">
        <v>1886.6</v>
      </c>
      <c r="I262" s="26" t="n">
        <v>154.7</v>
      </c>
      <c r="J262" s="26" t="n">
        <v>0</v>
      </c>
      <c r="K262" s="26" t="n">
        <v>0</v>
      </c>
      <c r="L262" s="26" t="n">
        <v>0</v>
      </c>
      <c r="M262" s="26" t="n">
        <v>0</v>
      </c>
    </row>
    <row r="263" customFormat="false" ht="15" hidden="false" customHeight="false" outlineLevel="0" collapsed="false">
      <c r="A263" s="7" t="s">
        <v>85</v>
      </c>
      <c r="B263" s="7" t="n">
        <v>4403044</v>
      </c>
      <c r="C263" s="7" t="s">
        <v>217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0</v>
      </c>
      <c r="L263" s="26" t="n">
        <v>0</v>
      </c>
      <c r="M263" s="26" t="n">
        <v>0</v>
      </c>
    </row>
    <row r="264" customFormat="false" ht="15" hidden="false" customHeight="false" outlineLevel="0" collapsed="false">
      <c r="A264" s="7" t="s">
        <v>87</v>
      </c>
      <c r="B264" s="7" t="n">
        <v>4403044</v>
      </c>
      <c r="C264" s="7" t="s">
        <v>217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0</v>
      </c>
      <c r="L264" s="26" t="n">
        <v>0</v>
      </c>
      <c r="M264" s="26" t="n">
        <v>0</v>
      </c>
    </row>
    <row r="265" customFormat="false" ht="15" hidden="false" customHeight="false" outlineLevel="0" collapsed="false">
      <c r="A265" s="7" t="s">
        <v>85</v>
      </c>
      <c r="B265" s="7" t="n">
        <v>4403045</v>
      </c>
      <c r="C265" s="7" t="s">
        <v>218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0</v>
      </c>
      <c r="J265" s="26" t="n">
        <v>0</v>
      </c>
      <c r="K265" s="26" t="n">
        <v>0</v>
      </c>
      <c r="L265" s="26" t="n">
        <v>0</v>
      </c>
      <c r="M265" s="26" t="n">
        <v>0</v>
      </c>
    </row>
    <row r="266" customFormat="false" ht="15" hidden="false" customHeight="false" outlineLevel="0" collapsed="false">
      <c r="A266" s="7" t="s">
        <v>87</v>
      </c>
      <c r="B266" s="7" t="n">
        <v>4403045</v>
      </c>
      <c r="C266" s="7" t="s">
        <v>218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0</v>
      </c>
      <c r="J266" s="26" t="n">
        <v>0</v>
      </c>
      <c r="K266" s="26" t="n">
        <v>0</v>
      </c>
      <c r="L266" s="26" t="n">
        <v>0</v>
      </c>
      <c r="M266" s="26" t="n">
        <v>0</v>
      </c>
    </row>
    <row r="267" customFormat="false" ht="15" hidden="false" customHeight="false" outlineLevel="0" collapsed="false">
      <c r="A267" s="7" t="s">
        <v>85</v>
      </c>
      <c r="B267" s="7" t="n">
        <v>4403031</v>
      </c>
      <c r="C267" s="7" t="s">
        <v>219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0</v>
      </c>
      <c r="J267" s="26" t="n">
        <v>0</v>
      </c>
      <c r="K267" s="26" t="n">
        <v>0</v>
      </c>
      <c r="L267" s="26" t="n">
        <v>0</v>
      </c>
      <c r="M267" s="26" t="n">
        <v>0</v>
      </c>
    </row>
    <row r="268" customFormat="false" ht="15" hidden="false" customHeight="false" outlineLevel="0" collapsed="false">
      <c r="A268" s="7" t="s">
        <v>87</v>
      </c>
      <c r="B268" s="7" t="n">
        <v>4403031</v>
      </c>
      <c r="C268" s="7" t="s">
        <v>219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0</v>
      </c>
      <c r="J268" s="26" t="n">
        <v>0</v>
      </c>
      <c r="K268" s="26" t="n">
        <v>0</v>
      </c>
      <c r="L268" s="26" t="n">
        <v>0</v>
      </c>
      <c r="M268" s="26" t="n">
        <v>0</v>
      </c>
    </row>
    <row r="269" customFormat="false" ht="15" hidden="false" customHeight="false" outlineLevel="0" collapsed="false">
      <c r="A269" s="7" t="s">
        <v>85</v>
      </c>
      <c r="B269" s="7" t="n">
        <v>4403032</v>
      </c>
      <c r="C269" s="7" t="s">
        <v>220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0</v>
      </c>
      <c r="J269" s="26" t="n">
        <v>0</v>
      </c>
      <c r="K269" s="26" t="n">
        <v>0</v>
      </c>
      <c r="L269" s="26" t="n">
        <v>0</v>
      </c>
      <c r="M269" s="26" t="n">
        <v>0</v>
      </c>
    </row>
    <row r="270" customFormat="false" ht="15" hidden="false" customHeight="false" outlineLevel="0" collapsed="false">
      <c r="A270" s="7" t="s">
        <v>87</v>
      </c>
      <c r="B270" s="7" t="n">
        <v>4403032</v>
      </c>
      <c r="C270" s="7" t="s">
        <v>220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0</v>
      </c>
      <c r="J270" s="26" t="n">
        <v>0</v>
      </c>
      <c r="K270" s="26" t="n">
        <v>0</v>
      </c>
      <c r="L270" s="26" t="n">
        <v>0</v>
      </c>
      <c r="M270" s="26" t="n">
        <v>0</v>
      </c>
    </row>
    <row r="271" customFormat="false" ht="15" hidden="false" customHeight="false" outlineLevel="0" collapsed="false">
      <c r="A271" s="7" t="s">
        <v>85</v>
      </c>
      <c r="B271" s="7" t="n">
        <v>4403028</v>
      </c>
      <c r="C271" s="7" t="s">
        <v>221</v>
      </c>
      <c r="D271" s="26" t="n">
        <v>120</v>
      </c>
      <c r="E271" s="26" t="n">
        <v>0</v>
      </c>
      <c r="F271" s="26" t="n">
        <v>5</v>
      </c>
      <c r="G271" s="26" t="n">
        <v>0</v>
      </c>
      <c r="H271" s="26" t="n">
        <v>434</v>
      </c>
      <c r="I271" s="26" t="n">
        <v>141</v>
      </c>
      <c r="J271" s="26" t="n">
        <v>0</v>
      </c>
      <c r="K271" s="26" t="n">
        <v>0</v>
      </c>
      <c r="L271" s="26" t="n">
        <v>0</v>
      </c>
      <c r="M271" s="26" t="n">
        <v>0</v>
      </c>
    </row>
    <row r="272" customFormat="false" ht="15" hidden="false" customHeight="false" outlineLevel="0" collapsed="false">
      <c r="A272" s="7" t="s">
        <v>87</v>
      </c>
      <c r="B272" s="7" t="n">
        <v>4403028</v>
      </c>
      <c r="C272" s="7" t="s">
        <v>221</v>
      </c>
      <c r="D272" s="26" t="n">
        <v>7050.6</v>
      </c>
      <c r="E272" s="26" t="n">
        <v>0</v>
      </c>
      <c r="F272" s="26" t="n">
        <v>304.7</v>
      </c>
      <c r="G272" s="26" t="n">
        <v>0</v>
      </c>
      <c r="H272" s="26" t="n">
        <v>22846.7</v>
      </c>
      <c r="I272" s="26" t="n">
        <v>8026.6</v>
      </c>
      <c r="J272" s="26" t="n">
        <v>0</v>
      </c>
      <c r="K272" s="26" t="n">
        <v>0</v>
      </c>
      <c r="L272" s="26" t="n">
        <v>0</v>
      </c>
      <c r="M272" s="26" t="n">
        <v>0</v>
      </c>
    </row>
    <row r="273" customFormat="false" ht="15" hidden="false" customHeight="false" outlineLevel="0" collapsed="false">
      <c r="A273" s="7" t="s">
        <v>85</v>
      </c>
      <c r="B273" s="7" t="n">
        <v>4403029</v>
      </c>
      <c r="C273" s="7" t="s">
        <v>222</v>
      </c>
      <c r="D273" s="26" t="n">
        <v>198</v>
      </c>
      <c r="E273" s="26" t="n">
        <v>0</v>
      </c>
      <c r="F273" s="26" t="n">
        <v>0</v>
      </c>
      <c r="G273" s="26" t="n">
        <v>3</v>
      </c>
      <c r="H273" s="26" t="n">
        <v>545</v>
      </c>
      <c r="I273" s="26" t="n">
        <v>247</v>
      </c>
      <c r="J273" s="26" t="n">
        <v>0</v>
      </c>
      <c r="K273" s="26" t="n">
        <v>0</v>
      </c>
      <c r="L273" s="26" t="n">
        <v>0</v>
      </c>
      <c r="M273" s="26" t="n">
        <v>0</v>
      </c>
    </row>
    <row r="274" customFormat="false" ht="15" hidden="false" customHeight="false" outlineLevel="0" collapsed="false">
      <c r="A274" s="7" t="s">
        <v>87</v>
      </c>
      <c r="B274" s="7" t="n">
        <v>4403029</v>
      </c>
      <c r="C274" s="7" t="s">
        <v>222</v>
      </c>
      <c r="D274" s="26" t="n">
        <v>11660.8</v>
      </c>
      <c r="E274" s="26" t="n">
        <v>0</v>
      </c>
      <c r="F274" s="26" t="n">
        <v>0</v>
      </c>
      <c r="G274" s="26" t="n">
        <v>164.4</v>
      </c>
      <c r="H274" s="26" t="n">
        <v>28632.9</v>
      </c>
      <c r="I274" s="26" t="n">
        <v>14037</v>
      </c>
      <c r="J274" s="26" t="n">
        <v>0</v>
      </c>
      <c r="K274" s="26" t="n">
        <v>0</v>
      </c>
      <c r="L274" s="26" t="n">
        <v>0</v>
      </c>
      <c r="M274" s="26" t="n">
        <v>0</v>
      </c>
    </row>
    <row r="275" customFormat="false" ht="15" hidden="false" customHeight="false" outlineLevel="0" collapsed="false">
      <c r="A275" s="7" t="s">
        <v>85</v>
      </c>
      <c r="B275" s="7" t="n">
        <v>4403030</v>
      </c>
      <c r="C275" s="7" t="s">
        <v>223</v>
      </c>
      <c r="D275" s="26" t="n">
        <v>200</v>
      </c>
      <c r="E275" s="26" t="n">
        <v>0</v>
      </c>
      <c r="F275" s="26" t="n">
        <v>0</v>
      </c>
      <c r="G275" s="26" t="n">
        <v>11</v>
      </c>
      <c r="H275" s="26" t="n">
        <v>527</v>
      </c>
      <c r="I275" s="26" t="n">
        <v>149</v>
      </c>
      <c r="J275" s="26" t="n">
        <v>0</v>
      </c>
      <c r="K275" s="26" t="n">
        <v>0</v>
      </c>
      <c r="L275" s="26" t="n">
        <v>0</v>
      </c>
      <c r="M275" s="26" t="n">
        <v>0</v>
      </c>
    </row>
    <row r="276" customFormat="false" ht="15" hidden="false" customHeight="false" outlineLevel="0" collapsed="false">
      <c r="A276" s="7" t="s">
        <v>87</v>
      </c>
      <c r="B276" s="7" t="n">
        <v>4403030</v>
      </c>
      <c r="C276" s="7" t="s">
        <v>223</v>
      </c>
      <c r="D276" s="26" t="n">
        <v>11911</v>
      </c>
      <c r="E276" s="26" t="n">
        <v>0</v>
      </c>
      <c r="F276" s="26" t="n">
        <v>0</v>
      </c>
      <c r="G276" s="26" t="n">
        <v>580.9</v>
      </c>
      <c r="H276" s="26" t="n">
        <v>27725.3</v>
      </c>
      <c r="I276" s="26" t="n">
        <v>8467.7</v>
      </c>
      <c r="J276" s="26" t="n">
        <v>0</v>
      </c>
      <c r="K276" s="26" t="n">
        <v>0</v>
      </c>
      <c r="L276" s="26" t="n">
        <v>0</v>
      </c>
      <c r="M276" s="26" t="n">
        <v>0</v>
      </c>
    </row>
    <row r="277" customFormat="false" ht="15" hidden="false" customHeight="false" outlineLevel="0" collapsed="false">
      <c r="A277" s="7" t="s">
        <v>85</v>
      </c>
      <c r="B277" s="7" t="n">
        <v>4403041</v>
      </c>
      <c r="C277" s="7" t="s">
        <v>224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  <c r="L277" s="26" t="n">
        <v>0</v>
      </c>
      <c r="M277" s="26" t="n">
        <v>0</v>
      </c>
    </row>
    <row r="278" customFormat="false" ht="15" hidden="false" customHeight="false" outlineLevel="0" collapsed="false">
      <c r="A278" s="7" t="s">
        <v>87</v>
      </c>
      <c r="B278" s="7" t="n">
        <v>4403041</v>
      </c>
      <c r="C278" s="7" t="s">
        <v>224</v>
      </c>
      <c r="D278" s="26" t="n">
        <v>0</v>
      </c>
      <c r="E278" s="26" t="n">
        <v>0</v>
      </c>
      <c r="F278" s="26" t="n">
        <v>0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  <c r="L278" s="26" t="n">
        <v>0</v>
      </c>
      <c r="M278" s="26" t="n">
        <v>0</v>
      </c>
    </row>
    <row r="279" customFormat="false" ht="15" hidden="false" customHeight="false" outlineLevel="0" collapsed="false">
      <c r="A279" s="7" t="s">
        <v>85</v>
      </c>
      <c r="B279" s="7" t="n">
        <v>4403042</v>
      </c>
      <c r="C279" s="7" t="s">
        <v>225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  <c r="L279" s="26" t="n">
        <v>0</v>
      </c>
      <c r="M279" s="26" t="n">
        <v>0</v>
      </c>
    </row>
    <row r="280" customFormat="false" ht="15" hidden="false" customHeight="false" outlineLevel="0" collapsed="false">
      <c r="A280" s="7" t="s">
        <v>87</v>
      </c>
      <c r="B280" s="7" t="n">
        <v>4403042</v>
      </c>
      <c r="C280" s="7" t="s">
        <v>225</v>
      </c>
      <c r="D280" s="26" t="n">
        <v>0</v>
      </c>
      <c r="E280" s="26" t="n">
        <v>0</v>
      </c>
      <c r="F280" s="26" t="n">
        <v>0</v>
      </c>
      <c r="G280" s="26" t="n">
        <v>0</v>
      </c>
      <c r="H280" s="26" t="n">
        <v>0</v>
      </c>
      <c r="I280" s="26" t="n">
        <v>0</v>
      </c>
      <c r="J280" s="26" t="n">
        <v>0</v>
      </c>
      <c r="K280" s="26" t="n">
        <v>0</v>
      </c>
      <c r="L280" s="26" t="n">
        <v>0</v>
      </c>
      <c r="M280" s="26" t="n">
        <v>0</v>
      </c>
    </row>
    <row r="281" customFormat="false" ht="15" hidden="false" customHeight="false" outlineLevel="0" collapsed="false">
      <c r="A281" s="7" t="s">
        <v>85</v>
      </c>
      <c r="B281" s="7" t="n">
        <v>4403043</v>
      </c>
      <c r="C281" s="7" t="s">
        <v>226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6" t="n">
        <v>0</v>
      </c>
      <c r="J281" s="26" t="n">
        <v>0</v>
      </c>
      <c r="K281" s="26" t="n">
        <v>0</v>
      </c>
      <c r="L281" s="26" t="n">
        <v>0</v>
      </c>
      <c r="M281" s="26" t="n">
        <v>0</v>
      </c>
    </row>
    <row r="282" customFormat="false" ht="15" hidden="false" customHeight="false" outlineLevel="0" collapsed="false">
      <c r="A282" s="7" t="s">
        <v>87</v>
      </c>
      <c r="B282" s="7" t="n">
        <v>4403043</v>
      </c>
      <c r="C282" s="7" t="s">
        <v>226</v>
      </c>
      <c r="D282" s="26" t="n">
        <v>0</v>
      </c>
      <c r="E282" s="26" t="n">
        <v>0</v>
      </c>
      <c r="F282" s="26" t="n">
        <v>0</v>
      </c>
      <c r="G282" s="26" t="n">
        <v>0</v>
      </c>
      <c r="H282" s="26" t="n">
        <v>0</v>
      </c>
      <c r="I282" s="26" t="n">
        <v>0</v>
      </c>
      <c r="J282" s="26" t="n">
        <v>0</v>
      </c>
      <c r="K282" s="26" t="n">
        <v>0</v>
      </c>
      <c r="L282" s="26" t="n">
        <v>0</v>
      </c>
      <c r="M282" s="26" t="n">
        <v>0</v>
      </c>
    </row>
    <row r="283" customFormat="false" ht="15" hidden="false" customHeight="false" outlineLevel="0" collapsed="false">
      <c r="A283" s="7" t="s">
        <v>85</v>
      </c>
      <c r="B283" s="7" t="n">
        <v>4403005</v>
      </c>
      <c r="C283" s="7" t="s">
        <v>227</v>
      </c>
      <c r="D283" s="26" t="n">
        <v>12</v>
      </c>
      <c r="E283" s="26" t="n">
        <v>0</v>
      </c>
      <c r="F283" s="26" t="n">
        <v>0</v>
      </c>
      <c r="G283" s="26" t="n">
        <v>0</v>
      </c>
      <c r="H283" s="26" t="n">
        <v>39</v>
      </c>
      <c r="I283" s="26" t="n">
        <v>3</v>
      </c>
      <c r="J283" s="26" t="n">
        <v>0</v>
      </c>
      <c r="K283" s="26" t="n">
        <v>0</v>
      </c>
      <c r="L283" s="26" t="n">
        <v>0</v>
      </c>
      <c r="M283" s="26" t="n">
        <v>0</v>
      </c>
    </row>
    <row r="284" customFormat="false" ht="15" hidden="false" customHeight="false" outlineLevel="0" collapsed="false">
      <c r="A284" s="7" t="s">
        <v>87</v>
      </c>
      <c r="B284" s="7" t="n">
        <v>4403005</v>
      </c>
      <c r="C284" s="7" t="s">
        <v>227</v>
      </c>
      <c r="D284" s="26" t="n">
        <v>384.1</v>
      </c>
      <c r="E284" s="26" t="n">
        <v>0</v>
      </c>
      <c r="F284" s="26" t="n">
        <v>0</v>
      </c>
      <c r="G284" s="26" t="n">
        <v>0</v>
      </c>
      <c r="H284" s="26" t="n">
        <v>1147.9</v>
      </c>
      <c r="I284" s="26" t="n">
        <v>79</v>
      </c>
      <c r="J284" s="26" t="n">
        <v>0</v>
      </c>
      <c r="K284" s="26" t="n">
        <v>0</v>
      </c>
      <c r="L284" s="26" t="n">
        <v>0</v>
      </c>
      <c r="M284" s="26" t="n">
        <v>0</v>
      </c>
    </row>
    <row r="285" customFormat="false" ht="15" hidden="false" customHeight="false" outlineLevel="0" collapsed="false">
      <c r="A285" s="7" t="s">
        <v>85</v>
      </c>
      <c r="B285" s="7" t="n">
        <v>4403034</v>
      </c>
      <c r="C285" s="7" t="s">
        <v>228</v>
      </c>
      <c r="D285" s="26" t="n">
        <v>1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0</v>
      </c>
      <c r="J285" s="26" t="n">
        <v>0</v>
      </c>
      <c r="K285" s="26" t="n">
        <v>0</v>
      </c>
      <c r="L285" s="26" t="n">
        <v>0</v>
      </c>
      <c r="M285" s="26" t="n">
        <v>0</v>
      </c>
    </row>
    <row r="286" customFormat="false" ht="15" hidden="false" customHeight="false" outlineLevel="0" collapsed="false">
      <c r="A286" s="7" t="s">
        <v>87</v>
      </c>
      <c r="B286" s="7" t="n">
        <v>4403034</v>
      </c>
      <c r="C286" s="7" t="s">
        <v>228</v>
      </c>
      <c r="D286" s="26" t="n">
        <v>92.1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0</v>
      </c>
      <c r="L286" s="26" t="n">
        <v>0</v>
      </c>
      <c r="M286" s="26" t="n">
        <v>0</v>
      </c>
    </row>
    <row r="287" customFormat="false" ht="15" hidden="false" customHeight="false" outlineLevel="0" collapsed="false">
      <c r="A287" s="7" t="s">
        <v>85</v>
      </c>
      <c r="B287" s="7" t="n">
        <v>4403035</v>
      </c>
      <c r="C287" s="7" t="s">
        <v>229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0</v>
      </c>
      <c r="L287" s="26" t="n">
        <v>0</v>
      </c>
      <c r="M287" s="26" t="n">
        <v>0</v>
      </c>
    </row>
    <row r="288" customFormat="false" ht="15" hidden="false" customHeight="false" outlineLevel="0" collapsed="false">
      <c r="A288" s="7" t="s">
        <v>87</v>
      </c>
      <c r="B288" s="7" t="n">
        <v>4403035</v>
      </c>
      <c r="C288" s="7" t="s">
        <v>229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0</v>
      </c>
      <c r="L288" s="26" t="n">
        <v>0</v>
      </c>
      <c r="M288" s="26" t="n">
        <v>0</v>
      </c>
    </row>
    <row r="289" customFormat="false" ht="15" hidden="false" customHeight="false" outlineLevel="0" collapsed="false">
      <c r="A289" s="7" t="s">
        <v>85</v>
      </c>
      <c r="B289" s="7" t="n">
        <v>4408002</v>
      </c>
      <c r="C289" s="7" t="s">
        <v>230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-1</v>
      </c>
      <c r="J289" s="26" t="n">
        <v>0</v>
      </c>
      <c r="K289" s="26" t="n">
        <v>0</v>
      </c>
      <c r="L289" s="26" t="n">
        <v>0</v>
      </c>
      <c r="M289" s="26" t="n">
        <v>0</v>
      </c>
    </row>
    <row r="290" customFormat="false" ht="15" hidden="false" customHeight="false" outlineLevel="0" collapsed="false">
      <c r="A290" s="7" t="s">
        <v>87</v>
      </c>
      <c r="B290" s="7" t="n">
        <v>4408002</v>
      </c>
      <c r="C290" s="7" t="s">
        <v>230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-158.8</v>
      </c>
      <c r="J290" s="26" t="n">
        <v>0</v>
      </c>
      <c r="K290" s="26" t="n">
        <v>0</v>
      </c>
      <c r="L290" s="26" t="n">
        <v>0</v>
      </c>
      <c r="M290" s="26" t="n">
        <v>0</v>
      </c>
    </row>
    <row r="291" customFormat="false" ht="15" hidden="false" customHeight="false" outlineLevel="0" collapsed="false">
      <c r="A291" s="7" t="s">
        <v>85</v>
      </c>
      <c r="B291" s="7" t="n">
        <v>4408003</v>
      </c>
      <c r="C291" s="7" t="s">
        <v>231</v>
      </c>
      <c r="D291" s="26" t="n">
        <v>-1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0</v>
      </c>
      <c r="J291" s="26" t="n">
        <v>0</v>
      </c>
      <c r="K291" s="26" t="n">
        <v>0</v>
      </c>
      <c r="L291" s="26" t="n">
        <v>0</v>
      </c>
      <c r="M291" s="26" t="n">
        <v>0</v>
      </c>
    </row>
    <row r="292" customFormat="false" ht="15" hidden="false" customHeight="false" outlineLevel="0" collapsed="false">
      <c r="A292" s="7" t="s">
        <v>87</v>
      </c>
      <c r="B292" s="7" t="n">
        <v>4408003</v>
      </c>
      <c r="C292" s="7" t="s">
        <v>231</v>
      </c>
      <c r="D292" s="26" t="n">
        <v>-170.1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0</v>
      </c>
      <c r="J292" s="26" t="n">
        <v>0</v>
      </c>
      <c r="K292" s="26" t="n">
        <v>0</v>
      </c>
      <c r="L292" s="26" t="n">
        <v>0</v>
      </c>
      <c r="M292" s="26" t="n">
        <v>0</v>
      </c>
    </row>
    <row r="293" customFormat="false" ht="15" hidden="false" customHeight="false" outlineLevel="0" collapsed="false">
      <c r="A293" s="7" t="s">
        <v>85</v>
      </c>
      <c r="B293" s="7" t="n">
        <v>4408000</v>
      </c>
      <c r="C293" s="7" t="s">
        <v>232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0</v>
      </c>
      <c r="J293" s="26" t="n">
        <v>0</v>
      </c>
      <c r="K293" s="26" t="n">
        <v>0</v>
      </c>
      <c r="L293" s="26" t="n">
        <v>0</v>
      </c>
      <c r="M293" s="26" t="n">
        <v>0</v>
      </c>
    </row>
    <row r="294" customFormat="false" ht="15" hidden="false" customHeight="false" outlineLevel="0" collapsed="false">
      <c r="A294" s="7" t="s">
        <v>87</v>
      </c>
      <c r="B294" s="7" t="n">
        <v>4408000</v>
      </c>
      <c r="C294" s="7" t="s">
        <v>232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0</v>
      </c>
      <c r="L294" s="26" t="n">
        <v>0</v>
      </c>
      <c r="M294" s="26" t="n">
        <v>0</v>
      </c>
    </row>
    <row r="295" customFormat="false" ht="15" hidden="false" customHeight="false" outlineLevel="0" collapsed="false">
      <c r="A295" s="7" t="s">
        <v>85</v>
      </c>
      <c r="B295" s="7" t="n">
        <v>4408004</v>
      </c>
      <c r="C295" s="7" t="s">
        <v>233</v>
      </c>
      <c r="D295" s="26" t="n">
        <v>1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0</v>
      </c>
      <c r="L295" s="26" t="n">
        <v>0</v>
      </c>
      <c r="M295" s="26" t="n">
        <v>0</v>
      </c>
    </row>
    <row r="296" customFormat="false" ht="15" hidden="false" customHeight="false" outlineLevel="0" collapsed="false">
      <c r="A296" s="7" t="s">
        <v>87</v>
      </c>
      <c r="B296" s="7" t="n">
        <v>4408004</v>
      </c>
      <c r="C296" s="7" t="s">
        <v>233</v>
      </c>
      <c r="D296" s="26" t="n">
        <v>170.1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  <c r="L296" s="26" t="n">
        <v>0</v>
      </c>
      <c r="M296" s="26" t="n">
        <v>0</v>
      </c>
    </row>
    <row r="297" customFormat="false" ht="15" hidden="false" customHeight="false" outlineLevel="0" collapsed="false">
      <c r="A297" s="7" t="s">
        <v>85</v>
      </c>
      <c r="B297" s="7" t="n">
        <v>4408005</v>
      </c>
      <c r="C297" s="7" t="s">
        <v>234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-1</v>
      </c>
      <c r="I297" s="26" t="n">
        <v>0</v>
      </c>
      <c r="J297" s="26" t="n">
        <v>0</v>
      </c>
      <c r="K297" s="26" t="n">
        <v>0</v>
      </c>
      <c r="L297" s="26" t="n">
        <v>0</v>
      </c>
      <c r="M297" s="26" t="n">
        <v>0</v>
      </c>
    </row>
    <row r="298" customFormat="false" ht="15" hidden="false" customHeight="false" outlineLevel="0" collapsed="false">
      <c r="A298" s="7" t="s">
        <v>87</v>
      </c>
      <c r="B298" s="7" t="n">
        <v>4408005</v>
      </c>
      <c r="C298" s="7" t="s">
        <v>234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-147.4</v>
      </c>
      <c r="I298" s="26" t="n">
        <v>0</v>
      </c>
      <c r="J298" s="26" t="n">
        <v>0</v>
      </c>
      <c r="K298" s="26" t="n">
        <v>0</v>
      </c>
      <c r="L298" s="26" t="n">
        <v>0</v>
      </c>
      <c r="M298" s="26" t="n">
        <v>0</v>
      </c>
    </row>
    <row r="299" customFormat="false" ht="15" hidden="false" customHeight="false" outlineLevel="0" collapsed="false">
      <c r="A299" s="7" t="s">
        <v>85</v>
      </c>
      <c r="B299" s="7" t="n">
        <v>4408121</v>
      </c>
      <c r="C299" s="7" t="s">
        <v>235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0</v>
      </c>
      <c r="J299" s="26" t="n">
        <v>0</v>
      </c>
      <c r="K299" s="26" t="n">
        <v>0</v>
      </c>
      <c r="L299" s="26" t="n">
        <v>0</v>
      </c>
      <c r="M299" s="26" t="n">
        <v>0</v>
      </c>
    </row>
    <row r="300" customFormat="false" ht="15" hidden="false" customHeight="false" outlineLevel="0" collapsed="false">
      <c r="A300" s="7" t="s">
        <v>87</v>
      </c>
      <c r="B300" s="7" t="n">
        <v>4408121</v>
      </c>
      <c r="C300" s="7" t="s">
        <v>235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0</v>
      </c>
      <c r="J300" s="26" t="n">
        <v>0</v>
      </c>
      <c r="K300" s="26" t="n">
        <v>0</v>
      </c>
      <c r="L300" s="26" t="n">
        <v>0</v>
      </c>
      <c r="M300" s="26" t="n">
        <v>0</v>
      </c>
    </row>
    <row r="301" customFormat="false" ht="15" hidden="false" customHeight="false" outlineLevel="0" collapsed="false">
      <c r="A301" s="7" t="s">
        <v>85</v>
      </c>
      <c r="B301" s="7" t="n">
        <v>4408119</v>
      </c>
      <c r="C301" s="7" t="s">
        <v>236</v>
      </c>
      <c r="D301" s="26" t="n">
        <v>2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0</v>
      </c>
      <c r="J301" s="26" t="n">
        <v>0</v>
      </c>
      <c r="K301" s="26" t="n">
        <v>0</v>
      </c>
      <c r="L301" s="26" t="n">
        <v>0</v>
      </c>
      <c r="M301" s="26" t="n">
        <v>0</v>
      </c>
    </row>
    <row r="302" customFormat="false" ht="15" hidden="false" customHeight="false" outlineLevel="0" collapsed="false">
      <c r="A302" s="7" t="s">
        <v>87</v>
      </c>
      <c r="B302" s="7" t="n">
        <v>4408119</v>
      </c>
      <c r="C302" s="7" t="s">
        <v>236</v>
      </c>
      <c r="D302" s="26" t="n">
        <v>281.1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0</v>
      </c>
      <c r="J302" s="26" t="n">
        <v>0</v>
      </c>
      <c r="K302" s="26" t="n">
        <v>0</v>
      </c>
      <c r="L302" s="26" t="n">
        <v>0</v>
      </c>
      <c r="M302" s="26" t="n">
        <v>0</v>
      </c>
    </row>
    <row r="303" customFormat="false" ht="15" hidden="false" customHeight="false" outlineLevel="0" collapsed="false">
      <c r="A303" s="7" t="s">
        <v>85</v>
      </c>
      <c r="B303" s="7" t="n">
        <v>4408118</v>
      </c>
      <c r="C303" s="7" t="s">
        <v>237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0</v>
      </c>
      <c r="J303" s="26" t="n">
        <v>0</v>
      </c>
      <c r="K303" s="26" t="n">
        <v>0</v>
      </c>
      <c r="L303" s="26" t="n">
        <v>0</v>
      </c>
      <c r="M303" s="26" t="n">
        <v>0</v>
      </c>
    </row>
    <row r="304" customFormat="false" ht="15" hidden="false" customHeight="false" outlineLevel="0" collapsed="false">
      <c r="A304" s="7" t="s">
        <v>87</v>
      </c>
      <c r="B304" s="7" t="n">
        <v>4408118</v>
      </c>
      <c r="C304" s="7" t="s">
        <v>237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0</v>
      </c>
      <c r="J304" s="26" t="n">
        <v>0</v>
      </c>
      <c r="K304" s="26" t="n">
        <v>0</v>
      </c>
      <c r="L304" s="26" t="n">
        <v>0</v>
      </c>
      <c r="M304" s="26" t="n">
        <v>0</v>
      </c>
    </row>
    <row r="305" customFormat="false" ht="15" hidden="false" customHeight="false" outlineLevel="0" collapsed="false">
      <c r="A305" s="7" t="s">
        <v>85</v>
      </c>
      <c r="B305" s="7" t="n">
        <v>4408120</v>
      </c>
      <c r="C305" s="7" t="s">
        <v>238</v>
      </c>
      <c r="D305" s="26" t="n">
        <v>2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0</v>
      </c>
      <c r="J305" s="26" t="n">
        <v>0</v>
      </c>
      <c r="K305" s="26" t="n">
        <v>0</v>
      </c>
      <c r="L305" s="26" t="n">
        <v>0</v>
      </c>
      <c r="M305" s="26" t="n">
        <v>0</v>
      </c>
    </row>
    <row r="306" customFormat="false" ht="15" hidden="false" customHeight="false" outlineLevel="0" collapsed="false">
      <c r="A306" s="7" t="s">
        <v>87</v>
      </c>
      <c r="B306" s="7" t="n">
        <v>4408120</v>
      </c>
      <c r="C306" s="7" t="s">
        <v>238</v>
      </c>
      <c r="D306" s="26" t="n">
        <v>281.1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0</v>
      </c>
      <c r="J306" s="26" t="n">
        <v>0</v>
      </c>
      <c r="K306" s="26" t="n">
        <v>0</v>
      </c>
      <c r="L306" s="26" t="n">
        <v>0</v>
      </c>
      <c r="M306" s="26" t="n">
        <v>0</v>
      </c>
    </row>
    <row r="307" customFormat="false" ht="15" hidden="false" customHeight="false" outlineLevel="0" collapsed="false">
      <c r="A307" s="7" t="s">
        <v>85</v>
      </c>
      <c r="B307" s="7" t="n">
        <v>4408140</v>
      </c>
      <c r="C307" s="7" t="s">
        <v>239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0</v>
      </c>
      <c r="J307" s="26" t="n">
        <v>1</v>
      </c>
      <c r="K307" s="26" t="n">
        <v>0</v>
      </c>
      <c r="L307" s="26" t="n">
        <v>0</v>
      </c>
      <c r="M307" s="26" t="n">
        <v>0</v>
      </c>
    </row>
    <row r="308" customFormat="false" ht="15" hidden="false" customHeight="false" outlineLevel="0" collapsed="false">
      <c r="A308" s="7" t="s">
        <v>87</v>
      </c>
      <c r="B308" s="7" t="n">
        <v>4408140</v>
      </c>
      <c r="C308" s="7" t="s">
        <v>239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154.4</v>
      </c>
      <c r="K308" s="26" t="n">
        <v>0</v>
      </c>
      <c r="L308" s="26" t="n">
        <v>0</v>
      </c>
      <c r="M308" s="26" t="n">
        <v>0</v>
      </c>
    </row>
    <row r="309" customFormat="false" ht="15" hidden="false" customHeight="false" outlineLevel="0" collapsed="false">
      <c r="A309" s="7" t="s">
        <v>85</v>
      </c>
      <c r="B309" s="7" t="n">
        <v>4408245</v>
      </c>
      <c r="C309" s="7" t="s">
        <v>240</v>
      </c>
      <c r="D309" s="26" t="n">
        <v>7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0</v>
      </c>
      <c r="L309" s="26" t="n">
        <v>0</v>
      </c>
      <c r="M309" s="26" t="n">
        <v>0</v>
      </c>
    </row>
    <row r="310" customFormat="false" ht="15" hidden="false" customHeight="false" outlineLevel="0" collapsed="false">
      <c r="A310" s="7" t="s">
        <v>87</v>
      </c>
      <c r="B310" s="7" t="n">
        <v>4408245</v>
      </c>
      <c r="C310" s="7" t="s">
        <v>240</v>
      </c>
      <c r="D310" s="26" t="n">
        <v>999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0</v>
      </c>
      <c r="L310" s="26" t="n">
        <v>0</v>
      </c>
      <c r="M310" s="26" t="n">
        <v>0</v>
      </c>
    </row>
    <row r="311" customFormat="false" ht="15" hidden="false" customHeight="false" outlineLevel="0" collapsed="false">
      <c r="A311" s="7" t="s">
        <v>85</v>
      </c>
      <c r="B311" s="7" t="n">
        <v>4408135</v>
      </c>
      <c r="C311" s="7" t="s">
        <v>241</v>
      </c>
      <c r="D311" s="26" t="n">
        <v>20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0</v>
      </c>
      <c r="L311" s="26" t="n">
        <v>0</v>
      </c>
      <c r="M311" s="26" t="n">
        <v>0</v>
      </c>
    </row>
    <row r="312" customFormat="false" ht="15" hidden="false" customHeight="false" outlineLevel="0" collapsed="false">
      <c r="A312" s="7" t="s">
        <v>87</v>
      </c>
      <c r="B312" s="7" t="n">
        <v>4408135</v>
      </c>
      <c r="C312" s="7" t="s">
        <v>241</v>
      </c>
      <c r="D312" s="26" t="n">
        <v>2803.8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0</v>
      </c>
      <c r="L312" s="26" t="n">
        <v>0</v>
      </c>
      <c r="M312" s="26" t="n">
        <v>0</v>
      </c>
    </row>
    <row r="313" customFormat="false" ht="15" hidden="false" customHeight="false" outlineLevel="0" collapsed="false">
      <c r="A313" s="7" t="s">
        <v>85</v>
      </c>
      <c r="B313" s="7" t="n">
        <v>4408134</v>
      </c>
      <c r="C313" s="7" t="s">
        <v>242</v>
      </c>
      <c r="D313" s="26" t="n">
        <v>7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0</v>
      </c>
      <c r="J313" s="26" t="n">
        <v>0</v>
      </c>
      <c r="K313" s="26" t="n">
        <v>0</v>
      </c>
      <c r="L313" s="26" t="n">
        <v>0</v>
      </c>
      <c r="M313" s="26" t="n">
        <v>0</v>
      </c>
    </row>
    <row r="314" customFormat="false" ht="15" hidden="false" customHeight="false" outlineLevel="0" collapsed="false">
      <c r="A314" s="7" t="s">
        <v>87</v>
      </c>
      <c r="B314" s="7" t="n">
        <v>4408134</v>
      </c>
      <c r="C314" s="7" t="s">
        <v>242</v>
      </c>
      <c r="D314" s="26" t="n">
        <v>1044.4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0</v>
      </c>
      <c r="J314" s="26" t="n">
        <v>0</v>
      </c>
      <c r="K314" s="26" t="n">
        <v>0</v>
      </c>
      <c r="L314" s="26" t="n">
        <v>0</v>
      </c>
      <c r="M314" s="26" t="n">
        <v>0</v>
      </c>
    </row>
    <row r="315" customFormat="false" ht="15" hidden="false" customHeight="false" outlineLevel="0" collapsed="false">
      <c r="A315" s="7" t="s">
        <v>85</v>
      </c>
      <c r="B315" s="7" t="n">
        <v>4408192</v>
      </c>
      <c r="C315" s="7" t="s">
        <v>243</v>
      </c>
      <c r="D315" s="26" t="n">
        <v>139</v>
      </c>
      <c r="E315" s="26" t="n">
        <v>0</v>
      </c>
      <c r="F315" s="26" t="n">
        <v>0</v>
      </c>
      <c r="G315" s="26" t="n">
        <v>0</v>
      </c>
      <c r="H315" s="26" t="n">
        <v>164</v>
      </c>
      <c r="I315" s="26" t="n">
        <v>0</v>
      </c>
      <c r="J315" s="26" t="n">
        <v>0</v>
      </c>
      <c r="K315" s="26" t="n">
        <v>0</v>
      </c>
      <c r="L315" s="26" t="n">
        <v>0</v>
      </c>
      <c r="M315" s="26" t="n">
        <v>0</v>
      </c>
    </row>
    <row r="316" customFormat="false" ht="15" hidden="false" customHeight="false" outlineLevel="0" collapsed="false">
      <c r="A316" s="7" t="s">
        <v>87</v>
      </c>
      <c r="B316" s="7" t="n">
        <v>4408192</v>
      </c>
      <c r="C316" s="7" t="s">
        <v>243</v>
      </c>
      <c r="D316" s="26" t="n">
        <v>15439</v>
      </c>
      <c r="E316" s="26" t="n">
        <v>0</v>
      </c>
      <c r="F316" s="26" t="n">
        <v>0</v>
      </c>
      <c r="G316" s="26" t="n">
        <v>0</v>
      </c>
      <c r="H316" s="26" t="n">
        <v>15702.7</v>
      </c>
      <c r="I316" s="26" t="n">
        <v>0</v>
      </c>
      <c r="J316" s="26" t="n">
        <v>0</v>
      </c>
      <c r="K316" s="26" t="n">
        <v>0</v>
      </c>
      <c r="L316" s="26" t="n">
        <v>0</v>
      </c>
      <c r="M316" s="26" t="n">
        <v>0</v>
      </c>
    </row>
    <row r="317" customFormat="false" ht="15" hidden="false" customHeight="false" outlineLevel="0" collapsed="false">
      <c r="A317" s="7" t="s">
        <v>85</v>
      </c>
      <c r="B317" s="7" t="n">
        <v>4408233</v>
      </c>
      <c r="C317" s="7" t="s">
        <v>244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-1</v>
      </c>
      <c r="I317" s="26" t="n">
        <v>0</v>
      </c>
      <c r="J317" s="26" t="n">
        <v>0</v>
      </c>
      <c r="K317" s="26" t="n">
        <v>0</v>
      </c>
      <c r="L317" s="26" t="n">
        <v>0</v>
      </c>
      <c r="M317" s="26" t="n">
        <v>0</v>
      </c>
    </row>
    <row r="318" customFormat="false" ht="15" hidden="false" customHeight="false" outlineLevel="0" collapsed="false">
      <c r="A318" s="7" t="s">
        <v>87</v>
      </c>
      <c r="B318" s="7" t="n">
        <v>4408233</v>
      </c>
      <c r="C318" s="7" t="s">
        <v>244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-85.7</v>
      </c>
      <c r="I318" s="26" t="n">
        <v>0</v>
      </c>
      <c r="J318" s="26" t="n">
        <v>0</v>
      </c>
      <c r="K318" s="26" t="n">
        <v>0</v>
      </c>
      <c r="L318" s="26" t="n">
        <v>0</v>
      </c>
      <c r="M318" s="26" t="n">
        <v>0</v>
      </c>
    </row>
    <row r="319" customFormat="false" ht="15" hidden="false" customHeight="false" outlineLevel="0" collapsed="false">
      <c r="A319" s="7" t="s">
        <v>85</v>
      </c>
      <c r="B319" s="7" t="n">
        <v>4408234</v>
      </c>
      <c r="C319" s="7" t="s">
        <v>245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-1</v>
      </c>
      <c r="I319" s="26" t="n">
        <v>-3</v>
      </c>
      <c r="J319" s="26" t="n">
        <v>0</v>
      </c>
      <c r="K319" s="26" t="n">
        <v>0</v>
      </c>
      <c r="L319" s="26" t="n">
        <v>0</v>
      </c>
      <c r="M319" s="26" t="n">
        <v>-1</v>
      </c>
    </row>
    <row r="320" customFormat="false" ht="15" hidden="false" customHeight="false" outlineLevel="0" collapsed="false">
      <c r="A320" s="7" t="s">
        <v>87</v>
      </c>
      <c r="B320" s="7" t="n">
        <v>4408234</v>
      </c>
      <c r="C320" s="7" t="s">
        <v>245</v>
      </c>
      <c r="D320" s="26" t="n">
        <v>14.8</v>
      </c>
      <c r="E320" s="26" t="n">
        <v>0</v>
      </c>
      <c r="F320" s="26" t="n">
        <v>0</v>
      </c>
      <c r="G320" s="26" t="n">
        <v>0</v>
      </c>
      <c r="H320" s="26" t="n">
        <v>-92.1</v>
      </c>
      <c r="I320" s="26" t="n">
        <v>-297.7</v>
      </c>
      <c r="J320" s="26" t="n">
        <v>0</v>
      </c>
      <c r="K320" s="26" t="n">
        <v>0</v>
      </c>
      <c r="L320" s="26" t="n">
        <v>0</v>
      </c>
      <c r="M320" s="26" t="n">
        <v>-148.1</v>
      </c>
    </row>
    <row r="321" customFormat="false" ht="15" hidden="false" customHeight="false" outlineLevel="0" collapsed="false">
      <c r="A321" s="7" t="s">
        <v>85</v>
      </c>
      <c r="B321" s="7" t="n">
        <v>4408235</v>
      </c>
      <c r="C321" s="7" t="s">
        <v>246</v>
      </c>
      <c r="D321" s="26" t="n">
        <v>0</v>
      </c>
      <c r="E321" s="26" t="n">
        <v>0</v>
      </c>
      <c r="F321" s="26" t="n">
        <v>0</v>
      </c>
      <c r="G321" s="26" t="n">
        <v>0</v>
      </c>
      <c r="H321" s="26" t="n">
        <v>-10</v>
      </c>
      <c r="I321" s="26" t="n">
        <v>-1</v>
      </c>
      <c r="J321" s="26" t="n">
        <v>0</v>
      </c>
      <c r="K321" s="26" t="n">
        <v>0</v>
      </c>
      <c r="L321" s="26" t="n">
        <v>0</v>
      </c>
      <c r="M321" s="26" t="n">
        <v>0</v>
      </c>
    </row>
    <row r="322" customFormat="false" ht="15" hidden="false" customHeight="false" outlineLevel="0" collapsed="false">
      <c r="A322" s="7" t="s">
        <v>87</v>
      </c>
      <c r="B322" s="7" t="n">
        <v>4408235</v>
      </c>
      <c r="C322" s="7" t="s">
        <v>246</v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-921.4</v>
      </c>
      <c r="I322" s="26" t="n">
        <v>-99.2</v>
      </c>
      <c r="J322" s="26" t="n">
        <v>0</v>
      </c>
      <c r="K322" s="26" t="n">
        <v>0</v>
      </c>
      <c r="L322" s="26" t="n">
        <v>0</v>
      </c>
      <c r="M322" s="26" t="n">
        <v>0</v>
      </c>
    </row>
    <row r="323" customFormat="false" ht="15" hidden="false" customHeight="false" outlineLevel="0" collapsed="false">
      <c r="A323" s="7" t="s">
        <v>85</v>
      </c>
      <c r="B323" s="7" t="n">
        <v>4408236</v>
      </c>
      <c r="C323" s="7" t="s">
        <v>247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0</v>
      </c>
      <c r="I323" s="26" t="n">
        <v>-1</v>
      </c>
      <c r="J323" s="26" t="n">
        <v>0</v>
      </c>
      <c r="K323" s="26" t="n">
        <v>0</v>
      </c>
      <c r="L323" s="26" t="n">
        <v>0</v>
      </c>
      <c r="M323" s="26" t="n">
        <v>0</v>
      </c>
    </row>
    <row r="324" customFormat="false" ht="15" hidden="false" customHeight="false" outlineLevel="0" collapsed="false">
      <c r="A324" s="7" t="s">
        <v>87</v>
      </c>
      <c r="B324" s="7" t="n">
        <v>4408236</v>
      </c>
      <c r="C324" s="7" t="s">
        <v>247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0</v>
      </c>
      <c r="I324" s="26" t="n">
        <v>-99.2</v>
      </c>
      <c r="J324" s="26" t="n">
        <v>0</v>
      </c>
      <c r="K324" s="26" t="n">
        <v>0</v>
      </c>
      <c r="L324" s="26" t="n">
        <v>0</v>
      </c>
      <c r="M324" s="26" t="n">
        <v>0</v>
      </c>
    </row>
    <row r="325" customFormat="false" ht="15" hidden="false" customHeight="false" outlineLevel="0" collapsed="false">
      <c r="A325" s="7" t="s">
        <v>85</v>
      </c>
      <c r="B325" s="7" t="n">
        <v>4408237</v>
      </c>
      <c r="C325" s="7" t="s">
        <v>248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  <c r="L325" s="26" t="n">
        <v>0</v>
      </c>
      <c r="M325" s="26" t="n">
        <v>0</v>
      </c>
    </row>
    <row r="326" customFormat="false" ht="15" hidden="false" customHeight="false" outlineLevel="0" collapsed="false">
      <c r="A326" s="7" t="s">
        <v>87</v>
      </c>
      <c r="B326" s="7" t="n">
        <v>4408237</v>
      </c>
      <c r="C326" s="7" t="s">
        <v>248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  <c r="L326" s="26" t="n">
        <v>0</v>
      </c>
      <c r="M326" s="26" t="n">
        <v>0</v>
      </c>
    </row>
    <row r="327" customFormat="false" ht="15" hidden="false" customHeight="false" outlineLevel="0" collapsed="false">
      <c r="A327" s="7" t="s">
        <v>85</v>
      </c>
      <c r="B327" s="7" t="n">
        <v>4408221</v>
      </c>
      <c r="C327" s="7" t="s">
        <v>249</v>
      </c>
      <c r="D327" s="26" t="n">
        <v>49</v>
      </c>
      <c r="E327" s="26" t="n">
        <v>0</v>
      </c>
      <c r="F327" s="26" t="n">
        <v>0</v>
      </c>
      <c r="G327" s="26" t="n">
        <v>1</v>
      </c>
      <c r="H327" s="26" t="n">
        <v>1760</v>
      </c>
      <c r="I327" s="26" t="n">
        <v>146</v>
      </c>
      <c r="J327" s="26" t="n">
        <v>0</v>
      </c>
      <c r="K327" s="26" t="n">
        <v>0</v>
      </c>
      <c r="L327" s="26" t="n">
        <v>0</v>
      </c>
      <c r="M327" s="26" t="n">
        <v>0</v>
      </c>
    </row>
    <row r="328" customFormat="false" ht="15" hidden="false" customHeight="false" outlineLevel="0" collapsed="false">
      <c r="A328" s="7" t="s">
        <v>87</v>
      </c>
      <c r="B328" s="7" t="n">
        <v>4408221</v>
      </c>
      <c r="C328" s="7" t="s">
        <v>249</v>
      </c>
      <c r="D328" s="26" t="n">
        <v>5547.9</v>
      </c>
      <c r="E328" s="26" t="n">
        <v>0</v>
      </c>
      <c r="F328" s="26" t="n">
        <v>0</v>
      </c>
      <c r="G328" s="26" t="n">
        <v>101.5</v>
      </c>
      <c r="H328" s="26" t="n">
        <v>161994.9</v>
      </c>
      <c r="I328" s="26" t="n">
        <v>14487.6</v>
      </c>
      <c r="J328" s="26" t="n">
        <v>0</v>
      </c>
      <c r="K328" s="26" t="n">
        <v>0</v>
      </c>
      <c r="L328" s="26" t="n">
        <v>0</v>
      </c>
      <c r="M328" s="26" t="n">
        <v>0</v>
      </c>
    </row>
    <row r="329" customFormat="false" ht="15" hidden="false" customHeight="false" outlineLevel="0" collapsed="false">
      <c r="A329" s="7" t="s">
        <v>85</v>
      </c>
      <c r="B329" s="7" t="n">
        <v>4408220</v>
      </c>
      <c r="C329" s="7" t="s">
        <v>250</v>
      </c>
      <c r="D329" s="26" t="n">
        <v>27</v>
      </c>
      <c r="E329" s="26" t="n">
        <v>0</v>
      </c>
      <c r="F329" s="26" t="n">
        <v>0</v>
      </c>
      <c r="G329" s="26" t="n">
        <v>0</v>
      </c>
      <c r="H329" s="26" t="n">
        <v>1204</v>
      </c>
      <c r="I329" s="26" t="n">
        <v>78</v>
      </c>
      <c r="J329" s="26" t="n">
        <v>0</v>
      </c>
      <c r="K329" s="26" t="n">
        <v>0</v>
      </c>
      <c r="L329" s="26" t="n">
        <v>0</v>
      </c>
      <c r="M329" s="26" t="n">
        <v>0</v>
      </c>
    </row>
    <row r="330" customFormat="false" ht="15" hidden="false" customHeight="false" outlineLevel="0" collapsed="false">
      <c r="A330" s="7" t="s">
        <v>87</v>
      </c>
      <c r="B330" s="7" t="n">
        <v>4408220</v>
      </c>
      <c r="C330" s="7" t="s">
        <v>250</v>
      </c>
      <c r="D330" s="26" t="n">
        <v>2977.7</v>
      </c>
      <c r="E330" s="26" t="n">
        <v>0</v>
      </c>
      <c r="F330" s="26" t="n">
        <v>0</v>
      </c>
      <c r="G330" s="26" t="n">
        <v>0</v>
      </c>
      <c r="H330" s="26" t="n">
        <v>110749.4</v>
      </c>
      <c r="I330" s="26" t="n">
        <v>7739.9</v>
      </c>
      <c r="J330" s="26" t="n">
        <v>0</v>
      </c>
      <c r="K330" s="26" t="n">
        <v>0</v>
      </c>
      <c r="L330" s="26" t="n">
        <v>0</v>
      </c>
      <c r="M330" s="26" t="n">
        <v>0</v>
      </c>
    </row>
    <row r="331" customFormat="false" ht="15" hidden="false" customHeight="false" outlineLevel="0" collapsed="false">
      <c r="A331" s="7" t="s">
        <v>85</v>
      </c>
      <c r="B331" s="7" t="n">
        <v>4408219</v>
      </c>
      <c r="C331" s="7" t="s">
        <v>251</v>
      </c>
      <c r="D331" s="26" t="n">
        <v>5</v>
      </c>
      <c r="E331" s="26" t="n">
        <v>0</v>
      </c>
      <c r="F331" s="26" t="n">
        <v>0</v>
      </c>
      <c r="G331" s="26" t="n">
        <v>0</v>
      </c>
      <c r="H331" s="26" t="n">
        <v>359</v>
      </c>
      <c r="I331" s="26" t="n">
        <v>18</v>
      </c>
      <c r="J331" s="26" t="n">
        <v>0</v>
      </c>
      <c r="K331" s="26" t="n">
        <v>0</v>
      </c>
      <c r="L331" s="26" t="n">
        <v>0</v>
      </c>
      <c r="M331" s="26" t="n">
        <v>0</v>
      </c>
    </row>
    <row r="332" customFormat="false" ht="15" hidden="false" customHeight="false" outlineLevel="0" collapsed="false">
      <c r="A332" s="7" t="s">
        <v>87</v>
      </c>
      <c r="B332" s="7" t="n">
        <v>4408219</v>
      </c>
      <c r="C332" s="7" t="s">
        <v>251</v>
      </c>
      <c r="D332" s="26" t="n">
        <v>577.8</v>
      </c>
      <c r="E332" s="26" t="n">
        <v>0</v>
      </c>
      <c r="F332" s="26" t="n">
        <v>0</v>
      </c>
      <c r="G332" s="26" t="n">
        <v>0</v>
      </c>
      <c r="H332" s="26" t="n">
        <v>33059.8</v>
      </c>
      <c r="I332" s="26" t="n">
        <v>1603.4</v>
      </c>
      <c r="J332" s="26" t="n">
        <v>0</v>
      </c>
      <c r="K332" s="26" t="n">
        <v>0</v>
      </c>
      <c r="L332" s="26" t="n">
        <v>0</v>
      </c>
      <c r="M332" s="26" t="n">
        <v>0</v>
      </c>
    </row>
    <row r="333" customFormat="false" ht="15" hidden="false" customHeight="false" outlineLevel="0" collapsed="false">
      <c r="A333" s="7" t="s">
        <v>85</v>
      </c>
      <c r="B333" s="7" t="n">
        <v>4408222</v>
      </c>
      <c r="C333" s="7" t="s">
        <v>252</v>
      </c>
      <c r="D333" s="26" t="n">
        <v>53</v>
      </c>
      <c r="E333" s="26" t="n">
        <v>0</v>
      </c>
      <c r="F333" s="26" t="n">
        <v>0</v>
      </c>
      <c r="G333" s="26" t="n">
        <v>0</v>
      </c>
      <c r="H333" s="26" t="n">
        <v>1499</v>
      </c>
      <c r="I333" s="26" t="n">
        <v>97</v>
      </c>
      <c r="J333" s="26" t="n">
        <v>0</v>
      </c>
      <c r="K333" s="26" t="n">
        <v>0</v>
      </c>
      <c r="L333" s="26" t="n">
        <v>0</v>
      </c>
      <c r="M333" s="26" t="n">
        <v>0</v>
      </c>
    </row>
    <row r="334" customFormat="false" ht="15" hidden="false" customHeight="false" outlineLevel="0" collapsed="false">
      <c r="A334" s="7" t="s">
        <v>87</v>
      </c>
      <c r="B334" s="7" t="n">
        <v>4408222</v>
      </c>
      <c r="C334" s="7" t="s">
        <v>252</v>
      </c>
      <c r="D334" s="26" t="n">
        <v>5922.9</v>
      </c>
      <c r="E334" s="26" t="n">
        <v>0</v>
      </c>
      <c r="F334" s="26" t="n">
        <v>0</v>
      </c>
      <c r="G334" s="26" t="n">
        <v>0</v>
      </c>
      <c r="H334" s="26" t="n">
        <v>137916.9</v>
      </c>
      <c r="I334" s="26" t="n">
        <v>9625.3</v>
      </c>
      <c r="J334" s="26" t="n">
        <v>0</v>
      </c>
      <c r="K334" s="26" t="n">
        <v>0</v>
      </c>
      <c r="L334" s="26" t="n">
        <v>0</v>
      </c>
      <c r="M334" s="26" t="n">
        <v>0</v>
      </c>
    </row>
    <row r="335" customFormat="false" ht="15" hidden="false" customHeight="false" outlineLevel="0" collapsed="false">
      <c r="A335" s="7" t="s">
        <v>85</v>
      </c>
      <c r="B335" s="7" t="n">
        <v>4408223</v>
      </c>
      <c r="C335" s="7" t="s">
        <v>253</v>
      </c>
      <c r="D335" s="26" t="n">
        <v>41</v>
      </c>
      <c r="E335" s="26" t="n">
        <v>0</v>
      </c>
      <c r="F335" s="26" t="n">
        <v>0</v>
      </c>
      <c r="G335" s="26" t="n">
        <v>0</v>
      </c>
      <c r="H335" s="26" t="n">
        <v>161</v>
      </c>
      <c r="I335" s="26" t="n">
        <v>60</v>
      </c>
      <c r="J335" s="26" t="n">
        <v>1</v>
      </c>
      <c r="K335" s="26" t="n">
        <v>0</v>
      </c>
      <c r="L335" s="26" t="n">
        <v>0</v>
      </c>
      <c r="M335" s="26" t="n">
        <v>-1</v>
      </c>
    </row>
    <row r="336" customFormat="false" ht="15" hidden="false" customHeight="false" outlineLevel="0" collapsed="false">
      <c r="A336" s="7" t="s">
        <v>87</v>
      </c>
      <c r="B336" s="7" t="n">
        <v>4408223</v>
      </c>
      <c r="C336" s="7" t="s">
        <v>253</v>
      </c>
      <c r="D336" s="26" t="n">
        <v>4499.2</v>
      </c>
      <c r="E336" s="26" t="n">
        <v>0</v>
      </c>
      <c r="F336" s="26" t="n">
        <v>0</v>
      </c>
      <c r="G336" s="26" t="n">
        <v>0</v>
      </c>
      <c r="H336" s="26" t="n">
        <v>14776.5</v>
      </c>
      <c r="I336" s="26" t="n">
        <v>5953.8</v>
      </c>
      <c r="J336" s="26" t="n">
        <v>109.3</v>
      </c>
      <c r="K336" s="26" t="n">
        <v>0</v>
      </c>
      <c r="L336" s="26" t="n">
        <v>0</v>
      </c>
      <c r="M336" s="26" t="n">
        <v>-156.2</v>
      </c>
    </row>
    <row r="337" customFormat="false" ht="15" hidden="false" customHeight="false" outlineLevel="0" collapsed="false">
      <c r="A337" s="7" t="s">
        <v>85</v>
      </c>
      <c r="B337" s="7" t="n">
        <v>4408218</v>
      </c>
      <c r="C337" s="7" t="s">
        <v>254</v>
      </c>
      <c r="D337" s="26" t="n">
        <v>121</v>
      </c>
      <c r="E337" s="26" t="n">
        <v>0</v>
      </c>
      <c r="F337" s="26" t="n">
        <v>0</v>
      </c>
      <c r="G337" s="26" t="n">
        <v>0</v>
      </c>
      <c r="H337" s="26" t="n">
        <v>132</v>
      </c>
      <c r="I337" s="26" t="n">
        <v>0</v>
      </c>
      <c r="J337" s="26" t="n">
        <v>0</v>
      </c>
      <c r="K337" s="26" t="n">
        <v>0</v>
      </c>
      <c r="L337" s="26" t="n">
        <v>0</v>
      </c>
      <c r="M337" s="26" t="n">
        <v>0</v>
      </c>
    </row>
    <row r="338" customFormat="false" ht="15" hidden="false" customHeight="false" outlineLevel="0" collapsed="false">
      <c r="A338" s="7" t="s">
        <v>87</v>
      </c>
      <c r="B338" s="7" t="n">
        <v>4408218</v>
      </c>
      <c r="C338" s="7" t="s">
        <v>254</v>
      </c>
      <c r="D338" s="26" t="n">
        <v>13380.2</v>
      </c>
      <c r="E338" s="26" t="n">
        <v>0</v>
      </c>
      <c r="F338" s="26" t="n">
        <v>0</v>
      </c>
      <c r="G338" s="26" t="n">
        <v>0</v>
      </c>
      <c r="H338" s="26" t="n">
        <v>12600.2</v>
      </c>
      <c r="I338" s="26" t="n">
        <v>0</v>
      </c>
      <c r="J338" s="26" t="n">
        <v>0</v>
      </c>
      <c r="K338" s="26" t="n">
        <v>0</v>
      </c>
      <c r="L338" s="26" t="n">
        <v>0</v>
      </c>
      <c r="M338" s="26" t="n">
        <v>0</v>
      </c>
    </row>
    <row r="339" customFormat="false" ht="15" hidden="false" customHeight="false" outlineLevel="0" collapsed="false">
      <c r="A339" s="7" t="s">
        <v>85</v>
      </c>
      <c r="B339" s="7" t="n">
        <v>4408265</v>
      </c>
      <c r="C339" s="7" t="s">
        <v>255</v>
      </c>
      <c r="D339" s="26" t="n">
        <v>64</v>
      </c>
      <c r="E339" s="26" t="n">
        <v>0</v>
      </c>
      <c r="F339" s="26" t="n">
        <v>0</v>
      </c>
      <c r="G339" s="26" t="n">
        <v>0</v>
      </c>
      <c r="H339" s="26" t="n">
        <v>28</v>
      </c>
      <c r="I339" s="26" t="n">
        <v>0</v>
      </c>
      <c r="J339" s="26" t="n">
        <v>0</v>
      </c>
      <c r="K339" s="26" t="n">
        <v>0</v>
      </c>
      <c r="L339" s="26" t="n">
        <v>0</v>
      </c>
      <c r="M339" s="26" t="n">
        <v>0</v>
      </c>
    </row>
    <row r="340" customFormat="false" ht="15" hidden="false" customHeight="false" outlineLevel="0" collapsed="false">
      <c r="A340" s="7" t="s">
        <v>87</v>
      </c>
      <c r="B340" s="7" t="n">
        <v>4408265</v>
      </c>
      <c r="C340" s="7" t="s">
        <v>255</v>
      </c>
      <c r="D340" s="26" t="n">
        <v>6752.6</v>
      </c>
      <c r="E340" s="26" t="n">
        <v>0</v>
      </c>
      <c r="F340" s="26" t="n">
        <v>0</v>
      </c>
      <c r="G340" s="26" t="n">
        <v>0</v>
      </c>
      <c r="H340" s="26" t="n">
        <v>2640.1</v>
      </c>
      <c r="I340" s="26" t="n">
        <v>0</v>
      </c>
      <c r="J340" s="26" t="n">
        <v>0</v>
      </c>
      <c r="K340" s="26" t="n">
        <v>0</v>
      </c>
      <c r="L340" s="26" t="n">
        <v>0</v>
      </c>
      <c r="M340" s="26" t="n">
        <v>0</v>
      </c>
    </row>
    <row r="341" customFormat="false" ht="15" hidden="false" customHeight="false" outlineLevel="0" collapsed="false">
      <c r="A341" s="7" t="s">
        <v>85</v>
      </c>
      <c r="B341" s="7" t="n">
        <v>4408011</v>
      </c>
      <c r="C341" s="7" t="s">
        <v>256</v>
      </c>
      <c r="D341" s="26" t="n">
        <v>4</v>
      </c>
      <c r="E341" s="26" t="n">
        <v>0</v>
      </c>
      <c r="F341" s="26" t="n">
        <v>0</v>
      </c>
      <c r="G341" s="26" t="n">
        <v>0</v>
      </c>
      <c r="H341" s="26" t="n">
        <v>-2</v>
      </c>
      <c r="I341" s="26" t="n">
        <v>2</v>
      </c>
      <c r="J341" s="26" t="n">
        <v>0</v>
      </c>
      <c r="K341" s="26" t="n">
        <v>0</v>
      </c>
      <c r="L341" s="26" t="n">
        <v>0</v>
      </c>
      <c r="M341" s="26" t="n">
        <v>-1</v>
      </c>
    </row>
    <row r="342" customFormat="false" ht="15" hidden="false" customHeight="false" outlineLevel="0" collapsed="false">
      <c r="A342" s="7" t="s">
        <v>87</v>
      </c>
      <c r="B342" s="7" t="n">
        <v>4408011</v>
      </c>
      <c r="C342" s="7" t="s">
        <v>256</v>
      </c>
      <c r="D342" s="26" t="n">
        <v>413</v>
      </c>
      <c r="E342" s="26" t="n">
        <v>0</v>
      </c>
      <c r="F342" s="26" t="n">
        <v>0</v>
      </c>
      <c r="G342" s="26" t="n">
        <v>0</v>
      </c>
      <c r="H342" s="26" t="n">
        <v>-151.1</v>
      </c>
      <c r="I342" s="26" t="n">
        <v>198.5</v>
      </c>
      <c r="J342" s="26" t="n">
        <v>0</v>
      </c>
      <c r="K342" s="26" t="n">
        <v>0</v>
      </c>
      <c r="L342" s="26" t="n">
        <v>0</v>
      </c>
      <c r="M342" s="26" t="n">
        <v>-144.9</v>
      </c>
    </row>
    <row r="343" customFormat="false" ht="15" hidden="false" customHeight="false" outlineLevel="0" collapsed="false">
      <c r="A343" s="7" t="s">
        <v>85</v>
      </c>
      <c r="B343" s="7" t="n">
        <v>4408010</v>
      </c>
      <c r="C343" s="7" t="s">
        <v>257</v>
      </c>
      <c r="D343" s="26" t="n">
        <v>2</v>
      </c>
      <c r="E343" s="26" t="n">
        <v>0</v>
      </c>
      <c r="F343" s="26" t="n">
        <v>0</v>
      </c>
      <c r="G343" s="26" t="n">
        <v>0</v>
      </c>
      <c r="H343" s="26" t="n">
        <v>-3</v>
      </c>
      <c r="I343" s="26" t="n">
        <v>-3</v>
      </c>
      <c r="J343" s="26" t="n">
        <v>0</v>
      </c>
      <c r="K343" s="26" t="n">
        <v>0</v>
      </c>
      <c r="L343" s="26" t="n">
        <v>0</v>
      </c>
      <c r="M343" s="26" t="n">
        <v>0</v>
      </c>
    </row>
    <row r="344" customFormat="false" ht="15" hidden="false" customHeight="false" outlineLevel="0" collapsed="false">
      <c r="A344" s="7" t="s">
        <v>87</v>
      </c>
      <c r="B344" s="7" t="n">
        <v>4408010</v>
      </c>
      <c r="C344" s="7" t="s">
        <v>257</v>
      </c>
      <c r="D344" s="26" t="n">
        <v>195.7</v>
      </c>
      <c r="E344" s="26" t="n">
        <v>0</v>
      </c>
      <c r="F344" s="26" t="n">
        <v>0</v>
      </c>
      <c r="G344" s="26" t="n">
        <v>0</v>
      </c>
      <c r="H344" s="26" t="n">
        <v>-265.4</v>
      </c>
      <c r="I344" s="26" t="n">
        <v>-297.7</v>
      </c>
      <c r="J344" s="26" t="n">
        <v>0</v>
      </c>
      <c r="K344" s="26" t="n">
        <v>0</v>
      </c>
      <c r="L344" s="26" t="n">
        <v>0</v>
      </c>
      <c r="M344" s="26" t="n">
        <v>0</v>
      </c>
    </row>
    <row r="345" customFormat="false" ht="15" hidden="false" customHeight="false" outlineLevel="0" collapsed="false">
      <c r="A345" s="7" t="s">
        <v>85</v>
      </c>
      <c r="B345" s="7" t="n">
        <v>4408009</v>
      </c>
      <c r="C345" s="7" t="s">
        <v>258</v>
      </c>
      <c r="D345" s="26" t="n">
        <v>4</v>
      </c>
      <c r="E345" s="26" t="n">
        <v>0</v>
      </c>
      <c r="F345" s="26" t="n">
        <v>0</v>
      </c>
      <c r="G345" s="26" t="n">
        <v>0</v>
      </c>
      <c r="H345" s="26" t="n">
        <v>2</v>
      </c>
      <c r="I345" s="26" t="n">
        <v>6</v>
      </c>
      <c r="J345" s="26" t="n">
        <v>0</v>
      </c>
      <c r="K345" s="26" t="n">
        <v>0</v>
      </c>
      <c r="L345" s="26" t="n">
        <v>0</v>
      </c>
      <c r="M345" s="26" t="n">
        <v>-1</v>
      </c>
    </row>
    <row r="346" customFormat="false" ht="15" hidden="false" customHeight="false" outlineLevel="0" collapsed="false">
      <c r="A346" s="7" t="s">
        <v>87</v>
      </c>
      <c r="B346" s="7" t="n">
        <v>4408009</v>
      </c>
      <c r="C346" s="7" t="s">
        <v>258</v>
      </c>
      <c r="D346" s="26" t="n">
        <v>405.8</v>
      </c>
      <c r="E346" s="26" t="n">
        <v>0</v>
      </c>
      <c r="F346" s="26" t="n">
        <v>0</v>
      </c>
      <c r="G346" s="26" t="n">
        <v>0</v>
      </c>
      <c r="H346" s="26" t="n">
        <v>202.7</v>
      </c>
      <c r="I346" s="26" t="n">
        <v>595.4</v>
      </c>
      <c r="J346" s="26" t="n">
        <v>0</v>
      </c>
      <c r="K346" s="26" t="n">
        <v>0</v>
      </c>
      <c r="L346" s="26" t="n">
        <v>0</v>
      </c>
      <c r="M346" s="26" t="n">
        <v>-144.9</v>
      </c>
    </row>
    <row r="347" customFormat="false" ht="15" hidden="false" customHeight="false" outlineLevel="0" collapsed="false">
      <c r="A347" s="7" t="s">
        <v>85</v>
      </c>
      <c r="B347" s="7" t="n">
        <v>4408012</v>
      </c>
      <c r="C347" s="7" t="s">
        <v>259</v>
      </c>
      <c r="D347" s="26" t="n">
        <v>6</v>
      </c>
      <c r="E347" s="26" t="n">
        <v>0</v>
      </c>
      <c r="F347" s="26" t="n">
        <v>1</v>
      </c>
      <c r="G347" s="26" t="n">
        <v>0</v>
      </c>
      <c r="H347" s="26" t="n">
        <v>-6</v>
      </c>
      <c r="I347" s="26" t="n">
        <v>-2</v>
      </c>
      <c r="J347" s="26" t="n">
        <v>0</v>
      </c>
      <c r="K347" s="26" t="n">
        <v>0</v>
      </c>
      <c r="L347" s="26" t="n">
        <v>0</v>
      </c>
      <c r="M347" s="26" t="n">
        <v>0</v>
      </c>
    </row>
    <row r="348" customFormat="false" ht="15" hidden="false" customHeight="false" outlineLevel="0" collapsed="false">
      <c r="A348" s="7" t="s">
        <v>87</v>
      </c>
      <c r="B348" s="7" t="n">
        <v>4408012</v>
      </c>
      <c r="C348" s="7" t="s">
        <v>259</v>
      </c>
      <c r="D348" s="26" t="n">
        <v>611.5</v>
      </c>
      <c r="E348" s="26" t="n">
        <v>0</v>
      </c>
      <c r="F348" s="26" t="n">
        <v>108.7</v>
      </c>
      <c r="G348" s="26" t="n">
        <v>0</v>
      </c>
      <c r="H348" s="26" t="n">
        <v>-507.7</v>
      </c>
      <c r="I348" s="26" t="n">
        <v>-198.5</v>
      </c>
      <c r="J348" s="26" t="n">
        <v>0</v>
      </c>
      <c r="K348" s="26" t="n">
        <v>0</v>
      </c>
      <c r="L348" s="26" t="n">
        <v>0</v>
      </c>
      <c r="M348" s="26" t="n">
        <v>0</v>
      </c>
    </row>
    <row r="349" customFormat="false" ht="15" hidden="false" customHeight="false" outlineLevel="0" collapsed="false">
      <c r="A349" s="7" t="s">
        <v>85</v>
      </c>
      <c r="B349" s="7" t="n">
        <v>4408013</v>
      </c>
      <c r="C349" s="7" t="s">
        <v>260</v>
      </c>
      <c r="D349" s="26" t="n">
        <v>6</v>
      </c>
      <c r="E349" s="26" t="n">
        <v>0</v>
      </c>
      <c r="F349" s="26" t="n">
        <v>0</v>
      </c>
      <c r="G349" s="26" t="n">
        <v>0</v>
      </c>
      <c r="H349" s="26" t="n">
        <v>3</v>
      </c>
      <c r="I349" s="26" t="n">
        <v>0</v>
      </c>
      <c r="J349" s="26" t="n">
        <v>0</v>
      </c>
      <c r="K349" s="26" t="n">
        <v>0</v>
      </c>
      <c r="L349" s="26" t="n">
        <v>0</v>
      </c>
      <c r="M349" s="26" t="n">
        <v>-1</v>
      </c>
    </row>
    <row r="350" customFormat="false" ht="15" hidden="false" customHeight="false" outlineLevel="0" collapsed="false">
      <c r="A350" s="7" t="s">
        <v>87</v>
      </c>
      <c r="B350" s="7" t="n">
        <v>4408013</v>
      </c>
      <c r="C350" s="7" t="s">
        <v>260</v>
      </c>
      <c r="D350" s="26" t="n">
        <v>615.9</v>
      </c>
      <c r="E350" s="26" t="n">
        <v>0</v>
      </c>
      <c r="F350" s="26" t="n">
        <v>0</v>
      </c>
      <c r="G350" s="26" t="n">
        <v>0</v>
      </c>
      <c r="H350" s="26" t="n">
        <v>276.4</v>
      </c>
      <c r="I350" s="26" t="n">
        <v>0</v>
      </c>
      <c r="J350" s="26" t="n">
        <v>0</v>
      </c>
      <c r="K350" s="26" t="n">
        <v>0</v>
      </c>
      <c r="L350" s="26" t="n">
        <v>0</v>
      </c>
      <c r="M350" s="26" t="n">
        <v>-144.9</v>
      </c>
    </row>
    <row r="351" customFormat="false" ht="15" hidden="false" customHeight="false" outlineLevel="0" collapsed="false">
      <c r="A351" s="7" t="s">
        <v>85</v>
      </c>
      <c r="B351" s="7" t="n">
        <v>4408015</v>
      </c>
      <c r="C351" s="7" t="s">
        <v>261</v>
      </c>
      <c r="D351" s="26" t="n">
        <v>4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1</v>
      </c>
      <c r="J351" s="26" t="n">
        <v>0</v>
      </c>
      <c r="K351" s="26" t="n">
        <v>0</v>
      </c>
      <c r="L351" s="26" t="n">
        <v>0</v>
      </c>
      <c r="M351" s="26" t="n">
        <v>0</v>
      </c>
    </row>
    <row r="352" customFormat="false" ht="15" hidden="false" customHeight="false" outlineLevel="0" collapsed="false">
      <c r="A352" s="7" t="s">
        <v>87</v>
      </c>
      <c r="B352" s="7" t="n">
        <v>4408015</v>
      </c>
      <c r="C352" s="7" t="s">
        <v>261</v>
      </c>
      <c r="D352" s="26" t="n">
        <v>975.1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244.2</v>
      </c>
      <c r="J352" s="26" t="n">
        <v>0</v>
      </c>
      <c r="K352" s="26" t="n">
        <v>0</v>
      </c>
      <c r="L352" s="26" t="n">
        <v>0</v>
      </c>
      <c r="M352" s="26" t="n">
        <v>0</v>
      </c>
    </row>
    <row r="353" customFormat="false" ht="15" hidden="false" customHeight="false" outlineLevel="0" collapsed="false">
      <c r="A353" s="7" t="s">
        <v>85</v>
      </c>
      <c r="B353" s="7" t="n">
        <v>4408016</v>
      </c>
      <c r="C353" s="7" t="s">
        <v>262</v>
      </c>
      <c r="D353" s="26" t="n">
        <v>0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2</v>
      </c>
      <c r="J353" s="26" t="n">
        <v>0</v>
      </c>
      <c r="K353" s="26" t="n">
        <v>0</v>
      </c>
      <c r="L353" s="26" t="n">
        <v>0</v>
      </c>
      <c r="M353" s="26" t="n">
        <v>0</v>
      </c>
    </row>
    <row r="354" customFormat="false" ht="15" hidden="false" customHeight="false" outlineLevel="0" collapsed="false">
      <c r="A354" s="7" t="s">
        <v>87</v>
      </c>
      <c r="B354" s="7" t="n">
        <v>4408016</v>
      </c>
      <c r="C354" s="7" t="s">
        <v>262</v>
      </c>
      <c r="D354" s="26" t="n">
        <v>2.5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488.4</v>
      </c>
      <c r="J354" s="26" t="n">
        <v>0</v>
      </c>
      <c r="K354" s="26" t="n">
        <v>0</v>
      </c>
      <c r="L354" s="26" t="n">
        <v>0</v>
      </c>
      <c r="M354" s="26" t="n">
        <v>0</v>
      </c>
    </row>
    <row r="355" customFormat="false" ht="15" hidden="false" customHeight="false" outlineLevel="0" collapsed="false">
      <c r="A355" s="7" t="s">
        <v>85</v>
      </c>
      <c r="B355" s="7" t="n">
        <v>4408014</v>
      </c>
      <c r="C355" s="7" t="s">
        <v>263</v>
      </c>
      <c r="D355" s="26" t="n">
        <v>1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0</v>
      </c>
      <c r="J355" s="26" t="n">
        <v>0</v>
      </c>
      <c r="K355" s="26" t="n">
        <v>0</v>
      </c>
      <c r="L355" s="26" t="n">
        <v>0</v>
      </c>
      <c r="M355" s="26" t="n">
        <v>0</v>
      </c>
    </row>
    <row r="356" customFormat="false" ht="15" hidden="false" customHeight="false" outlineLevel="0" collapsed="false">
      <c r="A356" s="7" t="s">
        <v>87</v>
      </c>
      <c r="B356" s="7" t="n">
        <v>4408014</v>
      </c>
      <c r="C356" s="7" t="s">
        <v>263</v>
      </c>
      <c r="D356" s="26" t="n">
        <v>262.4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0</v>
      </c>
      <c r="L356" s="26" t="n">
        <v>0</v>
      </c>
      <c r="M356" s="26" t="n">
        <v>0</v>
      </c>
    </row>
    <row r="357" customFormat="false" ht="15" hidden="false" customHeight="false" outlineLevel="0" collapsed="false">
      <c r="A357" s="7" t="s">
        <v>85</v>
      </c>
      <c r="B357" s="7" t="n">
        <v>4408017</v>
      </c>
      <c r="C357" s="7" t="s">
        <v>264</v>
      </c>
      <c r="D357" s="26" t="n">
        <v>4</v>
      </c>
      <c r="E357" s="26" t="n">
        <v>0</v>
      </c>
      <c r="F357" s="26" t="n">
        <v>0</v>
      </c>
      <c r="G357" s="26" t="n">
        <v>0</v>
      </c>
      <c r="H357" s="26" t="n">
        <v>-1</v>
      </c>
      <c r="I357" s="26" t="n">
        <v>0</v>
      </c>
      <c r="J357" s="26" t="n">
        <v>0</v>
      </c>
      <c r="K357" s="26" t="n">
        <v>0</v>
      </c>
      <c r="L357" s="26" t="n">
        <v>0</v>
      </c>
      <c r="M357" s="26" t="n">
        <v>0</v>
      </c>
    </row>
    <row r="358" customFormat="false" ht="15" hidden="false" customHeight="false" outlineLevel="0" collapsed="false">
      <c r="A358" s="7" t="s">
        <v>87</v>
      </c>
      <c r="B358" s="7" t="n">
        <v>4408017</v>
      </c>
      <c r="C358" s="7" t="s">
        <v>264</v>
      </c>
      <c r="D358" s="26" t="n">
        <v>975.1</v>
      </c>
      <c r="E358" s="26" t="n">
        <v>0</v>
      </c>
      <c r="F358" s="26" t="n">
        <v>0</v>
      </c>
      <c r="G358" s="26" t="n">
        <v>0</v>
      </c>
      <c r="H358" s="26" t="n">
        <v>-215.4</v>
      </c>
      <c r="I358" s="26" t="n">
        <v>0</v>
      </c>
      <c r="J358" s="26" t="n">
        <v>0</v>
      </c>
      <c r="K358" s="26" t="n">
        <v>0</v>
      </c>
      <c r="L358" s="26" t="n">
        <v>0</v>
      </c>
      <c r="M358" s="26" t="n">
        <v>0</v>
      </c>
    </row>
    <row r="359" customFormat="false" ht="15" hidden="false" customHeight="false" outlineLevel="0" collapsed="false">
      <c r="A359" s="7" t="s">
        <v>85</v>
      </c>
      <c r="B359" s="7" t="n">
        <v>4408018</v>
      </c>
      <c r="C359" s="7" t="s">
        <v>265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0</v>
      </c>
      <c r="L359" s="26" t="n">
        <v>0</v>
      </c>
      <c r="M359" s="26" t="n">
        <v>0</v>
      </c>
    </row>
    <row r="360" customFormat="false" ht="15" hidden="false" customHeight="false" outlineLevel="0" collapsed="false">
      <c r="A360" s="7" t="s">
        <v>87</v>
      </c>
      <c r="B360" s="7" t="n">
        <v>4408018</v>
      </c>
      <c r="C360" s="7" t="s">
        <v>265</v>
      </c>
      <c r="D360" s="26" t="n">
        <v>19.8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0</v>
      </c>
      <c r="L360" s="26" t="n">
        <v>0</v>
      </c>
      <c r="M360" s="26" t="n">
        <v>0</v>
      </c>
    </row>
    <row r="361" customFormat="false" ht="15" hidden="false" customHeight="false" outlineLevel="0" collapsed="false">
      <c r="A361" s="7" t="s">
        <v>85</v>
      </c>
      <c r="B361" s="7" t="n">
        <v>4408024</v>
      </c>
      <c r="C361" s="7" t="s">
        <v>266</v>
      </c>
      <c r="D361" s="26" t="n">
        <v>1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0</v>
      </c>
      <c r="J361" s="26" t="n">
        <v>0</v>
      </c>
      <c r="K361" s="26" t="n">
        <v>0</v>
      </c>
      <c r="L361" s="26" t="n">
        <v>0</v>
      </c>
      <c r="M361" s="26" t="n">
        <v>0</v>
      </c>
    </row>
    <row r="362" customFormat="false" ht="15" hidden="false" customHeight="false" outlineLevel="0" collapsed="false">
      <c r="A362" s="7" t="s">
        <v>87</v>
      </c>
      <c r="B362" s="7" t="n">
        <v>4408024</v>
      </c>
      <c r="C362" s="7" t="s">
        <v>266</v>
      </c>
      <c r="D362" s="26" t="n">
        <v>231.6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0</v>
      </c>
      <c r="J362" s="26" t="n">
        <v>0</v>
      </c>
      <c r="K362" s="26" t="n">
        <v>0</v>
      </c>
      <c r="L362" s="26" t="n">
        <v>0</v>
      </c>
      <c r="M362" s="26" t="n">
        <v>0</v>
      </c>
    </row>
    <row r="363" customFormat="false" ht="15" hidden="false" customHeight="false" outlineLevel="0" collapsed="false">
      <c r="A363" s="7" t="s">
        <v>85</v>
      </c>
      <c r="B363" s="7" t="n">
        <v>4408027</v>
      </c>
      <c r="C363" s="7" t="s">
        <v>267</v>
      </c>
      <c r="D363" s="26" t="n">
        <v>12</v>
      </c>
      <c r="E363" s="26" t="n">
        <v>0</v>
      </c>
      <c r="F363" s="26" t="n">
        <v>0</v>
      </c>
      <c r="G363" s="26" t="n">
        <v>0</v>
      </c>
      <c r="H363" s="26" t="n">
        <v>58</v>
      </c>
      <c r="I363" s="26" t="n">
        <v>2</v>
      </c>
      <c r="J363" s="26" t="n">
        <v>0</v>
      </c>
      <c r="K363" s="26" t="n">
        <v>0</v>
      </c>
      <c r="L363" s="26" t="n">
        <v>0</v>
      </c>
      <c r="M363" s="26" t="n">
        <v>0</v>
      </c>
    </row>
    <row r="364" customFormat="false" ht="15" hidden="false" customHeight="false" outlineLevel="0" collapsed="false">
      <c r="A364" s="7" t="s">
        <v>87</v>
      </c>
      <c r="B364" s="7" t="n">
        <v>4408027</v>
      </c>
      <c r="C364" s="7" t="s">
        <v>267</v>
      </c>
      <c r="D364" s="26" t="n">
        <v>1742.7</v>
      </c>
      <c r="E364" s="26" t="n">
        <v>0</v>
      </c>
      <c r="F364" s="26" t="n">
        <v>0</v>
      </c>
      <c r="G364" s="26" t="n">
        <v>0</v>
      </c>
      <c r="H364" s="26" t="n">
        <v>7575.9</v>
      </c>
      <c r="I364" s="26" t="n">
        <v>282.3</v>
      </c>
      <c r="J364" s="26" t="n">
        <v>0</v>
      </c>
      <c r="K364" s="26" t="n">
        <v>0</v>
      </c>
      <c r="L364" s="26" t="n">
        <v>0</v>
      </c>
      <c r="M364" s="26" t="n">
        <v>0</v>
      </c>
    </row>
    <row r="365" customFormat="false" ht="15" hidden="false" customHeight="false" outlineLevel="0" collapsed="false">
      <c r="A365" s="7" t="s">
        <v>85</v>
      </c>
      <c r="B365" s="7" t="n">
        <v>4408028</v>
      </c>
      <c r="C365" s="7" t="s">
        <v>268</v>
      </c>
      <c r="D365" s="26" t="n">
        <v>14</v>
      </c>
      <c r="E365" s="26" t="n">
        <v>0</v>
      </c>
      <c r="F365" s="26" t="n">
        <v>0</v>
      </c>
      <c r="G365" s="26" t="n">
        <v>1</v>
      </c>
      <c r="H365" s="26" t="n">
        <v>37</v>
      </c>
      <c r="I365" s="26" t="n">
        <v>3</v>
      </c>
      <c r="J365" s="26" t="n">
        <v>0</v>
      </c>
      <c r="K365" s="26" t="n">
        <v>0</v>
      </c>
      <c r="L365" s="26" t="n">
        <v>0</v>
      </c>
      <c r="M365" s="26" t="n">
        <v>0</v>
      </c>
    </row>
    <row r="366" customFormat="false" ht="15" hidden="false" customHeight="false" outlineLevel="0" collapsed="false">
      <c r="A366" s="7" t="s">
        <v>87</v>
      </c>
      <c r="B366" s="7" t="n">
        <v>4408028</v>
      </c>
      <c r="C366" s="7" t="s">
        <v>268</v>
      </c>
      <c r="D366" s="26" t="n">
        <v>1980.2</v>
      </c>
      <c r="E366" s="26" t="n">
        <v>0</v>
      </c>
      <c r="F366" s="26" t="n">
        <v>0</v>
      </c>
      <c r="G366" s="26" t="n">
        <v>134</v>
      </c>
      <c r="H366" s="26" t="n">
        <v>4875.8</v>
      </c>
      <c r="I366" s="26" t="n">
        <v>423.5</v>
      </c>
      <c r="J366" s="26" t="n">
        <v>0</v>
      </c>
      <c r="K366" s="26" t="n">
        <v>0</v>
      </c>
      <c r="L366" s="26" t="n">
        <v>0</v>
      </c>
      <c r="M366" s="26" t="n">
        <v>0</v>
      </c>
    </row>
    <row r="367" customFormat="false" ht="15" hidden="false" customHeight="false" outlineLevel="0" collapsed="false">
      <c r="A367" s="7" t="s">
        <v>85</v>
      </c>
      <c r="B367" s="7" t="n">
        <v>4408026</v>
      </c>
      <c r="C367" s="7" t="s">
        <v>269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6</v>
      </c>
      <c r="I367" s="26" t="n">
        <v>0</v>
      </c>
      <c r="J367" s="26" t="n">
        <v>0</v>
      </c>
      <c r="K367" s="26" t="n">
        <v>0</v>
      </c>
      <c r="L367" s="26" t="n">
        <v>0</v>
      </c>
      <c r="M367" s="26" t="n">
        <v>0</v>
      </c>
    </row>
    <row r="368" customFormat="false" ht="15" hidden="false" customHeight="false" outlineLevel="0" collapsed="false">
      <c r="A368" s="7" t="s">
        <v>87</v>
      </c>
      <c r="B368" s="7" t="n">
        <v>4408026</v>
      </c>
      <c r="C368" s="7" t="s">
        <v>269</v>
      </c>
      <c r="D368" s="26" t="n">
        <v>0</v>
      </c>
      <c r="E368" s="26" t="n">
        <v>0</v>
      </c>
      <c r="F368" s="26" t="n">
        <v>0</v>
      </c>
      <c r="G368" s="26" t="n">
        <v>0</v>
      </c>
      <c r="H368" s="26" t="n">
        <v>786.4</v>
      </c>
      <c r="I368" s="26" t="n">
        <v>0</v>
      </c>
      <c r="J368" s="26" t="n">
        <v>0</v>
      </c>
      <c r="K368" s="26" t="n">
        <v>0</v>
      </c>
      <c r="L368" s="26" t="n">
        <v>0</v>
      </c>
      <c r="M368" s="26" t="n">
        <v>0</v>
      </c>
    </row>
    <row r="369" customFormat="false" ht="15" hidden="false" customHeight="false" outlineLevel="0" collapsed="false">
      <c r="A369" s="7" t="s">
        <v>85</v>
      </c>
      <c r="B369" s="7" t="n">
        <v>4408029</v>
      </c>
      <c r="C369" s="7" t="s">
        <v>270</v>
      </c>
      <c r="D369" s="26" t="n">
        <v>16</v>
      </c>
      <c r="E369" s="26" t="n">
        <v>0</v>
      </c>
      <c r="F369" s="26" t="n">
        <v>0</v>
      </c>
      <c r="G369" s="26" t="n">
        <v>0</v>
      </c>
      <c r="H369" s="26" t="n">
        <v>65</v>
      </c>
      <c r="I369" s="26" t="n">
        <v>2</v>
      </c>
      <c r="J369" s="26" t="n">
        <v>0</v>
      </c>
      <c r="K369" s="26" t="n">
        <v>0</v>
      </c>
      <c r="L369" s="26" t="n">
        <v>0</v>
      </c>
      <c r="M369" s="26" t="n">
        <v>0</v>
      </c>
    </row>
    <row r="370" customFormat="false" ht="15" hidden="false" customHeight="false" outlineLevel="0" collapsed="false">
      <c r="A370" s="7" t="s">
        <v>87</v>
      </c>
      <c r="B370" s="7" t="n">
        <v>4408029</v>
      </c>
      <c r="C370" s="7" t="s">
        <v>270</v>
      </c>
      <c r="D370" s="26" t="n">
        <v>2378.6</v>
      </c>
      <c r="E370" s="26" t="n">
        <v>0</v>
      </c>
      <c r="F370" s="26" t="n">
        <v>0</v>
      </c>
      <c r="G370" s="26" t="n">
        <v>0</v>
      </c>
      <c r="H370" s="26" t="n">
        <v>8519.6</v>
      </c>
      <c r="I370" s="26" t="n">
        <v>282.3</v>
      </c>
      <c r="J370" s="26" t="n">
        <v>0</v>
      </c>
      <c r="K370" s="26" t="n">
        <v>0</v>
      </c>
      <c r="L370" s="26" t="n">
        <v>0</v>
      </c>
      <c r="M370" s="26" t="n">
        <v>0</v>
      </c>
    </row>
    <row r="371" customFormat="false" ht="15" hidden="false" customHeight="false" outlineLevel="0" collapsed="false">
      <c r="A371" s="7" t="s">
        <v>85</v>
      </c>
      <c r="B371" s="7" t="n">
        <v>4408030</v>
      </c>
      <c r="C371" s="7" t="s">
        <v>271</v>
      </c>
      <c r="D371" s="26" t="n">
        <v>1</v>
      </c>
      <c r="E371" s="26" t="n">
        <v>0</v>
      </c>
      <c r="F371" s="26" t="n">
        <v>0</v>
      </c>
      <c r="G371" s="26" t="n">
        <v>0</v>
      </c>
      <c r="H371" s="26" t="n">
        <v>4</v>
      </c>
      <c r="I371" s="26" t="n">
        <v>0</v>
      </c>
      <c r="J371" s="26" t="n">
        <v>0</v>
      </c>
      <c r="K371" s="26" t="n">
        <v>0</v>
      </c>
      <c r="L371" s="26" t="n">
        <v>0</v>
      </c>
      <c r="M371" s="26" t="n">
        <v>0</v>
      </c>
    </row>
    <row r="372" customFormat="false" ht="15" hidden="false" customHeight="false" outlineLevel="0" collapsed="false">
      <c r="A372" s="7" t="s">
        <v>87</v>
      </c>
      <c r="B372" s="7" t="n">
        <v>4408030</v>
      </c>
      <c r="C372" s="7" t="s">
        <v>271</v>
      </c>
      <c r="D372" s="26" t="n">
        <v>145.2</v>
      </c>
      <c r="E372" s="26" t="n">
        <v>0</v>
      </c>
      <c r="F372" s="26" t="n">
        <v>0</v>
      </c>
      <c r="G372" s="26" t="n">
        <v>0</v>
      </c>
      <c r="H372" s="26" t="n">
        <v>524.2</v>
      </c>
      <c r="I372" s="26" t="n">
        <v>0</v>
      </c>
      <c r="J372" s="26" t="n">
        <v>0</v>
      </c>
      <c r="K372" s="26" t="n">
        <v>0</v>
      </c>
      <c r="L372" s="26" t="n">
        <v>0</v>
      </c>
      <c r="M372" s="26" t="n">
        <v>0</v>
      </c>
    </row>
    <row r="373" customFormat="false" ht="15" hidden="false" customHeight="false" outlineLevel="0" collapsed="false">
      <c r="A373" s="7" t="s">
        <v>85</v>
      </c>
      <c r="B373" s="7" t="n">
        <v>4408032</v>
      </c>
      <c r="C373" s="7" t="s">
        <v>272</v>
      </c>
      <c r="D373" s="26" t="n">
        <v>46</v>
      </c>
      <c r="E373" s="26" t="n">
        <v>0</v>
      </c>
      <c r="F373" s="26" t="n">
        <v>0</v>
      </c>
      <c r="G373" s="26" t="n">
        <v>0</v>
      </c>
      <c r="H373" s="26" t="n">
        <v>412</v>
      </c>
      <c r="I373" s="26" t="n">
        <v>67</v>
      </c>
      <c r="J373" s="26" t="n">
        <v>0</v>
      </c>
      <c r="K373" s="26" t="n">
        <v>0</v>
      </c>
      <c r="L373" s="26" t="n">
        <v>0</v>
      </c>
      <c r="M373" s="26" t="n">
        <v>-1</v>
      </c>
    </row>
    <row r="374" customFormat="false" ht="15" hidden="false" customHeight="false" outlineLevel="0" collapsed="false">
      <c r="A374" s="7" t="s">
        <v>87</v>
      </c>
      <c r="B374" s="7" t="n">
        <v>4408032</v>
      </c>
      <c r="C374" s="7" t="s">
        <v>272</v>
      </c>
      <c r="D374" s="26" t="n">
        <v>4763.9</v>
      </c>
      <c r="E374" s="26" t="n">
        <v>0</v>
      </c>
      <c r="F374" s="26" t="n">
        <v>0</v>
      </c>
      <c r="G374" s="26" t="n">
        <v>0</v>
      </c>
      <c r="H374" s="26" t="n">
        <v>37050.2</v>
      </c>
      <c r="I374" s="26" t="n">
        <v>6501</v>
      </c>
      <c r="J374" s="26" t="n">
        <v>0</v>
      </c>
      <c r="K374" s="26" t="n">
        <v>0</v>
      </c>
      <c r="L374" s="26" t="n">
        <v>0</v>
      </c>
      <c r="M374" s="26" t="n">
        <v>-143.7</v>
      </c>
    </row>
    <row r="375" customFormat="false" ht="15" hidden="false" customHeight="false" outlineLevel="0" collapsed="false">
      <c r="A375" s="7" t="s">
        <v>85</v>
      </c>
      <c r="B375" s="7" t="n">
        <v>4408033</v>
      </c>
      <c r="C375" s="7" t="s">
        <v>273</v>
      </c>
      <c r="D375" s="26" t="n">
        <v>43</v>
      </c>
      <c r="E375" s="26" t="n">
        <v>0</v>
      </c>
      <c r="F375" s="26" t="n">
        <v>0</v>
      </c>
      <c r="G375" s="26" t="n">
        <v>0</v>
      </c>
      <c r="H375" s="26" t="n">
        <v>313</v>
      </c>
      <c r="I375" s="26" t="n">
        <v>47</v>
      </c>
      <c r="J375" s="26" t="n">
        <v>0</v>
      </c>
      <c r="K375" s="26" t="n">
        <v>0</v>
      </c>
      <c r="L375" s="26" t="n">
        <v>0</v>
      </c>
      <c r="M375" s="26" t="n">
        <v>0</v>
      </c>
    </row>
    <row r="376" customFormat="false" ht="15" hidden="false" customHeight="false" outlineLevel="0" collapsed="false">
      <c r="A376" s="7" t="s">
        <v>87</v>
      </c>
      <c r="B376" s="7" t="n">
        <v>4408033</v>
      </c>
      <c r="C376" s="7" t="s">
        <v>273</v>
      </c>
      <c r="D376" s="26" t="n">
        <v>4517.5</v>
      </c>
      <c r="E376" s="26" t="n">
        <v>0</v>
      </c>
      <c r="F376" s="26" t="n">
        <v>0</v>
      </c>
      <c r="G376" s="26" t="n">
        <v>0</v>
      </c>
      <c r="H376" s="26" t="n">
        <v>28070.8</v>
      </c>
      <c r="I376" s="26" t="n">
        <v>4394.1</v>
      </c>
      <c r="J376" s="26" t="n">
        <v>0</v>
      </c>
      <c r="K376" s="26" t="n">
        <v>0</v>
      </c>
      <c r="L376" s="26" t="n">
        <v>0</v>
      </c>
      <c r="M376" s="26" t="n">
        <v>0</v>
      </c>
    </row>
    <row r="377" customFormat="false" ht="15" hidden="false" customHeight="false" outlineLevel="0" collapsed="false">
      <c r="A377" s="7" t="s">
        <v>85</v>
      </c>
      <c r="B377" s="7" t="n">
        <v>4408031</v>
      </c>
      <c r="C377" s="7" t="s">
        <v>274</v>
      </c>
      <c r="D377" s="26" t="n">
        <v>6</v>
      </c>
      <c r="E377" s="26" t="n">
        <v>0</v>
      </c>
      <c r="F377" s="26" t="n">
        <v>0</v>
      </c>
      <c r="G377" s="26" t="n">
        <v>0</v>
      </c>
      <c r="H377" s="26" t="n">
        <v>147</v>
      </c>
      <c r="I377" s="26" t="n">
        <v>19</v>
      </c>
      <c r="J377" s="26" t="n">
        <v>0</v>
      </c>
      <c r="K377" s="26" t="n">
        <v>0</v>
      </c>
      <c r="L377" s="26" t="n">
        <v>0</v>
      </c>
      <c r="M377" s="26" t="n">
        <v>-1</v>
      </c>
    </row>
    <row r="378" customFormat="false" ht="15" hidden="false" customHeight="false" outlineLevel="0" collapsed="false">
      <c r="A378" s="7" t="s">
        <v>87</v>
      </c>
      <c r="B378" s="7" t="n">
        <v>4408031</v>
      </c>
      <c r="C378" s="7" t="s">
        <v>274</v>
      </c>
      <c r="D378" s="26" t="n">
        <v>639.6</v>
      </c>
      <c r="E378" s="26" t="n">
        <v>0</v>
      </c>
      <c r="F378" s="26" t="n">
        <v>0</v>
      </c>
      <c r="G378" s="26" t="n">
        <v>0</v>
      </c>
      <c r="H378" s="26" t="n">
        <v>13244.7</v>
      </c>
      <c r="I378" s="26" t="n">
        <v>1843.6</v>
      </c>
      <c r="J378" s="26" t="n">
        <v>0</v>
      </c>
      <c r="K378" s="26" t="n">
        <v>0</v>
      </c>
      <c r="L378" s="26" t="n">
        <v>0</v>
      </c>
      <c r="M378" s="26" t="n">
        <v>-143.7</v>
      </c>
    </row>
    <row r="379" customFormat="false" ht="15" hidden="false" customHeight="false" outlineLevel="0" collapsed="false">
      <c r="A379" s="7" t="s">
        <v>85</v>
      </c>
      <c r="B379" s="7" t="n">
        <v>4408034</v>
      </c>
      <c r="C379" s="7" t="s">
        <v>275</v>
      </c>
      <c r="D379" s="26" t="n">
        <v>47</v>
      </c>
      <c r="E379" s="26" t="n">
        <v>0</v>
      </c>
      <c r="F379" s="26" t="n">
        <v>0</v>
      </c>
      <c r="G379" s="26" t="n">
        <v>0</v>
      </c>
      <c r="H379" s="26" t="n">
        <v>399</v>
      </c>
      <c r="I379" s="26" t="n">
        <v>66</v>
      </c>
      <c r="J379" s="26" t="n">
        <v>0</v>
      </c>
      <c r="K379" s="26" t="n">
        <v>0</v>
      </c>
      <c r="L379" s="26" t="n">
        <v>0</v>
      </c>
      <c r="M379" s="26" t="n">
        <v>-2</v>
      </c>
    </row>
    <row r="380" customFormat="false" ht="15" hidden="false" customHeight="false" outlineLevel="0" collapsed="false">
      <c r="A380" s="7" t="s">
        <v>87</v>
      </c>
      <c r="B380" s="7" t="n">
        <v>4408034</v>
      </c>
      <c r="C380" s="7" t="s">
        <v>275</v>
      </c>
      <c r="D380" s="26" t="n">
        <v>4943.9</v>
      </c>
      <c r="E380" s="26" t="n">
        <v>0</v>
      </c>
      <c r="F380" s="26" t="n">
        <v>0</v>
      </c>
      <c r="G380" s="26" t="n">
        <v>0</v>
      </c>
      <c r="H380" s="26" t="n">
        <v>35878.9</v>
      </c>
      <c r="I380" s="26" t="n">
        <v>6410.9</v>
      </c>
      <c r="J380" s="26" t="n">
        <v>0</v>
      </c>
      <c r="K380" s="26" t="n">
        <v>0</v>
      </c>
      <c r="L380" s="26" t="n">
        <v>0</v>
      </c>
      <c r="M380" s="26" t="n">
        <v>-287.4</v>
      </c>
    </row>
    <row r="381" customFormat="false" ht="15" hidden="false" customHeight="false" outlineLevel="0" collapsed="false">
      <c r="A381" s="7" t="s">
        <v>85</v>
      </c>
      <c r="B381" s="7" t="n">
        <v>4408175</v>
      </c>
      <c r="C381" s="7" t="s">
        <v>276</v>
      </c>
      <c r="D381" s="26" t="n">
        <v>2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0</v>
      </c>
      <c r="L381" s="26" t="n">
        <v>0</v>
      </c>
      <c r="M381" s="26" t="n">
        <v>0</v>
      </c>
    </row>
    <row r="382" customFormat="false" ht="15" hidden="false" customHeight="false" outlineLevel="0" collapsed="false">
      <c r="A382" s="7" t="s">
        <v>87</v>
      </c>
      <c r="B382" s="7" t="n">
        <v>4408175</v>
      </c>
      <c r="C382" s="7" t="s">
        <v>276</v>
      </c>
      <c r="D382" s="26" t="n">
        <v>211.7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0</v>
      </c>
      <c r="L382" s="26" t="n">
        <v>0</v>
      </c>
      <c r="M382" s="26" t="n">
        <v>0</v>
      </c>
    </row>
    <row r="383" customFormat="false" ht="15" hidden="false" customHeight="false" outlineLevel="0" collapsed="false">
      <c r="A383" s="7" t="s">
        <v>85</v>
      </c>
      <c r="B383" s="7" t="n">
        <v>4408035</v>
      </c>
      <c r="C383" s="7" t="s">
        <v>277</v>
      </c>
      <c r="D383" s="26" t="n">
        <v>30</v>
      </c>
      <c r="E383" s="26" t="n">
        <v>0</v>
      </c>
      <c r="F383" s="26" t="n">
        <v>0</v>
      </c>
      <c r="G383" s="26" t="n">
        <v>0</v>
      </c>
      <c r="H383" s="26" t="n">
        <v>98</v>
      </c>
      <c r="I383" s="26" t="n">
        <v>28</v>
      </c>
      <c r="J383" s="26" t="n">
        <v>0</v>
      </c>
      <c r="K383" s="26" t="n">
        <v>0</v>
      </c>
      <c r="L383" s="26" t="n">
        <v>0</v>
      </c>
      <c r="M383" s="26" t="n">
        <v>-1</v>
      </c>
    </row>
    <row r="384" customFormat="false" ht="15" hidden="false" customHeight="false" outlineLevel="0" collapsed="false">
      <c r="A384" s="7" t="s">
        <v>87</v>
      </c>
      <c r="B384" s="7" t="n">
        <v>4408035</v>
      </c>
      <c r="C384" s="7" t="s">
        <v>277</v>
      </c>
      <c r="D384" s="26" t="n">
        <v>3157.6</v>
      </c>
      <c r="E384" s="26" t="n">
        <v>0</v>
      </c>
      <c r="F384" s="26" t="n">
        <v>0</v>
      </c>
      <c r="G384" s="26" t="n">
        <v>0</v>
      </c>
      <c r="H384" s="26" t="n">
        <v>8750.6</v>
      </c>
      <c r="I384" s="26" t="n">
        <v>2557.4</v>
      </c>
      <c r="J384" s="26" t="n">
        <v>0</v>
      </c>
      <c r="K384" s="26" t="n">
        <v>0</v>
      </c>
      <c r="L384" s="26" t="n">
        <v>0</v>
      </c>
      <c r="M384" s="26" t="n">
        <v>-143.7</v>
      </c>
    </row>
    <row r="385" customFormat="false" ht="15" hidden="false" customHeight="false" outlineLevel="0" collapsed="false">
      <c r="A385" s="7" t="s">
        <v>85</v>
      </c>
      <c r="B385" s="7" t="n">
        <v>4408115</v>
      </c>
      <c r="C385" s="7" t="s">
        <v>278</v>
      </c>
      <c r="D385" s="26" t="n">
        <v>19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11</v>
      </c>
      <c r="J385" s="26" t="n">
        <v>0</v>
      </c>
      <c r="K385" s="26" t="n">
        <v>0</v>
      </c>
      <c r="L385" s="26" t="n">
        <v>0</v>
      </c>
      <c r="M385" s="26" t="n">
        <v>0</v>
      </c>
    </row>
    <row r="386" customFormat="false" ht="15" hidden="false" customHeight="false" outlineLevel="0" collapsed="false">
      <c r="A386" s="7" t="s">
        <v>87</v>
      </c>
      <c r="B386" s="7" t="n">
        <v>4408115</v>
      </c>
      <c r="C386" s="7" t="s">
        <v>278</v>
      </c>
      <c r="D386" s="26" t="n">
        <v>1981.6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1067.3</v>
      </c>
      <c r="J386" s="26" t="n">
        <v>0</v>
      </c>
      <c r="K386" s="26" t="n">
        <v>0</v>
      </c>
      <c r="L386" s="26" t="n">
        <v>0</v>
      </c>
      <c r="M386" s="26" t="n">
        <v>0</v>
      </c>
    </row>
    <row r="387" customFormat="false" ht="15" hidden="false" customHeight="false" outlineLevel="0" collapsed="false">
      <c r="A387" s="7" t="s">
        <v>85</v>
      </c>
      <c r="B387" s="7" t="n">
        <v>4408114</v>
      </c>
      <c r="C387" s="7" t="s">
        <v>279</v>
      </c>
      <c r="D387" s="26" t="n">
        <v>10</v>
      </c>
      <c r="E387" s="26" t="n">
        <v>0</v>
      </c>
      <c r="F387" s="26" t="n">
        <v>0</v>
      </c>
      <c r="G387" s="26" t="n">
        <v>0</v>
      </c>
      <c r="H387" s="26" t="n">
        <v>10</v>
      </c>
      <c r="I387" s="26" t="n">
        <v>0</v>
      </c>
      <c r="J387" s="26" t="n">
        <v>0</v>
      </c>
      <c r="K387" s="26" t="n">
        <v>0</v>
      </c>
      <c r="L387" s="26" t="n">
        <v>0</v>
      </c>
      <c r="M387" s="26" t="n">
        <v>0</v>
      </c>
    </row>
    <row r="388" customFormat="false" ht="15" hidden="false" customHeight="false" outlineLevel="0" collapsed="false">
      <c r="A388" s="7" t="s">
        <v>87</v>
      </c>
      <c r="B388" s="7" t="n">
        <v>4408114</v>
      </c>
      <c r="C388" s="7" t="s">
        <v>279</v>
      </c>
      <c r="D388" s="26" t="n">
        <v>1052.8</v>
      </c>
      <c r="E388" s="26" t="n">
        <v>0</v>
      </c>
      <c r="F388" s="26" t="n">
        <v>0</v>
      </c>
      <c r="G388" s="26" t="n">
        <v>0</v>
      </c>
      <c r="H388" s="26" t="n">
        <v>882.9</v>
      </c>
      <c r="I388" s="26" t="n">
        <v>0</v>
      </c>
      <c r="J388" s="26" t="n">
        <v>0</v>
      </c>
      <c r="K388" s="26" t="n">
        <v>0</v>
      </c>
      <c r="L388" s="26" t="n">
        <v>0</v>
      </c>
      <c r="M388" s="26" t="n">
        <v>0</v>
      </c>
    </row>
    <row r="389" customFormat="false" ht="15" hidden="false" customHeight="false" outlineLevel="0" collapsed="false">
      <c r="A389" s="7" t="s">
        <v>85</v>
      </c>
      <c r="B389" s="7" t="n">
        <v>4408113</v>
      </c>
      <c r="C389" s="7" t="s">
        <v>280</v>
      </c>
      <c r="D389" s="26" t="n">
        <v>3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0</v>
      </c>
      <c r="J389" s="26" t="n">
        <v>0</v>
      </c>
      <c r="K389" s="26" t="n">
        <v>0</v>
      </c>
      <c r="L389" s="26" t="n">
        <v>0</v>
      </c>
      <c r="M389" s="26" t="n">
        <v>0</v>
      </c>
    </row>
    <row r="390" customFormat="false" ht="15" hidden="false" customHeight="false" outlineLevel="0" collapsed="false">
      <c r="A390" s="7" t="s">
        <v>87</v>
      </c>
      <c r="B390" s="7" t="n">
        <v>4408113</v>
      </c>
      <c r="C390" s="7" t="s">
        <v>280</v>
      </c>
      <c r="D390" s="26" t="n">
        <v>324.2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0</v>
      </c>
      <c r="J390" s="26" t="n">
        <v>0</v>
      </c>
      <c r="K390" s="26" t="n">
        <v>0</v>
      </c>
      <c r="L390" s="26" t="n">
        <v>0</v>
      </c>
      <c r="M390" s="26" t="n">
        <v>0</v>
      </c>
    </row>
    <row r="391" customFormat="false" ht="15" hidden="false" customHeight="false" outlineLevel="0" collapsed="false">
      <c r="A391" s="7" t="s">
        <v>85</v>
      </c>
      <c r="B391" s="7" t="n">
        <v>4408116</v>
      </c>
      <c r="C391" s="7" t="s">
        <v>281</v>
      </c>
      <c r="D391" s="26" t="n">
        <v>34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0</v>
      </c>
      <c r="J391" s="26" t="n">
        <v>0</v>
      </c>
      <c r="K391" s="26" t="n">
        <v>0</v>
      </c>
      <c r="L391" s="26" t="n">
        <v>0</v>
      </c>
      <c r="M391" s="26" t="n">
        <v>0</v>
      </c>
    </row>
    <row r="392" customFormat="false" ht="15" hidden="false" customHeight="false" outlineLevel="0" collapsed="false">
      <c r="A392" s="7" t="s">
        <v>87</v>
      </c>
      <c r="B392" s="7" t="n">
        <v>4408116</v>
      </c>
      <c r="C392" s="7" t="s">
        <v>281</v>
      </c>
      <c r="D392" s="26" t="n">
        <v>3540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0</v>
      </c>
      <c r="J392" s="26" t="n">
        <v>0</v>
      </c>
      <c r="K392" s="26" t="n">
        <v>0</v>
      </c>
      <c r="L392" s="26" t="n">
        <v>0</v>
      </c>
      <c r="M392" s="26" t="n">
        <v>0</v>
      </c>
    </row>
    <row r="393" customFormat="false" ht="15" hidden="false" customHeight="false" outlineLevel="0" collapsed="false">
      <c r="A393" s="7" t="s">
        <v>85</v>
      </c>
      <c r="B393" s="7" t="n">
        <v>4408132</v>
      </c>
      <c r="C393" s="7" t="s">
        <v>282</v>
      </c>
      <c r="D393" s="26" t="n">
        <v>22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63</v>
      </c>
      <c r="J393" s="26" t="n">
        <v>0</v>
      </c>
      <c r="K393" s="26" t="n">
        <v>0</v>
      </c>
      <c r="L393" s="26" t="n">
        <v>0</v>
      </c>
      <c r="M393" s="26" t="n">
        <v>0</v>
      </c>
    </row>
    <row r="394" customFormat="false" ht="15" hidden="false" customHeight="false" outlineLevel="0" collapsed="false">
      <c r="A394" s="7" t="s">
        <v>87</v>
      </c>
      <c r="B394" s="7" t="n">
        <v>4408132</v>
      </c>
      <c r="C394" s="7" t="s">
        <v>282</v>
      </c>
      <c r="D394" s="26" t="n">
        <v>2284.5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6048</v>
      </c>
      <c r="J394" s="26" t="n">
        <v>0</v>
      </c>
      <c r="K394" s="26" t="n">
        <v>0</v>
      </c>
      <c r="L394" s="26" t="n">
        <v>0</v>
      </c>
      <c r="M394" s="26" t="n">
        <v>0</v>
      </c>
    </row>
    <row r="395" customFormat="false" ht="15" hidden="false" customHeight="false" outlineLevel="0" collapsed="false">
      <c r="A395" s="7" t="s">
        <v>85</v>
      </c>
      <c r="B395" s="7" t="n">
        <v>4408147</v>
      </c>
      <c r="C395" s="7" t="s">
        <v>283</v>
      </c>
      <c r="D395" s="26" t="n">
        <v>1</v>
      </c>
      <c r="E395" s="26" t="n">
        <v>0</v>
      </c>
      <c r="F395" s="26" t="n">
        <v>0</v>
      </c>
      <c r="G395" s="26" t="n">
        <v>0</v>
      </c>
      <c r="H395" s="26" t="n">
        <v>3</v>
      </c>
      <c r="I395" s="26" t="n">
        <v>0</v>
      </c>
      <c r="J395" s="26" t="n">
        <v>0</v>
      </c>
      <c r="K395" s="26" t="n">
        <v>0</v>
      </c>
      <c r="L395" s="26" t="n">
        <v>0</v>
      </c>
      <c r="M395" s="26" t="n">
        <v>0</v>
      </c>
    </row>
    <row r="396" customFormat="false" ht="15" hidden="false" customHeight="false" outlineLevel="0" collapsed="false">
      <c r="A396" s="7" t="s">
        <v>87</v>
      </c>
      <c r="B396" s="7" t="n">
        <v>4408147</v>
      </c>
      <c r="C396" s="7" t="s">
        <v>283</v>
      </c>
      <c r="D396" s="26" t="n">
        <v>110.6</v>
      </c>
      <c r="E396" s="26" t="n">
        <v>0</v>
      </c>
      <c r="F396" s="26" t="n">
        <v>0</v>
      </c>
      <c r="G396" s="26" t="n">
        <v>0</v>
      </c>
      <c r="H396" s="26" t="n">
        <v>315.2</v>
      </c>
      <c r="I396" s="26" t="n">
        <v>0</v>
      </c>
      <c r="J396" s="26" t="n">
        <v>0</v>
      </c>
      <c r="K396" s="26" t="n">
        <v>0</v>
      </c>
      <c r="L396" s="26" t="n">
        <v>0</v>
      </c>
      <c r="M396" s="26" t="n">
        <v>0</v>
      </c>
    </row>
    <row r="397" customFormat="false" ht="15" hidden="false" customHeight="false" outlineLevel="0" collapsed="false">
      <c r="A397" s="7" t="s">
        <v>85</v>
      </c>
      <c r="B397" s="7" t="n">
        <v>4408146</v>
      </c>
      <c r="C397" s="7" t="s">
        <v>284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1</v>
      </c>
      <c r="J397" s="26" t="n">
        <v>0</v>
      </c>
      <c r="K397" s="26" t="n">
        <v>0</v>
      </c>
      <c r="L397" s="26" t="n">
        <v>0</v>
      </c>
      <c r="M397" s="26" t="n">
        <v>0</v>
      </c>
    </row>
    <row r="398" customFormat="false" ht="15" hidden="false" customHeight="false" outlineLevel="0" collapsed="false">
      <c r="A398" s="7" t="s">
        <v>87</v>
      </c>
      <c r="B398" s="7" t="n">
        <v>4408146</v>
      </c>
      <c r="C398" s="7" t="s">
        <v>284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118.6</v>
      </c>
      <c r="J398" s="26" t="n">
        <v>0</v>
      </c>
      <c r="K398" s="26" t="n">
        <v>0</v>
      </c>
      <c r="L398" s="26" t="n">
        <v>0</v>
      </c>
      <c r="M398" s="26" t="n">
        <v>0</v>
      </c>
    </row>
    <row r="399" customFormat="false" ht="15" hidden="false" customHeight="false" outlineLevel="0" collapsed="false">
      <c r="A399" s="7" t="s">
        <v>85</v>
      </c>
      <c r="B399" s="7" t="n">
        <v>4408145</v>
      </c>
      <c r="C399" s="7" t="s">
        <v>285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0</v>
      </c>
      <c r="I399" s="26" t="n">
        <v>-1</v>
      </c>
      <c r="J399" s="26" t="n">
        <v>0</v>
      </c>
      <c r="K399" s="26" t="n">
        <v>0</v>
      </c>
      <c r="L399" s="26" t="n">
        <v>0</v>
      </c>
      <c r="M399" s="26" t="n">
        <v>0</v>
      </c>
    </row>
    <row r="400" customFormat="false" ht="15" hidden="false" customHeight="false" outlineLevel="0" collapsed="false">
      <c r="A400" s="7" t="s">
        <v>87</v>
      </c>
      <c r="B400" s="7" t="n">
        <v>4408145</v>
      </c>
      <c r="C400" s="7" t="s">
        <v>285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0</v>
      </c>
      <c r="I400" s="26" t="n">
        <v>-118.6</v>
      </c>
      <c r="J400" s="26" t="n">
        <v>0</v>
      </c>
      <c r="K400" s="26" t="n">
        <v>0</v>
      </c>
      <c r="L400" s="26" t="n">
        <v>0</v>
      </c>
      <c r="M400" s="26" t="n">
        <v>0</v>
      </c>
    </row>
    <row r="401" customFormat="false" ht="15" hidden="false" customHeight="false" outlineLevel="0" collapsed="false">
      <c r="A401" s="7" t="s">
        <v>85</v>
      </c>
      <c r="B401" s="7" t="n">
        <v>4408148</v>
      </c>
      <c r="C401" s="7" t="s">
        <v>286</v>
      </c>
      <c r="D401" s="26" t="n">
        <v>2</v>
      </c>
      <c r="E401" s="26" t="n">
        <v>0</v>
      </c>
      <c r="F401" s="26" t="n">
        <v>0</v>
      </c>
      <c r="G401" s="26" t="n">
        <v>0</v>
      </c>
      <c r="H401" s="26" t="n">
        <v>3</v>
      </c>
      <c r="I401" s="26" t="n">
        <v>11</v>
      </c>
      <c r="J401" s="26" t="n">
        <v>0</v>
      </c>
      <c r="K401" s="26" t="n">
        <v>0</v>
      </c>
      <c r="L401" s="26" t="n">
        <v>0</v>
      </c>
      <c r="M401" s="26" t="n">
        <v>0</v>
      </c>
    </row>
    <row r="402" customFormat="false" ht="15" hidden="false" customHeight="false" outlineLevel="0" collapsed="false">
      <c r="A402" s="7" t="s">
        <v>87</v>
      </c>
      <c r="B402" s="7" t="n">
        <v>4408148</v>
      </c>
      <c r="C402" s="7" t="s">
        <v>286</v>
      </c>
      <c r="D402" s="26" t="n">
        <v>263.3</v>
      </c>
      <c r="E402" s="26" t="n">
        <v>0</v>
      </c>
      <c r="F402" s="26" t="n">
        <v>0</v>
      </c>
      <c r="G402" s="26" t="n">
        <v>0</v>
      </c>
      <c r="H402" s="26" t="n">
        <v>315.2</v>
      </c>
      <c r="I402" s="26" t="n">
        <v>1305</v>
      </c>
      <c r="J402" s="26" t="n">
        <v>0</v>
      </c>
      <c r="K402" s="26" t="n">
        <v>0</v>
      </c>
      <c r="L402" s="26" t="n">
        <v>0</v>
      </c>
      <c r="M402" s="26" t="n">
        <v>0</v>
      </c>
    </row>
    <row r="403" customFormat="false" ht="15" hidden="false" customHeight="false" outlineLevel="0" collapsed="false">
      <c r="A403" s="7" t="s">
        <v>85</v>
      </c>
      <c r="B403" s="7" t="n">
        <v>4408149</v>
      </c>
      <c r="C403" s="7" t="s">
        <v>287</v>
      </c>
      <c r="D403" s="26" t="n">
        <v>2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12</v>
      </c>
      <c r="J403" s="26" t="n">
        <v>0</v>
      </c>
      <c r="K403" s="26" t="n">
        <v>0</v>
      </c>
      <c r="L403" s="26" t="n">
        <v>0</v>
      </c>
      <c r="M403" s="26" t="n">
        <v>0</v>
      </c>
    </row>
    <row r="404" customFormat="false" ht="15" hidden="false" customHeight="false" outlineLevel="0" collapsed="false">
      <c r="A404" s="7" t="s">
        <v>87</v>
      </c>
      <c r="B404" s="7" t="n">
        <v>4408149</v>
      </c>
      <c r="C404" s="7" t="s">
        <v>287</v>
      </c>
      <c r="D404" s="26" t="n">
        <v>271.8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1423.7</v>
      </c>
      <c r="J404" s="26" t="n">
        <v>0</v>
      </c>
      <c r="K404" s="26" t="n">
        <v>0</v>
      </c>
      <c r="L404" s="26" t="n">
        <v>0</v>
      </c>
      <c r="M404" s="26" t="n">
        <v>0</v>
      </c>
    </row>
    <row r="405" customFormat="false" ht="15" hidden="false" customHeight="false" outlineLevel="0" collapsed="false">
      <c r="A405" s="7" t="s">
        <v>85</v>
      </c>
      <c r="B405" s="7" t="n">
        <v>4408261</v>
      </c>
      <c r="C405" s="7" t="s">
        <v>288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0</v>
      </c>
      <c r="L405" s="26" t="n">
        <v>0</v>
      </c>
      <c r="M405" s="26" t="n">
        <v>0</v>
      </c>
    </row>
    <row r="406" customFormat="false" ht="15" hidden="false" customHeight="false" outlineLevel="0" collapsed="false">
      <c r="A406" s="7" t="s">
        <v>87</v>
      </c>
      <c r="B406" s="7" t="n">
        <v>4408261</v>
      </c>
      <c r="C406" s="7" t="s">
        <v>288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0</v>
      </c>
      <c r="L406" s="26" t="n">
        <v>0</v>
      </c>
      <c r="M406" s="26" t="n">
        <v>0</v>
      </c>
    </row>
    <row r="407" customFormat="false" ht="15" hidden="false" customHeight="false" outlineLevel="0" collapsed="false">
      <c r="A407" s="7" t="s">
        <v>85</v>
      </c>
      <c r="B407" s="7" t="n">
        <v>4408260</v>
      </c>
      <c r="C407" s="7" t="s">
        <v>289</v>
      </c>
      <c r="D407" s="26" t="n">
        <v>2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0</v>
      </c>
      <c r="L407" s="26" t="n">
        <v>0</v>
      </c>
      <c r="M407" s="26" t="n">
        <v>0</v>
      </c>
    </row>
    <row r="408" customFormat="false" ht="15" hidden="false" customHeight="false" outlineLevel="0" collapsed="false">
      <c r="A408" s="7" t="s">
        <v>87</v>
      </c>
      <c r="B408" s="7" t="n">
        <v>4408260</v>
      </c>
      <c r="C408" s="7" t="s">
        <v>289</v>
      </c>
      <c r="D408" s="26" t="n">
        <v>310.5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0</v>
      </c>
      <c r="L408" s="26" t="n">
        <v>0</v>
      </c>
      <c r="M408" s="26" t="n">
        <v>0</v>
      </c>
    </row>
    <row r="409" customFormat="false" ht="15" hidden="false" customHeight="false" outlineLevel="0" collapsed="false">
      <c r="A409" s="7" t="s">
        <v>85</v>
      </c>
      <c r="B409" s="7" t="n">
        <v>4408259</v>
      </c>
      <c r="C409" s="7" t="s">
        <v>290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0</v>
      </c>
      <c r="J409" s="26" t="n">
        <v>0</v>
      </c>
      <c r="K409" s="26" t="n">
        <v>0</v>
      </c>
      <c r="L409" s="26" t="n">
        <v>0</v>
      </c>
      <c r="M409" s="26" t="n">
        <v>0</v>
      </c>
    </row>
    <row r="410" customFormat="false" ht="15" hidden="false" customHeight="false" outlineLevel="0" collapsed="false">
      <c r="A410" s="7" t="s">
        <v>87</v>
      </c>
      <c r="B410" s="7" t="n">
        <v>4408259</v>
      </c>
      <c r="C410" s="7" t="s">
        <v>290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0</v>
      </c>
      <c r="J410" s="26" t="n">
        <v>0</v>
      </c>
      <c r="K410" s="26" t="n">
        <v>0</v>
      </c>
      <c r="L410" s="26" t="n">
        <v>0</v>
      </c>
      <c r="M410" s="26" t="n">
        <v>0</v>
      </c>
    </row>
    <row r="411" customFormat="false" ht="15" hidden="false" customHeight="false" outlineLevel="0" collapsed="false">
      <c r="A411" s="7" t="s">
        <v>85</v>
      </c>
      <c r="B411" s="7" t="n">
        <v>4408262</v>
      </c>
      <c r="C411" s="7" t="s">
        <v>291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0</v>
      </c>
      <c r="J411" s="26" t="n">
        <v>0</v>
      </c>
      <c r="K411" s="26" t="n">
        <v>0</v>
      </c>
      <c r="L411" s="26" t="n">
        <v>0</v>
      </c>
      <c r="M411" s="26" t="n">
        <v>0</v>
      </c>
    </row>
    <row r="412" customFormat="false" ht="15" hidden="false" customHeight="false" outlineLevel="0" collapsed="false">
      <c r="A412" s="7" t="s">
        <v>87</v>
      </c>
      <c r="B412" s="7" t="n">
        <v>4408262</v>
      </c>
      <c r="C412" s="7" t="s">
        <v>291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0</v>
      </c>
      <c r="J412" s="26" t="n">
        <v>0</v>
      </c>
      <c r="K412" s="26" t="n">
        <v>0</v>
      </c>
      <c r="L412" s="26" t="n">
        <v>0</v>
      </c>
      <c r="M412" s="26" t="n">
        <v>0</v>
      </c>
    </row>
    <row r="413" customFormat="false" ht="15" hidden="false" customHeight="false" outlineLevel="0" collapsed="false">
      <c r="A413" s="7" t="s">
        <v>85</v>
      </c>
      <c r="B413" s="7" t="n">
        <v>4408263</v>
      </c>
      <c r="C413" s="7" t="s">
        <v>292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0</v>
      </c>
      <c r="J413" s="26" t="n">
        <v>0</v>
      </c>
      <c r="K413" s="26" t="n">
        <v>0</v>
      </c>
      <c r="L413" s="26" t="n">
        <v>0</v>
      </c>
      <c r="M413" s="26" t="n">
        <v>0</v>
      </c>
    </row>
    <row r="414" customFormat="false" ht="15" hidden="false" customHeight="false" outlineLevel="0" collapsed="false">
      <c r="A414" s="7" t="s">
        <v>87</v>
      </c>
      <c r="B414" s="7" t="n">
        <v>4408263</v>
      </c>
      <c r="C414" s="7" t="s">
        <v>292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0</v>
      </c>
      <c r="J414" s="26" t="n">
        <v>0</v>
      </c>
      <c r="K414" s="26" t="n">
        <v>0</v>
      </c>
      <c r="L414" s="26" t="n">
        <v>0</v>
      </c>
      <c r="M414" s="26" t="n">
        <v>0</v>
      </c>
    </row>
    <row r="415" customFormat="false" ht="15" hidden="false" customHeight="false" outlineLevel="0" collapsed="false">
      <c r="A415" s="7" t="s">
        <v>85</v>
      </c>
      <c r="B415" s="7" t="n">
        <v>4408152</v>
      </c>
      <c r="C415" s="7" t="s">
        <v>293</v>
      </c>
      <c r="D415" s="26" t="n">
        <v>9</v>
      </c>
      <c r="E415" s="26" t="n">
        <v>0</v>
      </c>
      <c r="F415" s="26" t="n">
        <v>0</v>
      </c>
      <c r="G415" s="26" t="n">
        <v>0</v>
      </c>
      <c r="H415" s="26" t="n">
        <v>10</v>
      </c>
      <c r="I415" s="26" t="n">
        <v>41</v>
      </c>
      <c r="J415" s="26" t="n">
        <v>0</v>
      </c>
      <c r="K415" s="26" t="n">
        <v>0</v>
      </c>
      <c r="L415" s="26" t="n">
        <v>0</v>
      </c>
      <c r="M415" s="26" t="n">
        <v>-1</v>
      </c>
    </row>
    <row r="416" customFormat="false" ht="15" hidden="false" customHeight="false" outlineLevel="0" collapsed="false">
      <c r="A416" s="7" t="s">
        <v>87</v>
      </c>
      <c r="B416" s="7" t="n">
        <v>4408152</v>
      </c>
      <c r="C416" s="7" t="s">
        <v>293</v>
      </c>
      <c r="D416" s="26" t="n">
        <v>1328.2</v>
      </c>
      <c r="E416" s="26" t="n">
        <v>0</v>
      </c>
      <c r="F416" s="26" t="n">
        <v>0</v>
      </c>
      <c r="G416" s="26" t="n">
        <v>0</v>
      </c>
      <c r="H416" s="26" t="n">
        <v>1304.3</v>
      </c>
      <c r="I416" s="26" t="n">
        <v>5718.4</v>
      </c>
      <c r="J416" s="26" t="n">
        <v>0</v>
      </c>
      <c r="K416" s="26" t="n">
        <v>0</v>
      </c>
      <c r="L416" s="26" t="n">
        <v>0</v>
      </c>
      <c r="M416" s="26" t="n">
        <v>-209.3</v>
      </c>
    </row>
    <row r="417" customFormat="false" ht="15" hidden="false" customHeight="false" outlineLevel="0" collapsed="false">
      <c r="A417" s="7" t="s">
        <v>85</v>
      </c>
      <c r="B417" s="7" t="n">
        <v>4408151</v>
      </c>
      <c r="C417" s="7" t="s">
        <v>294</v>
      </c>
      <c r="D417" s="26" t="n">
        <v>2</v>
      </c>
      <c r="E417" s="26" t="n">
        <v>0</v>
      </c>
      <c r="F417" s="26" t="n">
        <v>0</v>
      </c>
      <c r="G417" s="26" t="n">
        <v>0</v>
      </c>
      <c r="H417" s="26" t="n">
        <v>13</v>
      </c>
      <c r="I417" s="26" t="n">
        <v>17</v>
      </c>
      <c r="J417" s="26" t="n">
        <v>0</v>
      </c>
      <c r="K417" s="26" t="n">
        <v>0</v>
      </c>
      <c r="L417" s="26" t="n">
        <v>0</v>
      </c>
      <c r="M417" s="26" t="n">
        <v>0</v>
      </c>
    </row>
    <row r="418" customFormat="false" ht="15" hidden="false" customHeight="false" outlineLevel="0" collapsed="false">
      <c r="A418" s="7" t="s">
        <v>87</v>
      </c>
      <c r="B418" s="7" t="n">
        <v>4408151</v>
      </c>
      <c r="C418" s="7" t="s">
        <v>294</v>
      </c>
      <c r="D418" s="26" t="n">
        <v>282.6</v>
      </c>
      <c r="E418" s="26" t="n">
        <v>0</v>
      </c>
      <c r="F418" s="26" t="n">
        <v>0</v>
      </c>
      <c r="G418" s="26" t="n">
        <v>0</v>
      </c>
      <c r="H418" s="26" t="n">
        <v>1743.6</v>
      </c>
      <c r="I418" s="26" t="n">
        <v>2225</v>
      </c>
      <c r="J418" s="26" t="n">
        <v>0</v>
      </c>
      <c r="K418" s="26" t="n">
        <v>0</v>
      </c>
      <c r="L418" s="26" t="n">
        <v>0</v>
      </c>
      <c r="M418" s="26" t="n">
        <v>0</v>
      </c>
    </row>
    <row r="419" customFormat="false" ht="15" hidden="false" customHeight="false" outlineLevel="0" collapsed="false">
      <c r="A419" s="7" t="s">
        <v>85</v>
      </c>
      <c r="B419" s="7" t="n">
        <v>4408150</v>
      </c>
      <c r="C419" s="7" t="s">
        <v>295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0</v>
      </c>
      <c r="I419" s="26" t="n">
        <v>8</v>
      </c>
      <c r="J419" s="26" t="n">
        <v>0</v>
      </c>
      <c r="K419" s="26" t="n">
        <v>0</v>
      </c>
      <c r="L419" s="26" t="n">
        <v>0</v>
      </c>
      <c r="M419" s="26" t="n">
        <v>-1</v>
      </c>
    </row>
    <row r="420" customFormat="false" ht="15" hidden="false" customHeight="false" outlineLevel="0" collapsed="false">
      <c r="A420" s="7" t="s">
        <v>87</v>
      </c>
      <c r="B420" s="7" t="n">
        <v>4408150</v>
      </c>
      <c r="C420" s="7" t="s">
        <v>295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0</v>
      </c>
      <c r="I420" s="26" t="n">
        <v>1164.5</v>
      </c>
      <c r="J420" s="26" t="n">
        <v>0</v>
      </c>
      <c r="K420" s="26" t="n">
        <v>0</v>
      </c>
      <c r="L420" s="26" t="n">
        <v>0</v>
      </c>
      <c r="M420" s="26" t="n">
        <v>-209.3</v>
      </c>
    </row>
    <row r="421" customFormat="false" ht="15" hidden="false" customHeight="false" outlineLevel="0" collapsed="false">
      <c r="A421" s="7" t="s">
        <v>85</v>
      </c>
      <c r="B421" s="7" t="n">
        <v>4408153</v>
      </c>
      <c r="C421" s="7" t="s">
        <v>296</v>
      </c>
      <c r="D421" s="26" t="n">
        <v>14</v>
      </c>
      <c r="E421" s="26" t="n">
        <v>0</v>
      </c>
      <c r="F421" s="26" t="n">
        <v>0</v>
      </c>
      <c r="G421" s="26" t="n">
        <v>0</v>
      </c>
      <c r="H421" s="26" t="n">
        <v>19</v>
      </c>
      <c r="I421" s="26" t="n">
        <v>57</v>
      </c>
      <c r="J421" s="26" t="n">
        <v>0</v>
      </c>
      <c r="K421" s="26" t="n">
        <v>0</v>
      </c>
      <c r="L421" s="26" t="n">
        <v>0</v>
      </c>
      <c r="M421" s="26" t="n">
        <v>0</v>
      </c>
    </row>
    <row r="422" customFormat="false" ht="15" hidden="false" customHeight="false" outlineLevel="0" collapsed="false">
      <c r="A422" s="7" t="s">
        <v>87</v>
      </c>
      <c r="B422" s="7" t="n">
        <v>4408153</v>
      </c>
      <c r="C422" s="7" t="s">
        <v>296</v>
      </c>
      <c r="D422" s="26" t="n">
        <v>2112</v>
      </c>
      <c r="E422" s="26" t="n">
        <v>0</v>
      </c>
      <c r="F422" s="26" t="n">
        <v>0</v>
      </c>
      <c r="G422" s="26" t="n">
        <v>0</v>
      </c>
      <c r="H422" s="26" t="n">
        <v>2500.4</v>
      </c>
      <c r="I422" s="26" t="n">
        <v>8296.9</v>
      </c>
      <c r="J422" s="26" t="n">
        <v>0</v>
      </c>
      <c r="K422" s="26" t="n">
        <v>0</v>
      </c>
      <c r="L422" s="26" t="n">
        <v>0</v>
      </c>
      <c r="M422" s="26" t="n">
        <v>0</v>
      </c>
    </row>
    <row r="423" customFormat="false" ht="15" hidden="false" customHeight="false" outlineLevel="0" collapsed="false">
      <c r="A423" s="7" t="s">
        <v>85</v>
      </c>
      <c r="B423" s="7" t="n">
        <v>4408154</v>
      </c>
      <c r="C423" s="7" t="s">
        <v>297</v>
      </c>
      <c r="D423" s="26" t="n">
        <v>7</v>
      </c>
      <c r="E423" s="26" t="n">
        <v>0</v>
      </c>
      <c r="F423" s="26" t="n">
        <v>0</v>
      </c>
      <c r="G423" s="26" t="n">
        <v>0</v>
      </c>
      <c r="H423" s="26" t="n">
        <v>21</v>
      </c>
      <c r="I423" s="26" t="n">
        <v>61</v>
      </c>
      <c r="J423" s="26" t="n">
        <v>0</v>
      </c>
      <c r="K423" s="26" t="n">
        <v>0</v>
      </c>
      <c r="L423" s="26" t="n">
        <v>0</v>
      </c>
      <c r="M423" s="26" t="n">
        <v>-1</v>
      </c>
    </row>
    <row r="424" customFormat="false" ht="15" hidden="false" customHeight="false" outlineLevel="0" collapsed="false">
      <c r="A424" s="7" t="s">
        <v>87</v>
      </c>
      <c r="B424" s="7" t="n">
        <v>4408154</v>
      </c>
      <c r="C424" s="7" t="s">
        <v>297</v>
      </c>
      <c r="D424" s="26" t="n">
        <v>1077</v>
      </c>
      <c r="E424" s="26" t="n">
        <v>0</v>
      </c>
      <c r="F424" s="26" t="n">
        <v>0</v>
      </c>
      <c r="G424" s="26" t="n">
        <v>0</v>
      </c>
      <c r="H424" s="26" t="n">
        <v>2777.5</v>
      </c>
      <c r="I424" s="26" t="n">
        <v>8879.2</v>
      </c>
      <c r="J424" s="26" t="n">
        <v>0</v>
      </c>
      <c r="K424" s="26" t="n">
        <v>0</v>
      </c>
      <c r="L424" s="26" t="n">
        <v>0</v>
      </c>
      <c r="M424" s="26" t="n">
        <v>-209.3</v>
      </c>
    </row>
    <row r="425" customFormat="false" ht="15" hidden="false" customHeight="false" outlineLevel="0" collapsed="false">
      <c r="A425" s="7" t="s">
        <v>85</v>
      </c>
      <c r="B425" s="7" t="n">
        <v>4408100</v>
      </c>
      <c r="C425" s="7" t="s">
        <v>298</v>
      </c>
      <c r="D425" s="26" t="n">
        <v>1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0</v>
      </c>
      <c r="J425" s="26" t="n">
        <v>0</v>
      </c>
      <c r="K425" s="26" t="n">
        <v>0</v>
      </c>
      <c r="L425" s="26" t="n">
        <v>0</v>
      </c>
      <c r="M425" s="26" t="n">
        <v>0</v>
      </c>
    </row>
    <row r="426" customFormat="false" ht="15" hidden="false" customHeight="false" outlineLevel="0" collapsed="false">
      <c r="A426" s="7" t="s">
        <v>87</v>
      </c>
      <c r="B426" s="7" t="n">
        <v>4408100</v>
      </c>
      <c r="C426" s="7" t="s">
        <v>298</v>
      </c>
      <c r="D426" s="26" t="n">
        <v>94.5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0</v>
      </c>
      <c r="J426" s="26" t="n">
        <v>0</v>
      </c>
      <c r="K426" s="26" t="n">
        <v>0</v>
      </c>
      <c r="L426" s="26" t="n">
        <v>0</v>
      </c>
      <c r="M426" s="26" t="n">
        <v>0</v>
      </c>
    </row>
    <row r="427" customFormat="false" ht="15" hidden="false" customHeight="false" outlineLevel="0" collapsed="false">
      <c r="A427" s="7" t="s">
        <v>85</v>
      </c>
      <c r="B427" s="7" t="n">
        <v>4408101</v>
      </c>
      <c r="C427" s="7" t="s">
        <v>299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0</v>
      </c>
      <c r="J427" s="26" t="n">
        <v>0</v>
      </c>
      <c r="K427" s="26" t="n">
        <v>0</v>
      </c>
      <c r="L427" s="26" t="n">
        <v>0</v>
      </c>
      <c r="M427" s="26" t="n">
        <v>0</v>
      </c>
    </row>
    <row r="428" customFormat="false" ht="15" hidden="false" customHeight="false" outlineLevel="0" collapsed="false">
      <c r="A428" s="7" t="s">
        <v>87</v>
      </c>
      <c r="B428" s="7" t="n">
        <v>4408101</v>
      </c>
      <c r="C428" s="7" t="s">
        <v>299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0</v>
      </c>
      <c r="J428" s="26" t="n">
        <v>0</v>
      </c>
      <c r="K428" s="26" t="n">
        <v>0</v>
      </c>
      <c r="L428" s="26" t="n">
        <v>0</v>
      </c>
      <c r="M428" s="26" t="n">
        <v>0</v>
      </c>
    </row>
    <row r="429" customFormat="false" ht="15" hidden="false" customHeight="false" outlineLevel="0" collapsed="false">
      <c r="A429" s="7" t="s">
        <v>85</v>
      </c>
      <c r="B429" s="7" t="n">
        <v>4408103</v>
      </c>
      <c r="C429" s="7" t="s">
        <v>300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0</v>
      </c>
      <c r="L429" s="26" t="n">
        <v>0</v>
      </c>
      <c r="M429" s="26" t="n">
        <v>0</v>
      </c>
    </row>
    <row r="430" customFormat="false" ht="15" hidden="false" customHeight="false" outlineLevel="0" collapsed="false">
      <c r="A430" s="7" t="s">
        <v>87</v>
      </c>
      <c r="B430" s="7" t="n">
        <v>4408103</v>
      </c>
      <c r="C430" s="7" t="s">
        <v>300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0</v>
      </c>
      <c r="L430" s="26" t="n">
        <v>0</v>
      </c>
      <c r="M430" s="26" t="n">
        <v>0</v>
      </c>
    </row>
    <row r="431" customFormat="false" ht="15" hidden="false" customHeight="false" outlineLevel="0" collapsed="false">
      <c r="A431" s="7" t="s">
        <v>85</v>
      </c>
      <c r="B431" s="7" t="n">
        <v>4408239</v>
      </c>
      <c r="C431" s="7" t="s">
        <v>301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0</v>
      </c>
      <c r="L431" s="26" t="n">
        <v>0</v>
      </c>
      <c r="M431" s="26" t="n">
        <v>0</v>
      </c>
    </row>
    <row r="432" customFormat="false" ht="15" hidden="false" customHeight="false" outlineLevel="0" collapsed="false">
      <c r="A432" s="7" t="s">
        <v>87</v>
      </c>
      <c r="B432" s="7" t="n">
        <v>4408239</v>
      </c>
      <c r="C432" s="7" t="s">
        <v>301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0</v>
      </c>
      <c r="L432" s="26" t="n">
        <v>0</v>
      </c>
      <c r="M432" s="26" t="n">
        <v>0</v>
      </c>
    </row>
    <row r="433" customFormat="false" ht="15" hidden="false" customHeight="false" outlineLevel="0" collapsed="false">
      <c r="A433" s="7" t="s">
        <v>85</v>
      </c>
      <c r="B433" s="7" t="n">
        <v>4408240</v>
      </c>
      <c r="C433" s="7" t="s">
        <v>302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0</v>
      </c>
      <c r="J433" s="26" t="n">
        <v>0</v>
      </c>
      <c r="K433" s="26" t="n">
        <v>0</v>
      </c>
      <c r="L433" s="26" t="n">
        <v>0</v>
      </c>
      <c r="M433" s="26" t="n">
        <v>0</v>
      </c>
    </row>
    <row r="434" customFormat="false" ht="15" hidden="false" customHeight="false" outlineLevel="0" collapsed="false">
      <c r="A434" s="7" t="s">
        <v>87</v>
      </c>
      <c r="B434" s="7" t="n">
        <v>4408240</v>
      </c>
      <c r="C434" s="7" t="s">
        <v>302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0</v>
      </c>
      <c r="J434" s="26" t="n">
        <v>0</v>
      </c>
      <c r="K434" s="26" t="n">
        <v>0</v>
      </c>
      <c r="L434" s="26" t="n">
        <v>0</v>
      </c>
      <c r="M434" s="26" t="n">
        <v>0</v>
      </c>
    </row>
    <row r="435" customFormat="false" ht="15" hidden="false" customHeight="false" outlineLevel="0" collapsed="false">
      <c r="A435" s="7" t="s">
        <v>85</v>
      </c>
      <c r="B435" s="7" t="n">
        <v>4408241</v>
      </c>
      <c r="C435" s="7" t="s">
        <v>303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0</v>
      </c>
      <c r="J435" s="26" t="n">
        <v>0</v>
      </c>
      <c r="K435" s="26" t="n">
        <v>0</v>
      </c>
      <c r="L435" s="26" t="n">
        <v>0</v>
      </c>
      <c r="M435" s="26" t="n">
        <v>0</v>
      </c>
    </row>
    <row r="436" customFormat="false" ht="15" hidden="false" customHeight="false" outlineLevel="0" collapsed="false">
      <c r="A436" s="7" t="s">
        <v>87</v>
      </c>
      <c r="B436" s="7" t="n">
        <v>4408241</v>
      </c>
      <c r="C436" s="7" t="s">
        <v>303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0</v>
      </c>
      <c r="J436" s="26" t="n">
        <v>0</v>
      </c>
      <c r="K436" s="26" t="n">
        <v>0</v>
      </c>
      <c r="L436" s="26" t="n">
        <v>0</v>
      </c>
      <c r="M436" s="26" t="n">
        <v>0</v>
      </c>
    </row>
    <row r="437" customFormat="false" ht="15" hidden="false" customHeight="false" outlineLevel="0" collapsed="false">
      <c r="A437" s="7" t="s">
        <v>85</v>
      </c>
      <c r="B437" s="7" t="n">
        <v>4408037</v>
      </c>
      <c r="C437" s="7" t="s">
        <v>304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0</v>
      </c>
      <c r="J437" s="26" t="n">
        <v>0</v>
      </c>
      <c r="K437" s="26" t="n">
        <v>0</v>
      </c>
      <c r="L437" s="26" t="n">
        <v>0</v>
      </c>
      <c r="M437" s="26" t="n">
        <v>0</v>
      </c>
    </row>
    <row r="438" customFormat="false" ht="15" hidden="false" customHeight="false" outlineLevel="0" collapsed="false">
      <c r="A438" s="7" t="s">
        <v>87</v>
      </c>
      <c r="B438" s="7" t="n">
        <v>4408037</v>
      </c>
      <c r="C438" s="7" t="s">
        <v>304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0</v>
      </c>
      <c r="J438" s="26" t="n">
        <v>0</v>
      </c>
      <c r="K438" s="26" t="n">
        <v>0</v>
      </c>
      <c r="L438" s="26" t="n">
        <v>0</v>
      </c>
      <c r="M438" s="26" t="n">
        <v>0</v>
      </c>
    </row>
    <row r="439" customFormat="false" ht="15" hidden="false" customHeight="false" outlineLevel="0" collapsed="false">
      <c r="A439" s="7" t="s">
        <v>85</v>
      </c>
      <c r="B439" s="7" t="n">
        <v>4408038</v>
      </c>
      <c r="C439" s="7" t="s">
        <v>305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-1</v>
      </c>
      <c r="I439" s="26" t="n">
        <v>0</v>
      </c>
      <c r="J439" s="26" t="n">
        <v>0</v>
      </c>
      <c r="K439" s="26" t="n">
        <v>0</v>
      </c>
      <c r="L439" s="26" t="n">
        <v>0</v>
      </c>
      <c r="M439" s="26" t="n">
        <v>0</v>
      </c>
    </row>
    <row r="440" customFormat="false" ht="15" hidden="false" customHeight="false" outlineLevel="0" collapsed="false">
      <c r="A440" s="7" t="s">
        <v>87</v>
      </c>
      <c r="B440" s="7" t="n">
        <v>4408038</v>
      </c>
      <c r="C440" s="7" t="s">
        <v>305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-178.6</v>
      </c>
      <c r="I440" s="26" t="n">
        <v>0</v>
      </c>
      <c r="J440" s="26" t="n">
        <v>0</v>
      </c>
      <c r="K440" s="26" t="n">
        <v>0</v>
      </c>
      <c r="L440" s="26" t="n">
        <v>0</v>
      </c>
      <c r="M440" s="26" t="n">
        <v>0</v>
      </c>
    </row>
    <row r="441" customFormat="false" ht="15" hidden="false" customHeight="false" outlineLevel="0" collapsed="false">
      <c r="A441" s="7" t="s">
        <v>85</v>
      </c>
      <c r="B441" s="7" t="n">
        <v>4408036</v>
      </c>
      <c r="C441" s="7" t="s">
        <v>306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  <c r="L441" s="26" t="n">
        <v>0</v>
      </c>
      <c r="M441" s="26" t="n">
        <v>0</v>
      </c>
    </row>
    <row r="442" customFormat="false" ht="15" hidden="false" customHeight="false" outlineLevel="0" collapsed="false">
      <c r="A442" s="7" t="s">
        <v>87</v>
      </c>
      <c r="B442" s="7" t="n">
        <v>4408036</v>
      </c>
      <c r="C442" s="7" t="s">
        <v>306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  <c r="L442" s="26" t="n">
        <v>0</v>
      </c>
      <c r="M442" s="26" t="n">
        <v>0</v>
      </c>
    </row>
    <row r="443" customFormat="false" ht="15" hidden="false" customHeight="false" outlineLevel="0" collapsed="false">
      <c r="A443" s="7" t="s">
        <v>85</v>
      </c>
      <c r="B443" s="7" t="n">
        <v>4408039</v>
      </c>
      <c r="C443" s="7" t="s">
        <v>307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0</v>
      </c>
      <c r="I443" s="26" t="n">
        <v>0</v>
      </c>
      <c r="J443" s="26" t="n">
        <v>0</v>
      </c>
      <c r="K443" s="26" t="n">
        <v>0</v>
      </c>
      <c r="L443" s="26" t="n">
        <v>0</v>
      </c>
      <c r="M443" s="26" t="n">
        <v>0</v>
      </c>
    </row>
    <row r="444" customFormat="false" ht="15" hidden="false" customHeight="false" outlineLevel="0" collapsed="false">
      <c r="A444" s="7" t="s">
        <v>87</v>
      </c>
      <c r="B444" s="7" t="n">
        <v>4408039</v>
      </c>
      <c r="C444" s="7" t="s">
        <v>307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0</v>
      </c>
      <c r="I444" s="26" t="n">
        <v>0</v>
      </c>
      <c r="J444" s="26" t="n">
        <v>0</v>
      </c>
      <c r="K444" s="26" t="n">
        <v>0</v>
      </c>
      <c r="L444" s="26" t="n">
        <v>0</v>
      </c>
      <c r="M444" s="26" t="n">
        <v>0</v>
      </c>
    </row>
    <row r="445" customFormat="false" ht="15" hidden="false" customHeight="false" outlineLevel="0" collapsed="false">
      <c r="A445" s="7" t="s">
        <v>85</v>
      </c>
      <c r="B445" s="7" t="n">
        <v>4408178</v>
      </c>
      <c r="C445" s="7" t="s">
        <v>308</v>
      </c>
      <c r="D445" s="26" t="n">
        <v>1</v>
      </c>
      <c r="E445" s="26" t="n">
        <v>0</v>
      </c>
      <c r="F445" s="26" t="n">
        <v>0</v>
      </c>
      <c r="G445" s="26" t="n">
        <v>0</v>
      </c>
      <c r="H445" s="26" t="n">
        <v>-1</v>
      </c>
      <c r="I445" s="26" t="n">
        <v>0</v>
      </c>
      <c r="J445" s="26" t="n">
        <v>0</v>
      </c>
      <c r="K445" s="26" t="n">
        <v>0</v>
      </c>
      <c r="L445" s="26" t="n">
        <v>0</v>
      </c>
      <c r="M445" s="26" t="n">
        <v>0</v>
      </c>
    </row>
    <row r="446" customFormat="false" ht="15" hidden="false" customHeight="false" outlineLevel="0" collapsed="false">
      <c r="A446" s="7" t="s">
        <v>87</v>
      </c>
      <c r="B446" s="7" t="n">
        <v>4408178</v>
      </c>
      <c r="C446" s="7" t="s">
        <v>308</v>
      </c>
      <c r="D446" s="26" t="n">
        <v>177.9</v>
      </c>
      <c r="E446" s="26" t="n">
        <v>0</v>
      </c>
      <c r="F446" s="26" t="n">
        <v>0</v>
      </c>
      <c r="G446" s="26" t="n">
        <v>0</v>
      </c>
      <c r="H446" s="26" t="n">
        <v>-135</v>
      </c>
      <c r="I446" s="26" t="n">
        <v>0</v>
      </c>
      <c r="J446" s="26" t="n">
        <v>0</v>
      </c>
      <c r="K446" s="26" t="n">
        <v>0</v>
      </c>
      <c r="L446" s="26" t="n">
        <v>0</v>
      </c>
      <c r="M446" s="26" t="n">
        <v>0</v>
      </c>
    </row>
    <row r="447" customFormat="false" ht="15" hidden="false" customHeight="false" outlineLevel="0" collapsed="false">
      <c r="A447" s="7" t="s">
        <v>85</v>
      </c>
      <c r="B447" s="7" t="n">
        <v>4408177</v>
      </c>
      <c r="C447" s="7" t="s">
        <v>309</v>
      </c>
      <c r="D447" s="26" t="n">
        <v>1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0</v>
      </c>
      <c r="J447" s="26" t="n">
        <v>0</v>
      </c>
      <c r="K447" s="26" t="n">
        <v>0</v>
      </c>
      <c r="L447" s="26" t="n">
        <v>0</v>
      </c>
      <c r="M447" s="26" t="n">
        <v>0</v>
      </c>
    </row>
    <row r="448" customFormat="false" ht="15" hidden="false" customHeight="false" outlineLevel="0" collapsed="false">
      <c r="A448" s="7" t="s">
        <v>87</v>
      </c>
      <c r="B448" s="7" t="n">
        <v>4408177</v>
      </c>
      <c r="C448" s="7" t="s">
        <v>309</v>
      </c>
      <c r="D448" s="26" t="n">
        <v>157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0</v>
      </c>
      <c r="J448" s="26" t="n">
        <v>0</v>
      </c>
      <c r="K448" s="26" t="n">
        <v>0</v>
      </c>
      <c r="L448" s="26" t="n">
        <v>0</v>
      </c>
      <c r="M448" s="26" t="n">
        <v>0</v>
      </c>
    </row>
    <row r="449" customFormat="false" ht="15" hidden="false" customHeight="false" outlineLevel="0" collapsed="false">
      <c r="A449" s="7" t="s">
        <v>85</v>
      </c>
      <c r="B449" s="7" t="n">
        <v>4408176</v>
      </c>
      <c r="C449" s="7" t="s">
        <v>310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0</v>
      </c>
      <c r="J449" s="26" t="n">
        <v>0</v>
      </c>
      <c r="K449" s="26" t="n">
        <v>0</v>
      </c>
      <c r="L449" s="26" t="n">
        <v>0</v>
      </c>
      <c r="M449" s="26" t="n">
        <v>0</v>
      </c>
    </row>
    <row r="450" customFormat="false" ht="15" hidden="false" customHeight="false" outlineLevel="0" collapsed="false">
      <c r="A450" s="7" t="s">
        <v>87</v>
      </c>
      <c r="B450" s="7" t="n">
        <v>4408176</v>
      </c>
      <c r="C450" s="7" t="s">
        <v>310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0</v>
      </c>
      <c r="J450" s="26" t="n">
        <v>0</v>
      </c>
      <c r="K450" s="26" t="n">
        <v>0</v>
      </c>
      <c r="L450" s="26" t="n">
        <v>0</v>
      </c>
      <c r="M450" s="26" t="n">
        <v>0</v>
      </c>
    </row>
    <row r="451" customFormat="false" ht="15" hidden="false" customHeight="false" outlineLevel="0" collapsed="false">
      <c r="A451" s="7" t="s">
        <v>85</v>
      </c>
      <c r="B451" s="7" t="n">
        <v>4408179</v>
      </c>
      <c r="C451" s="7" t="s">
        <v>311</v>
      </c>
      <c r="D451" s="26" t="n">
        <v>3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0</v>
      </c>
      <c r="J451" s="26" t="n">
        <v>0</v>
      </c>
      <c r="K451" s="26" t="n">
        <v>0</v>
      </c>
      <c r="L451" s="26" t="n">
        <v>0</v>
      </c>
      <c r="M451" s="26" t="n">
        <v>0</v>
      </c>
    </row>
    <row r="452" customFormat="false" ht="15" hidden="false" customHeight="false" outlineLevel="0" collapsed="false">
      <c r="A452" s="7" t="s">
        <v>87</v>
      </c>
      <c r="B452" s="7" t="n">
        <v>4408179</v>
      </c>
      <c r="C452" s="7" t="s">
        <v>311</v>
      </c>
      <c r="D452" s="26" t="n">
        <v>468.9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0</v>
      </c>
      <c r="J452" s="26" t="n">
        <v>0</v>
      </c>
      <c r="K452" s="26" t="n">
        <v>0</v>
      </c>
      <c r="L452" s="26" t="n">
        <v>0</v>
      </c>
      <c r="M452" s="26" t="n">
        <v>0</v>
      </c>
    </row>
    <row r="453" customFormat="false" ht="15" hidden="false" customHeight="false" outlineLevel="0" collapsed="false">
      <c r="A453" s="7" t="s">
        <v>85</v>
      </c>
      <c r="B453" s="7" t="n">
        <v>4408180</v>
      </c>
      <c r="C453" s="7" t="s">
        <v>312</v>
      </c>
      <c r="D453" s="26" t="n">
        <v>3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0</v>
      </c>
      <c r="J453" s="26" t="n">
        <v>0</v>
      </c>
      <c r="K453" s="26" t="n">
        <v>0</v>
      </c>
      <c r="L453" s="26" t="n">
        <v>0</v>
      </c>
      <c r="M453" s="26" t="n">
        <v>0</v>
      </c>
    </row>
    <row r="454" customFormat="false" ht="15" hidden="false" customHeight="false" outlineLevel="0" collapsed="false">
      <c r="A454" s="7" t="s">
        <v>87</v>
      </c>
      <c r="B454" s="7" t="n">
        <v>4408180</v>
      </c>
      <c r="C454" s="7" t="s">
        <v>312</v>
      </c>
      <c r="D454" s="26" t="n">
        <v>429.1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0</v>
      </c>
      <c r="J454" s="26" t="n">
        <v>0</v>
      </c>
      <c r="K454" s="26" t="n">
        <v>0</v>
      </c>
      <c r="L454" s="26" t="n">
        <v>0</v>
      </c>
      <c r="M454" s="26" t="n">
        <v>0</v>
      </c>
    </row>
    <row r="455" customFormat="false" ht="15" hidden="false" customHeight="false" outlineLevel="0" collapsed="false">
      <c r="A455" s="7" t="s">
        <v>85</v>
      </c>
      <c r="B455" s="7" t="n">
        <v>4408203</v>
      </c>
      <c r="C455" s="7" t="s">
        <v>313</v>
      </c>
      <c r="D455" s="26" t="n">
        <v>5</v>
      </c>
      <c r="E455" s="26" t="n">
        <v>0</v>
      </c>
      <c r="F455" s="26" t="n">
        <v>0</v>
      </c>
      <c r="G455" s="26" t="n">
        <v>0</v>
      </c>
      <c r="H455" s="26" t="n">
        <v>2</v>
      </c>
      <c r="I455" s="26" t="n">
        <v>0</v>
      </c>
      <c r="J455" s="26" t="n">
        <v>1</v>
      </c>
      <c r="K455" s="26" t="n">
        <v>0</v>
      </c>
      <c r="L455" s="26" t="n">
        <v>0</v>
      </c>
      <c r="M455" s="26" t="n">
        <v>0</v>
      </c>
    </row>
    <row r="456" customFormat="false" ht="15" hidden="false" customHeight="false" outlineLevel="0" collapsed="false">
      <c r="A456" s="7" t="s">
        <v>87</v>
      </c>
      <c r="B456" s="7" t="n">
        <v>4408203</v>
      </c>
      <c r="C456" s="7" t="s">
        <v>313</v>
      </c>
      <c r="D456" s="26" t="n">
        <v>1242.2</v>
      </c>
      <c r="E456" s="26" t="n">
        <v>0</v>
      </c>
      <c r="F456" s="26" t="n">
        <v>0</v>
      </c>
      <c r="G456" s="26" t="n">
        <v>0</v>
      </c>
      <c r="H456" s="26" t="n">
        <v>442.1</v>
      </c>
      <c r="I456" s="26" t="n">
        <v>0</v>
      </c>
      <c r="J456" s="26" t="n">
        <v>225.3</v>
      </c>
      <c r="K456" s="26" t="n">
        <v>0</v>
      </c>
      <c r="L456" s="26" t="n">
        <v>0</v>
      </c>
      <c r="M456" s="26" t="n">
        <v>0</v>
      </c>
    </row>
    <row r="457" customFormat="false" ht="15" hidden="false" customHeight="false" outlineLevel="0" collapsed="false">
      <c r="A457" s="7" t="s">
        <v>85</v>
      </c>
      <c r="B457" s="7" t="n">
        <v>4408122</v>
      </c>
      <c r="C457" s="7" t="s">
        <v>314</v>
      </c>
      <c r="D457" s="26" t="n">
        <v>2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0</v>
      </c>
      <c r="L457" s="26" t="n">
        <v>0</v>
      </c>
      <c r="M457" s="26" t="n">
        <v>0</v>
      </c>
    </row>
    <row r="458" customFormat="false" ht="15" hidden="false" customHeight="false" outlineLevel="0" collapsed="false">
      <c r="A458" s="7" t="s">
        <v>87</v>
      </c>
      <c r="B458" s="7" t="n">
        <v>4408122</v>
      </c>
      <c r="C458" s="7" t="s">
        <v>314</v>
      </c>
      <c r="D458" s="26" t="n">
        <v>272.9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0</v>
      </c>
      <c r="J458" s="26" t="n">
        <v>0</v>
      </c>
      <c r="K458" s="26" t="n">
        <v>0</v>
      </c>
      <c r="L458" s="26" t="n">
        <v>0</v>
      </c>
      <c r="M458" s="26" t="n">
        <v>0</v>
      </c>
    </row>
    <row r="459" customFormat="false" ht="15" hidden="false" customHeight="false" outlineLevel="0" collapsed="false">
      <c r="A459" s="7" t="s">
        <v>85</v>
      </c>
      <c r="B459" s="7" t="n">
        <v>4408129</v>
      </c>
      <c r="C459" s="7" t="s">
        <v>315</v>
      </c>
      <c r="D459" s="26" t="n">
        <v>1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0</v>
      </c>
      <c r="J459" s="26" t="n">
        <v>0</v>
      </c>
      <c r="K459" s="26" t="n">
        <v>0</v>
      </c>
      <c r="L459" s="26" t="n">
        <v>0</v>
      </c>
      <c r="M459" s="26" t="n">
        <v>0</v>
      </c>
    </row>
    <row r="460" customFormat="false" ht="15" hidden="false" customHeight="false" outlineLevel="0" collapsed="false">
      <c r="A460" s="7" t="s">
        <v>87</v>
      </c>
      <c r="B460" s="7" t="n">
        <v>4408129</v>
      </c>
      <c r="C460" s="7" t="s">
        <v>315</v>
      </c>
      <c r="D460" s="26" t="n">
        <v>140.6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0</v>
      </c>
      <c r="J460" s="26" t="n">
        <v>0</v>
      </c>
      <c r="K460" s="26" t="n">
        <v>0</v>
      </c>
      <c r="L460" s="26" t="n">
        <v>0</v>
      </c>
      <c r="M460" s="26" t="n">
        <v>0</v>
      </c>
    </row>
    <row r="461" customFormat="false" ht="15" hidden="false" customHeight="false" outlineLevel="0" collapsed="false">
      <c r="A461" s="7" t="s">
        <v>85</v>
      </c>
      <c r="B461" s="7" t="n">
        <v>4408123</v>
      </c>
      <c r="C461" s="7" t="s">
        <v>316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0</v>
      </c>
      <c r="J461" s="26" t="n">
        <v>0</v>
      </c>
      <c r="K461" s="26" t="n">
        <v>0</v>
      </c>
      <c r="L461" s="26" t="n">
        <v>0</v>
      </c>
      <c r="M461" s="26" t="n">
        <v>0</v>
      </c>
    </row>
    <row r="462" customFormat="false" ht="15" hidden="false" customHeight="false" outlineLevel="0" collapsed="false">
      <c r="A462" s="7" t="s">
        <v>87</v>
      </c>
      <c r="B462" s="7" t="n">
        <v>4408123</v>
      </c>
      <c r="C462" s="7" t="s">
        <v>316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0</v>
      </c>
      <c r="J462" s="26" t="n">
        <v>0</v>
      </c>
      <c r="K462" s="26" t="n">
        <v>0</v>
      </c>
      <c r="L462" s="26" t="n">
        <v>0</v>
      </c>
      <c r="M462" s="26" t="n">
        <v>0</v>
      </c>
    </row>
    <row r="463" customFormat="false" ht="15" hidden="false" customHeight="false" outlineLevel="0" collapsed="false">
      <c r="A463" s="7" t="s">
        <v>85</v>
      </c>
      <c r="B463" s="7" t="n">
        <v>4408131</v>
      </c>
      <c r="C463" s="7" t="s">
        <v>317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0</v>
      </c>
      <c r="J463" s="26" t="n">
        <v>0</v>
      </c>
      <c r="K463" s="26" t="n">
        <v>0</v>
      </c>
      <c r="L463" s="26" t="n">
        <v>0</v>
      </c>
      <c r="M463" s="26" t="n">
        <v>0</v>
      </c>
    </row>
    <row r="464" customFormat="false" ht="15" hidden="false" customHeight="false" outlineLevel="0" collapsed="false">
      <c r="A464" s="7" t="s">
        <v>87</v>
      </c>
      <c r="B464" s="7" t="n">
        <v>4408131</v>
      </c>
      <c r="C464" s="7" t="s">
        <v>317</v>
      </c>
      <c r="D464" s="26" t="n">
        <v>0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0</v>
      </c>
      <c r="L464" s="26" t="n">
        <v>0</v>
      </c>
      <c r="M464" s="26" t="n">
        <v>0</v>
      </c>
    </row>
    <row r="465" customFormat="false" ht="15" hidden="false" customHeight="false" outlineLevel="0" collapsed="false">
      <c r="A465" s="7" t="s">
        <v>85</v>
      </c>
      <c r="B465" s="7" t="n">
        <v>4408130</v>
      </c>
      <c r="C465" s="7" t="s">
        <v>318</v>
      </c>
      <c r="D465" s="26" t="n">
        <v>0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0</v>
      </c>
      <c r="L465" s="26" t="n">
        <v>0</v>
      </c>
      <c r="M465" s="26" t="n">
        <v>0</v>
      </c>
    </row>
    <row r="466" customFormat="false" ht="15" hidden="false" customHeight="false" outlineLevel="0" collapsed="false">
      <c r="A466" s="7" t="s">
        <v>87</v>
      </c>
      <c r="B466" s="7" t="n">
        <v>4408130</v>
      </c>
      <c r="C466" s="7" t="s">
        <v>318</v>
      </c>
      <c r="D466" s="26" t="n">
        <v>0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  <c r="L466" s="26" t="n">
        <v>0</v>
      </c>
      <c r="M466" s="26" t="n">
        <v>0</v>
      </c>
    </row>
    <row r="467" customFormat="false" ht="15" hidden="false" customHeight="false" outlineLevel="0" collapsed="false">
      <c r="A467" s="7" t="s">
        <v>85</v>
      </c>
      <c r="B467" s="7" t="n">
        <v>4408126</v>
      </c>
      <c r="C467" s="7" t="s">
        <v>319</v>
      </c>
      <c r="D467" s="26" t="n">
        <v>1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  <c r="L467" s="26" t="n">
        <v>0</v>
      </c>
      <c r="M467" s="26" t="n">
        <v>0</v>
      </c>
    </row>
    <row r="468" customFormat="false" ht="15" hidden="false" customHeight="false" outlineLevel="0" collapsed="false">
      <c r="A468" s="7" t="s">
        <v>87</v>
      </c>
      <c r="B468" s="7" t="n">
        <v>4408126</v>
      </c>
      <c r="C468" s="7" t="s">
        <v>319</v>
      </c>
      <c r="D468" s="26" t="n">
        <v>140.6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  <c r="L468" s="26" t="n">
        <v>0</v>
      </c>
      <c r="M468" s="26" t="n">
        <v>0</v>
      </c>
    </row>
    <row r="469" customFormat="false" ht="15" hidden="false" customHeight="false" outlineLevel="0" collapsed="false">
      <c r="A469" s="7" t="s">
        <v>85</v>
      </c>
      <c r="B469" s="7" t="n">
        <v>4408127</v>
      </c>
      <c r="C469" s="7" t="s">
        <v>320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  <c r="L469" s="26" t="n">
        <v>0</v>
      </c>
      <c r="M469" s="26" t="n">
        <v>0</v>
      </c>
    </row>
    <row r="470" customFormat="false" ht="15" hidden="false" customHeight="false" outlineLevel="0" collapsed="false">
      <c r="A470" s="7" t="s">
        <v>87</v>
      </c>
      <c r="B470" s="7" t="n">
        <v>4408127</v>
      </c>
      <c r="C470" s="7" t="s">
        <v>320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  <c r="L470" s="26" t="n">
        <v>0</v>
      </c>
      <c r="M470" s="26" t="n">
        <v>0</v>
      </c>
    </row>
    <row r="471" customFormat="false" ht="15" hidden="false" customHeight="false" outlineLevel="0" collapsed="false">
      <c r="A471" s="7" t="s">
        <v>85</v>
      </c>
      <c r="B471" s="7" t="n">
        <v>4408230</v>
      </c>
      <c r="C471" s="7" t="s">
        <v>321</v>
      </c>
      <c r="D471" s="26" t="n">
        <v>13</v>
      </c>
      <c r="E471" s="26" t="n">
        <v>0</v>
      </c>
      <c r="F471" s="26" t="n">
        <v>0</v>
      </c>
      <c r="G471" s="26" t="n">
        <v>0</v>
      </c>
      <c r="H471" s="26" t="n">
        <v>44</v>
      </c>
      <c r="I471" s="26" t="n">
        <v>4</v>
      </c>
      <c r="J471" s="26" t="n">
        <v>0</v>
      </c>
      <c r="K471" s="26" t="n">
        <v>0</v>
      </c>
      <c r="L471" s="26" t="n">
        <v>0</v>
      </c>
      <c r="M471" s="26" t="n">
        <v>0</v>
      </c>
    </row>
    <row r="472" customFormat="false" ht="15" hidden="false" customHeight="false" outlineLevel="0" collapsed="false">
      <c r="A472" s="7" t="s">
        <v>87</v>
      </c>
      <c r="B472" s="7" t="n">
        <v>4408230</v>
      </c>
      <c r="C472" s="7" t="s">
        <v>321</v>
      </c>
      <c r="D472" s="26" t="n">
        <v>1544.1</v>
      </c>
      <c r="E472" s="26" t="n">
        <v>0</v>
      </c>
      <c r="F472" s="26" t="n">
        <v>0</v>
      </c>
      <c r="G472" s="26" t="n">
        <v>0</v>
      </c>
      <c r="H472" s="26" t="n">
        <v>4430.4</v>
      </c>
      <c r="I472" s="26" t="n">
        <v>435.7</v>
      </c>
      <c r="J472" s="26" t="n">
        <v>0</v>
      </c>
      <c r="K472" s="26" t="n">
        <v>0</v>
      </c>
      <c r="L472" s="26" t="n">
        <v>0</v>
      </c>
      <c r="M472" s="26" t="n">
        <v>0</v>
      </c>
    </row>
    <row r="473" customFormat="false" ht="15" hidden="false" customHeight="false" outlineLevel="0" collapsed="false">
      <c r="A473" s="7" t="s">
        <v>85</v>
      </c>
      <c r="B473" s="7" t="n">
        <v>4408231</v>
      </c>
      <c r="C473" s="7" t="s">
        <v>322</v>
      </c>
      <c r="D473" s="26" t="n">
        <v>3</v>
      </c>
      <c r="E473" s="26" t="n">
        <v>0</v>
      </c>
      <c r="F473" s="26" t="n">
        <v>0</v>
      </c>
      <c r="G473" s="26" t="n">
        <v>0</v>
      </c>
      <c r="H473" s="26" t="n">
        <v>19</v>
      </c>
      <c r="I473" s="26" t="n">
        <v>3</v>
      </c>
      <c r="J473" s="26" t="n">
        <v>0</v>
      </c>
      <c r="K473" s="26" t="n">
        <v>0</v>
      </c>
      <c r="L473" s="26" t="n">
        <v>0</v>
      </c>
      <c r="M473" s="26" t="n">
        <v>0</v>
      </c>
    </row>
    <row r="474" customFormat="false" ht="15" hidden="false" customHeight="false" outlineLevel="0" collapsed="false">
      <c r="A474" s="7" t="s">
        <v>87</v>
      </c>
      <c r="B474" s="7" t="n">
        <v>4408231</v>
      </c>
      <c r="C474" s="7" t="s">
        <v>322</v>
      </c>
      <c r="D474" s="26" t="n">
        <v>339.6</v>
      </c>
      <c r="E474" s="26" t="n">
        <v>0</v>
      </c>
      <c r="F474" s="26" t="n">
        <v>0</v>
      </c>
      <c r="G474" s="26" t="n">
        <v>0</v>
      </c>
      <c r="H474" s="26" t="n">
        <v>1926.9</v>
      </c>
      <c r="I474" s="26" t="n">
        <v>326.8</v>
      </c>
      <c r="J474" s="26" t="n">
        <v>0</v>
      </c>
      <c r="K474" s="26" t="n">
        <v>0</v>
      </c>
      <c r="L474" s="26" t="n">
        <v>0</v>
      </c>
      <c r="M474" s="26" t="n">
        <v>0</v>
      </c>
    </row>
    <row r="475" customFormat="false" ht="15" hidden="false" customHeight="false" outlineLevel="0" collapsed="false">
      <c r="A475" s="7" t="s">
        <v>85</v>
      </c>
      <c r="B475" s="7" t="n">
        <v>4408232</v>
      </c>
      <c r="C475" s="7" t="s">
        <v>323</v>
      </c>
      <c r="D475" s="26" t="n">
        <v>2</v>
      </c>
      <c r="E475" s="26" t="n">
        <v>0</v>
      </c>
      <c r="F475" s="26" t="n">
        <v>0</v>
      </c>
      <c r="G475" s="26" t="n">
        <v>0</v>
      </c>
      <c r="H475" s="26" t="n">
        <v>-1</v>
      </c>
      <c r="I475" s="26" t="n">
        <v>0</v>
      </c>
      <c r="J475" s="26" t="n">
        <v>0</v>
      </c>
      <c r="K475" s="26" t="n">
        <v>0</v>
      </c>
      <c r="L475" s="26" t="n">
        <v>0</v>
      </c>
      <c r="M475" s="26" t="n">
        <v>0</v>
      </c>
    </row>
    <row r="476" customFormat="false" ht="15" hidden="false" customHeight="false" outlineLevel="0" collapsed="false">
      <c r="A476" s="7" t="s">
        <v>87</v>
      </c>
      <c r="B476" s="7" t="n">
        <v>4408232</v>
      </c>
      <c r="C476" s="7" t="s">
        <v>323</v>
      </c>
      <c r="D476" s="26" t="n">
        <v>236.2</v>
      </c>
      <c r="E476" s="26" t="n">
        <v>0</v>
      </c>
      <c r="F476" s="26" t="n">
        <v>0</v>
      </c>
      <c r="G476" s="26" t="n">
        <v>0</v>
      </c>
      <c r="H476" s="26" t="n">
        <v>-101.1</v>
      </c>
      <c r="I476" s="26" t="n">
        <v>0</v>
      </c>
      <c r="J476" s="26" t="n">
        <v>0</v>
      </c>
      <c r="K476" s="26" t="n">
        <v>0</v>
      </c>
      <c r="L476" s="26" t="n">
        <v>0</v>
      </c>
      <c r="M476" s="26" t="n">
        <v>0</v>
      </c>
    </row>
    <row r="477" customFormat="false" ht="15" hidden="false" customHeight="false" outlineLevel="0" collapsed="false">
      <c r="A477" s="7" t="s">
        <v>85</v>
      </c>
      <c r="B477" s="7" t="n">
        <v>4408044</v>
      </c>
      <c r="C477" s="7" t="s">
        <v>324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2</v>
      </c>
      <c r="J477" s="26" t="n">
        <v>0</v>
      </c>
      <c r="K477" s="26" t="n">
        <v>0</v>
      </c>
      <c r="L477" s="26" t="n">
        <v>0</v>
      </c>
      <c r="M477" s="26" t="n">
        <v>0</v>
      </c>
    </row>
    <row r="478" customFormat="false" ht="15" hidden="false" customHeight="false" outlineLevel="0" collapsed="false">
      <c r="A478" s="7" t="s">
        <v>87</v>
      </c>
      <c r="B478" s="7" t="n">
        <v>4408044</v>
      </c>
      <c r="C478" s="7" t="s">
        <v>324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573.5</v>
      </c>
      <c r="J478" s="26" t="n">
        <v>0</v>
      </c>
      <c r="K478" s="26" t="n">
        <v>0</v>
      </c>
      <c r="L478" s="26" t="n">
        <v>0</v>
      </c>
      <c r="M478" s="26" t="n">
        <v>0</v>
      </c>
    </row>
    <row r="479" customFormat="false" ht="15" hidden="false" customHeight="false" outlineLevel="0" collapsed="false">
      <c r="A479" s="7" t="s">
        <v>85</v>
      </c>
      <c r="B479" s="7" t="n">
        <v>4408042</v>
      </c>
      <c r="C479" s="7" t="s">
        <v>325</v>
      </c>
      <c r="D479" s="26" t="n">
        <v>-1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0</v>
      </c>
      <c r="L479" s="26" t="n">
        <v>0</v>
      </c>
      <c r="M479" s="26" t="n">
        <v>0</v>
      </c>
    </row>
    <row r="480" customFormat="false" ht="15" hidden="false" customHeight="false" outlineLevel="0" collapsed="false">
      <c r="A480" s="7" t="s">
        <v>87</v>
      </c>
      <c r="B480" s="7" t="n">
        <v>4408042</v>
      </c>
      <c r="C480" s="7" t="s">
        <v>325</v>
      </c>
      <c r="D480" s="26" t="n">
        <v>-307.2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0</v>
      </c>
      <c r="L480" s="26" t="n">
        <v>0</v>
      </c>
      <c r="M480" s="26" t="n">
        <v>0</v>
      </c>
    </row>
    <row r="481" customFormat="false" ht="15" hidden="false" customHeight="false" outlineLevel="0" collapsed="false">
      <c r="A481" s="7" t="s">
        <v>85</v>
      </c>
      <c r="B481" s="7" t="n">
        <v>4408043</v>
      </c>
      <c r="C481" s="7" t="s">
        <v>326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0</v>
      </c>
      <c r="J481" s="26" t="n">
        <v>0</v>
      </c>
      <c r="K481" s="26" t="n">
        <v>0</v>
      </c>
      <c r="L481" s="26" t="n">
        <v>0</v>
      </c>
      <c r="M481" s="26" t="n">
        <v>0</v>
      </c>
    </row>
    <row r="482" customFormat="false" ht="15" hidden="false" customHeight="false" outlineLevel="0" collapsed="false">
      <c r="A482" s="7" t="s">
        <v>87</v>
      </c>
      <c r="B482" s="7" t="n">
        <v>4408043</v>
      </c>
      <c r="C482" s="7" t="s">
        <v>326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0</v>
      </c>
      <c r="J482" s="26" t="n">
        <v>0</v>
      </c>
      <c r="K482" s="26" t="n">
        <v>0</v>
      </c>
      <c r="L482" s="26" t="n">
        <v>0</v>
      </c>
      <c r="M482" s="26" t="n">
        <v>0</v>
      </c>
    </row>
    <row r="483" customFormat="false" ht="15" hidden="false" customHeight="false" outlineLevel="0" collapsed="false">
      <c r="A483" s="7" t="s">
        <v>85</v>
      </c>
      <c r="B483" s="7" t="n">
        <v>4408041</v>
      </c>
      <c r="C483" s="7" t="s">
        <v>327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0</v>
      </c>
      <c r="J483" s="26" t="n">
        <v>0</v>
      </c>
      <c r="K483" s="26" t="n">
        <v>0</v>
      </c>
      <c r="L483" s="26" t="n">
        <v>0</v>
      </c>
      <c r="M483" s="26" t="n">
        <v>0</v>
      </c>
    </row>
    <row r="484" customFormat="false" ht="15" hidden="false" customHeight="false" outlineLevel="0" collapsed="false">
      <c r="A484" s="7" t="s">
        <v>87</v>
      </c>
      <c r="B484" s="7" t="n">
        <v>4408041</v>
      </c>
      <c r="C484" s="7" t="s">
        <v>327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0</v>
      </c>
      <c r="J484" s="26" t="n">
        <v>0</v>
      </c>
      <c r="K484" s="26" t="n">
        <v>0</v>
      </c>
      <c r="L484" s="26" t="n">
        <v>0</v>
      </c>
      <c r="M484" s="26" t="n">
        <v>0</v>
      </c>
    </row>
    <row r="485" customFormat="false" ht="15" hidden="false" customHeight="false" outlineLevel="0" collapsed="false">
      <c r="A485" s="7" t="s">
        <v>85</v>
      </c>
      <c r="B485" s="7" t="n">
        <v>4408104</v>
      </c>
      <c r="C485" s="7" t="s">
        <v>328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0</v>
      </c>
      <c r="J485" s="26" t="n">
        <v>0</v>
      </c>
      <c r="K485" s="26" t="n">
        <v>0</v>
      </c>
      <c r="L485" s="26" t="n">
        <v>0</v>
      </c>
      <c r="M485" s="26" t="n">
        <v>0</v>
      </c>
    </row>
    <row r="486" customFormat="false" ht="15" hidden="false" customHeight="false" outlineLevel="0" collapsed="false">
      <c r="A486" s="7" t="s">
        <v>87</v>
      </c>
      <c r="B486" s="7" t="n">
        <v>4408104</v>
      </c>
      <c r="C486" s="7" t="s">
        <v>328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0</v>
      </c>
      <c r="J486" s="26" t="n">
        <v>0</v>
      </c>
      <c r="K486" s="26" t="n">
        <v>0</v>
      </c>
      <c r="L486" s="26" t="n">
        <v>0</v>
      </c>
      <c r="M486" s="26" t="n">
        <v>0</v>
      </c>
    </row>
    <row r="487" customFormat="false" ht="15" hidden="false" customHeight="false" outlineLevel="0" collapsed="false">
      <c r="A487" s="7" t="s">
        <v>85</v>
      </c>
      <c r="B487" s="7" t="n">
        <v>4408105</v>
      </c>
      <c r="C487" s="7" t="s">
        <v>329</v>
      </c>
      <c r="D487" s="26" t="n">
        <v>1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0</v>
      </c>
      <c r="J487" s="26" t="n">
        <v>0</v>
      </c>
      <c r="K487" s="26" t="n">
        <v>0</v>
      </c>
      <c r="L487" s="26" t="n">
        <v>0</v>
      </c>
      <c r="M487" s="26" t="n">
        <v>0</v>
      </c>
    </row>
    <row r="488" customFormat="false" ht="15" hidden="false" customHeight="false" outlineLevel="0" collapsed="false">
      <c r="A488" s="7" t="s">
        <v>87</v>
      </c>
      <c r="B488" s="7" t="n">
        <v>4408105</v>
      </c>
      <c r="C488" s="7" t="s">
        <v>329</v>
      </c>
      <c r="D488" s="26" t="n">
        <v>213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0</v>
      </c>
      <c r="J488" s="26" t="n">
        <v>0</v>
      </c>
      <c r="K488" s="26" t="n">
        <v>0</v>
      </c>
      <c r="L488" s="26" t="n">
        <v>0</v>
      </c>
      <c r="M488" s="26" t="n">
        <v>0</v>
      </c>
    </row>
    <row r="489" customFormat="false" ht="15" hidden="false" customHeight="false" outlineLevel="0" collapsed="false">
      <c r="A489" s="7" t="s">
        <v>85</v>
      </c>
      <c r="B489" s="7" t="n">
        <v>4408109</v>
      </c>
      <c r="C489" s="7" t="s">
        <v>330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0</v>
      </c>
      <c r="L489" s="26" t="n">
        <v>0</v>
      </c>
      <c r="M489" s="26" t="n">
        <v>0</v>
      </c>
    </row>
    <row r="490" customFormat="false" ht="15" hidden="false" customHeight="false" outlineLevel="0" collapsed="false">
      <c r="A490" s="7" t="s">
        <v>87</v>
      </c>
      <c r="B490" s="7" t="n">
        <v>4408109</v>
      </c>
      <c r="C490" s="7" t="s">
        <v>330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  <c r="L490" s="26" t="n">
        <v>0</v>
      </c>
      <c r="M490" s="26" t="n">
        <v>0</v>
      </c>
    </row>
    <row r="491" customFormat="false" ht="15" hidden="false" customHeight="false" outlineLevel="0" collapsed="false">
      <c r="A491" s="7" t="s">
        <v>85</v>
      </c>
      <c r="B491" s="7" t="n">
        <v>4408108</v>
      </c>
      <c r="C491" s="7" t="s">
        <v>331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  <c r="L491" s="26" t="n">
        <v>0</v>
      </c>
      <c r="M491" s="26" t="n">
        <v>0</v>
      </c>
    </row>
    <row r="492" customFormat="false" ht="15" hidden="false" customHeight="false" outlineLevel="0" collapsed="false">
      <c r="A492" s="7" t="s">
        <v>87</v>
      </c>
      <c r="B492" s="7" t="n">
        <v>4408108</v>
      </c>
      <c r="C492" s="7" t="s">
        <v>331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0</v>
      </c>
      <c r="J492" s="26" t="n">
        <v>0</v>
      </c>
      <c r="K492" s="26" t="n">
        <v>0</v>
      </c>
      <c r="L492" s="26" t="n">
        <v>0</v>
      </c>
      <c r="M492" s="26" t="n">
        <v>0</v>
      </c>
    </row>
    <row r="493" customFormat="false" ht="15" hidden="false" customHeight="false" outlineLevel="0" collapsed="false">
      <c r="A493" s="7" t="s">
        <v>85</v>
      </c>
      <c r="B493" s="7" t="n">
        <v>4408107</v>
      </c>
      <c r="C493" s="7" t="s">
        <v>332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0</v>
      </c>
      <c r="J493" s="26" t="n">
        <v>0</v>
      </c>
      <c r="K493" s="26" t="n">
        <v>0</v>
      </c>
      <c r="L493" s="26" t="n">
        <v>0</v>
      </c>
      <c r="M493" s="26" t="n">
        <v>0</v>
      </c>
    </row>
    <row r="494" customFormat="false" ht="15" hidden="false" customHeight="false" outlineLevel="0" collapsed="false">
      <c r="A494" s="7" t="s">
        <v>87</v>
      </c>
      <c r="B494" s="7" t="n">
        <v>4408107</v>
      </c>
      <c r="C494" s="7" t="s">
        <v>332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0</v>
      </c>
      <c r="J494" s="26" t="n">
        <v>0</v>
      </c>
      <c r="K494" s="26" t="n">
        <v>0</v>
      </c>
      <c r="L494" s="26" t="n">
        <v>0</v>
      </c>
      <c r="M494" s="26" t="n">
        <v>0</v>
      </c>
    </row>
    <row r="495" customFormat="false" ht="15" hidden="false" customHeight="false" outlineLevel="0" collapsed="false">
      <c r="A495" s="7" t="s">
        <v>85</v>
      </c>
      <c r="B495" s="7" t="n">
        <v>4408274</v>
      </c>
      <c r="C495" s="7" t="s">
        <v>333</v>
      </c>
      <c r="D495" s="26" t="n">
        <v>0</v>
      </c>
      <c r="E495" s="26" t="n">
        <v>0</v>
      </c>
      <c r="F495" s="26" t="n">
        <v>0</v>
      </c>
      <c r="G495" s="26" t="n">
        <v>0</v>
      </c>
      <c r="H495" s="26" t="n">
        <v>0</v>
      </c>
      <c r="I495" s="26" t="n">
        <v>0</v>
      </c>
      <c r="J495" s="26" t="n">
        <v>0</v>
      </c>
      <c r="K495" s="26" t="n">
        <v>0</v>
      </c>
      <c r="L495" s="26" t="n">
        <v>0</v>
      </c>
      <c r="M495" s="26" t="n">
        <v>0</v>
      </c>
    </row>
    <row r="496" customFormat="false" ht="15" hidden="false" customHeight="false" outlineLevel="0" collapsed="false">
      <c r="A496" s="7" t="s">
        <v>87</v>
      </c>
      <c r="B496" s="7" t="n">
        <v>4408274</v>
      </c>
      <c r="C496" s="7" t="s">
        <v>333</v>
      </c>
      <c r="D496" s="26" t="n">
        <v>0</v>
      </c>
      <c r="E496" s="26" t="n">
        <v>0</v>
      </c>
      <c r="F496" s="26" t="n">
        <v>0</v>
      </c>
      <c r="G496" s="26" t="n">
        <v>0</v>
      </c>
      <c r="H496" s="26" t="n">
        <v>0</v>
      </c>
      <c r="I496" s="26" t="n">
        <v>0</v>
      </c>
      <c r="J496" s="26" t="n">
        <v>0</v>
      </c>
      <c r="K496" s="26" t="n">
        <v>0</v>
      </c>
      <c r="L496" s="26" t="n">
        <v>0</v>
      </c>
      <c r="M496" s="26" t="n">
        <v>0</v>
      </c>
    </row>
    <row r="497" customFormat="false" ht="15" hidden="false" customHeight="false" outlineLevel="0" collapsed="false">
      <c r="A497" s="7" t="s">
        <v>85</v>
      </c>
      <c r="B497" s="7" t="n">
        <v>4408273</v>
      </c>
      <c r="C497" s="7" t="s">
        <v>334</v>
      </c>
      <c r="D497" s="26" t="n">
        <v>0</v>
      </c>
      <c r="E497" s="26" t="n">
        <v>0</v>
      </c>
      <c r="F497" s="26" t="n">
        <v>0</v>
      </c>
      <c r="G497" s="26" t="n">
        <v>0</v>
      </c>
      <c r="H497" s="26" t="n">
        <v>0</v>
      </c>
      <c r="I497" s="26" t="n">
        <v>0</v>
      </c>
      <c r="J497" s="26" t="n">
        <v>0</v>
      </c>
      <c r="K497" s="26" t="n">
        <v>0</v>
      </c>
      <c r="L497" s="26" t="n">
        <v>0</v>
      </c>
      <c r="M497" s="26" t="n">
        <v>0</v>
      </c>
    </row>
    <row r="498" customFormat="false" ht="15" hidden="false" customHeight="false" outlineLevel="0" collapsed="false">
      <c r="A498" s="7" t="s">
        <v>87</v>
      </c>
      <c r="B498" s="7" t="n">
        <v>4408273</v>
      </c>
      <c r="C498" s="7" t="s">
        <v>334</v>
      </c>
      <c r="D498" s="26" t="n">
        <v>0</v>
      </c>
      <c r="E498" s="26" t="n">
        <v>0</v>
      </c>
      <c r="F498" s="26" t="n">
        <v>0</v>
      </c>
      <c r="G498" s="26" t="n">
        <v>0</v>
      </c>
      <c r="H498" s="26" t="n">
        <v>0</v>
      </c>
      <c r="I498" s="26" t="n">
        <v>0</v>
      </c>
      <c r="J498" s="26" t="n">
        <v>0</v>
      </c>
      <c r="K498" s="26" t="n">
        <v>0</v>
      </c>
      <c r="L498" s="26" t="n">
        <v>0</v>
      </c>
      <c r="M498" s="26" t="n">
        <v>0</v>
      </c>
    </row>
    <row r="499" customFormat="false" ht="15" hidden="false" customHeight="false" outlineLevel="0" collapsed="false">
      <c r="A499" s="7" t="s">
        <v>85</v>
      </c>
      <c r="B499" s="7" t="n">
        <v>4408272</v>
      </c>
      <c r="C499" s="7" t="s">
        <v>335</v>
      </c>
      <c r="D499" s="26" t="n">
        <v>0</v>
      </c>
      <c r="E499" s="26" t="n">
        <v>0</v>
      </c>
      <c r="F499" s="26" t="n">
        <v>0</v>
      </c>
      <c r="G499" s="26" t="n">
        <v>0</v>
      </c>
      <c r="H499" s="26" t="n">
        <v>0</v>
      </c>
      <c r="I499" s="26" t="n">
        <v>0</v>
      </c>
      <c r="J499" s="26" t="n">
        <v>0</v>
      </c>
      <c r="K499" s="26" t="n">
        <v>0</v>
      </c>
      <c r="L499" s="26" t="n">
        <v>0</v>
      </c>
      <c r="M499" s="26" t="n">
        <v>0</v>
      </c>
    </row>
    <row r="500" customFormat="false" ht="15" hidden="false" customHeight="false" outlineLevel="0" collapsed="false">
      <c r="A500" s="7" t="s">
        <v>87</v>
      </c>
      <c r="B500" s="7" t="n">
        <v>4408272</v>
      </c>
      <c r="C500" s="7" t="s">
        <v>335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0</v>
      </c>
      <c r="L500" s="26" t="n">
        <v>0</v>
      </c>
      <c r="M500" s="26" t="n">
        <v>0</v>
      </c>
    </row>
    <row r="501" customFormat="false" ht="15" hidden="false" customHeight="false" outlineLevel="0" collapsed="false">
      <c r="A501" s="7" t="s">
        <v>85</v>
      </c>
      <c r="B501" s="7" t="n">
        <v>4408271</v>
      </c>
      <c r="C501" s="7" t="s">
        <v>336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0</v>
      </c>
      <c r="L501" s="26" t="n">
        <v>0</v>
      </c>
      <c r="M501" s="26" t="n">
        <v>0</v>
      </c>
    </row>
    <row r="502" customFormat="false" ht="15" hidden="false" customHeight="false" outlineLevel="0" collapsed="false">
      <c r="A502" s="7" t="s">
        <v>87</v>
      </c>
      <c r="B502" s="7" t="n">
        <v>4408271</v>
      </c>
      <c r="C502" s="7" t="s">
        <v>336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0</v>
      </c>
      <c r="L502" s="26" t="n">
        <v>0</v>
      </c>
      <c r="M502" s="26" t="n">
        <v>0</v>
      </c>
    </row>
    <row r="503" customFormat="false" ht="15" hidden="false" customHeight="false" outlineLevel="0" collapsed="false">
      <c r="A503" s="7" t="s">
        <v>85</v>
      </c>
      <c r="B503" s="7" t="n">
        <v>4408143</v>
      </c>
      <c r="C503" s="7" t="s">
        <v>337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0</v>
      </c>
      <c r="L503" s="26" t="n">
        <v>0</v>
      </c>
      <c r="M503" s="26" t="n">
        <v>0</v>
      </c>
    </row>
    <row r="504" customFormat="false" ht="15" hidden="false" customHeight="false" outlineLevel="0" collapsed="false">
      <c r="A504" s="7" t="s">
        <v>87</v>
      </c>
      <c r="B504" s="7" t="n">
        <v>4408143</v>
      </c>
      <c r="C504" s="7" t="s">
        <v>337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0</v>
      </c>
      <c r="L504" s="26" t="n">
        <v>0</v>
      </c>
      <c r="M504" s="26" t="n">
        <v>0</v>
      </c>
    </row>
    <row r="505" customFormat="false" ht="15" hidden="false" customHeight="false" outlineLevel="0" collapsed="false">
      <c r="A505" s="7" t="s">
        <v>85</v>
      </c>
      <c r="B505" s="7" t="n">
        <v>4408142</v>
      </c>
      <c r="C505" s="7" t="s">
        <v>338</v>
      </c>
      <c r="D505" s="26" t="n">
        <v>1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0</v>
      </c>
      <c r="J505" s="26" t="n">
        <v>0</v>
      </c>
      <c r="K505" s="26" t="n">
        <v>0</v>
      </c>
      <c r="L505" s="26" t="n">
        <v>0</v>
      </c>
      <c r="M505" s="26" t="n">
        <v>0</v>
      </c>
    </row>
    <row r="506" customFormat="false" ht="15" hidden="false" customHeight="false" outlineLevel="0" collapsed="false">
      <c r="A506" s="7" t="s">
        <v>87</v>
      </c>
      <c r="B506" s="7" t="n">
        <v>4408142</v>
      </c>
      <c r="C506" s="7" t="s">
        <v>338</v>
      </c>
      <c r="D506" s="26" t="n">
        <v>472.7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0</v>
      </c>
      <c r="J506" s="26" t="n">
        <v>0</v>
      </c>
      <c r="K506" s="26" t="n">
        <v>0</v>
      </c>
      <c r="L506" s="26" t="n">
        <v>0</v>
      </c>
      <c r="M506" s="26" t="n">
        <v>0</v>
      </c>
    </row>
    <row r="507" customFormat="false" ht="15" hidden="false" customHeight="false" outlineLevel="0" collapsed="false">
      <c r="A507" s="7" t="s">
        <v>85</v>
      </c>
      <c r="B507" s="7" t="n">
        <v>4408144</v>
      </c>
      <c r="C507" s="7" t="s">
        <v>339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0</v>
      </c>
      <c r="J507" s="26" t="n">
        <v>0</v>
      </c>
      <c r="K507" s="26" t="n">
        <v>0</v>
      </c>
      <c r="L507" s="26" t="n">
        <v>0</v>
      </c>
      <c r="M507" s="26" t="n">
        <v>0</v>
      </c>
    </row>
    <row r="508" customFormat="false" ht="15" hidden="false" customHeight="false" outlineLevel="0" collapsed="false">
      <c r="A508" s="7" t="s">
        <v>87</v>
      </c>
      <c r="B508" s="7" t="n">
        <v>4408144</v>
      </c>
      <c r="C508" s="7" t="s">
        <v>339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0</v>
      </c>
      <c r="J508" s="26" t="n">
        <v>0</v>
      </c>
      <c r="K508" s="26" t="n">
        <v>0</v>
      </c>
      <c r="L508" s="26" t="n">
        <v>0</v>
      </c>
      <c r="M508" s="26" t="n">
        <v>0</v>
      </c>
    </row>
    <row r="509" customFormat="false" ht="15" hidden="false" customHeight="false" outlineLevel="0" collapsed="false">
      <c r="A509" s="7" t="s">
        <v>85</v>
      </c>
      <c r="B509" s="7" t="n">
        <v>4408205</v>
      </c>
      <c r="C509" s="7" t="s">
        <v>340</v>
      </c>
      <c r="D509" s="26" t="n">
        <v>1098</v>
      </c>
      <c r="E509" s="26" t="n">
        <v>6</v>
      </c>
      <c r="F509" s="26" t="n">
        <v>6</v>
      </c>
      <c r="G509" s="26" t="n">
        <v>0</v>
      </c>
      <c r="H509" s="26" t="n">
        <v>0</v>
      </c>
      <c r="I509" s="26" t="n">
        <v>22</v>
      </c>
      <c r="J509" s="26" t="n">
        <v>0</v>
      </c>
      <c r="K509" s="26" t="n">
        <v>0</v>
      </c>
      <c r="L509" s="26" t="n">
        <v>0</v>
      </c>
      <c r="M509" s="26" t="n">
        <v>0</v>
      </c>
    </row>
    <row r="510" customFormat="false" ht="15" hidden="false" customHeight="false" outlineLevel="0" collapsed="false">
      <c r="A510" s="7" t="s">
        <v>87</v>
      </c>
      <c r="B510" s="7" t="n">
        <v>4408205</v>
      </c>
      <c r="C510" s="7" t="s">
        <v>340</v>
      </c>
      <c r="D510" s="26" t="n">
        <v>93491.9</v>
      </c>
      <c r="E510" s="26" t="n">
        <v>562.2</v>
      </c>
      <c r="F510" s="26" t="n">
        <v>562.2</v>
      </c>
      <c r="G510" s="26" t="n">
        <v>0</v>
      </c>
      <c r="H510" s="26" t="n">
        <v>0</v>
      </c>
      <c r="I510" s="26" t="n">
        <v>1983.7</v>
      </c>
      <c r="J510" s="26" t="n">
        <v>0</v>
      </c>
      <c r="K510" s="26" t="n">
        <v>0</v>
      </c>
      <c r="L510" s="26" t="n">
        <v>0</v>
      </c>
      <c r="M510" s="26" t="n">
        <v>0</v>
      </c>
    </row>
    <row r="511" customFormat="false" ht="15" hidden="false" customHeight="false" outlineLevel="0" collapsed="false">
      <c r="A511" s="7" t="s">
        <v>85</v>
      </c>
      <c r="B511" s="7" t="n">
        <v>4408206</v>
      </c>
      <c r="C511" s="7" t="s">
        <v>341</v>
      </c>
      <c r="D511" s="26" t="n">
        <v>219</v>
      </c>
      <c r="E511" s="26" t="n">
        <v>0</v>
      </c>
      <c r="F511" s="26" t="n">
        <v>3</v>
      </c>
      <c r="G511" s="26" t="n">
        <v>2</v>
      </c>
      <c r="H511" s="26" t="n">
        <v>0</v>
      </c>
      <c r="I511" s="26" t="n">
        <v>-1</v>
      </c>
      <c r="J511" s="26" t="n">
        <v>0</v>
      </c>
      <c r="K511" s="26" t="n">
        <v>0</v>
      </c>
      <c r="L511" s="26" t="n">
        <v>0</v>
      </c>
      <c r="M511" s="26" t="n">
        <v>0</v>
      </c>
    </row>
    <row r="512" customFormat="false" ht="15" hidden="false" customHeight="false" outlineLevel="0" collapsed="false">
      <c r="A512" s="7" t="s">
        <v>87</v>
      </c>
      <c r="B512" s="7" t="n">
        <v>4408206</v>
      </c>
      <c r="C512" s="7" t="s">
        <v>341</v>
      </c>
      <c r="D512" s="26" t="n">
        <v>14612</v>
      </c>
      <c r="E512" s="26" t="n">
        <v>0</v>
      </c>
      <c r="F512" s="26" t="n">
        <v>219.7</v>
      </c>
      <c r="G512" s="26" t="n">
        <v>127.5</v>
      </c>
      <c r="H512" s="26" t="n">
        <v>0</v>
      </c>
      <c r="I512" s="26" t="n">
        <v>-75.3</v>
      </c>
      <c r="J512" s="26" t="n">
        <v>0</v>
      </c>
      <c r="K512" s="26" t="n">
        <v>0</v>
      </c>
      <c r="L512" s="26" t="n">
        <v>0</v>
      </c>
      <c r="M512" s="26" t="n">
        <v>0</v>
      </c>
    </row>
    <row r="513" customFormat="false" ht="15" hidden="false" customHeight="false" outlineLevel="0" collapsed="false">
      <c r="A513" s="7" t="s">
        <v>85</v>
      </c>
      <c r="B513" s="7" t="n">
        <v>4408252</v>
      </c>
      <c r="C513" s="7" t="s">
        <v>342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0</v>
      </c>
      <c r="I513" s="26" t="n">
        <v>0</v>
      </c>
      <c r="J513" s="26" t="n">
        <v>0</v>
      </c>
      <c r="K513" s="26" t="n">
        <v>0</v>
      </c>
      <c r="L513" s="26" t="n">
        <v>0</v>
      </c>
      <c r="M513" s="26" t="n">
        <v>0</v>
      </c>
    </row>
    <row r="514" customFormat="false" ht="15" hidden="false" customHeight="false" outlineLevel="0" collapsed="false">
      <c r="A514" s="7" t="s">
        <v>87</v>
      </c>
      <c r="B514" s="7" t="n">
        <v>4408252</v>
      </c>
      <c r="C514" s="7" t="s">
        <v>342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0</v>
      </c>
      <c r="I514" s="26" t="n">
        <v>0</v>
      </c>
      <c r="J514" s="26" t="n">
        <v>0</v>
      </c>
      <c r="K514" s="26" t="n">
        <v>0</v>
      </c>
      <c r="L514" s="26" t="n">
        <v>0</v>
      </c>
      <c r="M514" s="26" t="n">
        <v>0</v>
      </c>
    </row>
    <row r="515" customFormat="false" ht="15" hidden="false" customHeight="false" outlineLevel="0" collapsed="false">
      <c r="A515" s="7" t="s">
        <v>85</v>
      </c>
      <c r="B515" s="7" t="n">
        <v>4408226</v>
      </c>
      <c r="C515" s="7" t="s">
        <v>343</v>
      </c>
      <c r="D515" s="26" t="n">
        <v>2</v>
      </c>
      <c r="E515" s="26" t="n">
        <v>0</v>
      </c>
      <c r="F515" s="26" t="n">
        <v>0</v>
      </c>
      <c r="G515" s="26" t="n">
        <v>0</v>
      </c>
      <c r="H515" s="26" t="n">
        <v>45</v>
      </c>
      <c r="I515" s="26" t="n">
        <v>0</v>
      </c>
      <c r="J515" s="26" t="n">
        <v>0</v>
      </c>
      <c r="K515" s="26" t="n">
        <v>0</v>
      </c>
      <c r="L515" s="26" t="n">
        <v>0</v>
      </c>
      <c r="M515" s="26" t="n">
        <v>0</v>
      </c>
    </row>
    <row r="516" customFormat="false" ht="15" hidden="false" customHeight="false" outlineLevel="0" collapsed="false">
      <c r="A516" s="7" t="s">
        <v>87</v>
      </c>
      <c r="B516" s="7" t="n">
        <v>4408226</v>
      </c>
      <c r="C516" s="7" t="s">
        <v>343</v>
      </c>
      <c r="D516" s="26" t="n">
        <v>206.1</v>
      </c>
      <c r="E516" s="26" t="n">
        <v>0</v>
      </c>
      <c r="F516" s="26" t="n">
        <v>0</v>
      </c>
      <c r="G516" s="26" t="n">
        <v>0</v>
      </c>
      <c r="H516" s="26" t="n">
        <v>3611.3</v>
      </c>
      <c r="I516" s="26" t="n">
        <v>0</v>
      </c>
      <c r="J516" s="26" t="n">
        <v>0</v>
      </c>
      <c r="K516" s="26" t="n">
        <v>0</v>
      </c>
      <c r="L516" s="26" t="n">
        <v>0</v>
      </c>
      <c r="M516" s="26" t="n">
        <v>0</v>
      </c>
    </row>
    <row r="517" customFormat="false" ht="15" hidden="false" customHeight="false" outlineLevel="0" collapsed="false">
      <c r="A517" s="7" t="s">
        <v>85</v>
      </c>
      <c r="B517" s="7" t="n">
        <v>4408225</v>
      </c>
      <c r="C517" s="7" t="s">
        <v>344</v>
      </c>
      <c r="D517" s="26" t="n">
        <v>3</v>
      </c>
      <c r="E517" s="26" t="n">
        <v>0</v>
      </c>
      <c r="F517" s="26" t="n">
        <v>0</v>
      </c>
      <c r="G517" s="26" t="n">
        <v>0</v>
      </c>
      <c r="H517" s="26" t="n">
        <v>34</v>
      </c>
      <c r="I517" s="26" t="n">
        <v>0</v>
      </c>
      <c r="J517" s="26" t="n">
        <v>0</v>
      </c>
      <c r="K517" s="26" t="n">
        <v>0</v>
      </c>
      <c r="L517" s="26" t="n">
        <v>0</v>
      </c>
      <c r="M517" s="26" t="n">
        <v>0</v>
      </c>
    </row>
    <row r="518" customFormat="false" ht="15" hidden="false" customHeight="false" outlineLevel="0" collapsed="false">
      <c r="A518" s="7" t="s">
        <v>87</v>
      </c>
      <c r="B518" s="7" t="n">
        <v>4408225</v>
      </c>
      <c r="C518" s="7" t="s">
        <v>344</v>
      </c>
      <c r="D518" s="26" t="n">
        <v>288.7</v>
      </c>
      <c r="E518" s="26" t="n">
        <v>0</v>
      </c>
      <c r="F518" s="26" t="n">
        <v>0</v>
      </c>
      <c r="G518" s="26" t="n">
        <v>0</v>
      </c>
      <c r="H518" s="26" t="n">
        <v>2730.6</v>
      </c>
      <c r="I518" s="26" t="n">
        <v>0</v>
      </c>
      <c r="J518" s="26" t="n">
        <v>0</v>
      </c>
      <c r="K518" s="26" t="n">
        <v>0</v>
      </c>
      <c r="L518" s="26" t="n">
        <v>0</v>
      </c>
      <c r="M518" s="26" t="n">
        <v>0</v>
      </c>
    </row>
    <row r="519" customFormat="false" ht="15" hidden="false" customHeight="false" outlineLevel="0" collapsed="false">
      <c r="A519" s="7" t="s">
        <v>85</v>
      </c>
      <c r="B519" s="7" t="n">
        <v>4408190</v>
      </c>
      <c r="C519" s="7" t="s">
        <v>345</v>
      </c>
      <c r="D519" s="26" t="n">
        <v>86</v>
      </c>
      <c r="E519" s="26" t="n">
        <v>0</v>
      </c>
      <c r="F519" s="26" t="n">
        <v>0</v>
      </c>
      <c r="G519" s="26" t="n">
        <v>0</v>
      </c>
      <c r="H519" s="26" t="n">
        <v>65</v>
      </c>
      <c r="I519" s="26" t="n">
        <v>0</v>
      </c>
      <c r="J519" s="26" t="n">
        <v>0</v>
      </c>
      <c r="K519" s="26" t="n">
        <v>0</v>
      </c>
      <c r="L519" s="26" t="n">
        <v>0</v>
      </c>
      <c r="M519" s="26" t="n">
        <v>0</v>
      </c>
    </row>
    <row r="520" customFormat="false" ht="15" hidden="false" customHeight="false" outlineLevel="0" collapsed="false">
      <c r="A520" s="7" t="s">
        <v>87</v>
      </c>
      <c r="B520" s="7" t="n">
        <v>4408190</v>
      </c>
      <c r="C520" s="7" t="s">
        <v>345</v>
      </c>
      <c r="D520" s="26" t="n">
        <v>9536.7</v>
      </c>
      <c r="E520" s="26" t="n">
        <v>0</v>
      </c>
      <c r="F520" s="26" t="n">
        <v>0</v>
      </c>
      <c r="G520" s="26" t="n">
        <v>0</v>
      </c>
      <c r="H520" s="26" t="n">
        <v>6213.6</v>
      </c>
      <c r="I520" s="26" t="n">
        <v>0</v>
      </c>
      <c r="J520" s="26" t="n">
        <v>0</v>
      </c>
      <c r="K520" s="26" t="n">
        <v>0</v>
      </c>
      <c r="L520" s="26" t="n">
        <v>0</v>
      </c>
      <c r="M520" s="26" t="n">
        <v>0</v>
      </c>
    </row>
    <row r="521" customFormat="false" ht="15" hidden="false" customHeight="false" outlineLevel="0" collapsed="false">
      <c r="A521" s="7" t="s">
        <v>85</v>
      </c>
      <c r="B521" s="7" t="n">
        <v>4408251</v>
      </c>
      <c r="C521" s="7" t="s">
        <v>346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  <c r="L521" s="26" t="n">
        <v>0</v>
      </c>
      <c r="M521" s="26" t="n">
        <v>0</v>
      </c>
    </row>
    <row r="522" customFormat="false" ht="15" hidden="false" customHeight="false" outlineLevel="0" collapsed="false">
      <c r="A522" s="7" t="s">
        <v>87</v>
      </c>
      <c r="B522" s="7" t="n">
        <v>4408251</v>
      </c>
      <c r="C522" s="7" t="s">
        <v>346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0</v>
      </c>
      <c r="I522" s="26" t="n">
        <v>0</v>
      </c>
      <c r="J522" s="26" t="n">
        <v>0</v>
      </c>
      <c r="K522" s="26" t="n">
        <v>0</v>
      </c>
      <c r="L522" s="26" t="n">
        <v>0</v>
      </c>
      <c r="M522" s="26" t="n">
        <v>0</v>
      </c>
    </row>
    <row r="523" customFormat="false" ht="15" hidden="false" customHeight="false" outlineLevel="0" collapsed="false">
      <c r="A523" s="7" t="s">
        <v>85</v>
      </c>
      <c r="B523" s="7" t="n">
        <v>4408224</v>
      </c>
      <c r="C523" s="7" t="s">
        <v>347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15</v>
      </c>
      <c r="I523" s="26" t="n">
        <v>0</v>
      </c>
      <c r="J523" s="26" t="n">
        <v>0</v>
      </c>
      <c r="K523" s="26" t="n">
        <v>0</v>
      </c>
      <c r="L523" s="26" t="n">
        <v>0</v>
      </c>
      <c r="M523" s="26" t="n">
        <v>0</v>
      </c>
    </row>
    <row r="524" customFormat="false" ht="15" hidden="false" customHeight="false" outlineLevel="0" collapsed="false">
      <c r="A524" s="7" t="s">
        <v>87</v>
      </c>
      <c r="B524" s="7" t="n">
        <v>4408224</v>
      </c>
      <c r="C524" s="7" t="s">
        <v>347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1210.5</v>
      </c>
      <c r="I524" s="26" t="n">
        <v>0</v>
      </c>
      <c r="J524" s="26" t="n">
        <v>0</v>
      </c>
      <c r="K524" s="26" t="n">
        <v>0</v>
      </c>
      <c r="L524" s="26" t="n">
        <v>0</v>
      </c>
      <c r="M524" s="26" t="n">
        <v>0</v>
      </c>
    </row>
    <row r="525" customFormat="false" ht="15" hidden="false" customHeight="false" outlineLevel="0" collapsed="false">
      <c r="A525" s="7" t="s">
        <v>85</v>
      </c>
      <c r="B525" s="7" t="n">
        <v>4408217</v>
      </c>
      <c r="C525" s="7" t="s">
        <v>348</v>
      </c>
      <c r="D525" s="26" t="n">
        <v>20</v>
      </c>
      <c r="E525" s="26" t="n">
        <v>0</v>
      </c>
      <c r="F525" s="26" t="n">
        <v>1</v>
      </c>
      <c r="G525" s="26" t="n">
        <v>0</v>
      </c>
      <c r="H525" s="26" t="n">
        <v>11</v>
      </c>
      <c r="I525" s="26" t="n">
        <v>0</v>
      </c>
      <c r="J525" s="26" t="n">
        <v>0</v>
      </c>
      <c r="K525" s="26" t="n">
        <v>0</v>
      </c>
      <c r="L525" s="26" t="n">
        <v>0</v>
      </c>
      <c r="M525" s="26" t="n">
        <v>0</v>
      </c>
    </row>
    <row r="526" customFormat="false" ht="15" hidden="false" customHeight="false" outlineLevel="0" collapsed="false">
      <c r="A526" s="7" t="s">
        <v>87</v>
      </c>
      <c r="B526" s="7" t="n">
        <v>4408217</v>
      </c>
      <c r="C526" s="7" t="s">
        <v>348</v>
      </c>
      <c r="D526" s="26" t="n">
        <v>2207.1</v>
      </c>
      <c r="E526" s="26" t="n">
        <v>0</v>
      </c>
      <c r="F526" s="26" t="n">
        <v>117.1</v>
      </c>
      <c r="G526" s="26" t="n">
        <v>0</v>
      </c>
      <c r="H526" s="26" t="n">
        <v>1035.5</v>
      </c>
      <c r="I526" s="26" t="n">
        <v>0</v>
      </c>
      <c r="J526" s="26" t="n">
        <v>0</v>
      </c>
      <c r="K526" s="26" t="n">
        <v>0</v>
      </c>
      <c r="L526" s="26" t="n">
        <v>0</v>
      </c>
      <c r="M526" s="26" t="n">
        <v>0</v>
      </c>
    </row>
    <row r="527" customFormat="false" ht="15" hidden="false" customHeight="false" outlineLevel="0" collapsed="false">
      <c r="A527" s="7" t="s">
        <v>85</v>
      </c>
      <c r="B527" s="7" t="n">
        <v>4408270</v>
      </c>
      <c r="C527" s="7" t="s">
        <v>349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0</v>
      </c>
      <c r="L527" s="26" t="n">
        <v>0</v>
      </c>
      <c r="M527" s="26" t="n">
        <v>0</v>
      </c>
    </row>
    <row r="528" customFormat="false" ht="15" hidden="false" customHeight="false" outlineLevel="0" collapsed="false">
      <c r="A528" s="7" t="s">
        <v>87</v>
      </c>
      <c r="B528" s="7" t="n">
        <v>4408270</v>
      </c>
      <c r="C528" s="7" t="s">
        <v>349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0</v>
      </c>
      <c r="L528" s="26" t="n">
        <v>0</v>
      </c>
      <c r="M528" s="26" t="n">
        <v>0</v>
      </c>
    </row>
    <row r="529" customFormat="false" ht="15" hidden="false" customHeight="false" outlineLevel="0" collapsed="false">
      <c r="A529" s="7" t="s">
        <v>85</v>
      </c>
      <c r="B529" s="7" t="n">
        <v>4408090</v>
      </c>
      <c r="C529" s="7" t="s">
        <v>350</v>
      </c>
      <c r="D529" s="26" t="n">
        <v>8</v>
      </c>
      <c r="E529" s="26" t="n">
        <v>0</v>
      </c>
      <c r="F529" s="26" t="n">
        <v>0</v>
      </c>
      <c r="G529" s="26" t="n">
        <v>0</v>
      </c>
      <c r="H529" s="26" t="n">
        <v>9</v>
      </c>
      <c r="I529" s="26" t="n">
        <v>8</v>
      </c>
      <c r="J529" s="26" t="n">
        <v>0</v>
      </c>
      <c r="K529" s="26" t="n">
        <v>0</v>
      </c>
      <c r="L529" s="26" t="n">
        <v>0</v>
      </c>
      <c r="M529" s="26" t="n">
        <v>0</v>
      </c>
    </row>
    <row r="530" customFormat="false" ht="15" hidden="false" customHeight="false" outlineLevel="0" collapsed="false">
      <c r="A530" s="7" t="s">
        <v>87</v>
      </c>
      <c r="B530" s="7" t="n">
        <v>4408090</v>
      </c>
      <c r="C530" s="7" t="s">
        <v>350</v>
      </c>
      <c r="D530" s="26" t="n">
        <v>740.1</v>
      </c>
      <c r="E530" s="26" t="n">
        <v>0</v>
      </c>
      <c r="F530" s="26" t="n">
        <v>0</v>
      </c>
      <c r="G530" s="26" t="n">
        <v>0</v>
      </c>
      <c r="H530" s="26" t="n">
        <v>728.9</v>
      </c>
      <c r="I530" s="26" t="n">
        <v>705.6</v>
      </c>
      <c r="J530" s="26" t="n">
        <v>0</v>
      </c>
      <c r="K530" s="26" t="n">
        <v>0</v>
      </c>
      <c r="L530" s="26" t="n">
        <v>0</v>
      </c>
      <c r="M530" s="26" t="n">
        <v>0</v>
      </c>
    </row>
    <row r="531" customFormat="false" ht="15" hidden="false" customHeight="false" outlineLevel="0" collapsed="false">
      <c r="A531" s="7" t="s">
        <v>85</v>
      </c>
      <c r="B531" s="7" t="n">
        <v>4408091</v>
      </c>
      <c r="C531" s="7" t="s">
        <v>351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7</v>
      </c>
      <c r="I531" s="26" t="n">
        <v>0</v>
      </c>
      <c r="J531" s="26" t="n">
        <v>0</v>
      </c>
      <c r="K531" s="26" t="n">
        <v>0</v>
      </c>
      <c r="L531" s="26" t="n">
        <v>0</v>
      </c>
      <c r="M531" s="26" t="n">
        <v>0</v>
      </c>
    </row>
    <row r="532" customFormat="false" ht="15" hidden="false" customHeight="false" outlineLevel="0" collapsed="false">
      <c r="A532" s="7" t="s">
        <v>87</v>
      </c>
      <c r="B532" s="7" t="n">
        <v>4408091</v>
      </c>
      <c r="C532" s="7" t="s">
        <v>351</v>
      </c>
      <c r="D532" s="26" t="n">
        <v>0.1</v>
      </c>
      <c r="E532" s="26" t="n">
        <v>0</v>
      </c>
      <c r="F532" s="26" t="n">
        <v>0</v>
      </c>
      <c r="G532" s="26" t="n">
        <v>0</v>
      </c>
      <c r="H532" s="26" t="n">
        <v>573.3</v>
      </c>
      <c r="I532" s="26" t="n">
        <v>0</v>
      </c>
      <c r="J532" s="26" t="n">
        <v>0</v>
      </c>
      <c r="K532" s="26" t="n">
        <v>0</v>
      </c>
      <c r="L532" s="26" t="n">
        <v>0</v>
      </c>
      <c r="M532" s="26" t="n">
        <v>0</v>
      </c>
    </row>
    <row r="533" customFormat="false" ht="15" hidden="false" customHeight="false" outlineLevel="0" collapsed="false">
      <c r="A533" s="7" t="s">
        <v>85</v>
      </c>
      <c r="B533" s="7" t="n">
        <v>4408089</v>
      </c>
      <c r="C533" s="7" t="s">
        <v>352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-1</v>
      </c>
      <c r="I533" s="26" t="n">
        <v>-2</v>
      </c>
      <c r="J533" s="26" t="n">
        <v>0</v>
      </c>
      <c r="K533" s="26" t="n">
        <v>0</v>
      </c>
      <c r="L533" s="26" t="n">
        <v>0</v>
      </c>
      <c r="M533" s="26" t="n">
        <v>0</v>
      </c>
    </row>
    <row r="534" customFormat="false" ht="15" hidden="false" customHeight="false" outlineLevel="0" collapsed="false">
      <c r="A534" s="7" t="s">
        <v>87</v>
      </c>
      <c r="B534" s="7" t="n">
        <v>4408089</v>
      </c>
      <c r="C534" s="7" t="s">
        <v>352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-81.9</v>
      </c>
      <c r="I534" s="26" t="n">
        <v>-176.4</v>
      </c>
      <c r="J534" s="26" t="n">
        <v>0</v>
      </c>
      <c r="K534" s="26" t="n">
        <v>0</v>
      </c>
      <c r="L534" s="26" t="n">
        <v>0</v>
      </c>
      <c r="M534" s="26" t="n">
        <v>0</v>
      </c>
    </row>
    <row r="535" customFormat="false" ht="15" hidden="false" customHeight="false" outlineLevel="0" collapsed="false">
      <c r="A535" s="7" t="s">
        <v>85</v>
      </c>
      <c r="B535" s="7" t="n">
        <v>4408092</v>
      </c>
      <c r="C535" s="7" t="s">
        <v>353</v>
      </c>
      <c r="D535" s="26" t="n">
        <v>9</v>
      </c>
      <c r="E535" s="26" t="n">
        <v>0</v>
      </c>
      <c r="F535" s="26" t="n">
        <v>0</v>
      </c>
      <c r="G535" s="26" t="n">
        <v>1</v>
      </c>
      <c r="H535" s="26" t="n">
        <v>13</v>
      </c>
      <c r="I535" s="26" t="n">
        <v>6</v>
      </c>
      <c r="J535" s="26" t="n">
        <v>0</v>
      </c>
      <c r="K535" s="26" t="n">
        <v>0</v>
      </c>
      <c r="L535" s="26" t="n">
        <v>0</v>
      </c>
      <c r="M535" s="26" t="n">
        <v>0</v>
      </c>
    </row>
    <row r="536" customFormat="false" ht="15" hidden="false" customHeight="false" outlineLevel="0" collapsed="false">
      <c r="A536" s="7" t="s">
        <v>87</v>
      </c>
      <c r="B536" s="7" t="n">
        <v>4408092</v>
      </c>
      <c r="C536" s="7" t="s">
        <v>353</v>
      </c>
      <c r="D536" s="26" t="n">
        <v>843.7</v>
      </c>
      <c r="E536" s="26" t="n">
        <v>0</v>
      </c>
      <c r="F536" s="26" t="n">
        <v>0</v>
      </c>
      <c r="G536" s="26" t="n">
        <v>82</v>
      </c>
      <c r="H536" s="26" t="n">
        <v>1052.4</v>
      </c>
      <c r="I536" s="26" t="n">
        <v>529.2</v>
      </c>
      <c r="J536" s="26" t="n">
        <v>0</v>
      </c>
      <c r="K536" s="26" t="n">
        <v>0</v>
      </c>
      <c r="L536" s="26" t="n">
        <v>0</v>
      </c>
      <c r="M536" s="26" t="n">
        <v>0</v>
      </c>
    </row>
    <row r="537" customFormat="false" ht="15" hidden="false" customHeight="false" outlineLevel="0" collapsed="false">
      <c r="A537" s="7" t="s">
        <v>85</v>
      </c>
      <c r="B537" s="7" t="n">
        <v>4408093</v>
      </c>
      <c r="C537" s="7" t="s">
        <v>354</v>
      </c>
      <c r="D537" s="26" t="n">
        <v>8</v>
      </c>
      <c r="E537" s="26" t="n">
        <v>0</v>
      </c>
      <c r="F537" s="26" t="n">
        <v>0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  <c r="L537" s="26" t="n">
        <v>0</v>
      </c>
      <c r="M537" s="26" t="n">
        <v>0</v>
      </c>
    </row>
    <row r="538" customFormat="false" ht="15" hidden="false" customHeight="false" outlineLevel="0" collapsed="false">
      <c r="A538" s="7" t="s">
        <v>87</v>
      </c>
      <c r="B538" s="7" t="n">
        <v>4408093</v>
      </c>
      <c r="C538" s="7" t="s">
        <v>354</v>
      </c>
      <c r="D538" s="26" t="n">
        <v>752.9</v>
      </c>
      <c r="E538" s="26" t="n">
        <v>0</v>
      </c>
      <c r="F538" s="26" t="n">
        <v>0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  <c r="L538" s="26" t="n">
        <v>0</v>
      </c>
      <c r="M538" s="26" t="n">
        <v>0</v>
      </c>
    </row>
    <row r="539" customFormat="false" ht="15" hidden="false" customHeight="false" outlineLevel="0" collapsed="false">
      <c r="A539" s="7" t="s">
        <v>85</v>
      </c>
      <c r="B539" s="7" t="n">
        <v>4408227</v>
      </c>
      <c r="C539" s="7" t="s">
        <v>355</v>
      </c>
      <c r="D539" s="26" t="n">
        <v>1</v>
      </c>
      <c r="E539" s="26" t="n">
        <v>0</v>
      </c>
      <c r="F539" s="26" t="n">
        <v>0</v>
      </c>
      <c r="G539" s="26" t="n">
        <v>0</v>
      </c>
      <c r="H539" s="26" t="n">
        <v>32</v>
      </c>
      <c r="I539" s="26" t="n">
        <v>0</v>
      </c>
      <c r="J539" s="26" t="n">
        <v>0</v>
      </c>
      <c r="K539" s="26" t="n">
        <v>0</v>
      </c>
      <c r="L539" s="26" t="n">
        <v>0</v>
      </c>
      <c r="M539" s="26" t="n">
        <v>0</v>
      </c>
    </row>
    <row r="540" customFormat="false" ht="15" hidden="false" customHeight="false" outlineLevel="0" collapsed="false">
      <c r="A540" s="7" t="s">
        <v>87</v>
      </c>
      <c r="B540" s="7" t="n">
        <v>4408227</v>
      </c>
      <c r="C540" s="7" t="s">
        <v>355</v>
      </c>
      <c r="D540" s="26" t="n">
        <v>103.1</v>
      </c>
      <c r="E540" s="26" t="n">
        <v>0</v>
      </c>
      <c r="F540" s="26" t="n">
        <v>0</v>
      </c>
      <c r="G540" s="26" t="n">
        <v>0</v>
      </c>
      <c r="H540" s="26" t="n">
        <v>2549.6</v>
      </c>
      <c r="I540" s="26" t="n">
        <v>0</v>
      </c>
      <c r="J540" s="26" t="n">
        <v>0</v>
      </c>
      <c r="K540" s="26" t="n">
        <v>0</v>
      </c>
      <c r="L540" s="26" t="n">
        <v>0</v>
      </c>
      <c r="M540" s="26" t="n">
        <v>0</v>
      </c>
    </row>
    <row r="541" customFormat="false" ht="15" hidden="false" customHeight="false" outlineLevel="0" collapsed="false">
      <c r="A541" s="7" t="s">
        <v>85</v>
      </c>
      <c r="B541" s="7" t="n">
        <v>4408229</v>
      </c>
      <c r="C541" s="7" t="s">
        <v>356</v>
      </c>
      <c r="D541" s="26" t="n">
        <v>1</v>
      </c>
      <c r="E541" s="26" t="n">
        <v>0</v>
      </c>
      <c r="F541" s="26" t="n">
        <v>0</v>
      </c>
      <c r="G541" s="26" t="n">
        <v>0</v>
      </c>
      <c r="H541" s="26" t="n">
        <v>8</v>
      </c>
      <c r="I541" s="26" t="n">
        <v>0</v>
      </c>
      <c r="J541" s="26" t="n">
        <v>0</v>
      </c>
      <c r="K541" s="26" t="n">
        <v>0</v>
      </c>
      <c r="L541" s="26" t="n">
        <v>0</v>
      </c>
      <c r="M541" s="26" t="n">
        <v>0</v>
      </c>
    </row>
    <row r="542" customFormat="false" ht="15" hidden="false" customHeight="false" outlineLevel="0" collapsed="false">
      <c r="A542" s="7" t="s">
        <v>87</v>
      </c>
      <c r="B542" s="7" t="n">
        <v>4408229</v>
      </c>
      <c r="C542" s="7" t="s">
        <v>356</v>
      </c>
      <c r="D542" s="26" t="n">
        <v>103.1</v>
      </c>
      <c r="E542" s="26" t="n">
        <v>0</v>
      </c>
      <c r="F542" s="26" t="n">
        <v>0</v>
      </c>
      <c r="G542" s="26" t="n">
        <v>0</v>
      </c>
      <c r="H542" s="26" t="n">
        <v>635.4</v>
      </c>
      <c r="I542" s="26" t="n">
        <v>0</v>
      </c>
      <c r="J542" s="26" t="n">
        <v>0</v>
      </c>
      <c r="K542" s="26" t="n">
        <v>0</v>
      </c>
      <c r="L542" s="26" t="n">
        <v>0</v>
      </c>
      <c r="M542" s="26" t="n">
        <v>0</v>
      </c>
    </row>
    <row r="543" customFormat="false" ht="15" hidden="false" customHeight="false" outlineLevel="0" collapsed="false">
      <c r="A543" s="7" t="s">
        <v>85</v>
      </c>
      <c r="B543" s="7" t="n">
        <v>4409011</v>
      </c>
      <c r="C543" s="7" t="s">
        <v>357</v>
      </c>
      <c r="D543" s="26" t="n">
        <v>26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218</v>
      </c>
      <c r="J543" s="26" t="n">
        <v>0</v>
      </c>
      <c r="K543" s="26" t="n">
        <v>0</v>
      </c>
      <c r="L543" s="26" t="n">
        <v>0</v>
      </c>
      <c r="M543" s="26" t="n">
        <v>0</v>
      </c>
    </row>
    <row r="544" customFormat="false" ht="15" hidden="false" customHeight="false" outlineLevel="0" collapsed="false">
      <c r="A544" s="7" t="s">
        <v>87</v>
      </c>
      <c r="B544" s="7" t="n">
        <v>4409011</v>
      </c>
      <c r="C544" s="7" t="s">
        <v>357</v>
      </c>
      <c r="D544" s="26" t="n">
        <v>417.2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3357.2</v>
      </c>
      <c r="J544" s="26" t="n">
        <v>0</v>
      </c>
      <c r="K544" s="26" t="n">
        <v>0</v>
      </c>
      <c r="L544" s="26" t="n">
        <v>0</v>
      </c>
      <c r="M544" s="26" t="n">
        <v>0</v>
      </c>
    </row>
    <row r="545" customFormat="false" ht="15" hidden="false" customHeight="false" outlineLevel="0" collapsed="false">
      <c r="A545" s="7" t="s">
        <v>85</v>
      </c>
      <c r="B545" s="7" t="n">
        <v>4409013</v>
      </c>
      <c r="C545" s="7" t="s">
        <v>358</v>
      </c>
      <c r="D545" s="26" t="n">
        <v>7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282</v>
      </c>
      <c r="J545" s="26" t="n">
        <v>0</v>
      </c>
      <c r="K545" s="26" t="n">
        <v>0</v>
      </c>
      <c r="L545" s="26" t="n">
        <v>0</v>
      </c>
      <c r="M545" s="26" t="n">
        <v>0</v>
      </c>
    </row>
    <row r="546" customFormat="false" ht="15" hidden="false" customHeight="false" outlineLevel="0" collapsed="false">
      <c r="A546" s="7" t="s">
        <v>87</v>
      </c>
      <c r="B546" s="7" t="n">
        <v>4409013</v>
      </c>
      <c r="C546" s="7" t="s">
        <v>358</v>
      </c>
      <c r="D546" s="26" t="n">
        <v>118.8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4342.8</v>
      </c>
      <c r="J546" s="26" t="n">
        <v>0</v>
      </c>
      <c r="K546" s="26" t="n">
        <v>0</v>
      </c>
      <c r="L546" s="26" t="n">
        <v>0</v>
      </c>
      <c r="M546" s="26" t="n">
        <v>0</v>
      </c>
    </row>
    <row r="547" customFormat="false" ht="15" hidden="false" customHeight="false" outlineLevel="0" collapsed="false">
      <c r="A547" s="7" t="s">
        <v>85</v>
      </c>
      <c r="B547" s="7" t="n">
        <v>4409012</v>
      </c>
      <c r="C547" s="7" t="s">
        <v>359</v>
      </c>
      <c r="D547" s="26" t="n">
        <v>41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0</v>
      </c>
      <c r="L547" s="26" t="n">
        <v>0</v>
      </c>
      <c r="M547" s="26" t="n">
        <v>0</v>
      </c>
    </row>
    <row r="548" customFormat="false" ht="15" hidden="false" customHeight="false" outlineLevel="0" collapsed="false">
      <c r="A548" s="7" t="s">
        <v>87</v>
      </c>
      <c r="B548" s="7" t="n">
        <v>4409012</v>
      </c>
      <c r="C548" s="7" t="s">
        <v>359</v>
      </c>
      <c r="D548" s="26" t="n">
        <v>613.6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0</v>
      </c>
      <c r="L548" s="26" t="n">
        <v>0</v>
      </c>
      <c r="M548" s="26" t="n">
        <v>0</v>
      </c>
    </row>
    <row r="549" customFormat="false" ht="15" hidden="false" customHeight="false" outlineLevel="0" collapsed="false">
      <c r="A549" s="7" t="s">
        <v>85</v>
      </c>
      <c r="B549" s="7" t="n">
        <v>4409010</v>
      </c>
      <c r="C549" s="7" t="s">
        <v>360</v>
      </c>
      <c r="D549" s="26" t="n">
        <v>10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0</v>
      </c>
      <c r="L549" s="26" t="n">
        <v>0</v>
      </c>
      <c r="M549" s="26" t="n">
        <v>0</v>
      </c>
    </row>
    <row r="550" customFormat="false" ht="15" hidden="false" customHeight="false" outlineLevel="0" collapsed="false">
      <c r="A550" s="7" t="s">
        <v>87</v>
      </c>
      <c r="B550" s="7" t="n">
        <v>4409010</v>
      </c>
      <c r="C550" s="7" t="s">
        <v>360</v>
      </c>
      <c r="D550" s="26" t="n">
        <v>159.1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0</v>
      </c>
      <c r="L550" s="26" t="n">
        <v>0</v>
      </c>
      <c r="M550" s="26" t="n">
        <v>0</v>
      </c>
    </row>
    <row r="551" customFormat="false" ht="15" hidden="false" customHeight="false" outlineLevel="0" collapsed="false">
      <c r="A551" s="7" t="s">
        <v>85</v>
      </c>
      <c r="B551" s="7" t="n">
        <v>4401012</v>
      </c>
      <c r="C551" s="7" t="s">
        <v>361</v>
      </c>
      <c r="D551" s="26" t="n">
        <v>20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0</v>
      </c>
      <c r="L551" s="26" t="n">
        <v>0</v>
      </c>
      <c r="M551" s="26" t="n">
        <v>0</v>
      </c>
    </row>
    <row r="552" customFormat="false" ht="15" hidden="false" customHeight="false" outlineLevel="0" collapsed="false">
      <c r="A552" s="7" t="s">
        <v>87</v>
      </c>
      <c r="B552" s="7" t="n">
        <v>4401012</v>
      </c>
      <c r="C552" s="7" t="s">
        <v>361</v>
      </c>
      <c r="D552" s="26" t="n">
        <v>318.7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0</v>
      </c>
      <c r="L552" s="26" t="n">
        <v>0</v>
      </c>
      <c r="M552" s="26" t="n">
        <v>0</v>
      </c>
    </row>
    <row r="553" customFormat="false" ht="15" hidden="false" customHeight="false" outlineLevel="0" collapsed="false">
      <c r="A553" s="7" t="s">
        <v>85</v>
      </c>
      <c r="B553" s="7" t="n">
        <v>4401013</v>
      </c>
      <c r="C553" s="7" t="s">
        <v>362</v>
      </c>
      <c r="D553" s="26" t="n">
        <v>19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0</v>
      </c>
      <c r="J553" s="26" t="n">
        <v>0</v>
      </c>
      <c r="K553" s="26" t="n">
        <v>0</v>
      </c>
      <c r="L553" s="26" t="n">
        <v>0</v>
      </c>
      <c r="M553" s="26" t="n">
        <v>0</v>
      </c>
    </row>
    <row r="554" customFormat="false" ht="15" hidden="false" customHeight="false" outlineLevel="0" collapsed="false">
      <c r="A554" s="7" t="s">
        <v>87</v>
      </c>
      <c r="B554" s="7" t="n">
        <v>4401013</v>
      </c>
      <c r="C554" s="7" t="s">
        <v>362</v>
      </c>
      <c r="D554" s="26" t="n">
        <v>301.4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0</v>
      </c>
      <c r="J554" s="26" t="n">
        <v>0</v>
      </c>
      <c r="K554" s="26" t="n">
        <v>0</v>
      </c>
      <c r="L554" s="26" t="n">
        <v>0</v>
      </c>
      <c r="M554" s="26" t="n">
        <v>0</v>
      </c>
    </row>
    <row r="555" customFormat="false" ht="15" hidden="false" customHeight="false" outlineLevel="0" collapsed="false">
      <c r="A555" s="7" t="s">
        <v>85</v>
      </c>
      <c r="B555" s="7" t="n">
        <v>4401011</v>
      </c>
      <c r="C555" s="7" t="s">
        <v>363</v>
      </c>
      <c r="D555" s="26" t="n">
        <v>70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0</v>
      </c>
      <c r="J555" s="26" t="n">
        <v>0</v>
      </c>
      <c r="K555" s="26" t="n">
        <v>0</v>
      </c>
      <c r="L555" s="26" t="n">
        <v>0</v>
      </c>
      <c r="M555" s="26" t="n">
        <v>0</v>
      </c>
    </row>
    <row r="556" customFormat="false" ht="15" hidden="false" customHeight="false" outlineLevel="0" collapsed="false">
      <c r="A556" s="7" t="s">
        <v>87</v>
      </c>
      <c r="B556" s="7" t="n">
        <v>4401011</v>
      </c>
      <c r="C556" s="7" t="s">
        <v>363</v>
      </c>
      <c r="D556" s="26" t="n">
        <v>1089.5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0</v>
      </c>
      <c r="J556" s="26" t="n">
        <v>0</v>
      </c>
      <c r="K556" s="26" t="n">
        <v>0</v>
      </c>
      <c r="L556" s="26" t="n">
        <v>0</v>
      </c>
      <c r="M556" s="26" t="n">
        <v>0</v>
      </c>
    </row>
    <row r="557" customFormat="false" ht="15" hidden="false" customHeight="false" outlineLevel="0" collapsed="false">
      <c r="A557" s="7" t="s">
        <v>85</v>
      </c>
      <c r="B557" s="7" t="n">
        <v>4401014</v>
      </c>
      <c r="C557" s="7" t="s">
        <v>364</v>
      </c>
      <c r="D557" s="26" t="n">
        <v>47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0</v>
      </c>
      <c r="J557" s="26" t="n">
        <v>0</v>
      </c>
      <c r="K557" s="26" t="n">
        <v>0</v>
      </c>
      <c r="L557" s="26" t="n">
        <v>0</v>
      </c>
      <c r="M557" s="26" t="n">
        <v>0</v>
      </c>
    </row>
    <row r="558" customFormat="false" ht="15" hidden="false" customHeight="false" outlineLevel="0" collapsed="false">
      <c r="A558" s="7" t="s">
        <v>87</v>
      </c>
      <c r="B558" s="7" t="n">
        <v>4401014</v>
      </c>
      <c r="C558" s="7" t="s">
        <v>364</v>
      </c>
      <c r="D558" s="26" t="n">
        <v>719.1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0</v>
      </c>
      <c r="J558" s="26" t="n">
        <v>0</v>
      </c>
      <c r="K558" s="26" t="n">
        <v>0</v>
      </c>
      <c r="L558" s="26" t="n">
        <v>0</v>
      </c>
      <c r="M558" s="26" t="n">
        <v>0</v>
      </c>
    </row>
    <row r="559" customFormat="false" ht="15" hidden="false" customHeight="false" outlineLevel="0" collapsed="false">
      <c r="A559" s="7" t="s">
        <v>85</v>
      </c>
      <c r="B559" s="7" t="n">
        <v>4409017</v>
      </c>
      <c r="C559" s="7" t="s">
        <v>365</v>
      </c>
      <c r="D559" s="26" t="n">
        <v>391</v>
      </c>
      <c r="E559" s="26" t="n">
        <v>0</v>
      </c>
      <c r="F559" s="26" t="n">
        <v>0</v>
      </c>
      <c r="G559" s="26" t="n">
        <v>0</v>
      </c>
      <c r="H559" s="26" t="n">
        <v>1150</v>
      </c>
      <c r="I559" s="26" t="n">
        <v>0</v>
      </c>
      <c r="J559" s="26" t="n">
        <v>0</v>
      </c>
      <c r="K559" s="26" t="n">
        <v>0</v>
      </c>
      <c r="L559" s="26" t="n">
        <v>0</v>
      </c>
      <c r="M559" s="26" t="n">
        <v>0</v>
      </c>
    </row>
    <row r="560" customFormat="false" ht="15" hidden="false" customHeight="false" outlineLevel="0" collapsed="false">
      <c r="A560" s="7" t="s">
        <v>87</v>
      </c>
      <c r="B560" s="7" t="n">
        <v>4409017</v>
      </c>
      <c r="C560" s="7" t="s">
        <v>365</v>
      </c>
      <c r="D560" s="26" t="n">
        <v>12113.8</v>
      </c>
      <c r="E560" s="26" t="n">
        <v>0</v>
      </c>
      <c r="F560" s="26" t="n">
        <v>0</v>
      </c>
      <c r="G560" s="26" t="n">
        <v>0</v>
      </c>
      <c r="H560" s="26" t="n">
        <v>45598.1</v>
      </c>
      <c r="I560" s="26" t="n">
        <v>0</v>
      </c>
      <c r="J560" s="26" t="n">
        <v>0</v>
      </c>
      <c r="K560" s="26" t="n">
        <v>0</v>
      </c>
      <c r="L560" s="26" t="n">
        <v>0</v>
      </c>
      <c r="M560" s="26" t="n">
        <v>0</v>
      </c>
    </row>
    <row r="561" customFormat="false" ht="15" hidden="false" customHeight="false" outlineLevel="0" collapsed="false">
      <c r="A561" s="7" t="s">
        <v>85</v>
      </c>
      <c r="B561" s="7" t="n">
        <v>4409015</v>
      </c>
      <c r="C561" s="7" t="s">
        <v>366</v>
      </c>
      <c r="D561" s="26" t="n">
        <v>411</v>
      </c>
      <c r="E561" s="26" t="n">
        <v>0</v>
      </c>
      <c r="F561" s="26" t="n">
        <v>0</v>
      </c>
      <c r="G561" s="26" t="n">
        <v>0</v>
      </c>
      <c r="H561" s="26" t="n">
        <v>1200</v>
      </c>
      <c r="I561" s="26" t="n">
        <v>0</v>
      </c>
      <c r="J561" s="26" t="n">
        <v>0</v>
      </c>
      <c r="K561" s="26" t="n">
        <v>0</v>
      </c>
      <c r="L561" s="26" t="n">
        <v>0</v>
      </c>
      <c r="M561" s="26" t="n">
        <v>0</v>
      </c>
    </row>
    <row r="562" customFormat="false" ht="15" hidden="false" customHeight="false" outlineLevel="0" collapsed="false">
      <c r="A562" s="7" t="s">
        <v>87</v>
      </c>
      <c r="B562" s="7" t="n">
        <v>4409015</v>
      </c>
      <c r="C562" s="7" t="s">
        <v>366</v>
      </c>
      <c r="D562" s="26" t="n">
        <v>13057</v>
      </c>
      <c r="E562" s="26" t="n">
        <v>0</v>
      </c>
      <c r="F562" s="26" t="n">
        <v>0</v>
      </c>
      <c r="G562" s="26" t="n">
        <v>0</v>
      </c>
      <c r="H562" s="26" t="n">
        <v>48495.6</v>
      </c>
      <c r="I562" s="26" t="n">
        <v>0</v>
      </c>
      <c r="J562" s="26" t="n">
        <v>0</v>
      </c>
      <c r="K562" s="26" t="n">
        <v>0</v>
      </c>
      <c r="L562" s="26" t="n">
        <v>0</v>
      </c>
      <c r="M562" s="26" t="n">
        <v>0</v>
      </c>
    </row>
    <row r="563" customFormat="false" ht="15" hidden="false" customHeight="false" outlineLevel="0" collapsed="false">
      <c r="A563" s="7" t="s">
        <v>85</v>
      </c>
      <c r="B563" s="7" t="n">
        <v>4409016</v>
      </c>
      <c r="C563" s="7" t="s">
        <v>367</v>
      </c>
      <c r="D563" s="26" t="n">
        <v>517</v>
      </c>
      <c r="E563" s="26" t="n">
        <v>0</v>
      </c>
      <c r="F563" s="26" t="n">
        <v>0</v>
      </c>
      <c r="G563" s="26" t="n">
        <v>0</v>
      </c>
      <c r="H563" s="26" t="n">
        <v>1251</v>
      </c>
      <c r="I563" s="26" t="n">
        <v>-1</v>
      </c>
      <c r="J563" s="26" t="n">
        <v>0</v>
      </c>
      <c r="K563" s="26" t="n">
        <v>0</v>
      </c>
      <c r="L563" s="26" t="n">
        <v>0</v>
      </c>
      <c r="M563" s="26" t="n">
        <v>0</v>
      </c>
    </row>
    <row r="564" customFormat="false" ht="15" hidden="false" customHeight="false" outlineLevel="0" collapsed="false">
      <c r="A564" s="7" t="s">
        <v>87</v>
      </c>
      <c r="B564" s="7" t="n">
        <v>4409016</v>
      </c>
      <c r="C564" s="7" t="s">
        <v>367</v>
      </c>
      <c r="D564" s="26" t="n">
        <v>15602.6</v>
      </c>
      <c r="E564" s="26" t="n">
        <v>0</v>
      </c>
      <c r="F564" s="26" t="n">
        <v>0</v>
      </c>
      <c r="G564" s="26" t="n">
        <v>0</v>
      </c>
      <c r="H564" s="26" t="n">
        <v>49688.4</v>
      </c>
      <c r="I564" s="26" t="n">
        <v>-63.1</v>
      </c>
      <c r="J564" s="26" t="n">
        <v>0</v>
      </c>
      <c r="K564" s="26" t="n">
        <v>0</v>
      </c>
      <c r="L564" s="26" t="n">
        <v>0</v>
      </c>
      <c r="M564" s="26" t="n">
        <v>0</v>
      </c>
    </row>
    <row r="565" customFormat="false" ht="15" hidden="false" customHeight="false" outlineLevel="0" collapsed="false">
      <c r="A565" s="7" t="s">
        <v>85</v>
      </c>
      <c r="B565" s="7" t="n">
        <v>4409014</v>
      </c>
      <c r="C565" s="7" t="s">
        <v>368</v>
      </c>
      <c r="D565" s="26" t="n">
        <v>295</v>
      </c>
      <c r="E565" s="26" t="n">
        <v>0</v>
      </c>
      <c r="F565" s="26" t="n">
        <v>0</v>
      </c>
      <c r="G565" s="26" t="n">
        <v>0</v>
      </c>
      <c r="H565" s="26" t="n">
        <v>796</v>
      </c>
      <c r="I565" s="26" t="n">
        <v>256</v>
      </c>
      <c r="J565" s="26" t="n">
        <v>0</v>
      </c>
      <c r="K565" s="26" t="n">
        <v>0</v>
      </c>
      <c r="L565" s="26" t="n">
        <v>0</v>
      </c>
      <c r="M565" s="26" t="n">
        <v>0</v>
      </c>
    </row>
    <row r="566" customFormat="false" ht="15" hidden="false" customHeight="false" outlineLevel="0" collapsed="false">
      <c r="A566" s="7" t="s">
        <v>87</v>
      </c>
      <c r="B566" s="7" t="n">
        <v>4409014</v>
      </c>
      <c r="C566" s="7" t="s">
        <v>368</v>
      </c>
      <c r="D566" s="26" t="n">
        <v>8838</v>
      </c>
      <c r="E566" s="26" t="n">
        <v>0</v>
      </c>
      <c r="F566" s="26" t="n">
        <v>0</v>
      </c>
      <c r="G566" s="26" t="n">
        <v>0</v>
      </c>
      <c r="H566" s="26" t="n">
        <v>32148.2</v>
      </c>
      <c r="I566" s="26" t="n">
        <v>11284.5</v>
      </c>
      <c r="J566" s="26" t="n">
        <v>0</v>
      </c>
      <c r="K566" s="26" t="n">
        <v>0</v>
      </c>
      <c r="L566" s="26" t="n">
        <v>0</v>
      </c>
      <c r="M566" s="26" t="n">
        <v>0</v>
      </c>
    </row>
    <row r="567" customFormat="false" ht="15" hidden="false" customHeight="false" outlineLevel="0" collapsed="false">
      <c r="A567" s="7" t="s">
        <v>85</v>
      </c>
      <c r="B567" s="7" t="n">
        <v>4419013</v>
      </c>
      <c r="C567" s="7" t="s">
        <v>369</v>
      </c>
      <c r="D567" s="26" t="n">
        <v>-6</v>
      </c>
      <c r="E567" s="26" t="n">
        <v>0</v>
      </c>
      <c r="F567" s="26" t="n">
        <v>0</v>
      </c>
      <c r="G567" s="26" t="n">
        <v>0</v>
      </c>
      <c r="H567" s="26" t="n">
        <v>239</v>
      </c>
      <c r="I567" s="26" t="n">
        <v>0</v>
      </c>
      <c r="J567" s="26" t="n">
        <v>0</v>
      </c>
      <c r="K567" s="26" t="n">
        <v>0</v>
      </c>
      <c r="L567" s="26" t="n">
        <v>0</v>
      </c>
      <c r="M567" s="26" t="n">
        <v>0</v>
      </c>
    </row>
    <row r="568" customFormat="false" ht="15" hidden="false" customHeight="false" outlineLevel="0" collapsed="false">
      <c r="A568" s="7" t="s">
        <v>87</v>
      </c>
      <c r="B568" s="7" t="n">
        <v>4419013</v>
      </c>
      <c r="C568" s="7" t="s">
        <v>369</v>
      </c>
      <c r="D568" s="26" t="n">
        <v>-90.5</v>
      </c>
      <c r="E568" s="26" t="n">
        <v>0</v>
      </c>
      <c r="F568" s="26" t="n">
        <v>0</v>
      </c>
      <c r="G568" s="26" t="n">
        <v>0</v>
      </c>
      <c r="H568" s="26" t="n">
        <v>3993.5</v>
      </c>
      <c r="I568" s="26" t="n">
        <v>0</v>
      </c>
      <c r="J568" s="26" t="n">
        <v>0</v>
      </c>
      <c r="K568" s="26" t="n">
        <v>0</v>
      </c>
      <c r="L568" s="26" t="n">
        <v>0</v>
      </c>
      <c r="M568" s="26" t="n">
        <v>0</v>
      </c>
    </row>
    <row r="569" customFormat="false" ht="15" hidden="false" customHeight="false" outlineLevel="0" collapsed="false">
      <c r="A569" s="7" t="s">
        <v>85</v>
      </c>
      <c r="B569" s="7" t="n">
        <v>4419011</v>
      </c>
      <c r="C569" s="7" t="s">
        <v>370</v>
      </c>
      <c r="D569" s="26" t="n">
        <v>-4</v>
      </c>
      <c r="E569" s="26" t="n">
        <v>0</v>
      </c>
      <c r="F569" s="26" t="n">
        <v>0</v>
      </c>
      <c r="G569" s="26" t="n">
        <v>0</v>
      </c>
      <c r="H569" s="26" t="n">
        <v>257</v>
      </c>
      <c r="I569" s="26" t="n">
        <v>0</v>
      </c>
      <c r="J569" s="26" t="n">
        <v>0</v>
      </c>
      <c r="K569" s="26" t="n">
        <v>0</v>
      </c>
      <c r="L569" s="26" t="n">
        <v>0</v>
      </c>
      <c r="M569" s="26" t="n">
        <v>0</v>
      </c>
    </row>
    <row r="570" customFormat="false" ht="15" hidden="false" customHeight="false" outlineLevel="0" collapsed="false">
      <c r="A570" s="7" t="s">
        <v>87</v>
      </c>
      <c r="B570" s="7" t="n">
        <v>4419011</v>
      </c>
      <c r="C570" s="7" t="s">
        <v>370</v>
      </c>
      <c r="D570" s="26" t="n">
        <v>-54.7</v>
      </c>
      <c r="E570" s="26" t="n">
        <v>0</v>
      </c>
      <c r="F570" s="26" t="n">
        <v>0</v>
      </c>
      <c r="G570" s="26" t="n">
        <v>0</v>
      </c>
      <c r="H570" s="26" t="n">
        <v>4298.7</v>
      </c>
      <c r="I570" s="26" t="n">
        <v>0</v>
      </c>
      <c r="J570" s="26" t="n">
        <v>0</v>
      </c>
      <c r="K570" s="26" t="n">
        <v>0</v>
      </c>
      <c r="L570" s="26" t="n">
        <v>0</v>
      </c>
      <c r="M570" s="26" t="n">
        <v>0</v>
      </c>
    </row>
    <row r="571" customFormat="false" ht="15" hidden="false" customHeight="false" outlineLevel="0" collapsed="false">
      <c r="A571" s="7" t="s">
        <v>85</v>
      </c>
      <c r="B571" s="7" t="n">
        <v>4419012</v>
      </c>
      <c r="C571" s="7" t="s">
        <v>371</v>
      </c>
      <c r="D571" s="26" t="n">
        <v>-4</v>
      </c>
      <c r="E571" s="26" t="n">
        <v>0</v>
      </c>
      <c r="F571" s="26" t="n">
        <v>0</v>
      </c>
      <c r="G571" s="26" t="n">
        <v>0</v>
      </c>
      <c r="H571" s="26" t="n">
        <v>95</v>
      </c>
      <c r="I571" s="26" t="n">
        <v>0</v>
      </c>
      <c r="J571" s="26" t="n">
        <v>0</v>
      </c>
      <c r="K571" s="26" t="n">
        <v>0</v>
      </c>
      <c r="L571" s="26" t="n">
        <v>0</v>
      </c>
      <c r="M571" s="26" t="n">
        <v>0</v>
      </c>
    </row>
    <row r="572" customFormat="false" ht="15" hidden="false" customHeight="false" outlineLevel="0" collapsed="false">
      <c r="A572" s="7" t="s">
        <v>87</v>
      </c>
      <c r="B572" s="7" t="n">
        <v>4419012</v>
      </c>
      <c r="C572" s="7" t="s">
        <v>371</v>
      </c>
      <c r="D572" s="26" t="n">
        <v>-53.5</v>
      </c>
      <c r="E572" s="26" t="n">
        <v>0</v>
      </c>
      <c r="F572" s="26" t="n">
        <v>0</v>
      </c>
      <c r="G572" s="26" t="n">
        <v>0</v>
      </c>
      <c r="H572" s="26" t="n">
        <v>1673</v>
      </c>
      <c r="I572" s="26" t="n">
        <v>0</v>
      </c>
      <c r="J572" s="26" t="n">
        <v>0</v>
      </c>
      <c r="K572" s="26" t="n">
        <v>0</v>
      </c>
      <c r="L572" s="26" t="n">
        <v>0</v>
      </c>
      <c r="M572" s="26" t="n">
        <v>0</v>
      </c>
    </row>
    <row r="573" customFormat="false" ht="15" hidden="false" customHeight="false" outlineLevel="0" collapsed="false">
      <c r="A573" s="7" t="s">
        <v>85</v>
      </c>
      <c r="B573" s="7" t="n">
        <v>4419014</v>
      </c>
      <c r="C573" s="7" t="s">
        <v>372</v>
      </c>
      <c r="D573" s="26" t="n">
        <v>-4</v>
      </c>
      <c r="E573" s="26" t="n">
        <v>0</v>
      </c>
      <c r="F573" s="26" t="n">
        <v>0</v>
      </c>
      <c r="G573" s="26" t="n">
        <v>0</v>
      </c>
      <c r="H573" s="26" t="n">
        <v>328</v>
      </c>
      <c r="I573" s="26" t="n">
        <v>0</v>
      </c>
      <c r="J573" s="26" t="n">
        <v>0</v>
      </c>
      <c r="K573" s="26" t="n">
        <v>0</v>
      </c>
      <c r="L573" s="26" t="n">
        <v>0</v>
      </c>
      <c r="M573" s="26" t="n">
        <v>0</v>
      </c>
    </row>
    <row r="574" customFormat="false" ht="15" hidden="false" customHeight="false" outlineLevel="0" collapsed="false">
      <c r="A574" s="7" t="s">
        <v>87</v>
      </c>
      <c r="B574" s="7" t="n">
        <v>4419014</v>
      </c>
      <c r="C574" s="7" t="s">
        <v>372</v>
      </c>
      <c r="D574" s="26" t="n">
        <v>-55.3</v>
      </c>
      <c r="E574" s="26" t="n">
        <v>0</v>
      </c>
      <c r="F574" s="26" t="n">
        <v>0</v>
      </c>
      <c r="G574" s="26" t="n">
        <v>0</v>
      </c>
      <c r="H574" s="26" t="n">
        <v>5450</v>
      </c>
      <c r="I574" s="26" t="n">
        <v>0</v>
      </c>
      <c r="J574" s="26" t="n">
        <v>0</v>
      </c>
      <c r="K574" s="26" t="n">
        <v>0</v>
      </c>
      <c r="L574" s="26" t="n">
        <v>0</v>
      </c>
      <c r="M574" s="26" t="n">
        <v>0</v>
      </c>
    </row>
    <row r="575" customFormat="false" ht="15" hidden="false" customHeight="false" outlineLevel="0" collapsed="false">
      <c r="A575" s="7" t="s">
        <v>85</v>
      </c>
      <c r="B575" s="7" t="n">
        <v>4411002</v>
      </c>
      <c r="C575" s="7" t="s">
        <v>373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-3</v>
      </c>
      <c r="I575" s="26" t="n">
        <v>0</v>
      </c>
      <c r="J575" s="26" t="n">
        <v>0</v>
      </c>
      <c r="K575" s="26" t="n">
        <v>0</v>
      </c>
      <c r="L575" s="26" t="n">
        <v>0</v>
      </c>
      <c r="M575" s="26" t="n">
        <v>0</v>
      </c>
    </row>
    <row r="576" customFormat="false" ht="15" hidden="false" customHeight="false" outlineLevel="0" collapsed="false">
      <c r="A576" s="7" t="s">
        <v>87</v>
      </c>
      <c r="B576" s="7" t="n">
        <v>4411002</v>
      </c>
      <c r="C576" s="7" t="s">
        <v>373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-393.2</v>
      </c>
      <c r="I576" s="26" t="n">
        <v>0</v>
      </c>
      <c r="J576" s="26" t="n">
        <v>0</v>
      </c>
      <c r="K576" s="26" t="n">
        <v>0</v>
      </c>
      <c r="L576" s="26" t="n">
        <v>0</v>
      </c>
      <c r="M576" s="26" t="n">
        <v>0</v>
      </c>
    </row>
    <row r="577" customFormat="false" ht="15" hidden="false" customHeight="false" outlineLevel="0" collapsed="false">
      <c r="A577" s="7" t="s">
        <v>85</v>
      </c>
      <c r="B577" s="7" t="n">
        <v>4414000</v>
      </c>
      <c r="C577" s="7" t="s">
        <v>374</v>
      </c>
      <c r="D577" s="26" t="n">
        <v>699</v>
      </c>
      <c r="E577" s="26" t="n">
        <v>2</v>
      </c>
      <c r="F577" s="26" t="n">
        <v>9</v>
      </c>
      <c r="G577" s="26" t="n">
        <v>0</v>
      </c>
      <c r="H577" s="26" t="n">
        <v>2132</v>
      </c>
      <c r="I577" s="26" t="n">
        <v>185</v>
      </c>
      <c r="J577" s="26" t="n">
        <v>0</v>
      </c>
      <c r="K577" s="26" t="n">
        <v>0</v>
      </c>
      <c r="L577" s="26" t="n">
        <v>0</v>
      </c>
      <c r="M577" s="26" t="n">
        <v>0</v>
      </c>
    </row>
    <row r="578" customFormat="false" ht="15" hidden="false" customHeight="false" outlineLevel="0" collapsed="false">
      <c r="A578" s="7" t="s">
        <v>87</v>
      </c>
      <c r="B578" s="7" t="n">
        <v>4414000</v>
      </c>
      <c r="C578" s="7" t="s">
        <v>374</v>
      </c>
      <c r="D578" s="26" t="n">
        <v>22916.1</v>
      </c>
      <c r="E578" s="26" t="n">
        <v>72.7</v>
      </c>
      <c r="F578" s="26" t="n">
        <v>279.4</v>
      </c>
      <c r="G578" s="26" t="n">
        <v>0</v>
      </c>
      <c r="H578" s="26" t="n">
        <v>66609.4</v>
      </c>
      <c r="I578" s="26" t="n">
        <v>6186.6</v>
      </c>
      <c r="J578" s="26" t="n">
        <v>0</v>
      </c>
      <c r="K578" s="26" t="n">
        <v>0</v>
      </c>
      <c r="L578" s="26" t="n">
        <v>0</v>
      </c>
      <c r="M578" s="26" t="n">
        <v>0</v>
      </c>
    </row>
    <row r="579" customFormat="false" ht="15" hidden="false" customHeight="false" outlineLevel="0" collapsed="false">
      <c r="A579" s="7" t="s">
        <v>85</v>
      </c>
      <c r="B579" s="7" t="n">
        <v>4415024</v>
      </c>
      <c r="C579" s="7" t="s">
        <v>375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0</v>
      </c>
      <c r="J579" s="26" t="n">
        <v>0</v>
      </c>
      <c r="K579" s="26" t="n">
        <v>0</v>
      </c>
      <c r="L579" s="26" t="n">
        <v>0</v>
      </c>
      <c r="M579" s="26" t="n">
        <v>0</v>
      </c>
    </row>
    <row r="580" customFormat="false" ht="15" hidden="false" customHeight="false" outlineLevel="0" collapsed="false">
      <c r="A580" s="7" t="s">
        <v>87</v>
      </c>
      <c r="B580" s="7" t="n">
        <v>4415024</v>
      </c>
      <c r="C580" s="7" t="s">
        <v>375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0</v>
      </c>
      <c r="J580" s="26" t="n">
        <v>0</v>
      </c>
      <c r="K580" s="26" t="n">
        <v>0</v>
      </c>
      <c r="L580" s="26" t="n">
        <v>0</v>
      </c>
      <c r="M580" s="26" t="n">
        <v>0</v>
      </c>
    </row>
    <row r="581" customFormat="false" ht="15" hidden="false" customHeight="false" outlineLevel="0" collapsed="false">
      <c r="A581" s="7" t="s">
        <v>85</v>
      </c>
      <c r="B581" s="7" t="n">
        <v>4419015</v>
      </c>
      <c r="C581" s="7" t="s">
        <v>376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0</v>
      </c>
      <c r="J581" s="26" t="n">
        <v>0</v>
      </c>
      <c r="K581" s="26" t="n">
        <v>0</v>
      </c>
      <c r="L581" s="26" t="n">
        <v>0</v>
      </c>
      <c r="M581" s="26" t="n">
        <v>0</v>
      </c>
    </row>
    <row r="582" customFormat="false" ht="15" hidden="false" customHeight="false" outlineLevel="0" collapsed="false">
      <c r="A582" s="7" t="s">
        <v>87</v>
      </c>
      <c r="B582" s="7" t="n">
        <v>4419015</v>
      </c>
      <c r="C582" s="7" t="s">
        <v>376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0</v>
      </c>
      <c r="J582" s="26" t="n">
        <v>0</v>
      </c>
      <c r="K582" s="26" t="n">
        <v>0</v>
      </c>
      <c r="L582" s="26" t="n">
        <v>0</v>
      </c>
      <c r="M582" s="26" t="n">
        <v>0</v>
      </c>
    </row>
    <row r="583" customFormat="false" ht="15" hidden="false" customHeight="false" outlineLevel="0" collapsed="false">
      <c r="A583" s="7" t="s">
        <v>85</v>
      </c>
      <c r="B583" s="7" t="n">
        <v>4421008</v>
      </c>
      <c r="C583" s="7" t="s">
        <v>377</v>
      </c>
      <c r="D583" s="26" t="n">
        <v>89</v>
      </c>
      <c r="E583" s="26" t="n">
        <v>0</v>
      </c>
      <c r="F583" s="26" t="n">
        <v>0</v>
      </c>
      <c r="G583" s="26" t="n">
        <v>0</v>
      </c>
      <c r="H583" s="26" t="n">
        <v>350</v>
      </c>
      <c r="I583" s="26" t="n">
        <v>0</v>
      </c>
      <c r="J583" s="26" t="n">
        <v>0</v>
      </c>
      <c r="K583" s="26" t="n">
        <v>0</v>
      </c>
      <c r="L583" s="26" t="n">
        <v>0</v>
      </c>
      <c r="M583" s="26" t="n">
        <v>0</v>
      </c>
    </row>
    <row r="584" customFormat="false" ht="15" hidden="false" customHeight="false" outlineLevel="0" collapsed="false">
      <c r="A584" s="7" t="s">
        <v>87</v>
      </c>
      <c r="B584" s="7" t="n">
        <v>4421008</v>
      </c>
      <c r="C584" s="7" t="s">
        <v>377</v>
      </c>
      <c r="D584" s="26" t="n">
        <v>4014.8</v>
      </c>
      <c r="E584" s="26" t="n">
        <v>0</v>
      </c>
      <c r="F584" s="26" t="n">
        <v>0</v>
      </c>
      <c r="G584" s="26" t="n">
        <v>0</v>
      </c>
      <c r="H584" s="26" t="n">
        <v>13563.4</v>
      </c>
      <c r="I584" s="26" t="n">
        <v>0</v>
      </c>
      <c r="J584" s="26" t="n">
        <v>0</v>
      </c>
      <c r="K584" s="26" t="n">
        <v>0</v>
      </c>
      <c r="L584" s="26" t="n">
        <v>0</v>
      </c>
      <c r="M584" s="26" t="n">
        <v>0</v>
      </c>
    </row>
    <row r="585" customFormat="false" ht="15" hidden="false" customHeight="false" outlineLevel="0" collapsed="false">
      <c r="A585" s="7" t="s">
        <v>85</v>
      </c>
      <c r="B585" s="7" t="n">
        <v>4421007</v>
      </c>
      <c r="C585" s="7" t="s">
        <v>378</v>
      </c>
      <c r="D585" s="26" t="n">
        <v>80</v>
      </c>
      <c r="E585" s="26" t="n">
        <v>0</v>
      </c>
      <c r="F585" s="26" t="n">
        <v>0</v>
      </c>
      <c r="G585" s="26" t="n">
        <v>0</v>
      </c>
      <c r="H585" s="26" t="n">
        <v>262</v>
      </c>
      <c r="I585" s="26" t="n">
        <v>0</v>
      </c>
      <c r="J585" s="26" t="n">
        <v>0</v>
      </c>
      <c r="K585" s="26" t="n">
        <v>0</v>
      </c>
      <c r="L585" s="26" t="n">
        <v>0</v>
      </c>
      <c r="M585" s="26" t="n">
        <v>0</v>
      </c>
    </row>
    <row r="586" customFormat="false" ht="15" hidden="false" customHeight="false" outlineLevel="0" collapsed="false">
      <c r="A586" s="7" t="s">
        <v>87</v>
      </c>
      <c r="B586" s="7" t="n">
        <v>4421007</v>
      </c>
      <c r="C586" s="7" t="s">
        <v>378</v>
      </c>
      <c r="D586" s="26" t="n">
        <v>3457.6</v>
      </c>
      <c r="E586" s="26" t="n">
        <v>0</v>
      </c>
      <c r="F586" s="26" t="n">
        <v>0</v>
      </c>
      <c r="G586" s="26" t="n">
        <v>0</v>
      </c>
      <c r="H586" s="26" t="n">
        <v>9621.9</v>
      </c>
      <c r="I586" s="26" t="n">
        <v>0</v>
      </c>
      <c r="J586" s="26" t="n">
        <v>0</v>
      </c>
      <c r="K586" s="26" t="n">
        <v>0</v>
      </c>
      <c r="L586" s="26" t="n">
        <v>0</v>
      </c>
      <c r="M586" s="26" t="n">
        <v>0</v>
      </c>
    </row>
    <row r="587" customFormat="false" ht="15" hidden="false" customHeight="false" outlineLevel="0" collapsed="false">
      <c r="A587" s="7" t="s">
        <v>85</v>
      </c>
      <c r="B587" s="7" t="n">
        <v>4413149</v>
      </c>
      <c r="C587" s="7" t="s">
        <v>379</v>
      </c>
      <c r="D587" s="26" t="n">
        <v>377</v>
      </c>
      <c r="E587" s="26" t="n">
        <v>0</v>
      </c>
      <c r="F587" s="26" t="n">
        <v>13</v>
      </c>
      <c r="G587" s="26" t="n">
        <v>0</v>
      </c>
      <c r="H587" s="26" t="n">
        <v>871</v>
      </c>
      <c r="I587" s="26" t="n">
        <v>201</v>
      </c>
      <c r="J587" s="26" t="n">
        <v>0</v>
      </c>
      <c r="K587" s="26" t="n">
        <v>0</v>
      </c>
      <c r="L587" s="26" t="n">
        <v>0</v>
      </c>
      <c r="M587" s="26" t="n">
        <v>0</v>
      </c>
    </row>
    <row r="588" customFormat="false" ht="15" hidden="false" customHeight="false" outlineLevel="0" collapsed="false">
      <c r="A588" s="7" t="s">
        <v>87</v>
      </c>
      <c r="B588" s="7" t="n">
        <v>4413149</v>
      </c>
      <c r="C588" s="7" t="s">
        <v>379</v>
      </c>
      <c r="D588" s="26" t="n">
        <v>4997.1</v>
      </c>
      <c r="E588" s="26" t="n">
        <v>0</v>
      </c>
      <c r="F588" s="26" t="n">
        <v>140</v>
      </c>
      <c r="G588" s="26" t="n">
        <v>0</v>
      </c>
      <c r="H588" s="26" t="n">
        <v>8834.2</v>
      </c>
      <c r="I588" s="26" t="n">
        <v>2183.5</v>
      </c>
      <c r="J588" s="26" t="n">
        <v>0</v>
      </c>
      <c r="K588" s="26" t="n">
        <v>0</v>
      </c>
      <c r="L588" s="26" t="n">
        <v>0</v>
      </c>
      <c r="M588" s="26" t="n">
        <v>0</v>
      </c>
    </row>
    <row r="589" customFormat="false" ht="15" hidden="false" customHeight="false" outlineLevel="0" collapsed="false">
      <c r="A589" s="7" t="s">
        <v>85</v>
      </c>
      <c r="B589" s="7" t="n">
        <v>4422036</v>
      </c>
      <c r="C589" s="7" t="s">
        <v>380</v>
      </c>
      <c r="D589" s="26" t="n">
        <v>1000</v>
      </c>
      <c r="E589" s="26" t="n">
        <v>0</v>
      </c>
      <c r="F589" s="26" t="n">
        <v>0</v>
      </c>
      <c r="G589" s="26" t="n">
        <v>0</v>
      </c>
      <c r="H589" s="26" t="n">
        <v>583</v>
      </c>
      <c r="I589" s="26" t="n">
        <v>0</v>
      </c>
      <c r="J589" s="26" t="n">
        <v>0</v>
      </c>
      <c r="K589" s="26" t="n">
        <v>0</v>
      </c>
      <c r="L589" s="26" t="n">
        <v>0</v>
      </c>
      <c r="M589" s="26" t="n">
        <v>0</v>
      </c>
    </row>
    <row r="590" customFormat="false" ht="15" hidden="false" customHeight="false" outlineLevel="0" collapsed="false">
      <c r="A590" s="7" t="s">
        <v>87</v>
      </c>
      <c r="B590" s="7" t="n">
        <v>4422036</v>
      </c>
      <c r="C590" s="7" t="s">
        <v>380</v>
      </c>
      <c r="D590" s="26" t="n">
        <v>19629.5</v>
      </c>
      <c r="E590" s="26" t="n">
        <v>0</v>
      </c>
      <c r="F590" s="26" t="n">
        <v>0</v>
      </c>
      <c r="G590" s="26" t="n">
        <v>0</v>
      </c>
      <c r="H590" s="26" t="n">
        <v>12662</v>
      </c>
      <c r="I590" s="26" t="n">
        <v>0</v>
      </c>
      <c r="J590" s="26" t="n">
        <v>0</v>
      </c>
      <c r="K590" s="26" t="n">
        <v>0</v>
      </c>
      <c r="L590" s="26" t="n">
        <v>0</v>
      </c>
      <c r="M590" s="26" t="n">
        <v>0</v>
      </c>
    </row>
    <row r="591" customFormat="false" ht="15" hidden="false" customHeight="false" outlineLevel="0" collapsed="false">
      <c r="A591" s="7" t="s">
        <v>85</v>
      </c>
      <c r="B591" s="7" t="n">
        <v>4409004</v>
      </c>
      <c r="C591" s="7" t="s">
        <v>381</v>
      </c>
      <c r="D591" s="26" t="n">
        <v>625</v>
      </c>
      <c r="E591" s="26" t="n">
        <v>25</v>
      </c>
      <c r="F591" s="26" t="n">
        <v>21</v>
      </c>
      <c r="G591" s="26" t="n">
        <v>11</v>
      </c>
      <c r="H591" s="26" t="n">
        <v>1282</v>
      </c>
      <c r="I591" s="26" t="n">
        <v>1341</v>
      </c>
      <c r="J591" s="26" t="n">
        <v>4</v>
      </c>
      <c r="K591" s="26" t="n">
        <v>0</v>
      </c>
      <c r="L591" s="26" t="n">
        <v>0</v>
      </c>
      <c r="M591" s="26" t="n">
        <v>0</v>
      </c>
    </row>
    <row r="592" customFormat="false" ht="15" hidden="false" customHeight="false" outlineLevel="0" collapsed="false">
      <c r="A592" s="7" t="s">
        <v>87</v>
      </c>
      <c r="B592" s="7" t="n">
        <v>4409004</v>
      </c>
      <c r="C592" s="7" t="s">
        <v>381</v>
      </c>
      <c r="D592" s="26" t="n">
        <v>14188.7</v>
      </c>
      <c r="E592" s="26" t="n">
        <v>554.3</v>
      </c>
      <c r="F592" s="26" t="n">
        <v>399.1</v>
      </c>
      <c r="G592" s="26" t="n">
        <v>223</v>
      </c>
      <c r="H592" s="26" t="n">
        <v>20668.1</v>
      </c>
      <c r="I592" s="26" t="n">
        <v>23461.9</v>
      </c>
      <c r="J592" s="26" t="n">
        <v>85</v>
      </c>
      <c r="K592" s="26" t="n">
        <v>0</v>
      </c>
      <c r="L592" s="26" t="n">
        <v>0</v>
      </c>
      <c r="M592" s="26" t="n">
        <v>0</v>
      </c>
    </row>
    <row r="593" customFormat="false" ht="15" hidden="false" customHeight="false" outlineLevel="0" collapsed="false">
      <c r="A593" s="7" t="s">
        <v>85</v>
      </c>
      <c r="B593" s="7" t="n">
        <v>4422035</v>
      </c>
      <c r="C593" s="7" t="s">
        <v>382</v>
      </c>
      <c r="D593" s="26" t="n">
        <v>938</v>
      </c>
      <c r="E593" s="26" t="n">
        <v>12</v>
      </c>
      <c r="F593" s="26" t="n">
        <v>6</v>
      </c>
      <c r="G593" s="26" t="n">
        <v>0</v>
      </c>
      <c r="H593" s="26" t="n">
        <v>1663</v>
      </c>
      <c r="I593" s="26" t="n">
        <v>0</v>
      </c>
      <c r="J593" s="26" t="n">
        <v>0</v>
      </c>
      <c r="K593" s="26" t="n">
        <v>0</v>
      </c>
      <c r="L593" s="26" t="n">
        <v>0</v>
      </c>
      <c r="M593" s="26" t="n">
        <v>0</v>
      </c>
    </row>
    <row r="594" customFormat="false" ht="15" hidden="false" customHeight="false" outlineLevel="0" collapsed="false">
      <c r="A594" s="7" t="s">
        <v>87</v>
      </c>
      <c r="B594" s="7" t="n">
        <v>4422035</v>
      </c>
      <c r="C594" s="7" t="s">
        <v>382</v>
      </c>
      <c r="D594" s="26" t="n">
        <v>17465.6</v>
      </c>
      <c r="E594" s="26" t="n">
        <v>212.3</v>
      </c>
      <c r="F594" s="26" t="n">
        <v>123.8</v>
      </c>
      <c r="G594" s="26" t="n">
        <v>0</v>
      </c>
      <c r="H594" s="26" t="n">
        <v>30574.4</v>
      </c>
      <c r="I594" s="26" t="n">
        <v>0</v>
      </c>
      <c r="J594" s="26" t="n">
        <v>0</v>
      </c>
      <c r="K594" s="26" t="n">
        <v>0</v>
      </c>
      <c r="L594" s="26" t="n">
        <v>0</v>
      </c>
      <c r="M594" s="26" t="n">
        <v>0</v>
      </c>
    </row>
    <row r="595" customFormat="false" ht="15" hidden="false" customHeight="false" outlineLevel="0" collapsed="false">
      <c r="A595" s="7" t="s">
        <v>85</v>
      </c>
      <c r="B595" s="7" t="n">
        <v>4421006</v>
      </c>
      <c r="C595" s="7" t="s">
        <v>383</v>
      </c>
      <c r="D595" s="26" t="n">
        <v>117</v>
      </c>
      <c r="E595" s="26" t="n">
        <v>0</v>
      </c>
      <c r="F595" s="26" t="n">
        <v>0</v>
      </c>
      <c r="G595" s="26" t="n">
        <v>0</v>
      </c>
      <c r="H595" s="26" t="n">
        <v>532</v>
      </c>
      <c r="I595" s="26" t="n">
        <v>0</v>
      </c>
      <c r="J595" s="26" t="n">
        <v>0</v>
      </c>
      <c r="K595" s="26" t="n">
        <v>0</v>
      </c>
      <c r="L595" s="26" t="n">
        <v>0</v>
      </c>
      <c r="M595" s="26" t="n">
        <v>0</v>
      </c>
    </row>
    <row r="596" customFormat="false" ht="15" hidden="false" customHeight="false" outlineLevel="0" collapsed="false">
      <c r="A596" s="7" t="s">
        <v>87</v>
      </c>
      <c r="B596" s="7" t="n">
        <v>4421006</v>
      </c>
      <c r="C596" s="7" t="s">
        <v>383</v>
      </c>
      <c r="D596" s="26" t="n">
        <v>4671.1</v>
      </c>
      <c r="E596" s="26" t="n">
        <v>0</v>
      </c>
      <c r="F596" s="26" t="n">
        <v>0</v>
      </c>
      <c r="G596" s="26" t="n">
        <v>0</v>
      </c>
      <c r="H596" s="26" t="n">
        <v>16470.8</v>
      </c>
      <c r="I596" s="26" t="n">
        <v>0</v>
      </c>
      <c r="J596" s="26" t="n">
        <v>0</v>
      </c>
      <c r="K596" s="26" t="n">
        <v>0</v>
      </c>
      <c r="L596" s="26" t="n">
        <v>0</v>
      </c>
      <c r="M596" s="26" t="n">
        <v>0</v>
      </c>
    </row>
    <row r="597" customFormat="false" ht="15" hidden="false" customHeight="false" outlineLevel="0" collapsed="false">
      <c r="A597" s="7" t="s">
        <v>85</v>
      </c>
      <c r="B597" s="7" t="n">
        <v>4421005</v>
      </c>
      <c r="C597" s="7" t="s">
        <v>384</v>
      </c>
      <c r="D597" s="26" t="n">
        <v>72</v>
      </c>
      <c r="E597" s="26" t="n">
        <v>0</v>
      </c>
      <c r="F597" s="26" t="n">
        <v>0</v>
      </c>
      <c r="G597" s="26" t="n">
        <v>0</v>
      </c>
      <c r="H597" s="26" t="n">
        <v>382</v>
      </c>
      <c r="I597" s="26" t="n">
        <v>0</v>
      </c>
      <c r="J597" s="26" t="n">
        <v>0</v>
      </c>
      <c r="K597" s="26" t="n">
        <v>0</v>
      </c>
      <c r="L597" s="26" t="n">
        <v>0</v>
      </c>
      <c r="M597" s="26" t="n">
        <v>0</v>
      </c>
    </row>
    <row r="598" customFormat="false" ht="15" hidden="false" customHeight="false" outlineLevel="0" collapsed="false">
      <c r="A598" s="7" t="s">
        <v>87</v>
      </c>
      <c r="B598" s="7" t="n">
        <v>4421005</v>
      </c>
      <c r="C598" s="7" t="s">
        <v>384</v>
      </c>
      <c r="D598" s="26" t="n">
        <v>2651</v>
      </c>
      <c r="E598" s="26" t="n">
        <v>0</v>
      </c>
      <c r="F598" s="26" t="n">
        <v>0</v>
      </c>
      <c r="G598" s="26" t="n">
        <v>0</v>
      </c>
      <c r="H598" s="26" t="n">
        <v>10951.3</v>
      </c>
      <c r="I598" s="26" t="n">
        <v>0</v>
      </c>
      <c r="J598" s="26" t="n">
        <v>0</v>
      </c>
      <c r="K598" s="26" t="n">
        <v>0</v>
      </c>
      <c r="L598" s="26" t="n">
        <v>0</v>
      </c>
      <c r="M598" s="26" t="n">
        <v>0</v>
      </c>
    </row>
    <row r="599" customFormat="false" ht="15" hidden="false" customHeight="false" outlineLevel="0" collapsed="false">
      <c r="A599" s="7" t="s">
        <v>85</v>
      </c>
      <c r="B599" s="7" t="n">
        <v>4413164</v>
      </c>
      <c r="C599" s="7" t="s">
        <v>385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0</v>
      </c>
      <c r="L599" s="26" t="n">
        <v>0</v>
      </c>
      <c r="M599" s="26" t="n">
        <v>0</v>
      </c>
    </row>
    <row r="600" customFormat="false" ht="15" hidden="false" customHeight="false" outlineLevel="0" collapsed="false">
      <c r="A600" s="7" t="s">
        <v>87</v>
      </c>
      <c r="B600" s="7" t="n">
        <v>4413164</v>
      </c>
      <c r="C600" s="7" t="s">
        <v>385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0</v>
      </c>
      <c r="L600" s="26" t="n">
        <v>0</v>
      </c>
      <c r="M600" s="26" t="n">
        <v>0</v>
      </c>
    </row>
    <row r="601" customFormat="false" ht="15" hidden="false" customHeight="false" outlineLevel="0" collapsed="false">
      <c r="A601" s="7" t="s">
        <v>85</v>
      </c>
      <c r="B601" s="7" t="n">
        <v>4413165</v>
      </c>
      <c r="C601" s="7" t="s">
        <v>386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0</v>
      </c>
      <c r="J601" s="26" t="n">
        <v>0</v>
      </c>
      <c r="K601" s="26" t="n">
        <v>0</v>
      </c>
      <c r="L601" s="26" t="n">
        <v>0</v>
      </c>
      <c r="M601" s="26" t="n">
        <v>0</v>
      </c>
    </row>
    <row r="602" customFormat="false" ht="15" hidden="false" customHeight="false" outlineLevel="0" collapsed="false">
      <c r="A602" s="7" t="s">
        <v>87</v>
      </c>
      <c r="B602" s="7" t="n">
        <v>4413165</v>
      </c>
      <c r="C602" s="7" t="s">
        <v>386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0</v>
      </c>
      <c r="J602" s="26" t="n">
        <v>0</v>
      </c>
      <c r="K602" s="26" t="n">
        <v>0</v>
      </c>
      <c r="L602" s="26" t="n">
        <v>0</v>
      </c>
      <c r="M602" s="26" t="n">
        <v>0</v>
      </c>
    </row>
    <row r="603" customFormat="false" ht="15" hidden="false" customHeight="false" outlineLevel="0" collapsed="false">
      <c r="A603" s="7" t="s">
        <v>85</v>
      </c>
      <c r="B603" s="7" t="n">
        <v>4413130</v>
      </c>
      <c r="C603" s="7" t="s">
        <v>387</v>
      </c>
      <c r="D603" s="26" t="n">
        <v>9</v>
      </c>
      <c r="E603" s="26" t="n">
        <v>0</v>
      </c>
      <c r="F603" s="26" t="n">
        <v>0</v>
      </c>
      <c r="G603" s="26" t="n">
        <v>0</v>
      </c>
      <c r="H603" s="26" t="n">
        <v>-2</v>
      </c>
      <c r="I603" s="26" t="n">
        <v>8</v>
      </c>
      <c r="J603" s="26" t="n">
        <v>0</v>
      </c>
      <c r="K603" s="26" t="n">
        <v>0</v>
      </c>
      <c r="L603" s="26" t="n">
        <v>0</v>
      </c>
      <c r="M603" s="26" t="n">
        <v>0</v>
      </c>
    </row>
    <row r="604" customFormat="false" ht="15" hidden="false" customHeight="false" outlineLevel="0" collapsed="false">
      <c r="A604" s="7" t="s">
        <v>87</v>
      </c>
      <c r="B604" s="7" t="n">
        <v>4413130</v>
      </c>
      <c r="C604" s="7" t="s">
        <v>387</v>
      </c>
      <c r="D604" s="26" t="n">
        <v>1366.5</v>
      </c>
      <c r="E604" s="26" t="n">
        <v>0</v>
      </c>
      <c r="F604" s="26" t="n">
        <v>0</v>
      </c>
      <c r="G604" s="26" t="n">
        <v>0</v>
      </c>
      <c r="H604" s="26" t="n">
        <v>-262.1</v>
      </c>
      <c r="I604" s="26" t="n">
        <v>887.2</v>
      </c>
      <c r="J604" s="26" t="n">
        <v>0</v>
      </c>
      <c r="K604" s="26" t="n">
        <v>0</v>
      </c>
      <c r="L604" s="26" t="n">
        <v>0</v>
      </c>
      <c r="M604" s="26" t="n">
        <v>0</v>
      </c>
    </row>
    <row r="605" customFormat="false" ht="15" hidden="false" customHeight="false" outlineLevel="0" collapsed="false">
      <c r="A605" s="7" t="s">
        <v>85</v>
      </c>
      <c r="B605" s="7" t="n">
        <v>4413127</v>
      </c>
      <c r="C605" s="7" t="s">
        <v>388</v>
      </c>
      <c r="D605" s="26" t="n">
        <v>19</v>
      </c>
      <c r="E605" s="26" t="n">
        <v>0</v>
      </c>
      <c r="F605" s="26" t="n">
        <v>0</v>
      </c>
      <c r="G605" s="26" t="n">
        <v>0</v>
      </c>
      <c r="H605" s="26" t="n">
        <v>69</v>
      </c>
      <c r="I605" s="26" t="n">
        <v>33</v>
      </c>
      <c r="J605" s="26" t="n">
        <v>0</v>
      </c>
      <c r="K605" s="26" t="n">
        <v>0</v>
      </c>
      <c r="L605" s="26" t="n">
        <v>0</v>
      </c>
      <c r="M605" s="26" t="n">
        <v>0</v>
      </c>
    </row>
    <row r="606" customFormat="false" ht="15" hidden="false" customHeight="false" outlineLevel="0" collapsed="false">
      <c r="A606" s="7" t="s">
        <v>87</v>
      </c>
      <c r="B606" s="7" t="n">
        <v>4413127</v>
      </c>
      <c r="C606" s="7" t="s">
        <v>388</v>
      </c>
      <c r="D606" s="26" t="n">
        <v>3000.5</v>
      </c>
      <c r="E606" s="26" t="n">
        <v>0</v>
      </c>
      <c r="F606" s="26" t="n">
        <v>0</v>
      </c>
      <c r="G606" s="26" t="n">
        <v>0</v>
      </c>
      <c r="H606" s="26" t="n">
        <v>9083.1</v>
      </c>
      <c r="I606" s="26" t="n">
        <v>4658</v>
      </c>
      <c r="J606" s="26" t="n">
        <v>0</v>
      </c>
      <c r="K606" s="26" t="n">
        <v>0</v>
      </c>
      <c r="L606" s="26" t="n">
        <v>0</v>
      </c>
      <c r="M606" s="26" t="n">
        <v>0</v>
      </c>
    </row>
    <row r="607" customFormat="false" ht="15" hidden="false" customHeight="false" outlineLevel="0" collapsed="false">
      <c r="A607" s="7" t="s">
        <v>85</v>
      </c>
      <c r="B607" s="7" t="n">
        <v>4413128</v>
      </c>
      <c r="C607" s="7" t="s">
        <v>389</v>
      </c>
      <c r="D607" s="26" t="n">
        <v>22</v>
      </c>
      <c r="E607" s="26" t="n">
        <v>0</v>
      </c>
      <c r="F607" s="26" t="n">
        <v>0</v>
      </c>
      <c r="G607" s="26" t="n">
        <v>0</v>
      </c>
      <c r="H607" s="26" t="n">
        <v>37</v>
      </c>
      <c r="I607" s="26" t="n">
        <v>32</v>
      </c>
      <c r="J607" s="26" t="n">
        <v>0</v>
      </c>
      <c r="K607" s="26" t="n">
        <v>0</v>
      </c>
      <c r="L607" s="26" t="n">
        <v>0</v>
      </c>
      <c r="M607" s="26" t="n">
        <v>-1</v>
      </c>
    </row>
    <row r="608" customFormat="false" ht="15" hidden="false" customHeight="false" outlineLevel="0" collapsed="false">
      <c r="A608" s="7" t="s">
        <v>87</v>
      </c>
      <c r="B608" s="7" t="n">
        <v>4413128</v>
      </c>
      <c r="C608" s="7" t="s">
        <v>389</v>
      </c>
      <c r="D608" s="26" t="n">
        <v>3563.6</v>
      </c>
      <c r="E608" s="26" t="n">
        <v>0</v>
      </c>
      <c r="F608" s="26" t="n">
        <v>0</v>
      </c>
      <c r="G608" s="26" t="n">
        <v>0</v>
      </c>
      <c r="H608" s="26" t="n">
        <v>4934.7</v>
      </c>
      <c r="I608" s="26" t="n">
        <v>4516.8</v>
      </c>
      <c r="J608" s="26" t="n">
        <v>0</v>
      </c>
      <c r="K608" s="26" t="n">
        <v>0</v>
      </c>
      <c r="L608" s="26" t="n">
        <v>0</v>
      </c>
      <c r="M608" s="26" t="n">
        <v>-218.7</v>
      </c>
    </row>
    <row r="609" customFormat="false" ht="15" hidden="false" customHeight="false" outlineLevel="0" collapsed="false">
      <c r="A609" s="7" t="s">
        <v>85</v>
      </c>
      <c r="B609" s="7" t="n">
        <v>4413126</v>
      </c>
      <c r="C609" s="7" t="s">
        <v>390</v>
      </c>
      <c r="D609" s="26" t="n">
        <v>4</v>
      </c>
      <c r="E609" s="26" t="n">
        <v>0</v>
      </c>
      <c r="F609" s="26" t="n">
        <v>0</v>
      </c>
      <c r="G609" s="26" t="n">
        <v>0</v>
      </c>
      <c r="H609" s="26" t="n">
        <v>18</v>
      </c>
      <c r="I609" s="26" t="n">
        <v>17</v>
      </c>
      <c r="J609" s="26" t="n">
        <v>0</v>
      </c>
      <c r="K609" s="26" t="n">
        <v>0</v>
      </c>
      <c r="L609" s="26" t="n">
        <v>0</v>
      </c>
      <c r="M609" s="26" t="n">
        <v>0</v>
      </c>
    </row>
    <row r="610" customFormat="false" ht="15" hidden="false" customHeight="false" outlineLevel="0" collapsed="false">
      <c r="A610" s="7" t="s">
        <v>87</v>
      </c>
      <c r="B610" s="7" t="n">
        <v>4413126</v>
      </c>
      <c r="C610" s="7" t="s">
        <v>390</v>
      </c>
      <c r="D610" s="26" t="n">
        <v>701.8</v>
      </c>
      <c r="E610" s="26" t="n">
        <v>0</v>
      </c>
      <c r="F610" s="26" t="n">
        <v>0</v>
      </c>
      <c r="G610" s="26" t="n">
        <v>0</v>
      </c>
      <c r="H610" s="26" t="n">
        <v>2437.9</v>
      </c>
      <c r="I610" s="26" t="n">
        <v>2399.6</v>
      </c>
      <c r="J610" s="26" t="n">
        <v>0</v>
      </c>
      <c r="K610" s="26" t="n">
        <v>0</v>
      </c>
      <c r="L610" s="26" t="n">
        <v>0</v>
      </c>
      <c r="M610" s="26" t="n">
        <v>0</v>
      </c>
    </row>
    <row r="611" customFormat="false" ht="15" hidden="false" customHeight="false" outlineLevel="0" collapsed="false">
      <c r="A611" s="7" t="s">
        <v>85</v>
      </c>
      <c r="B611" s="7" t="n">
        <v>4413129</v>
      </c>
      <c r="C611" s="7" t="s">
        <v>391</v>
      </c>
      <c r="D611" s="26" t="n">
        <v>14</v>
      </c>
      <c r="E611" s="26" t="n">
        <v>0</v>
      </c>
      <c r="F611" s="26" t="n">
        <v>0</v>
      </c>
      <c r="G611" s="26" t="n">
        <v>1</v>
      </c>
      <c r="H611" s="26" t="n">
        <v>33</v>
      </c>
      <c r="I611" s="26" t="n">
        <v>22</v>
      </c>
      <c r="J611" s="26" t="n">
        <v>0</v>
      </c>
      <c r="K611" s="26" t="n">
        <v>0</v>
      </c>
      <c r="L611" s="26" t="n">
        <v>0</v>
      </c>
      <c r="M611" s="26" t="n">
        <v>0</v>
      </c>
    </row>
    <row r="612" customFormat="false" ht="15" hidden="false" customHeight="false" outlineLevel="0" collapsed="false">
      <c r="A612" s="7" t="s">
        <v>87</v>
      </c>
      <c r="B612" s="7" t="n">
        <v>4413129</v>
      </c>
      <c r="C612" s="7" t="s">
        <v>391</v>
      </c>
      <c r="D612" s="26" t="n">
        <v>2323.7</v>
      </c>
      <c r="E612" s="26" t="n">
        <v>0</v>
      </c>
      <c r="F612" s="26" t="n">
        <v>0</v>
      </c>
      <c r="G612" s="26" t="n">
        <v>142.1</v>
      </c>
      <c r="H612" s="26" t="n">
        <v>4377.7</v>
      </c>
      <c r="I612" s="26" t="n">
        <v>3105.3</v>
      </c>
      <c r="J612" s="26" t="n">
        <v>0</v>
      </c>
      <c r="K612" s="26" t="n">
        <v>0</v>
      </c>
      <c r="L612" s="26" t="n">
        <v>0</v>
      </c>
      <c r="M612" s="26" t="n">
        <v>0</v>
      </c>
    </row>
    <row r="613" customFormat="false" ht="15" hidden="false" customHeight="false" outlineLevel="0" collapsed="false">
      <c r="A613" s="7" t="s">
        <v>85</v>
      </c>
      <c r="B613" s="7" t="n">
        <v>4413132</v>
      </c>
      <c r="C613" s="7" t="s">
        <v>392</v>
      </c>
      <c r="D613" s="26" t="n">
        <v>27</v>
      </c>
      <c r="E613" s="26" t="n">
        <v>0</v>
      </c>
      <c r="F613" s="26" t="n">
        <v>0</v>
      </c>
      <c r="G613" s="26" t="n">
        <v>0</v>
      </c>
      <c r="H613" s="26" t="n">
        <v>6</v>
      </c>
      <c r="I613" s="26" t="n">
        <v>3</v>
      </c>
      <c r="J613" s="26" t="n">
        <v>0</v>
      </c>
      <c r="K613" s="26" t="n">
        <v>0</v>
      </c>
      <c r="L613" s="26" t="n">
        <v>0</v>
      </c>
      <c r="M613" s="26" t="n">
        <v>0</v>
      </c>
    </row>
    <row r="614" customFormat="false" ht="15" hidden="false" customHeight="false" outlineLevel="0" collapsed="false">
      <c r="A614" s="7" t="s">
        <v>87</v>
      </c>
      <c r="B614" s="7" t="n">
        <v>4413132</v>
      </c>
      <c r="C614" s="7" t="s">
        <v>392</v>
      </c>
      <c r="D614" s="26" t="n">
        <v>5426.3</v>
      </c>
      <c r="E614" s="26" t="n">
        <v>0</v>
      </c>
      <c r="F614" s="26" t="n">
        <v>0</v>
      </c>
      <c r="G614" s="26" t="n">
        <v>0</v>
      </c>
      <c r="H614" s="26" t="n">
        <v>983</v>
      </c>
      <c r="I614" s="26" t="n">
        <v>461.8</v>
      </c>
      <c r="J614" s="26" t="n">
        <v>0</v>
      </c>
      <c r="K614" s="26" t="n">
        <v>0</v>
      </c>
      <c r="L614" s="26" t="n">
        <v>0</v>
      </c>
      <c r="M614" s="26" t="n">
        <v>0</v>
      </c>
    </row>
    <row r="615" customFormat="false" ht="15" hidden="false" customHeight="false" outlineLevel="0" collapsed="false">
      <c r="A615" s="7" t="s">
        <v>85</v>
      </c>
      <c r="B615" s="7" t="n">
        <v>4413133</v>
      </c>
      <c r="C615" s="7" t="s">
        <v>393</v>
      </c>
      <c r="D615" s="26" t="n">
        <v>30</v>
      </c>
      <c r="E615" s="26" t="n">
        <v>0</v>
      </c>
      <c r="F615" s="26" t="n">
        <v>0</v>
      </c>
      <c r="G615" s="26" t="n">
        <v>0</v>
      </c>
      <c r="H615" s="26" t="n">
        <v>10</v>
      </c>
      <c r="I615" s="26" t="n">
        <v>5</v>
      </c>
      <c r="J615" s="26" t="n">
        <v>0</v>
      </c>
      <c r="K615" s="26" t="n">
        <v>0</v>
      </c>
      <c r="L615" s="26" t="n">
        <v>0</v>
      </c>
      <c r="M615" s="26" t="n">
        <v>0</v>
      </c>
    </row>
    <row r="616" customFormat="false" ht="15" hidden="false" customHeight="false" outlineLevel="0" collapsed="false">
      <c r="A616" s="7" t="s">
        <v>87</v>
      </c>
      <c r="B616" s="7" t="n">
        <v>4413133</v>
      </c>
      <c r="C616" s="7" t="s">
        <v>393</v>
      </c>
      <c r="D616" s="26" t="n">
        <v>6039.6</v>
      </c>
      <c r="E616" s="26" t="n">
        <v>0</v>
      </c>
      <c r="F616" s="26" t="n">
        <v>0</v>
      </c>
      <c r="G616" s="26" t="n">
        <v>0</v>
      </c>
      <c r="H616" s="26" t="n">
        <v>1638.4</v>
      </c>
      <c r="I616" s="26" t="n">
        <v>882.2</v>
      </c>
      <c r="J616" s="26" t="n">
        <v>0</v>
      </c>
      <c r="K616" s="26" t="n">
        <v>0</v>
      </c>
      <c r="L616" s="26" t="n">
        <v>0</v>
      </c>
      <c r="M616" s="26" t="n">
        <v>0</v>
      </c>
    </row>
    <row r="617" customFormat="false" ht="15" hidden="false" customHeight="false" outlineLevel="0" collapsed="false">
      <c r="A617" s="7" t="s">
        <v>85</v>
      </c>
      <c r="B617" s="7" t="n">
        <v>4413131</v>
      </c>
      <c r="C617" s="7" t="s">
        <v>394</v>
      </c>
      <c r="D617" s="26" t="n">
        <v>9</v>
      </c>
      <c r="E617" s="26" t="n">
        <v>0</v>
      </c>
      <c r="F617" s="26" t="n">
        <v>0</v>
      </c>
      <c r="G617" s="26" t="n">
        <v>0</v>
      </c>
      <c r="H617" s="26" t="n">
        <v>4</v>
      </c>
      <c r="I617" s="26" t="n">
        <v>0</v>
      </c>
      <c r="J617" s="26" t="n">
        <v>0</v>
      </c>
      <c r="K617" s="26" t="n">
        <v>0</v>
      </c>
      <c r="L617" s="26" t="n">
        <v>0</v>
      </c>
      <c r="M617" s="26" t="n">
        <v>0</v>
      </c>
    </row>
    <row r="618" customFormat="false" ht="15" hidden="false" customHeight="false" outlineLevel="0" collapsed="false">
      <c r="A618" s="7" t="s">
        <v>87</v>
      </c>
      <c r="B618" s="7" t="n">
        <v>4413131</v>
      </c>
      <c r="C618" s="7" t="s">
        <v>394</v>
      </c>
      <c r="D618" s="26" t="n">
        <v>1841.6</v>
      </c>
      <c r="E618" s="26" t="n">
        <v>0</v>
      </c>
      <c r="F618" s="26" t="n">
        <v>0</v>
      </c>
      <c r="G618" s="26" t="n">
        <v>0</v>
      </c>
      <c r="H618" s="26" t="n">
        <v>655.3</v>
      </c>
      <c r="I618" s="26" t="n">
        <v>0</v>
      </c>
      <c r="J618" s="26" t="n">
        <v>0</v>
      </c>
      <c r="K618" s="26" t="n">
        <v>0</v>
      </c>
      <c r="L618" s="26" t="n">
        <v>0</v>
      </c>
      <c r="M618" s="26" t="n">
        <v>0</v>
      </c>
    </row>
    <row r="619" customFormat="false" ht="15" hidden="false" customHeight="false" outlineLevel="0" collapsed="false">
      <c r="A619" s="7" t="s">
        <v>85</v>
      </c>
      <c r="B619" s="7" t="n">
        <v>4413134</v>
      </c>
      <c r="C619" s="7" t="s">
        <v>395</v>
      </c>
      <c r="D619" s="26" t="n">
        <v>22</v>
      </c>
      <c r="E619" s="26" t="n">
        <v>0</v>
      </c>
      <c r="F619" s="26" t="n">
        <v>0</v>
      </c>
      <c r="G619" s="26" t="n">
        <v>0</v>
      </c>
      <c r="H619" s="26" t="n">
        <v>2</v>
      </c>
      <c r="I619" s="26" t="n">
        <v>0</v>
      </c>
      <c r="J619" s="26" t="n">
        <v>0</v>
      </c>
      <c r="K619" s="26" t="n">
        <v>0</v>
      </c>
      <c r="L619" s="26" t="n">
        <v>0</v>
      </c>
      <c r="M619" s="26" t="n">
        <v>0</v>
      </c>
    </row>
    <row r="620" customFormat="false" ht="15" hidden="false" customHeight="false" outlineLevel="0" collapsed="false">
      <c r="A620" s="7" t="s">
        <v>87</v>
      </c>
      <c r="B620" s="7" t="n">
        <v>4413134</v>
      </c>
      <c r="C620" s="7" t="s">
        <v>395</v>
      </c>
      <c r="D620" s="26" t="n">
        <v>4426</v>
      </c>
      <c r="E620" s="26" t="n">
        <v>0</v>
      </c>
      <c r="F620" s="26" t="n">
        <v>0</v>
      </c>
      <c r="G620" s="26" t="n">
        <v>0</v>
      </c>
      <c r="H620" s="26" t="n">
        <v>327.7</v>
      </c>
      <c r="I620" s="26" t="n">
        <v>0</v>
      </c>
      <c r="J620" s="26" t="n">
        <v>0</v>
      </c>
      <c r="K620" s="26" t="n">
        <v>0</v>
      </c>
      <c r="L620" s="26" t="n">
        <v>0</v>
      </c>
      <c r="M620" s="26" t="n">
        <v>0</v>
      </c>
    </row>
    <row r="621" customFormat="false" ht="15" hidden="false" customHeight="false" outlineLevel="0" collapsed="false">
      <c r="A621" s="7" t="s">
        <v>85</v>
      </c>
      <c r="B621" s="7" t="n">
        <v>4413262</v>
      </c>
      <c r="C621" s="7" t="s">
        <v>396</v>
      </c>
      <c r="D621" s="26" t="n">
        <v>2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0</v>
      </c>
      <c r="L621" s="26" t="n">
        <v>0</v>
      </c>
      <c r="M621" s="26" t="n">
        <v>0</v>
      </c>
    </row>
    <row r="622" customFormat="false" ht="15" hidden="false" customHeight="false" outlineLevel="0" collapsed="false">
      <c r="A622" s="7" t="s">
        <v>87</v>
      </c>
      <c r="B622" s="7" t="n">
        <v>4413262</v>
      </c>
      <c r="C622" s="7" t="s">
        <v>396</v>
      </c>
      <c r="D622" s="26" t="n">
        <v>409.4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0</v>
      </c>
      <c r="L622" s="26" t="n">
        <v>0</v>
      </c>
      <c r="M622" s="26" t="n">
        <v>0</v>
      </c>
    </row>
    <row r="623" customFormat="false" ht="15" hidden="false" customHeight="false" outlineLevel="0" collapsed="false">
      <c r="A623" s="7" t="s">
        <v>85</v>
      </c>
      <c r="B623" s="7" t="n">
        <v>4408141</v>
      </c>
      <c r="C623" s="7" t="s">
        <v>397</v>
      </c>
      <c r="D623" s="26" t="n">
        <v>1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0</v>
      </c>
      <c r="L623" s="26" t="n">
        <v>0</v>
      </c>
      <c r="M623" s="26" t="n">
        <v>0</v>
      </c>
    </row>
    <row r="624" customFormat="false" ht="15" hidden="false" customHeight="false" outlineLevel="0" collapsed="false">
      <c r="A624" s="7" t="s">
        <v>87</v>
      </c>
      <c r="B624" s="7" t="n">
        <v>4408141</v>
      </c>
      <c r="C624" s="7" t="s">
        <v>397</v>
      </c>
      <c r="D624" s="26" t="n">
        <v>472.7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0</v>
      </c>
      <c r="L624" s="26" t="n">
        <v>0</v>
      </c>
      <c r="M624" s="26" t="n">
        <v>0</v>
      </c>
    </row>
    <row r="625" customFormat="false" ht="15" hidden="false" customHeight="false" outlineLevel="0" collapsed="false">
      <c r="A625" s="7" t="s">
        <v>85</v>
      </c>
      <c r="B625" s="7" t="n">
        <v>4413191</v>
      </c>
      <c r="C625" s="7" t="s">
        <v>398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0</v>
      </c>
      <c r="L625" s="26" t="n">
        <v>0</v>
      </c>
      <c r="M625" s="26" t="n">
        <v>0</v>
      </c>
    </row>
    <row r="626" customFormat="false" ht="15" hidden="false" customHeight="false" outlineLevel="0" collapsed="false">
      <c r="A626" s="7" t="s">
        <v>87</v>
      </c>
      <c r="B626" s="7" t="n">
        <v>4413191</v>
      </c>
      <c r="C626" s="7" t="s">
        <v>398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0</v>
      </c>
      <c r="J626" s="26" t="n">
        <v>0</v>
      </c>
      <c r="K626" s="26" t="n">
        <v>0</v>
      </c>
      <c r="L626" s="26" t="n">
        <v>0</v>
      </c>
      <c r="M626" s="26" t="n">
        <v>0</v>
      </c>
    </row>
    <row r="627" customFormat="false" ht="15" hidden="false" customHeight="false" outlineLevel="0" collapsed="false">
      <c r="A627" s="7" t="s">
        <v>85</v>
      </c>
      <c r="B627" s="7" t="n">
        <v>4413194</v>
      </c>
      <c r="C627" s="7" t="s">
        <v>399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0</v>
      </c>
      <c r="J627" s="26" t="n">
        <v>0</v>
      </c>
      <c r="K627" s="26" t="n">
        <v>0</v>
      </c>
      <c r="L627" s="26" t="n">
        <v>0</v>
      </c>
      <c r="M627" s="26" t="n">
        <v>0</v>
      </c>
    </row>
    <row r="628" customFormat="false" ht="15" hidden="false" customHeight="false" outlineLevel="0" collapsed="false">
      <c r="A628" s="7" t="s">
        <v>87</v>
      </c>
      <c r="B628" s="7" t="n">
        <v>4413194</v>
      </c>
      <c r="C628" s="7" t="s">
        <v>399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0</v>
      </c>
      <c r="J628" s="26" t="n">
        <v>0</v>
      </c>
      <c r="K628" s="26" t="n">
        <v>0</v>
      </c>
      <c r="L628" s="26" t="n">
        <v>0</v>
      </c>
      <c r="M628" s="26" t="n">
        <v>0</v>
      </c>
    </row>
    <row r="629" customFormat="false" ht="15" hidden="false" customHeight="false" outlineLevel="0" collapsed="false">
      <c r="A629" s="7" t="s">
        <v>85</v>
      </c>
      <c r="B629" s="7" t="n">
        <v>4413485</v>
      </c>
      <c r="C629" s="7" t="s">
        <v>400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0</v>
      </c>
      <c r="L629" s="26" t="n">
        <v>0</v>
      </c>
      <c r="M629" s="26" t="n">
        <v>0</v>
      </c>
    </row>
    <row r="630" customFormat="false" ht="15" hidden="false" customHeight="false" outlineLevel="0" collapsed="false">
      <c r="A630" s="7" t="s">
        <v>87</v>
      </c>
      <c r="B630" s="7" t="n">
        <v>4413485</v>
      </c>
      <c r="C630" s="7" t="s">
        <v>400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0</v>
      </c>
      <c r="L630" s="26" t="n">
        <v>0</v>
      </c>
      <c r="M630" s="26" t="n">
        <v>0</v>
      </c>
    </row>
    <row r="631" customFormat="false" ht="15" hidden="false" customHeight="false" outlineLevel="0" collapsed="false">
      <c r="A631" s="7" t="s">
        <v>85</v>
      </c>
      <c r="B631" s="7" t="n">
        <v>4413403</v>
      </c>
      <c r="C631" s="7" t="s">
        <v>401</v>
      </c>
      <c r="D631" s="26" t="n">
        <v>-1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0</v>
      </c>
      <c r="L631" s="26" t="n">
        <v>0</v>
      </c>
      <c r="M631" s="26" t="n">
        <v>0</v>
      </c>
    </row>
    <row r="632" customFormat="false" ht="15" hidden="false" customHeight="false" outlineLevel="0" collapsed="false">
      <c r="A632" s="7" t="s">
        <v>87</v>
      </c>
      <c r="B632" s="7" t="n">
        <v>4413403</v>
      </c>
      <c r="C632" s="7" t="s">
        <v>401</v>
      </c>
      <c r="D632" s="26" t="n">
        <v>-165.4</v>
      </c>
      <c r="E632" s="26" t="n">
        <v>0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0</v>
      </c>
      <c r="L632" s="26" t="n">
        <v>0</v>
      </c>
      <c r="M632" s="26" t="n">
        <v>0</v>
      </c>
    </row>
    <row r="633" customFormat="false" ht="15" hidden="false" customHeight="false" outlineLevel="0" collapsed="false">
      <c r="A633" s="7" t="s">
        <v>85</v>
      </c>
      <c r="B633" s="7" t="n">
        <v>4413486</v>
      </c>
      <c r="C633" s="7" t="s">
        <v>402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  <c r="L633" s="26" t="n">
        <v>0</v>
      </c>
      <c r="M633" s="26" t="n">
        <v>0</v>
      </c>
    </row>
    <row r="634" customFormat="false" ht="15" hidden="false" customHeight="false" outlineLevel="0" collapsed="false">
      <c r="A634" s="7" t="s">
        <v>87</v>
      </c>
      <c r="B634" s="7" t="n">
        <v>4413486</v>
      </c>
      <c r="C634" s="7" t="s">
        <v>402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  <c r="L634" s="26" t="n">
        <v>0</v>
      </c>
      <c r="M634" s="26" t="n">
        <v>0</v>
      </c>
    </row>
    <row r="635" customFormat="false" ht="15" hidden="false" customHeight="false" outlineLevel="0" collapsed="false">
      <c r="A635" s="7" t="s">
        <v>85</v>
      </c>
      <c r="B635" s="7" t="n">
        <v>4413404</v>
      </c>
      <c r="C635" s="7" t="s">
        <v>403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0</v>
      </c>
      <c r="J635" s="26" t="n">
        <v>0</v>
      </c>
      <c r="K635" s="26" t="n">
        <v>0</v>
      </c>
      <c r="L635" s="26" t="n">
        <v>0</v>
      </c>
      <c r="M635" s="26" t="n">
        <v>0</v>
      </c>
    </row>
    <row r="636" customFormat="false" ht="15" hidden="false" customHeight="false" outlineLevel="0" collapsed="false">
      <c r="A636" s="7" t="s">
        <v>87</v>
      </c>
      <c r="B636" s="7" t="n">
        <v>4413404</v>
      </c>
      <c r="C636" s="7" t="s">
        <v>403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0</v>
      </c>
      <c r="J636" s="26" t="n">
        <v>0</v>
      </c>
      <c r="K636" s="26" t="n">
        <v>0</v>
      </c>
      <c r="L636" s="26" t="n">
        <v>0</v>
      </c>
      <c r="M636" s="26" t="n">
        <v>0</v>
      </c>
    </row>
    <row r="637" customFormat="false" ht="15" hidden="false" customHeight="false" outlineLevel="0" collapsed="false">
      <c r="A637" s="7" t="s">
        <v>85</v>
      </c>
      <c r="B637" s="7" t="n">
        <v>4413443</v>
      </c>
      <c r="C637" s="7" t="s">
        <v>404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-2</v>
      </c>
      <c r="I637" s="26" t="n">
        <v>0</v>
      </c>
      <c r="J637" s="26" t="n">
        <v>0</v>
      </c>
      <c r="K637" s="26" t="n">
        <v>0</v>
      </c>
      <c r="L637" s="26" t="n">
        <v>0</v>
      </c>
      <c r="M637" s="26" t="n">
        <v>0</v>
      </c>
    </row>
    <row r="638" customFormat="false" ht="15" hidden="false" customHeight="false" outlineLevel="0" collapsed="false">
      <c r="A638" s="7" t="s">
        <v>87</v>
      </c>
      <c r="B638" s="7" t="n">
        <v>4413443</v>
      </c>
      <c r="C638" s="7" t="s">
        <v>404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-570.3</v>
      </c>
      <c r="I638" s="26" t="n">
        <v>0</v>
      </c>
      <c r="J638" s="26" t="n">
        <v>0</v>
      </c>
      <c r="K638" s="26" t="n">
        <v>0</v>
      </c>
      <c r="L638" s="26" t="n">
        <v>0</v>
      </c>
      <c r="M638" s="26" t="n">
        <v>0</v>
      </c>
    </row>
    <row r="639" customFormat="false" ht="15" hidden="false" customHeight="false" outlineLevel="0" collapsed="false">
      <c r="A639" s="7" t="s">
        <v>85</v>
      </c>
      <c r="B639" s="7" t="n">
        <v>4413197</v>
      </c>
      <c r="C639" s="7" t="s">
        <v>405</v>
      </c>
      <c r="D639" s="26" t="n">
        <v>27</v>
      </c>
      <c r="E639" s="26" t="n">
        <v>0</v>
      </c>
      <c r="F639" s="26" t="n">
        <v>0</v>
      </c>
      <c r="G639" s="26" t="n">
        <v>0</v>
      </c>
      <c r="H639" s="26" t="n">
        <v>213</v>
      </c>
      <c r="I639" s="26" t="n">
        <v>13</v>
      </c>
      <c r="J639" s="26" t="n">
        <v>0</v>
      </c>
      <c r="K639" s="26" t="n">
        <v>0</v>
      </c>
      <c r="L639" s="26" t="n">
        <v>0</v>
      </c>
      <c r="M639" s="26" t="n">
        <v>0</v>
      </c>
    </row>
    <row r="640" customFormat="false" ht="15" hidden="false" customHeight="false" outlineLevel="0" collapsed="false">
      <c r="A640" s="7" t="s">
        <v>87</v>
      </c>
      <c r="B640" s="7" t="n">
        <v>4413197</v>
      </c>
      <c r="C640" s="7" t="s">
        <v>405</v>
      </c>
      <c r="D640" s="26" t="n">
        <v>5337.7</v>
      </c>
      <c r="E640" s="26" t="n">
        <v>0</v>
      </c>
      <c r="F640" s="26" t="n">
        <v>0</v>
      </c>
      <c r="G640" s="26" t="n">
        <v>0</v>
      </c>
      <c r="H640" s="26" t="n">
        <v>34398.3</v>
      </c>
      <c r="I640" s="26" t="n">
        <v>2293.7</v>
      </c>
      <c r="J640" s="26" t="n">
        <v>0</v>
      </c>
      <c r="K640" s="26" t="n">
        <v>0</v>
      </c>
      <c r="L640" s="26" t="n">
        <v>0</v>
      </c>
      <c r="M640" s="26" t="n">
        <v>0</v>
      </c>
    </row>
    <row r="641" customFormat="false" ht="15" hidden="false" customHeight="false" outlineLevel="0" collapsed="false">
      <c r="A641" s="7" t="s">
        <v>85</v>
      </c>
      <c r="B641" s="7" t="n">
        <v>4413196</v>
      </c>
      <c r="C641" s="7" t="s">
        <v>406</v>
      </c>
      <c r="D641" s="26" t="n">
        <v>14</v>
      </c>
      <c r="E641" s="26" t="n">
        <v>0</v>
      </c>
      <c r="F641" s="26" t="n">
        <v>0</v>
      </c>
      <c r="G641" s="26" t="n">
        <v>0</v>
      </c>
      <c r="H641" s="26" t="n">
        <v>130</v>
      </c>
      <c r="I641" s="26" t="n">
        <v>6</v>
      </c>
      <c r="J641" s="26" t="n">
        <v>0</v>
      </c>
      <c r="K641" s="26" t="n">
        <v>0</v>
      </c>
      <c r="L641" s="26" t="n">
        <v>0</v>
      </c>
      <c r="M641" s="26" t="n">
        <v>0</v>
      </c>
    </row>
    <row r="642" customFormat="false" ht="15" hidden="false" customHeight="false" outlineLevel="0" collapsed="false">
      <c r="A642" s="7" t="s">
        <v>87</v>
      </c>
      <c r="B642" s="7" t="n">
        <v>4413196</v>
      </c>
      <c r="C642" s="7" t="s">
        <v>406</v>
      </c>
      <c r="D642" s="26" t="n">
        <v>2744.1</v>
      </c>
      <c r="E642" s="26" t="n">
        <v>0</v>
      </c>
      <c r="F642" s="26" t="n">
        <v>0</v>
      </c>
      <c r="G642" s="26" t="n">
        <v>0</v>
      </c>
      <c r="H642" s="26" t="n">
        <v>20889.7</v>
      </c>
      <c r="I642" s="26" t="n">
        <v>1058.6</v>
      </c>
      <c r="J642" s="26" t="n">
        <v>0</v>
      </c>
      <c r="K642" s="26" t="n">
        <v>0</v>
      </c>
      <c r="L642" s="26" t="n">
        <v>0</v>
      </c>
      <c r="M642" s="26" t="n">
        <v>0</v>
      </c>
    </row>
    <row r="643" customFormat="false" ht="15" hidden="false" customHeight="false" outlineLevel="0" collapsed="false">
      <c r="A643" s="7" t="s">
        <v>85</v>
      </c>
      <c r="B643" s="7" t="n">
        <v>4413195</v>
      </c>
      <c r="C643" s="7" t="s">
        <v>407</v>
      </c>
      <c r="D643" s="26" t="n">
        <v>5</v>
      </c>
      <c r="E643" s="26" t="n">
        <v>0</v>
      </c>
      <c r="F643" s="26" t="n">
        <v>0</v>
      </c>
      <c r="G643" s="26" t="n">
        <v>0</v>
      </c>
      <c r="H643" s="26" t="n">
        <v>21</v>
      </c>
      <c r="I643" s="26" t="n">
        <v>2</v>
      </c>
      <c r="J643" s="26" t="n">
        <v>0</v>
      </c>
      <c r="K643" s="26" t="n">
        <v>0</v>
      </c>
      <c r="L643" s="26" t="n">
        <v>0</v>
      </c>
      <c r="M643" s="26" t="n">
        <v>0</v>
      </c>
    </row>
    <row r="644" customFormat="false" ht="15" hidden="false" customHeight="false" outlineLevel="0" collapsed="false">
      <c r="A644" s="7" t="s">
        <v>87</v>
      </c>
      <c r="B644" s="7" t="n">
        <v>4413195</v>
      </c>
      <c r="C644" s="7" t="s">
        <v>407</v>
      </c>
      <c r="D644" s="26" t="n">
        <v>957.4</v>
      </c>
      <c r="E644" s="26" t="n">
        <v>0</v>
      </c>
      <c r="F644" s="26" t="n">
        <v>0</v>
      </c>
      <c r="G644" s="26" t="n">
        <v>0</v>
      </c>
      <c r="H644" s="26" t="n">
        <v>3416.1</v>
      </c>
      <c r="I644" s="26" t="n">
        <v>352.9</v>
      </c>
      <c r="J644" s="26" t="n">
        <v>0</v>
      </c>
      <c r="K644" s="26" t="n">
        <v>0</v>
      </c>
      <c r="L644" s="26" t="n">
        <v>0</v>
      </c>
      <c r="M644" s="26" t="n">
        <v>0</v>
      </c>
    </row>
    <row r="645" customFormat="false" ht="15" hidden="false" customHeight="false" outlineLevel="0" collapsed="false">
      <c r="A645" s="7" t="s">
        <v>85</v>
      </c>
      <c r="B645" s="7" t="n">
        <v>4413198</v>
      </c>
      <c r="C645" s="7" t="s">
        <v>408</v>
      </c>
      <c r="D645" s="26" t="n">
        <v>18</v>
      </c>
      <c r="E645" s="26" t="n">
        <v>0</v>
      </c>
      <c r="F645" s="26" t="n">
        <v>0</v>
      </c>
      <c r="G645" s="26" t="n">
        <v>0</v>
      </c>
      <c r="H645" s="26" t="n">
        <v>128</v>
      </c>
      <c r="I645" s="26" t="n">
        <v>8</v>
      </c>
      <c r="J645" s="26" t="n">
        <v>0</v>
      </c>
      <c r="K645" s="26" t="n">
        <v>0</v>
      </c>
      <c r="L645" s="26" t="n">
        <v>0</v>
      </c>
      <c r="M645" s="26" t="n">
        <v>0</v>
      </c>
    </row>
    <row r="646" customFormat="false" ht="15" hidden="false" customHeight="false" outlineLevel="0" collapsed="false">
      <c r="A646" s="7" t="s">
        <v>87</v>
      </c>
      <c r="B646" s="7" t="n">
        <v>4413198</v>
      </c>
      <c r="C646" s="7" t="s">
        <v>408</v>
      </c>
      <c r="D646" s="26" t="n">
        <v>3457.1</v>
      </c>
      <c r="E646" s="26" t="n">
        <v>0</v>
      </c>
      <c r="F646" s="26" t="n">
        <v>0</v>
      </c>
      <c r="G646" s="26" t="n">
        <v>0</v>
      </c>
      <c r="H646" s="26" t="n">
        <v>20594.8</v>
      </c>
      <c r="I646" s="26" t="n">
        <v>1411.5</v>
      </c>
      <c r="J646" s="26" t="n">
        <v>0</v>
      </c>
      <c r="K646" s="26" t="n">
        <v>0</v>
      </c>
      <c r="L646" s="26" t="n">
        <v>0</v>
      </c>
      <c r="M646" s="26" t="n">
        <v>0</v>
      </c>
    </row>
    <row r="647" customFormat="false" ht="15" hidden="false" customHeight="false" outlineLevel="0" collapsed="false">
      <c r="A647" s="7" t="s">
        <v>85</v>
      </c>
      <c r="B647" s="7" t="n">
        <v>4413204</v>
      </c>
      <c r="C647" s="7" t="s">
        <v>409</v>
      </c>
      <c r="D647" s="26" t="n">
        <v>2</v>
      </c>
      <c r="E647" s="26" t="n">
        <v>0</v>
      </c>
      <c r="F647" s="26" t="n">
        <v>0</v>
      </c>
      <c r="G647" s="26" t="n">
        <v>0</v>
      </c>
      <c r="H647" s="26" t="n">
        <v>49</v>
      </c>
      <c r="I647" s="26" t="n">
        <v>4</v>
      </c>
      <c r="J647" s="26" t="n">
        <v>0</v>
      </c>
      <c r="K647" s="26" t="n">
        <v>0</v>
      </c>
      <c r="L647" s="26" t="n">
        <v>0</v>
      </c>
      <c r="M647" s="26" t="n">
        <v>0</v>
      </c>
    </row>
    <row r="648" customFormat="false" ht="15" hidden="false" customHeight="false" outlineLevel="0" collapsed="false">
      <c r="A648" s="7" t="s">
        <v>87</v>
      </c>
      <c r="B648" s="7" t="n">
        <v>4413204</v>
      </c>
      <c r="C648" s="7" t="s">
        <v>409</v>
      </c>
      <c r="D648" s="26" t="n">
        <v>403</v>
      </c>
      <c r="E648" s="26" t="n">
        <v>0</v>
      </c>
      <c r="F648" s="26" t="n">
        <v>0</v>
      </c>
      <c r="G648" s="26" t="n">
        <v>0</v>
      </c>
      <c r="H648" s="26" t="n">
        <v>7847</v>
      </c>
      <c r="I648" s="26" t="n">
        <v>705.8</v>
      </c>
      <c r="J648" s="26" t="n">
        <v>0</v>
      </c>
      <c r="K648" s="26" t="n">
        <v>0</v>
      </c>
      <c r="L648" s="26" t="n">
        <v>0</v>
      </c>
      <c r="M648" s="26" t="n">
        <v>0</v>
      </c>
    </row>
    <row r="649" customFormat="false" ht="15" hidden="false" customHeight="false" outlineLevel="0" collapsed="false">
      <c r="A649" s="7" t="s">
        <v>85</v>
      </c>
      <c r="B649" s="7" t="n">
        <v>4413456</v>
      </c>
      <c r="C649" s="7" t="s">
        <v>410</v>
      </c>
      <c r="D649" s="26" t="n">
        <v>107</v>
      </c>
      <c r="E649" s="26" t="n">
        <v>0</v>
      </c>
      <c r="F649" s="26" t="n">
        <v>-1</v>
      </c>
      <c r="G649" s="26" t="n">
        <v>0</v>
      </c>
      <c r="H649" s="26" t="n">
        <v>98</v>
      </c>
      <c r="I649" s="26" t="n">
        <v>0</v>
      </c>
      <c r="J649" s="26" t="n">
        <v>0</v>
      </c>
      <c r="K649" s="26" t="n">
        <v>0</v>
      </c>
      <c r="L649" s="26" t="n">
        <v>0</v>
      </c>
      <c r="M649" s="26" t="n">
        <v>0</v>
      </c>
    </row>
    <row r="650" customFormat="false" ht="15" hidden="false" customHeight="false" outlineLevel="0" collapsed="false">
      <c r="A650" s="7" t="s">
        <v>87</v>
      </c>
      <c r="B650" s="7" t="n">
        <v>4413456</v>
      </c>
      <c r="C650" s="7" t="s">
        <v>410</v>
      </c>
      <c r="D650" s="26" t="n">
        <v>7262.4</v>
      </c>
      <c r="E650" s="26" t="n">
        <v>0</v>
      </c>
      <c r="F650" s="26" t="n">
        <v>-70.9</v>
      </c>
      <c r="G650" s="26" t="n">
        <v>0</v>
      </c>
      <c r="H650" s="26" t="n">
        <v>5983.3</v>
      </c>
      <c r="I650" s="26" t="n">
        <v>0</v>
      </c>
      <c r="J650" s="26" t="n">
        <v>0</v>
      </c>
      <c r="K650" s="26" t="n">
        <v>0</v>
      </c>
      <c r="L650" s="26" t="n">
        <v>0</v>
      </c>
      <c r="M650" s="26" t="n">
        <v>0</v>
      </c>
    </row>
    <row r="651" customFormat="false" ht="15" hidden="false" customHeight="false" outlineLevel="0" collapsed="false">
      <c r="A651" s="7" t="s">
        <v>85</v>
      </c>
      <c r="B651" s="7" t="n">
        <v>4413453</v>
      </c>
      <c r="C651" s="7" t="s">
        <v>411</v>
      </c>
      <c r="D651" s="26" t="n">
        <v>926</v>
      </c>
      <c r="E651" s="26" t="n">
        <v>0</v>
      </c>
      <c r="F651" s="26" t="n">
        <v>14</v>
      </c>
      <c r="G651" s="26" t="n">
        <v>0</v>
      </c>
      <c r="H651" s="26" t="n">
        <v>561</v>
      </c>
      <c r="I651" s="26" t="n">
        <v>66</v>
      </c>
      <c r="J651" s="26" t="n">
        <v>3</v>
      </c>
      <c r="K651" s="26" t="n">
        <v>0</v>
      </c>
      <c r="L651" s="26" t="n">
        <v>0</v>
      </c>
      <c r="M651" s="26" t="n">
        <v>0</v>
      </c>
    </row>
    <row r="652" customFormat="false" ht="15" hidden="false" customHeight="false" outlineLevel="0" collapsed="false">
      <c r="A652" s="7" t="s">
        <v>87</v>
      </c>
      <c r="B652" s="7" t="n">
        <v>4413453</v>
      </c>
      <c r="C652" s="7" t="s">
        <v>411</v>
      </c>
      <c r="D652" s="26" t="n">
        <v>64415.4</v>
      </c>
      <c r="E652" s="26" t="n">
        <v>0</v>
      </c>
      <c r="F652" s="26" t="n">
        <v>992.1</v>
      </c>
      <c r="G652" s="26" t="n">
        <v>0</v>
      </c>
      <c r="H652" s="26" t="n">
        <v>34271.9</v>
      </c>
      <c r="I652" s="26" t="n">
        <v>5247</v>
      </c>
      <c r="J652" s="26" t="n">
        <v>203.3</v>
      </c>
      <c r="K652" s="26" t="n">
        <v>0</v>
      </c>
      <c r="L652" s="26" t="n">
        <v>0</v>
      </c>
      <c r="M652" s="26" t="n">
        <v>0</v>
      </c>
    </row>
    <row r="653" customFormat="false" ht="15" hidden="false" customHeight="false" outlineLevel="0" collapsed="false">
      <c r="A653" s="7" t="s">
        <v>85</v>
      </c>
      <c r="B653" s="7" t="n">
        <v>4422006</v>
      </c>
      <c r="C653" s="7" t="s">
        <v>412</v>
      </c>
      <c r="D653" s="26" t="n">
        <v>36</v>
      </c>
      <c r="E653" s="26" t="n">
        <v>0</v>
      </c>
      <c r="F653" s="26" t="n">
        <v>0</v>
      </c>
      <c r="G653" s="26" t="n">
        <v>2</v>
      </c>
      <c r="H653" s="26" t="n">
        <v>4</v>
      </c>
      <c r="I653" s="26" t="n">
        <v>2</v>
      </c>
      <c r="J653" s="26" t="n">
        <v>0</v>
      </c>
      <c r="K653" s="26" t="n">
        <v>0</v>
      </c>
      <c r="L653" s="26" t="n">
        <v>0</v>
      </c>
      <c r="M653" s="26" t="n">
        <v>0</v>
      </c>
    </row>
    <row r="654" customFormat="false" ht="15" hidden="false" customHeight="false" outlineLevel="0" collapsed="false">
      <c r="A654" s="7" t="s">
        <v>87</v>
      </c>
      <c r="B654" s="7" t="n">
        <v>4422006</v>
      </c>
      <c r="C654" s="7" t="s">
        <v>412</v>
      </c>
      <c r="D654" s="26" t="n">
        <v>6775.1</v>
      </c>
      <c r="E654" s="26" t="n">
        <v>0</v>
      </c>
      <c r="F654" s="26" t="n">
        <v>0</v>
      </c>
      <c r="G654" s="26" t="n">
        <v>328.1</v>
      </c>
      <c r="H654" s="26" t="n">
        <v>655.4</v>
      </c>
      <c r="I654" s="26" t="n">
        <v>374.6</v>
      </c>
      <c r="J654" s="26" t="n">
        <v>0</v>
      </c>
      <c r="K654" s="26" t="n">
        <v>0</v>
      </c>
      <c r="L654" s="26" t="n">
        <v>0</v>
      </c>
      <c r="M654" s="26" t="n">
        <v>0</v>
      </c>
    </row>
    <row r="655" customFormat="false" ht="15" hidden="false" customHeight="false" outlineLevel="0" collapsed="false">
      <c r="A655" s="7" t="s">
        <v>85</v>
      </c>
      <c r="B655" s="7" t="n">
        <v>4422005</v>
      </c>
      <c r="C655" s="7" t="s">
        <v>413</v>
      </c>
      <c r="D655" s="26" t="n">
        <v>27</v>
      </c>
      <c r="E655" s="26" t="n">
        <v>0</v>
      </c>
      <c r="F655" s="26" t="n">
        <v>0</v>
      </c>
      <c r="G655" s="26" t="n">
        <v>0</v>
      </c>
      <c r="H655" s="26" t="n">
        <v>5</v>
      </c>
      <c r="I655" s="26" t="n">
        <v>5</v>
      </c>
      <c r="J655" s="26" t="n">
        <v>0</v>
      </c>
      <c r="K655" s="26" t="n">
        <v>0</v>
      </c>
      <c r="L655" s="26" t="n">
        <v>0</v>
      </c>
      <c r="M655" s="26" t="n">
        <v>0</v>
      </c>
    </row>
    <row r="656" customFormat="false" ht="15" hidden="false" customHeight="false" outlineLevel="0" collapsed="false">
      <c r="A656" s="7" t="s">
        <v>87</v>
      </c>
      <c r="B656" s="7" t="n">
        <v>4422005</v>
      </c>
      <c r="C656" s="7" t="s">
        <v>413</v>
      </c>
      <c r="D656" s="26" t="n">
        <v>5060</v>
      </c>
      <c r="E656" s="26" t="n">
        <v>0</v>
      </c>
      <c r="F656" s="26" t="n">
        <v>0</v>
      </c>
      <c r="G656" s="26" t="n">
        <v>0</v>
      </c>
      <c r="H656" s="26" t="n">
        <v>827.4</v>
      </c>
      <c r="I656" s="26" t="n">
        <v>936.5</v>
      </c>
      <c r="J656" s="26" t="n">
        <v>0</v>
      </c>
      <c r="K656" s="26" t="n">
        <v>0</v>
      </c>
      <c r="L656" s="26" t="n">
        <v>0</v>
      </c>
      <c r="M656" s="26" t="n">
        <v>0</v>
      </c>
    </row>
    <row r="657" customFormat="false" ht="15" hidden="false" customHeight="false" outlineLevel="0" collapsed="false">
      <c r="A657" s="7" t="s">
        <v>85</v>
      </c>
      <c r="B657" s="7" t="n">
        <v>4422004</v>
      </c>
      <c r="C657" s="7" t="s">
        <v>414</v>
      </c>
      <c r="D657" s="26" t="n">
        <v>11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  <c r="L657" s="26" t="n">
        <v>0</v>
      </c>
      <c r="M657" s="26" t="n">
        <v>0</v>
      </c>
    </row>
    <row r="658" customFormat="false" ht="15" hidden="false" customHeight="false" outlineLevel="0" collapsed="false">
      <c r="A658" s="7" t="s">
        <v>87</v>
      </c>
      <c r="B658" s="7" t="n">
        <v>4422004</v>
      </c>
      <c r="C658" s="7" t="s">
        <v>414</v>
      </c>
      <c r="D658" s="26" t="n">
        <v>2043.8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  <c r="L658" s="26" t="n">
        <v>0</v>
      </c>
      <c r="M658" s="26" t="n">
        <v>0</v>
      </c>
    </row>
    <row r="659" customFormat="false" ht="15" hidden="false" customHeight="false" outlineLevel="0" collapsed="false">
      <c r="A659" s="7" t="s">
        <v>85</v>
      </c>
      <c r="B659" s="7" t="n">
        <v>4422007</v>
      </c>
      <c r="C659" s="7" t="s">
        <v>415</v>
      </c>
      <c r="D659" s="26" t="n">
        <v>18</v>
      </c>
      <c r="E659" s="26" t="n">
        <v>0</v>
      </c>
      <c r="F659" s="26" t="n">
        <v>0</v>
      </c>
      <c r="G659" s="26" t="n">
        <v>0</v>
      </c>
      <c r="H659" s="26" t="n">
        <v>4</v>
      </c>
      <c r="I659" s="26" t="n">
        <v>0</v>
      </c>
      <c r="J659" s="26" t="n">
        <v>0</v>
      </c>
      <c r="K659" s="26" t="n">
        <v>0</v>
      </c>
      <c r="L659" s="26" t="n">
        <v>0</v>
      </c>
      <c r="M659" s="26" t="n">
        <v>0</v>
      </c>
    </row>
    <row r="660" customFormat="false" ht="15" hidden="false" customHeight="false" outlineLevel="0" collapsed="false">
      <c r="A660" s="7" t="s">
        <v>87</v>
      </c>
      <c r="B660" s="7" t="n">
        <v>4422007</v>
      </c>
      <c r="C660" s="7" t="s">
        <v>415</v>
      </c>
      <c r="D660" s="26" t="n">
        <v>3356.7</v>
      </c>
      <c r="E660" s="26" t="n">
        <v>0</v>
      </c>
      <c r="F660" s="26" t="n">
        <v>0</v>
      </c>
      <c r="G660" s="26" t="n">
        <v>0</v>
      </c>
      <c r="H660" s="26" t="n">
        <v>655.4</v>
      </c>
      <c r="I660" s="26" t="n">
        <v>0</v>
      </c>
      <c r="J660" s="26" t="n">
        <v>0</v>
      </c>
      <c r="K660" s="26" t="n">
        <v>0</v>
      </c>
      <c r="L660" s="26" t="n">
        <v>0</v>
      </c>
      <c r="M660" s="26" t="n">
        <v>0</v>
      </c>
    </row>
    <row r="661" customFormat="false" ht="15" hidden="false" customHeight="false" outlineLevel="0" collapsed="false">
      <c r="A661" s="7" t="s">
        <v>85</v>
      </c>
      <c r="B661" s="7" t="n">
        <v>4422009</v>
      </c>
      <c r="C661" s="7" t="s">
        <v>416</v>
      </c>
      <c r="D661" s="26" t="n">
        <v>4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0</v>
      </c>
      <c r="J661" s="26" t="n">
        <v>0</v>
      </c>
      <c r="K661" s="26" t="n">
        <v>0</v>
      </c>
      <c r="L661" s="26" t="n">
        <v>0</v>
      </c>
      <c r="M661" s="26" t="n">
        <v>0</v>
      </c>
    </row>
    <row r="662" customFormat="false" ht="15" hidden="false" customHeight="false" outlineLevel="0" collapsed="false">
      <c r="A662" s="7" t="s">
        <v>87</v>
      </c>
      <c r="B662" s="7" t="n">
        <v>4422009</v>
      </c>
      <c r="C662" s="7" t="s">
        <v>416</v>
      </c>
      <c r="D662" s="26" t="n">
        <v>719.4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0</v>
      </c>
      <c r="J662" s="26" t="n">
        <v>0</v>
      </c>
      <c r="K662" s="26" t="n">
        <v>0</v>
      </c>
      <c r="L662" s="26" t="n">
        <v>0</v>
      </c>
      <c r="M662" s="26" t="n">
        <v>0</v>
      </c>
    </row>
    <row r="663" customFormat="false" ht="15" hidden="false" customHeight="false" outlineLevel="0" collapsed="false">
      <c r="A663" s="7" t="s">
        <v>85</v>
      </c>
      <c r="B663" s="7" t="n">
        <v>4413056</v>
      </c>
      <c r="C663" s="7" t="s">
        <v>417</v>
      </c>
      <c r="D663" s="26" t="n">
        <v>76</v>
      </c>
      <c r="E663" s="26" t="n">
        <v>0</v>
      </c>
      <c r="F663" s="26" t="n">
        <v>2</v>
      </c>
      <c r="G663" s="26" t="n">
        <v>0</v>
      </c>
      <c r="H663" s="26" t="n">
        <v>44</v>
      </c>
      <c r="I663" s="26" t="n">
        <v>22</v>
      </c>
      <c r="J663" s="26" t="n">
        <v>0</v>
      </c>
      <c r="K663" s="26" t="n">
        <v>0</v>
      </c>
      <c r="L663" s="26" t="n">
        <v>0</v>
      </c>
      <c r="M663" s="26" t="n">
        <v>0</v>
      </c>
    </row>
    <row r="664" customFormat="false" ht="15" hidden="false" customHeight="false" outlineLevel="0" collapsed="false">
      <c r="A664" s="7" t="s">
        <v>87</v>
      </c>
      <c r="B664" s="7" t="n">
        <v>4413056</v>
      </c>
      <c r="C664" s="7" t="s">
        <v>417</v>
      </c>
      <c r="D664" s="26" t="n">
        <v>1724</v>
      </c>
      <c r="E664" s="26" t="n">
        <v>0</v>
      </c>
      <c r="F664" s="26" t="n">
        <v>24.1</v>
      </c>
      <c r="G664" s="26" t="n">
        <v>0</v>
      </c>
      <c r="H664" s="26" t="n">
        <v>891.9</v>
      </c>
      <c r="I664" s="26" t="n">
        <v>480.3</v>
      </c>
      <c r="J664" s="26" t="n">
        <v>0</v>
      </c>
      <c r="K664" s="26" t="n">
        <v>0</v>
      </c>
      <c r="L664" s="26" t="n">
        <v>0</v>
      </c>
      <c r="M664" s="26" t="n">
        <v>0</v>
      </c>
    </row>
    <row r="665" customFormat="false" ht="15" hidden="false" customHeight="false" outlineLevel="0" collapsed="false">
      <c r="A665" s="7" t="s">
        <v>85</v>
      </c>
      <c r="B665" s="7" t="n">
        <v>4420022</v>
      </c>
      <c r="C665" s="7" t="s">
        <v>418</v>
      </c>
      <c r="D665" s="26" t="n">
        <v>79</v>
      </c>
      <c r="E665" s="26" t="n">
        <v>0</v>
      </c>
      <c r="F665" s="26" t="n">
        <v>2</v>
      </c>
      <c r="G665" s="26" t="n">
        <v>0</v>
      </c>
      <c r="H665" s="26" t="n">
        <v>0</v>
      </c>
      <c r="I665" s="26" t="n">
        <v>87</v>
      </c>
      <c r="J665" s="26" t="n">
        <v>0</v>
      </c>
      <c r="K665" s="26" t="n">
        <v>0</v>
      </c>
      <c r="L665" s="26" t="n">
        <v>0</v>
      </c>
      <c r="M665" s="26" t="n">
        <v>0</v>
      </c>
    </row>
    <row r="666" customFormat="false" ht="15" hidden="false" customHeight="false" outlineLevel="0" collapsed="false">
      <c r="A666" s="7" t="s">
        <v>87</v>
      </c>
      <c r="B666" s="7" t="n">
        <v>4420022</v>
      </c>
      <c r="C666" s="7" t="s">
        <v>418</v>
      </c>
      <c r="D666" s="26" t="n">
        <v>1758.7</v>
      </c>
      <c r="E666" s="26" t="n">
        <v>0</v>
      </c>
      <c r="F666" s="26" t="n">
        <v>24.1</v>
      </c>
      <c r="G666" s="26" t="n">
        <v>0</v>
      </c>
      <c r="H666" s="26" t="n">
        <v>0</v>
      </c>
      <c r="I666" s="26" t="n">
        <v>1870.4</v>
      </c>
      <c r="J666" s="26" t="n">
        <v>0</v>
      </c>
      <c r="K666" s="26" t="n">
        <v>0</v>
      </c>
      <c r="L666" s="26" t="n">
        <v>0</v>
      </c>
      <c r="M666" s="26" t="n">
        <v>0</v>
      </c>
    </row>
    <row r="667" customFormat="false" ht="15" hidden="false" customHeight="false" outlineLevel="0" collapsed="false">
      <c r="A667" s="7" t="s">
        <v>85</v>
      </c>
      <c r="B667" s="7" t="n">
        <v>4420023</v>
      </c>
      <c r="C667" s="7" t="s">
        <v>419</v>
      </c>
      <c r="D667" s="26" t="n">
        <v>7</v>
      </c>
      <c r="E667" s="26" t="n">
        <v>0</v>
      </c>
      <c r="F667" s="26" t="n">
        <v>0</v>
      </c>
      <c r="G667" s="26" t="n">
        <v>0</v>
      </c>
      <c r="H667" s="26" t="n">
        <v>-3</v>
      </c>
      <c r="I667" s="26" t="n">
        <v>4</v>
      </c>
      <c r="J667" s="26" t="n">
        <v>0</v>
      </c>
      <c r="K667" s="26" t="n">
        <v>0</v>
      </c>
      <c r="L667" s="26" t="n">
        <v>0</v>
      </c>
      <c r="M667" s="26" t="n">
        <v>0</v>
      </c>
    </row>
    <row r="668" customFormat="false" ht="15" hidden="false" customHeight="false" outlineLevel="0" collapsed="false">
      <c r="A668" s="7" t="s">
        <v>87</v>
      </c>
      <c r="B668" s="7" t="n">
        <v>4420023</v>
      </c>
      <c r="C668" s="7" t="s">
        <v>419</v>
      </c>
      <c r="D668" s="26" t="n">
        <v>209.2</v>
      </c>
      <c r="E668" s="26" t="n">
        <v>0</v>
      </c>
      <c r="F668" s="26" t="n">
        <v>-28.3</v>
      </c>
      <c r="G668" s="26" t="n">
        <v>0</v>
      </c>
      <c r="H668" s="26" t="n">
        <v>-85.8</v>
      </c>
      <c r="I668" s="26" t="n">
        <v>43.8</v>
      </c>
      <c r="J668" s="26" t="n">
        <v>0</v>
      </c>
      <c r="K668" s="26" t="n">
        <v>0</v>
      </c>
      <c r="L668" s="26" t="n">
        <v>0</v>
      </c>
      <c r="M668" s="26" t="n">
        <v>0</v>
      </c>
    </row>
    <row r="669" customFormat="false" ht="15" hidden="false" customHeight="false" outlineLevel="0" collapsed="false">
      <c r="A669" s="7" t="s">
        <v>85</v>
      </c>
      <c r="B669" s="7" t="n">
        <v>4420025</v>
      </c>
      <c r="C669" s="7" t="s">
        <v>420</v>
      </c>
      <c r="D669" s="26" t="n">
        <v>41</v>
      </c>
      <c r="E669" s="26" t="n">
        <v>0</v>
      </c>
      <c r="F669" s="26" t="n">
        <v>4</v>
      </c>
      <c r="G669" s="26" t="n">
        <v>0</v>
      </c>
      <c r="H669" s="26" t="n">
        <v>-2</v>
      </c>
      <c r="I669" s="26" t="n">
        <v>41</v>
      </c>
      <c r="J669" s="26" t="n">
        <v>0</v>
      </c>
      <c r="K669" s="26" t="n">
        <v>0</v>
      </c>
      <c r="L669" s="26" t="n">
        <v>0</v>
      </c>
      <c r="M669" s="26" t="n">
        <v>0</v>
      </c>
    </row>
    <row r="670" customFormat="false" ht="15" hidden="false" customHeight="false" outlineLevel="0" collapsed="false">
      <c r="A670" s="7" t="s">
        <v>87</v>
      </c>
      <c r="B670" s="7" t="n">
        <v>4420025</v>
      </c>
      <c r="C670" s="7" t="s">
        <v>420</v>
      </c>
      <c r="D670" s="26" t="n">
        <v>936.7</v>
      </c>
      <c r="E670" s="26" t="n">
        <v>0</v>
      </c>
      <c r="F670" s="26" t="n">
        <v>71.3</v>
      </c>
      <c r="G670" s="26" t="n">
        <v>0</v>
      </c>
      <c r="H670" s="26" t="n">
        <v>-40.5</v>
      </c>
      <c r="I670" s="26" t="n">
        <v>869.5</v>
      </c>
      <c r="J670" s="26" t="n">
        <v>0</v>
      </c>
      <c r="K670" s="26" t="n">
        <v>0</v>
      </c>
      <c r="L670" s="26" t="n">
        <v>0</v>
      </c>
      <c r="M670" s="26" t="n">
        <v>0</v>
      </c>
    </row>
    <row r="671" customFormat="false" ht="15" hidden="false" customHeight="false" outlineLevel="0" collapsed="false">
      <c r="A671" s="7" t="s">
        <v>85</v>
      </c>
      <c r="B671" s="7" t="n">
        <v>4413276</v>
      </c>
      <c r="C671" s="7" t="s">
        <v>421</v>
      </c>
      <c r="D671" s="26" t="n">
        <v>2</v>
      </c>
      <c r="E671" s="26" t="n">
        <v>0</v>
      </c>
      <c r="F671" s="26" t="n">
        <v>0</v>
      </c>
      <c r="G671" s="26" t="n">
        <v>0</v>
      </c>
      <c r="H671" s="26" t="n">
        <v>1</v>
      </c>
      <c r="I671" s="26" t="n">
        <v>0</v>
      </c>
      <c r="J671" s="26" t="n">
        <v>0</v>
      </c>
      <c r="K671" s="26" t="n">
        <v>0</v>
      </c>
      <c r="L671" s="26" t="n">
        <v>0</v>
      </c>
      <c r="M671" s="26" t="n">
        <v>0</v>
      </c>
    </row>
    <row r="672" customFormat="false" ht="15" hidden="false" customHeight="false" outlineLevel="0" collapsed="false">
      <c r="A672" s="7" t="s">
        <v>87</v>
      </c>
      <c r="B672" s="7" t="n">
        <v>4413276</v>
      </c>
      <c r="C672" s="7" t="s">
        <v>421</v>
      </c>
      <c r="D672" s="26" t="n">
        <v>94.6</v>
      </c>
      <c r="E672" s="26" t="n">
        <v>0</v>
      </c>
      <c r="F672" s="26" t="n">
        <v>-47.2</v>
      </c>
      <c r="G672" s="26" t="n">
        <v>0</v>
      </c>
      <c r="H672" s="26" t="n">
        <v>40.6</v>
      </c>
      <c r="I672" s="26" t="n">
        <v>0</v>
      </c>
      <c r="J672" s="26" t="n">
        <v>0</v>
      </c>
      <c r="K672" s="26" t="n">
        <v>0</v>
      </c>
      <c r="L672" s="26" t="n">
        <v>0</v>
      </c>
      <c r="M672" s="26" t="n">
        <v>0</v>
      </c>
    </row>
    <row r="673" customFormat="false" ht="15" hidden="false" customHeight="false" outlineLevel="0" collapsed="false">
      <c r="A673" s="7" t="s">
        <v>85</v>
      </c>
      <c r="B673" s="7" t="n">
        <v>4413277</v>
      </c>
      <c r="C673" s="7" t="s">
        <v>422</v>
      </c>
      <c r="D673" s="26" t="n">
        <v>4</v>
      </c>
      <c r="E673" s="26" t="n">
        <v>0</v>
      </c>
      <c r="F673" s="26" t="n">
        <v>0</v>
      </c>
      <c r="G673" s="26" t="n">
        <v>0</v>
      </c>
      <c r="H673" s="26" t="n">
        <v>-2</v>
      </c>
      <c r="I673" s="26" t="n">
        <v>5</v>
      </c>
      <c r="J673" s="26" t="n">
        <v>0</v>
      </c>
      <c r="K673" s="26" t="n">
        <v>0</v>
      </c>
      <c r="L673" s="26" t="n">
        <v>0</v>
      </c>
      <c r="M673" s="26" t="n">
        <v>0</v>
      </c>
    </row>
    <row r="674" customFormat="false" ht="15" hidden="false" customHeight="false" outlineLevel="0" collapsed="false">
      <c r="A674" s="7" t="s">
        <v>87</v>
      </c>
      <c r="B674" s="7" t="n">
        <v>4413277</v>
      </c>
      <c r="C674" s="7" t="s">
        <v>422</v>
      </c>
      <c r="D674" s="26" t="n">
        <v>186</v>
      </c>
      <c r="E674" s="26" t="n">
        <v>0</v>
      </c>
      <c r="F674" s="26" t="n">
        <v>0</v>
      </c>
      <c r="G674" s="26" t="n">
        <v>0</v>
      </c>
      <c r="H674" s="26" t="n">
        <v>-79.1</v>
      </c>
      <c r="I674" s="26" t="n">
        <v>218.5</v>
      </c>
      <c r="J674" s="26" t="n">
        <v>0</v>
      </c>
      <c r="K674" s="26" t="n">
        <v>0</v>
      </c>
      <c r="L674" s="26" t="n">
        <v>0</v>
      </c>
      <c r="M674" s="26" t="n">
        <v>0</v>
      </c>
    </row>
    <row r="675" customFormat="false" ht="15" hidden="false" customHeight="false" outlineLevel="0" collapsed="false">
      <c r="A675" s="7" t="s">
        <v>85</v>
      </c>
      <c r="B675" s="7" t="n">
        <v>4413278</v>
      </c>
      <c r="C675" s="7" t="s">
        <v>423</v>
      </c>
      <c r="D675" s="26" t="n">
        <v>5</v>
      </c>
      <c r="E675" s="26" t="n">
        <v>0</v>
      </c>
      <c r="F675" s="26" t="n">
        <v>0</v>
      </c>
      <c r="G675" s="26" t="n">
        <v>0</v>
      </c>
      <c r="H675" s="26" t="n">
        <v>-1</v>
      </c>
      <c r="I675" s="26" t="n">
        <v>-4</v>
      </c>
      <c r="J675" s="26" t="n">
        <v>0</v>
      </c>
      <c r="K675" s="26" t="n">
        <v>0</v>
      </c>
      <c r="L675" s="26" t="n">
        <v>0</v>
      </c>
      <c r="M675" s="26" t="n">
        <v>0</v>
      </c>
    </row>
    <row r="676" customFormat="false" ht="15" hidden="false" customHeight="false" outlineLevel="0" collapsed="false">
      <c r="A676" s="7" t="s">
        <v>87</v>
      </c>
      <c r="B676" s="7" t="n">
        <v>4413278</v>
      </c>
      <c r="C676" s="7" t="s">
        <v>423</v>
      </c>
      <c r="D676" s="26" t="n">
        <v>217.5</v>
      </c>
      <c r="E676" s="26" t="n">
        <v>0</v>
      </c>
      <c r="F676" s="26" t="n">
        <v>0</v>
      </c>
      <c r="G676" s="26" t="n">
        <v>0</v>
      </c>
      <c r="H676" s="26" t="n">
        <v>-40.6</v>
      </c>
      <c r="I676" s="26" t="n">
        <v>-252.2</v>
      </c>
      <c r="J676" s="26" t="n">
        <v>0</v>
      </c>
      <c r="K676" s="26" t="n">
        <v>0</v>
      </c>
      <c r="L676" s="26" t="n">
        <v>0</v>
      </c>
      <c r="M676" s="26" t="n">
        <v>0</v>
      </c>
    </row>
    <row r="677" customFormat="false" ht="15" hidden="false" customHeight="false" outlineLevel="0" collapsed="false">
      <c r="A677" s="7" t="s">
        <v>85</v>
      </c>
      <c r="B677" s="7" t="n">
        <v>4413451</v>
      </c>
      <c r="C677" s="7" t="s">
        <v>424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0</v>
      </c>
      <c r="L677" s="26" t="n">
        <v>0</v>
      </c>
      <c r="M677" s="26" t="n">
        <v>0</v>
      </c>
    </row>
    <row r="678" customFormat="false" ht="15" hidden="false" customHeight="false" outlineLevel="0" collapsed="false">
      <c r="A678" s="7" t="s">
        <v>87</v>
      </c>
      <c r="B678" s="7" t="n">
        <v>4413451</v>
      </c>
      <c r="C678" s="7" t="s">
        <v>424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0</v>
      </c>
      <c r="L678" s="26" t="n">
        <v>0</v>
      </c>
      <c r="M678" s="26" t="n">
        <v>0</v>
      </c>
    </row>
    <row r="679" customFormat="false" ht="15" hidden="false" customHeight="false" outlineLevel="0" collapsed="false">
      <c r="A679" s="7" t="s">
        <v>85</v>
      </c>
      <c r="B679" s="7" t="n">
        <v>4420024</v>
      </c>
      <c r="C679" s="7" t="s">
        <v>425</v>
      </c>
      <c r="D679" s="26" t="n">
        <v>52</v>
      </c>
      <c r="E679" s="26" t="n">
        <v>0</v>
      </c>
      <c r="F679" s="26" t="n">
        <v>2</v>
      </c>
      <c r="G679" s="26" t="n">
        <v>0</v>
      </c>
      <c r="H679" s="26" t="n">
        <v>0</v>
      </c>
      <c r="I679" s="26" t="n">
        <v>57</v>
      </c>
      <c r="J679" s="26" t="n">
        <v>0</v>
      </c>
      <c r="K679" s="26" t="n">
        <v>0</v>
      </c>
      <c r="L679" s="26" t="n">
        <v>0</v>
      </c>
      <c r="M679" s="26" t="n">
        <v>0</v>
      </c>
    </row>
    <row r="680" customFormat="false" ht="15" hidden="false" customHeight="false" outlineLevel="0" collapsed="false">
      <c r="A680" s="7" t="s">
        <v>87</v>
      </c>
      <c r="B680" s="7" t="n">
        <v>4420024</v>
      </c>
      <c r="C680" s="7" t="s">
        <v>425</v>
      </c>
      <c r="D680" s="26" t="n">
        <v>1051.7</v>
      </c>
      <c r="E680" s="26" t="n">
        <v>0</v>
      </c>
      <c r="F680" s="26" t="n">
        <v>21.2</v>
      </c>
      <c r="G680" s="26" t="n">
        <v>0</v>
      </c>
      <c r="H680" s="26" t="n">
        <v>0</v>
      </c>
      <c r="I680" s="26" t="n">
        <v>1110.8</v>
      </c>
      <c r="J680" s="26" t="n">
        <v>0</v>
      </c>
      <c r="K680" s="26" t="n">
        <v>0</v>
      </c>
      <c r="L680" s="26" t="n">
        <v>0</v>
      </c>
      <c r="M680" s="26" t="n">
        <v>0</v>
      </c>
    </row>
    <row r="681" customFormat="false" ht="15" hidden="false" customHeight="false" outlineLevel="0" collapsed="false">
      <c r="A681" s="7" t="s">
        <v>85</v>
      </c>
      <c r="B681" s="7" t="n">
        <v>4413008</v>
      </c>
      <c r="C681" s="7" t="s">
        <v>426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-2</v>
      </c>
      <c r="J681" s="26" t="n">
        <v>0</v>
      </c>
      <c r="K681" s="26" t="n">
        <v>0</v>
      </c>
      <c r="L681" s="26" t="n">
        <v>0</v>
      </c>
      <c r="M681" s="26" t="n">
        <v>0</v>
      </c>
    </row>
    <row r="682" customFormat="false" ht="15" hidden="false" customHeight="false" outlineLevel="0" collapsed="false">
      <c r="A682" s="7" t="s">
        <v>87</v>
      </c>
      <c r="B682" s="7" t="n">
        <v>4413008</v>
      </c>
      <c r="C682" s="7" t="s">
        <v>426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-193.5</v>
      </c>
      <c r="J682" s="26" t="n">
        <v>0</v>
      </c>
      <c r="K682" s="26" t="n">
        <v>0</v>
      </c>
      <c r="L682" s="26" t="n">
        <v>0</v>
      </c>
      <c r="M682" s="26" t="n">
        <v>0</v>
      </c>
    </row>
    <row r="683" customFormat="false" ht="15" hidden="false" customHeight="false" outlineLevel="0" collapsed="false">
      <c r="A683" s="7" t="s">
        <v>85</v>
      </c>
      <c r="B683" s="7" t="n">
        <v>4413009</v>
      </c>
      <c r="C683" s="7" t="s">
        <v>427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-2</v>
      </c>
      <c r="J683" s="26" t="n">
        <v>0</v>
      </c>
      <c r="K683" s="26" t="n">
        <v>0</v>
      </c>
      <c r="L683" s="26" t="n">
        <v>0</v>
      </c>
      <c r="M683" s="26" t="n">
        <v>0</v>
      </c>
    </row>
    <row r="684" customFormat="false" ht="15" hidden="false" customHeight="false" outlineLevel="0" collapsed="false">
      <c r="A684" s="7" t="s">
        <v>87</v>
      </c>
      <c r="B684" s="7" t="n">
        <v>4413009</v>
      </c>
      <c r="C684" s="7" t="s">
        <v>427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-193.5</v>
      </c>
      <c r="J684" s="26" t="n">
        <v>0</v>
      </c>
      <c r="K684" s="26" t="n">
        <v>0</v>
      </c>
      <c r="L684" s="26" t="n">
        <v>0</v>
      </c>
      <c r="M684" s="26" t="n">
        <v>0</v>
      </c>
    </row>
    <row r="685" customFormat="false" ht="15" hidden="false" customHeight="false" outlineLevel="0" collapsed="false">
      <c r="A685" s="7" t="s">
        <v>85</v>
      </c>
      <c r="B685" s="7" t="n">
        <v>4413372</v>
      </c>
      <c r="C685" s="7" t="s">
        <v>428</v>
      </c>
      <c r="D685" s="26" t="n">
        <v>265</v>
      </c>
      <c r="E685" s="26" t="n">
        <v>3</v>
      </c>
      <c r="F685" s="26" t="n">
        <v>4</v>
      </c>
      <c r="G685" s="26" t="n">
        <v>0</v>
      </c>
      <c r="H685" s="26" t="n">
        <v>0</v>
      </c>
      <c r="I685" s="26" t="n">
        <v>99</v>
      </c>
      <c r="J685" s="26" t="n">
        <v>0</v>
      </c>
      <c r="K685" s="26" t="n">
        <v>0</v>
      </c>
      <c r="L685" s="26" t="n">
        <v>0</v>
      </c>
      <c r="M685" s="26" t="n">
        <v>0</v>
      </c>
    </row>
    <row r="686" customFormat="false" ht="15" hidden="false" customHeight="false" outlineLevel="0" collapsed="false">
      <c r="A686" s="7" t="s">
        <v>87</v>
      </c>
      <c r="B686" s="7" t="n">
        <v>4413372</v>
      </c>
      <c r="C686" s="7" t="s">
        <v>428</v>
      </c>
      <c r="D686" s="26" t="n">
        <v>15765.3</v>
      </c>
      <c r="E686" s="26" t="n">
        <v>212.6</v>
      </c>
      <c r="F686" s="26" t="n">
        <v>283.4</v>
      </c>
      <c r="G686" s="26" t="n">
        <v>0</v>
      </c>
      <c r="H686" s="26" t="n">
        <v>0</v>
      </c>
      <c r="I686" s="26" t="n">
        <v>6382</v>
      </c>
      <c r="J686" s="26" t="n">
        <v>0</v>
      </c>
      <c r="K686" s="26" t="n">
        <v>0</v>
      </c>
      <c r="L686" s="26" t="n">
        <v>0</v>
      </c>
      <c r="M686" s="26" t="n">
        <v>0</v>
      </c>
    </row>
    <row r="687" customFormat="false" ht="15" hidden="false" customHeight="false" outlineLevel="0" collapsed="false">
      <c r="A687" s="7" t="s">
        <v>85</v>
      </c>
      <c r="B687" s="7" t="n">
        <v>4413348</v>
      </c>
      <c r="C687" s="7" t="s">
        <v>429</v>
      </c>
      <c r="D687" s="26" t="n">
        <v>572</v>
      </c>
      <c r="E687" s="26" t="n">
        <v>9</v>
      </c>
      <c r="F687" s="26" t="n">
        <v>-15</v>
      </c>
      <c r="G687" s="26" t="n">
        <v>5</v>
      </c>
      <c r="H687" s="26" t="n">
        <v>0</v>
      </c>
      <c r="I687" s="26" t="n">
        <v>187</v>
      </c>
      <c r="J687" s="26" t="n">
        <v>0</v>
      </c>
      <c r="K687" s="26" t="n">
        <v>0</v>
      </c>
      <c r="L687" s="26" t="n">
        <v>0</v>
      </c>
      <c r="M687" s="26" t="n">
        <v>-2</v>
      </c>
    </row>
    <row r="688" customFormat="false" ht="15" hidden="false" customHeight="false" outlineLevel="0" collapsed="false">
      <c r="A688" s="7" t="s">
        <v>87</v>
      </c>
      <c r="B688" s="7" t="n">
        <v>4413348</v>
      </c>
      <c r="C688" s="7" t="s">
        <v>429</v>
      </c>
      <c r="D688" s="26" t="n">
        <v>34103.6</v>
      </c>
      <c r="E688" s="26" t="n">
        <v>637.8</v>
      </c>
      <c r="F688" s="26" t="n">
        <v>-1062.9</v>
      </c>
      <c r="G688" s="26" t="n">
        <v>307.6</v>
      </c>
      <c r="H688" s="26" t="n">
        <v>0</v>
      </c>
      <c r="I688" s="26" t="n">
        <v>12070.4</v>
      </c>
      <c r="J688" s="26" t="n">
        <v>0</v>
      </c>
      <c r="K688" s="26" t="n">
        <v>0</v>
      </c>
      <c r="L688" s="26" t="n">
        <v>0</v>
      </c>
      <c r="M688" s="26" t="n">
        <v>-189.9</v>
      </c>
    </row>
    <row r="689" customFormat="false" ht="15" hidden="false" customHeight="false" outlineLevel="0" collapsed="false">
      <c r="A689" s="7" t="s">
        <v>85</v>
      </c>
      <c r="B689" s="7" t="n">
        <v>4413444</v>
      </c>
      <c r="C689" s="7" t="s">
        <v>430</v>
      </c>
      <c r="D689" s="26" t="n">
        <v>-1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-1</v>
      </c>
      <c r="J689" s="26" t="n">
        <v>0</v>
      </c>
      <c r="K689" s="26" t="n">
        <v>0</v>
      </c>
      <c r="L689" s="26" t="n">
        <v>0</v>
      </c>
      <c r="M689" s="26" t="n">
        <v>-1</v>
      </c>
    </row>
    <row r="690" customFormat="false" ht="15" hidden="false" customHeight="false" outlineLevel="0" collapsed="false">
      <c r="A690" s="7" t="s">
        <v>87</v>
      </c>
      <c r="B690" s="7" t="n">
        <v>4413444</v>
      </c>
      <c r="C690" s="7" t="s">
        <v>430</v>
      </c>
      <c r="D690" s="26" t="n">
        <v>-50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-65.6</v>
      </c>
      <c r="J690" s="26" t="n">
        <v>0</v>
      </c>
      <c r="K690" s="26" t="n">
        <v>0</v>
      </c>
      <c r="L690" s="26" t="n">
        <v>0</v>
      </c>
      <c r="M690" s="26" t="n">
        <v>-94.5</v>
      </c>
    </row>
    <row r="691" customFormat="false" ht="15" hidden="false" customHeight="false" outlineLevel="0" collapsed="false">
      <c r="A691" s="7" t="s">
        <v>85</v>
      </c>
      <c r="B691" s="7" t="n">
        <v>4413445</v>
      </c>
      <c r="C691" s="7" t="s">
        <v>431</v>
      </c>
      <c r="D691" s="26" t="n">
        <v>2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3</v>
      </c>
      <c r="J691" s="26" t="n">
        <v>0</v>
      </c>
      <c r="K691" s="26" t="n">
        <v>0</v>
      </c>
      <c r="L691" s="26" t="n">
        <v>0</v>
      </c>
      <c r="M691" s="26" t="n">
        <v>-1</v>
      </c>
    </row>
    <row r="692" customFormat="false" ht="15" hidden="false" customHeight="false" outlineLevel="0" collapsed="false">
      <c r="A692" s="7" t="s">
        <v>87</v>
      </c>
      <c r="B692" s="7" t="n">
        <v>4413445</v>
      </c>
      <c r="C692" s="7" t="s">
        <v>431</v>
      </c>
      <c r="D692" s="26" t="n">
        <v>150.9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196.9</v>
      </c>
      <c r="J692" s="26" t="n">
        <v>0</v>
      </c>
      <c r="K692" s="26" t="n">
        <v>0</v>
      </c>
      <c r="L692" s="26" t="n">
        <v>0</v>
      </c>
      <c r="M692" s="26" t="n">
        <v>-94.9</v>
      </c>
    </row>
    <row r="693" customFormat="false" ht="15" hidden="false" customHeight="false" outlineLevel="0" collapsed="false">
      <c r="A693" s="7" t="s">
        <v>85</v>
      </c>
      <c r="B693" s="7" t="n">
        <v>4413018</v>
      </c>
      <c r="C693" s="7" t="s">
        <v>432</v>
      </c>
      <c r="D693" s="26" t="n">
        <v>1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7</v>
      </c>
      <c r="J693" s="26" t="n">
        <v>0</v>
      </c>
      <c r="K693" s="26" t="n">
        <v>0</v>
      </c>
      <c r="L693" s="26" t="n">
        <v>0</v>
      </c>
      <c r="M693" s="26" t="n">
        <v>0</v>
      </c>
    </row>
    <row r="694" customFormat="false" ht="15" hidden="false" customHeight="false" outlineLevel="0" collapsed="false">
      <c r="A694" s="7" t="s">
        <v>87</v>
      </c>
      <c r="B694" s="7" t="n">
        <v>4413018</v>
      </c>
      <c r="C694" s="7" t="s">
        <v>432</v>
      </c>
      <c r="D694" s="26" t="n">
        <v>118.5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773.4</v>
      </c>
      <c r="J694" s="26" t="n">
        <v>0</v>
      </c>
      <c r="K694" s="26" t="n">
        <v>0</v>
      </c>
      <c r="L694" s="26" t="n">
        <v>0</v>
      </c>
      <c r="M694" s="26" t="n">
        <v>0</v>
      </c>
    </row>
    <row r="695" customFormat="false" ht="15" hidden="false" customHeight="false" outlineLevel="0" collapsed="false">
      <c r="A695" s="7" t="s">
        <v>85</v>
      </c>
      <c r="B695" s="7" t="n">
        <v>4413019</v>
      </c>
      <c r="C695" s="7" t="s">
        <v>433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6</v>
      </c>
      <c r="J695" s="26" t="n">
        <v>0</v>
      </c>
      <c r="K695" s="26" t="n">
        <v>0</v>
      </c>
      <c r="L695" s="26" t="n">
        <v>0</v>
      </c>
      <c r="M695" s="26" t="n">
        <v>0</v>
      </c>
    </row>
    <row r="696" customFormat="false" ht="15" hidden="false" customHeight="false" outlineLevel="0" collapsed="false">
      <c r="A696" s="7" t="s">
        <v>87</v>
      </c>
      <c r="B696" s="7" t="n">
        <v>4413019</v>
      </c>
      <c r="C696" s="7" t="s">
        <v>433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662.9</v>
      </c>
      <c r="J696" s="26" t="n">
        <v>0</v>
      </c>
      <c r="K696" s="26" t="n">
        <v>0</v>
      </c>
      <c r="L696" s="26" t="n">
        <v>0</v>
      </c>
      <c r="M696" s="26" t="n">
        <v>0</v>
      </c>
    </row>
    <row r="697" customFormat="false" ht="15" hidden="false" customHeight="false" outlineLevel="0" collapsed="false">
      <c r="A697" s="7" t="s">
        <v>85</v>
      </c>
      <c r="B697" s="7" t="n">
        <v>4413020</v>
      </c>
      <c r="C697" s="7" t="s">
        <v>434</v>
      </c>
      <c r="D697" s="26" t="n">
        <v>6</v>
      </c>
      <c r="E697" s="26" t="n">
        <v>0</v>
      </c>
      <c r="F697" s="26" t="n">
        <v>0</v>
      </c>
      <c r="G697" s="26" t="n">
        <v>0</v>
      </c>
      <c r="H697" s="26" t="n">
        <v>-1</v>
      </c>
      <c r="I697" s="26" t="n">
        <v>3</v>
      </c>
      <c r="J697" s="26" t="n">
        <v>0</v>
      </c>
      <c r="K697" s="26" t="n">
        <v>0</v>
      </c>
      <c r="L697" s="26" t="n">
        <v>0</v>
      </c>
      <c r="M697" s="26" t="n">
        <v>0</v>
      </c>
    </row>
    <row r="698" customFormat="false" ht="15" hidden="false" customHeight="false" outlineLevel="0" collapsed="false">
      <c r="A698" s="7" t="s">
        <v>87</v>
      </c>
      <c r="B698" s="7" t="n">
        <v>4413020</v>
      </c>
      <c r="C698" s="7" t="s">
        <v>434</v>
      </c>
      <c r="D698" s="26" t="n">
        <v>706.5</v>
      </c>
      <c r="E698" s="26" t="n">
        <v>0</v>
      </c>
      <c r="F698" s="26" t="n">
        <v>0</v>
      </c>
      <c r="G698" s="26" t="n">
        <v>0</v>
      </c>
      <c r="H698" s="26" t="n">
        <v>-102.6</v>
      </c>
      <c r="I698" s="26" t="n">
        <v>331.5</v>
      </c>
      <c r="J698" s="26" t="n">
        <v>0</v>
      </c>
      <c r="K698" s="26" t="n">
        <v>0</v>
      </c>
      <c r="L698" s="26" t="n">
        <v>0</v>
      </c>
      <c r="M698" s="26" t="n">
        <v>0</v>
      </c>
    </row>
    <row r="699" customFormat="false" ht="15" hidden="false" customHeight="false" outlineLevel="0" collapsed="false">
      <c r="A699" s="7" t="s">
        <v>85</v>
      </c>
      <c r="B699" s="7" t="n">
        <v>4413021</v>
      </c>
      <c r="C699" s="7" t="s">
        <v>435</v>
      </c>
      <c r="D699" s="26" t="n">
        <v>8</v>
      </c>
      <c r="E699" s="26" t="n">
        <v>0</v>
      </c>
      <c r="F699" s="26" t="n">
        <v>0</v>
      </c>
      <c r="G699" s="26" t="n">
        <v>2</v>
      </c>
      <c r="H699" s="26" t="n">
        <v>0</v>
      </c>
      <c r="I699" s="26" t="n">
        <v>1</v>
      </c>
      <c r="J699" s="26" t="n">
        <v>0</v>
      </c>
      <c r="K699" s="26" t="n">
        <v>0</v>
      </c>
      <c r="L699" s="26" t="n">
        <v>0</v>
      </c>
      <c r="M699" s="26" t="n">
        <v>0</v>
      </c>
    </row>
    <row r="700" customFormat="false" ht="15" hidden="false" customHeight="false" outlineLevel="0" collapsed="false">
      <c r="A700" s="7" t="s">
        <v>87</v>
      </c>
      <c r="B700" s="7" t="n">
        <v>4413021</v>
      </c>
      <c r="C700" s="7" t="s">
        <v>435</v>
      </c>
      <c r="D700" s="26" t="n">
        <v>903.7</v>
      </c>
      <c r="E700" s="26" t="n">
        <v>0</v>
      </c>
      <c r="F700" s="26" t="n">
        <v>0</v>
      </c>
      <c r="G700" s="26" t="n">
        <v>205.3</v>
      </c>
      <c r="H700" s="26" t="n">
        <v>0</v>
      </c>
      <c r="I700" s="26" t="n">
        <v>110.5</v>
      </c>
      <c r="J700" s="26" t="n">
        <v>0</v>
      </c>
      <c r="K700" s="26" t="n">
        <v>0</v>
      </c>
      <c r="L700" s="26" t="n">
        <v>0</v>
      </c>
      <c r="M700" s="26" t="n">
        <v>0</v>
      </c>
    </row>
    <row r="701" customFormat="false" ht="15" hidden="false" customHeight="false" outlineLevel="0" collapsed="false">
      <c r="A701" s="7" t="s">
        <v>85</v>
      </c>
      <c r="B701" s="7" t="n">
        <v>4413022</v>
      </c>
      <c r="C701" s="7" t="s">
        <v>436</v>
      </c>
      <c r="D701" s="26" t="n">
        <v>3</v>
      </c>
      <c r="E701" s="26" t="n">
        <v>0</v>
      </c>
      <c r="F701" s="26" t="n">
        <v>0</v>
      </c>
      <c r="G701" s="26" t="n">
        <v>0</v>
      </c>
      <c r="H701" s="26" t="n">
        <v>-5</v>
      </c>
      <c r="I701" s="26" t="n">
        <v>0</v>
      </c>
      <c r="J701" s="26" t="n">
        <v>0</v>
      </c>
      <c r="K701" s="26" t="n">
        <v>0</v>
      </c>
      <c r="L701" s="26" t="n">
        <v>0</v>
      </c>
      <c r="M701" s="26" t="n">
        <v>0</v>
      </c>
    </row>
    <row r="702" customFormat="false" ht="15" hidden="false" customHeight="false" outlineLevel="0" collapsed="false">
      <c r="A702" s="7" t="s">
        <v>87</v>
      </c>
      <c r="B702" s="7" t="n">
        <v>4413022</v>
      </c>
      <c r="C702" s="7" t="s">
        <v>436</v>
      </c>
      <c r="D702" s="26" t="n">
        <v>327</v>
      </c>
      <c r="E702" s="26" t="n">
        <v>0</v>
      </c>
      <c r="F702" s="26" t="n">
        <v>0</v>
      </c>
      <c r="G702" s="26" t="n">
        <v>0</v>
      </c>
      <c r="H702" s="26" t="n">
        <v>-513</v>
      </c>
      <c r="I702" s="26" t="n">
        <v>0</v>
      </c>
      <c r="J702" s="26" t="n">
        <v>0</v>
      </c>
      <c r="K702" s="26" t="n">
        <v>0</v>
      </c>
      <c r="L702" s="26" t="n">
        <v>0</v>
      </c>
      <c r="M702" s="26" t="n">
        <v>0</v>
      </c>
    </row>
    <row r="703" customFormat="false" ht="15" hidden="false" customHeight="false" outlineLevel="0" collapsed="false">
      <c r="A703" s="7" t="s">
        <v>85</v>
      </c>
      <c r="B703" s="7" t="n">
        <v>4413153</v>
      </c>
      <c r="C703" s="7" t="s">
        <v>437</v>
      </c>
      <c r="D703" s="26" t="n">
        <v>6</v>
      </c>
      <c r="E703" s="26" t="n">
        <v>0</v>
      </c>
      <c r="F703" s="26" t="n">
        <v>0</v>
      </c>
      <c r="G703" s="26" t="n">
        <v>0</v>
      </c>
      <c r="H703" s="26" t="n">
        <v>-96</v>
      </c>
      <c r="I703" s="26" t="n">
        <v>3</v>
      </c>
      <c r="J703" s="26" t="n">
        <v>0</v>
      </c>
      <c r="K703" s="26" t="n">
        <v>0</v>
      </c>
      <c r="L703" s="26" t="n">
        <v>0</v>
      </c>
      <c r="M703" s="26" t="n">
        <v>0</v>
      </c>
    </row>
    <row r="704" customFormat="false" ht="15" hidden="false" customHeight="false" outlineLevel="0" collapsed="false">
      <c r="A704" s="7" t="s">
        <v>87</v>
      </c>
      <c r="B704" s="7" t="n">
        <v>4413153</v>
      </c>
      <c r="C704" s="7" t="s">
        <v>437</v>
      </c>
      <c r="D704" s="26" t="n">
        <v>510.8</v>
      </c>
      <c r="E704" s="26" t="n">
        <v>0</v>
      </c>
      <c r="F704" s="26" t="n">
        <v>-92.1</v>
      </c>
      <c r="G704" s="26" t="n">
        <v>0</v>
      </c>
      <c r="H704" s="26" t="n">
        <v>-5920.6</v>
      </c>
      <c r="I704" s="26" t="n">
        <v>209.9</v>
      </c>
      <c r="J704" s="26" t="n">
        <v>0</v>
      </c>
      <c r="K704" s="26" t="n">
        <v>0</v>
      </c>
      <c r="L704" s="26" t="n">
        <v>0</v>
      </c>
      <c r="M704" s="26" t="n">
        <v>0</v>
      </c>
    </row>
    <row r="705" customFormat="false" ht="15" hidden="false" customHeight="false" outlineLevel="0" collapsed="false">
      <c r="A705" s="7" t="s">
        <v>85</v>
      </c>
      <c r="B705" s="7" t="n">
        <v>4413154</v>
      </c>
      <c r="C705" s="7" t="s">
        <v>438</v>
      </c>
      <c r="D705" s="26" t="n">
        <v>6</v>
      </c>
      <c r="E705" s="26" t="n">
        <v>0</v>
      </c>
      <c r="F705" s="26" t="n">
        <v>0</v>
      </c>
      <c r="G705" s="26" t="n">
        <v>0</v>
      </c>
      <c r="H705" s="26" t="n">
        <v>9</v>
      </c>
      <c r="I705" s="26" t="n">
        <v>5</v>
      </c>
      <c r="J705" s="26" t="n">
        <v>0</v>
      </c>
      <c r="K705" s="26" t="n">
        <v>0</v>
      </c>
      <c r="L705" s="26" t="n">
        <v>0</v>
      </c>
      <c r="M705" s="26" t="n">
        <v>0</v>
      </c>
    </row>
    <row r="706" customFormat="false" ht="15" hidden="false" customHeight="false" outlineLevel="0" collapsed="false">
      <c r="A706" s="7" t="s">
        <v>87</v>
      </c>
      <c r="B706" s="7" t="n">
        <v>4413154</v>
      </c>
      <c r="C706" s="7" t="s">
        <v>438</v>
      </c>
      <c r="D706" s="26" t="n">
        <v>542.6</v>
      </c>
      <c r="E706" s="26" t="n">
        <v>0</v>
      </c>
      <c r="F706" s="26" t="n">
        <v>0</v>
      </c>
      <c r="G706" s="26" t="n">
        <v>0</v>
      </c>
      <c r="H706" s="26" t="n">
        <v>764</v>
      </c>
      <c r="I706" s="26" t="n">
        <v>294.8</v>
      </c>
      <c r="J706" s="26" t="n">
        <v>0</v>
      </c>
      <c r="K706" s="26" t="n">
        <v>0</v>
      </c>
      <c r="L706" s="26" t="n">
        <v>0</v>
      </c>
      <c r="M706" s="26" t="n">
        <v>0</v>
      </c>
    </row>
    <row r="707" customFormat="false" ht="15" hidden="false" customHeight="false" outlineLevel="0" collapsed="false">
      <c r="A707" s="7" t="s">
        <v>85</v>
      </c>
      <c r="B707" s="7" t="n">
        <v>4413155</v>
      </c>
      <c r="C707" s="7" t="s">
        <v>439</v>
      </c>
      <c r="D707" s="26" t="n">
        <v>21</v>
      </c>
      <c r="E707" s="26" t="n">
        <v>0</v>
      </c>
      <c r="F707" s="26" t="n">
        <v>-1</v>
      </c>
      <c r="G707" s="26" t="n">
        <v>0</v>
      </c>
      <c r="H707" s="26" t="n">
        <v>39</v>
      </c>
      <c r="I707" s="26" t="n">
        <v>13</v>
      </c>
      <c r="J707" s="26" t="n">
        <v>0</v>
      </c>
      <c r="K707" s="26" t="n">
        <v>0</v>
      </c>
      <c r="L707" s="26" t="n">
        <v>0</v>
      </c>
      <c r="M707" s="26" t="n">
        <v>-1</v>
      </c>
    </row>
    <row r="708" customFormat="false" ht="15" hidden="false" customHeight="false" outlineLevel="0" collapsed="false">
      <c r="A708" s="7" t="s">
        <v>87</v>
      </c>
      <c r="B708" s="7" t="n">
        <v>4413155</v>
      </c>
      <c r="C708" s="7" t="s">
        <v>439</v>
      </c>
      <c r="D708" s="26" t="n">
        <v>1864</v>
      </c>
      <c r="E708" s="26" t="n">
        <v>0</v>
      </c>
      <c r="F708" s="26" t="n">
        <v>-122.9</v>
      </c>
      <c r="G708" s="26" t="n">
        <v>0</v>
      </c>
      <c r="H708" s="26" t="n">
        <v>2750.2</v>
      </c>
      <c r="I708" s="26" t="n">
        <v>909.4</v>
      </c>
      <c r="J708" s="26" t="n">
        <v>0</v>
      </c>
      <c r="K708" s="26" t="n">
        <v>0</v>
      </c>
      <c r="L708" s="26" t="n">
        <v>0</v>
      </c>
      <c r="M708" s="26" t="n">
        <v>-124.9</v>
      </c>
    </row>
    <row r="709" customFormat="false" ht="15" hidden="false" customHeight="false" outlineLevel="0" collapsed="false">
      <c r="A709" s="7" t="s">
        <v>85</v>
      </c>
      <c r="B709" s="7" t="n">
        <v>4413156</v>
      </c>
      <c r="C709" s="7" t="s">
        <v>440</v>
      </c>
      <c r="D709" s="26" t="n">
        <v>36</v>
      </c>
      <c r="E709" s="26" t="n">
        <v>0</v>
      </c>
      <c r="F709" s="26" t="n">
        <v>0</v>
      </c>
      <c r="G709" s="26" t="n">
        <v>0</v>
      </c>
      <c r="H709" s="26" t="n">
        <v>173</v>
      </c>
      <c r="I709" s="26" t="n">
        <v>26</v>
      </c>
      <c r="J709" s="26" t="n">
        <v>0</v>
      </c>
      <c r="K709" s="26" t="n">
        <v>0</v>
      </c>
      <c r="L709" s="26" t="n">
        <v>0</v>
      </c>
      <c r="M709" s="26" t="n">
        <v>0</v>
      </c>
    </row>
    <row r="710" customFormat="false" ht="15" hidden="false" customHeight="false" outlineLevel="0" collapsed="false">
      <c r="A710" s="7" t="s">
        <v>87</v>
      </c>
      <c r="B710" s="7" t="n">
        <v>4413156</v>
      </c>
      <c r="C710" s="7" t="s">
        <v>440</v>
      </c>
      <c r="D710" s="26" t="n">
        <v>3080.1</v>
      </c>
      <c r="E710" s="26" t="n">
        <v>0</v>
      </c>
      <c r="F710" s="26" t="n">
        <v>0</v>
      </c>
      <c r="G710" s="26" t="n">
        <v>0</v>
      </c>
      <c r="H710" s="26" t="n">
        <v>11235.7</v>
      </c>
      <c r="I710" s="26" t="n">
        <v>1818.7</v>
      </c>
      <c r="J710" s="26" t="n">
        <v>0</v>
      </c>
      <c r="K710" s="26" t="n">
        <v>0</v>
      </c>
      <c r="L710" s="26" t="n">
        <v>0</v>
      </c>
      <c r="M710" s="26" t="n">
        <v>0</v>
      </c>
    </row>
    <row r="711" customFormat="false" ht="15" hidden="false" customHeight="false" outlineLevel="0" collapsed="false">
      <c r="A711" s="7" t="s">
        <v>85</v>
      </c>
      <c r="B711" s="7" t="n">
        <v>4413157</v>
      </c>
      <c r="C711" s="7" t="s">
        <v>441</v>
      </c>
      <c r="D711" s="26" t="n">
        <v>55</v>
      </c>
      <c r="E711" s="26" t="n">
        <v>0</v>
      </c>
      <c r="F711" s="26" t="n">
        <v>-1</v>
      </c>
      <c r="G711" s="26" t="n">
        <v>0</v>
      </c>
      <c r="H711" s="26" t="n">
        <v>226</v>
      </c>
      <c r="I711" s="26" t="n">
        <v>21</v>
      </c>
      <c r="J711" s="26" t="n">
        <v>0</v>
      </c>
      <c r="K711" s="26" t="n">
        <v>0</v>
      </c>
      <c r="L711" s="26" t="n">
        <v>0</v>
      </c>
      <c r="M711" s="26" t="n">
        <v>0</v>
      </c>
    </row>
    <row r="712" customFormat="false" ht="15" hidden="false" customHeight="false" outlineLevel="0" collapsed="false">
      <c r="A712" s="7" t="s">
        <v>87</v>
      </c>
      <c r="B712" s="7" t="n">
        <v>4413157</v>
      </c>
      <c r="C712" s="7" t="s">
        <v>441</v>
      </c>
      <c r="D712" s="26" t="n">
        <v>4744.9</v>
      </c>
      <c r="E712" s="26" t="n">
        <v>0</v>
      </c>
      <c r="F712" s="26" t="n">
        <v>-92.1</v>
      </c>
      <c r="G712" s="26" t="n">
        <v>0</v>
      </c>
      <c r="H712" s="26" t="n">
        <v>14677.4</v>
      </c>
      <c r="I712" s="26" t="n">
        <v>1469</v>
      </c>
      <c r="J712" s="26" t="n">
        <v>0</v>
      </c>
      <c r="K712" s="26" t="n">
        <v>0</v>
      </c>
      <c r="L712" s="26" t="n">
        <v>0</v>
      </c>
      <c r="M712" s="26" t="n">
        <v>0</v>
      </c>
    </row>
    <row r="713" customFormat="false" ht="15" hidden="false" customHeight="false" outlineLevel="0" collapsed="false">
      <c r="A713" s="7" t="s">
        <v>85</v>
      </c>
      <c r="B713" s="7" t="n">
        <v>4413158</v>
      </c>
      <c r="C713" s="7" t="s">
        <v>442</v>
      </c>
      <c r="D713" s="26" t="n">
        <v>33</v>
      </c>
      <c r="E713" s="26" t="n">
        <v>0</v>
      </c>
      <c r="F713" s="26" t="n">
        <v>0</v>
      </c>
      <c r="G713" s="26" t="n">
        <v>0</v>
      </c>
      <c r="H713" s="26" t="n">
        <v>144</v>
      </c>
      <c r="I713" s="26" t="n">
        <v>15</v>
      </c>
      <c r="J713" s="26" t="n">
        <v>0</v>
      </c>
      <c r="K713" s="26" t="n">
        <v>0</v>
      </c>
      <c r="L713" s="26" t="n">
        <v>0</v>
      </c>
      <c r="M713" s="26" t="n">
        <v>0</v>
      </c>
    </row>
    <row r="714" customFormat="false" ht="15" hidden="false" customHeight="false" outlineLevel="0" collapsed="false">
      <c r="A714" s="7" t="s">
        <v>87</v>
      </c>
      <c r="B714" s="7" t="n">
        <v>4413158</v>
      </c>
      <c r="C714" s="7" t="s">
        <v>442</v>
      </c>
      <c r="D714" s="26" t="n">
        <v>2838.9</v>
      </c>
      <c r="E714" s="26" t="n">
        <v>0</v>
      </c>
      <c r="F714" s="26" t="n">
        <v>0</v>
      </c>
      <c r="G714" s="26" t="n">
        <v>0</v>
      </c>
      <c r="H714" s="26" t="n">
        <v>9409.4</v>
      </c>
      <c r="I714" s="26" t="n">
        <v>1049.3</v>
      </c>
      <c r="J714" s="26" t="n">
        <v>0</v>
      </c>
      <c r="K714" s="26" t="n">
        <v>0</v>
      </c>
      <c r="L714" s="26" t="n">
        <v>0</v>
      </c>
      <c r="M714" s="26" t="n">
        <v>0</v>
      </c>
    </row>
    <row r="715" customFormat="false" ht="15" hidden="false" customHeight="false" outlineLevel="0" collapsed="false">
      <c r="A715" s="7" t="s">
        <v>85</v>
      </c>
      <c r="B715" s="7" t="n">
        <v>4413285</v>
      </c>
      <c r="C715" s="7" t="s">
        <v>443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-3</v>
      </c>
      <c r="I715" s="26" t="n">
        <v>0</v>
      </c>
      <c r="J715" s="26" t="n">
        <v>0</v>
      </c>
      <c r="K715" s="26" t="n">
        <v>0</v>
      </c>
      <c r="L715" s="26" t="n">
        <v>0</v>
      </c>
      <c r="M715" s="26" t="n">
        <v>0</v>
      </c>
    </row>
    <row r="716" customFormat="false" ht="15" hidden="false" customHeight="false" outlineLevel="0" collapsed="false">
      <c r="A716" s="7" t="s">
        <v>87</v>
      </c>
      <c r="B716" s="7" t="n">
        <v>4413285</v>
      </c>
      <c r="C716" s="7" t="s">
        <v>443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-185.8</v>
      </c>
      <c r="I716" s="26" t="n">
        <v>0</v>
      </c>
      <c r="J716" s="26" t="n">
        <v>0</v>
      </c>
      <c r="K716" s="26" t="n">
        <v>0</v>
      </c>
      <c r="L716" s="26" t="n">
        <v>0</v>
      </c>
      <c r="M716" s="26" t="n">
        <v>0</v>
      </c>
    </row>
    <row r="717" customFormat="false" ht="15" hidden="false" customHeight="false" outlineLevel="0" collapsed="false">
      <c r="A717" s="7" t="s">
        <v>85</v>
      </c>
      <c r="B717" s="7" t="n">
        <v>4413482</v>
      </c>
      <c r="C717" s="7" t="s">
        <v>444</v>
      </c>
      <c r="D717" s="26" t="n">
        <v>-1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0</v>
      </c>
      <c r="L717" s="26" t="n">
        <v>0</v>
      </c>
      <c r="M717" s="26" t="n">
        <v>0</v>
      </c>
    </row>
    <row r="718" customFormat="false" ht="15" hidden="false" customHeight="false" outlineLevel="0" collapsed="false">
      <c r="A718" s="7" t="s">
        <v>87</v>
      </c>
      <c r="B718" s="7" t="n">
        <v>4413482</v>
      </c>
      <c r="C718" s="7" t="s">
        <v>444</v>
      </c>
      <c r="D718" s="26" t="n">
        <v>-75.6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0</v>
      </c>
      <c r="L718" s="26" t="n">
        <v>0</v>
      </c>
      <c r="M718" s="26" t="n">
        <v>0</v>
      </c>
    </row>
    <row r="719" customFormat="false" ht="15" hidden="false" customHeight="false" outlineLevel="0" collapsed="false">
      <c r="A719" s="7" t="s">
        <v>85</v>
      </c>
      <c r="B719" s="7" t="n">
        <v>4413483</v>
      </c>
      <c r="C719" s="7" t="s">
        <v>445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0</v>
      </c>
      <c r="L719" s="26" t="n">
        <v>0</v>
      </c>
      <c r="M719" s="26" t="n">
        <v>0</v>
      </c>
    </row>
    <row r="720" customFormat="false" ht="15" hidden="false" customHeight="false" outlineLevel="0" collapsed="false">
      <c r="A720" s="7" t="s">
        <v>87</v>
      </c>
      <c r="B720" s="7" t="n">
        <v>4413483</v>
      </c>
      <c r="C720" s="7" t="s">
        <v>445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0</v>
      </c>
      <c r="L720" s="26" t="n">
        <v>0</v>
      </c>
      <c r="M720" s="26" t="n">
        <v>0</v>
      </c>
    </row>
    <row r="721" customFormat="false" ht="15" hidden="false" customHeight="false" outlineLevel="0" collapsed="false">
      <c r="A721" s="7" t="s">
        <v>85</v>
      </c>
      <c r="B721" s="7" t="n">
        <v>4413484</v>
      </c>
      <c r="C721" s="7" t="s">
        <v>446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0</v>
      </c>
      <c r="L721" s="26" t="n">
        <v>0</v>
      </c>
      <c r="M721" s="26" t="n">
        <v>0</v>
      </c>
    </row>
    <row r="722" customFormat="false" ht="15" hidden="false" customHeight="false" outlineLevel="0" collapsed="false">
      <c r="A722" s="7" t="s">
        <v>87</v>
      </c>
      <c r="B722" s="7" t="n">
        <v>4413484</v>
      </c>
      <c r="C722" s="7" t="s">
        <v>446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0</v>
      </c>
      <c r="L722" s="26" t="n">
        <v>0</v>
      </c>
      <c r="M722" s="26" t="n">
        <v>0</v>
      </c>
    </row>
    <row r="723" customFormat="false" ht="15" hidden="false" customHeight="false" outlineLevel="0" collapsed="false">
      <c r="A723" s="7" t="s">
        <v>85</v>
      </c>
      <c r="B723" s="7" t="n">
        <v>4413523</v>
      </c>
      <c r="C723" s="7" t="s">
        <v>447</v>
      </c>
      <c r="D723" s="26" t="n">
        <v>7</v>
      </c>
      <c r="E723" s="26" t="n">
        <v>0</v>
      </c>
      <c r="F723" s="26" t="n">
        <v>0</v>
      </c>
      <c r="G723" s="26" t="n">
        <v>0</v>
      </c>
      <c r="H723" s="26" t="n">
        <v>890</v>
      </c>
      <c r="I723" s="26" t="n">
        <v>0</v>
      </c>
      <c r="J723" s="26" t="n">
        <v>0</v>
      </c>
      <c r="K723" s="26" t="n">
        <v>0</v>
      </c>
      <c r="L723" s="26" t="n">
        <v>0</v>
      </c>
      <c r="M723" s="26" t="n">
        <v>0</v>
      </c>
    </row>
    <row r="724" customFormat="false" ht="15" hidden="false" customHeight="false" outlineLevel="0" collapsed="false">
      <c r="A724" s="7" t="s">
        <v>87</v>
      </c>
      <c r="B724" s="7" t="n">
        <v>4413523</v>
      </c>
      <c r="C724" s="7" t="s">
        <v>447</v>
      </c>
      <c r="D724" s="26" t="n">
        <v>700.1</v>
      </c>
      <c r="E724" s="26" t="n">
        <v>0</v>
      </c>
      <c r="F724" s="26" t="n">
        <v>0</v>
      </c>
      <c r="G724" s="26" t="n">
        <v>0</v>
      </c>
      <c r="H724" s="26" t="n">
        <v>82352.3</v>
      </c>
      <c r="I724" s="26" t="n">
        <v>0</v>
      </c>
      <c r="J724" s="26" t="n">
        <v>0</v>
      </c>
      <c r="K724" s="26" t="n">
        <v>0</v>
      </c>
      <c r="L724" s="26" t="n">
        <v>0</v>
      </c>
      <c r="M724" s="26" t="n">
        <v>0</v>
      </c>
    </row>
    <row r="725" customFormat="false" ht="15" hidden="false" customHeight="false" outlineLevel="0" collapsed="false">
      <c r="A725" s="7" t="s">
        <v>85</v>
      </c>
      <c r="B725" s="7" t="n">
        <v>4413527</v>
      </c>
      <c r="C725" s="7" t="s">
        <v>448</v>
      </c>
      <c r="D725" s="26" t="n">
        <v>10</v>
      </c>
      <c r="E725" s="26" t="n">
        <v>0</v>
      </c>
      <c r="F725" s="26" t="n">
        <v>0</v>
      </c>
      <c r="G725" s="26" t="n">
        <v>0</v>
      </c>
      <c r="H725" s="26" t="n">
        <v>886</v>
      </c>
      <c r="I725" s="26" t="n">
        <v>0</v>
      </c>
      <c r="J725" s="26" t="n">
        <v>0</v>
      </c>
      <c r="K725" s="26" t="n">
        <v>0</v>
      </c>
      <c r="L725" s="26" t="n">
        <v>0</v>
      </c>
      <c r="M725" s="26" t="n">
        <v>0</v>
      </c>
    </row>
    <row r="726" customFormat="false" ht="15" hidden="false" customHeight="false" outlineLevel="0" collapsed="false">
      <c r="A726" s="7" t="s">
        <v>87</v>
      </c>
      <c r="B726" s="7" t="n">
        <v>4413527</v>
      </c>
      <c r="C726" s="7" t="s">
        <v>448</v>
      </c>
      <c r="D726" s="26" t="n">
        <v>902.8</v>
      </c>
      <c r="E726" s="26" t="n">
        <v>0</v>
      </c>
      <c r="F726" s="26" t="n">
        <v>0</v>
      </c>
      <c r="G726" s="26" t="n">
        <v>0</v>
      </c>
      <c r="H726" s="26" t="n">
        <v>82079.4</v>
      </c>
      <c r="I726" s="26" t="n">
        <v>0</v>
      </c>
      <c r="J726" s="26" t="n">
        <v>0</v>
      </c>
      <c r="K726" s="26" t="n">
        <v>0</v>
      </c>
      <c r="L726" s="26" t="n">
        <v>0</v>
      </c>
      <c r="M726" s="26" t="n">
        <v>0</v>
      </c>
    </row>
    <row r="727" customFormat="false" ht="15" hidden="false" customHeight="false" outlineLevel="0" collapsed="false">
      <c r="A727" s="7" t="s">
        <v>85</v>
      </c>
      <c r="B727" s="7" t="n">
        <v>4413524</v>
      </c>
      <c r="C727" s="7" t="s">
        <v>449</v>
      </c>
      <c r="D727" s="26" t="n">
        <v>23</v>
      </c>
      <c r="E727" s="26" t="n">
        <v>0</v>
      </c>
      <c r="F727" s="26" t="n">
        <v>0</v>
      </c>
      <c r="G727" s="26" t="n">
        <v>0</v>
      </c>
      <c r="H727" s="26" t="n">
        <v>969</v>
      </c>
      <c r="I727" s="26" t="n">
        <v>0</v>
      </c>
      <c r="J727" s="26" t="n">
        <v>0</v>
      </c>
      <c r="K727" s="26" t="n">
        <v>0</v>
      </c>
      <c r="L727" s="26" t="n">
        <v>0</v>
      </c>
      <c r="M727" s="26" t="n">
        <v>0</v>
      </c>
    </row>
    <row r="728" customFormat="false" ht="15" hidden="false" customHeight="false" outlineLevel="0" collapsed="false">
      <c r="A728" s="7" t="s">
        <v>87</v>
      </c>
      <c r="B728" s="7" t="n">
        <v>4413524</v>
      </c>
      <c r="C728" s="7" t="s">
        <v>449</v>
      </c>
      <c r="D728" s="26" t="n">
        <v>2384.9</v>
      </c>
      <c r="E728" s="26" t="n">
        <v>0</v>
      </c>
      <c r="F728" s="26" t="n">
        <v>0</v>
      </c>
      <c r="G728" s="26" t="n">
        <v>0</v>
      </c>
      <c r="H728" s="26" t="n">
        <v>90203.7</v>
      </c>
      <c r="I728" s="26" t="n">
        <v>0</v>
      </c>
      <c r="J728" s="26" t="n">
        <v>0</v>
      </c>
      <c r="K728" s="26" t="n">
        <v>0</v>
      </c>
      <c r="L728" s="26" t="n">
        <v>0</v>
      </c>
      <c r="M728" s="26" t="n">
        <v>0</v>
      </c>
    </row>
    <row r="729" customFormat="false" ht="15" hidden="false" customHeight="false" outlineLevel="0" collapsed="false">
      <c r="A729" s="7" t="s">
        <v>85</v>
      </c>
      <c r="B729" s="7" t="n">
        <v>4413528</v>
      </c>
      <c r="C729" s="7" t="s">
        <v>450</v>
      </c>
      <c r="D729" s="26" t="n">
        <v>23</v>
      </c>
      <c r="E729" s="26" t="n">
        <v>0</v>
      </c>
      <c r="F729" s="26" t="n">
        <v>0</v>
      </c>
      <c r="G729" s="26" t="n">
        <v>0</v>
      </c>
      <c r="H729" s="26" t="n">
        <v>1056</v>
      </c>
      <c r="I729" s="26" t="n">
        <v>0</v>
      </c>
      <c r="J729" s="26" t="n">
        <v>0</v>
      </c>
      <c r="K729" s="26" t="n">
        <v>0</v>
      </c>
      <c r="L729" s="26" t="n">
        <v>0</v>
      </c>
      <c r="M729" s="26" t="n">
        <v>0</v>
      </c>
    </row>
    <row r="730" customFormat="false" ht="15" hidden="false" customHeight="false" outlineLevel="0" collapsed="false">
      <c r="A730" s="7" t="s">
        <v>87</v>
      </c>
      <c r="B730" s="7" t="n">
        <v>4413528</v>
      </c>
      <c r="C730" s="7" t="s">
        <v>450</v>
      </c>
      <c r="D730" s="26" t="n">
        <v>2358.5</v>
      </c>
      <c r="E730" s="26" t="n">
        <v>0</v>
      </c>
      <c r="F730" s="26" t="n">
        <v>0</v>
      </c>
      <c r="G730" s="26" t="n">
        <v>0</v>
      </c>
      <c r="H730" s="26" t="n">
        <v>98563.4</v>
      </c>
      <c r="I730" s="26" t="n">
        <v>0</v>
      </c>
      <c r="J730" s="26" t="n">
        <v>0</v>
      </c>
      <c r="K730" s="26" t="n">
        <v>0</v>
      </c>
      <c r="L730" s="26" t="n">
        <v>0</v>
      </c>
      <c r="M730" s="26" t="n">
        <v>0</v>
      </c>
    </row>
    <row r="731" customFormat="false" ht="15" hidden="false" customHeight="false" outlineLevel="0" collapsed="false">
      <c r="A731" s="7" t="s">
        <v>85</v>
      </c>
      <c r="B731" s="7" t="n">
        <v>4413525</v>
      </c>
      <c r="C731" s="7" t="s">
        <v>451</v>
      </c>
      <c r="D731" s="26" t="n">
        <v>20</v>
      </c>
      <c r="E731" s="26" t="n">
        <v>0</v>
      </c>
      <c r="F731" s="26" t="n">
        <v>0</v>
      </c>
      <c r="G731" s="26" t="n">
        <v>0</v>
      </c>
      <c r="H731" s="26" t="n">
        <v>990</v>
      </c>
      <c r="I731" s="26" t="n">
        <v>0</v>
      </c>
      <c r="J731" s="26" t="n">
        <v>0</v>
      </c>
      <c r="K731" s="26" t="n">
        <v>0</v>
      </c>
      <c r="L731" s="26" t="n">
        <v>0</v>
      </c>
      <c r="M731" s="26" t="n">
        <v>0</v>
      </c>
    </row>
    <row r="732" customFormat="false" ht="15" hidden="false" customHeight="false" outlineLevel="0" collapsed="false">
      <c r="A732" s="7" t="s">
        <v>87</v>
      </c>
      <c r="B732" s="7" t="n">
        <v>4413525</v>
      </c>
      <c r="C732" s="7" t="s">
        <v>451</v>
      </c>
      <c r="D732" s="26" t="n">
        <v>2114</v>
      </c>
      <c r="E732" s="26" t="n">
        <v>0</v>
      </c>
      <c r="F732" s="26" t="n">
        <v>0</v>
      </c>
      <c r="G732" s="26" t="n">
        <v>0</v>
      </c>
      <c r="H732" s="26" t="n">
        <v>92093.6</v>
      </c>
      <c r="I732" s="26" t="n">
        <v>0</v>
      </c>
      <c r="J732" s="26" t="n">
        <v>0</v>
      </c>
      <c r="K732" s="26" t="n">
        <v>0</v>
      </c>
      <c r="L732" s="26" t="n">
        <v>0</v>
      </c>
      <c r="M732" s="26" t="n">
        <v>0</v>
      </c>
    </row>
    <row r="733" customFormat="false" ht="15" hidden="false" customHeight="false" outlineLevel="0" collapsed="false">
      <c r="A733" s="7" t="s">
        <v>85</v>
      </c>
      <c r="B733" s="7" t="n">
        <v>4413529</v>
      </c>
      <c r="C733" s="7" t="s">
        <v>452</v>
      </c>
      <c r="D733" s="26" t="n">
        <v>22</v>
      </c>
      <c r="E733" s="26" t="n">
        <v>0</v>
      </c>
      <c r="F733" s="26" t="n">
        <v>0</v>
      </c>
      <c r="G733" s="26" t="n">
        <v>0</v>
      </c>
      <c r="H733" s="26" t="n">
        <v>1132</v>
      </c>
      <c r="I733" s="26" t="n">
        <v>0</v>
      </c>
      <c r="J733" s="26" t="n">
        <v>0</v>
      </c>
      <c r="K733" s="26" t="n">
        <v>0</v>
      </c>
      <c r="L733" s="26" t="n">
        <v>0</v>
      </c>
      <c r="M733" s="26" t="n">
        <v>0</v>
      </c>
    </row>
    <row r="734" customFormat="false" ht="15" hidden="false" customHeight="false" outlineLevel="0" collapsed="false">
      <c r="A734" s="7" t="s">
        <v>87</v>
      </c>
      <c r="B734" s="7" t="n">
        <v>4413529</v>
      </c>
      <c r="C734" s="7" t="s">
        <v>452</v>
      </c>
      <c r="D734" s="26" t="n">
        <v>2158.5</v>
      </c>
      <c r="E734" s="26" t="n">
        <v>0</v>
      </c>
      <c r="F734" s="26" t="n">
        <v>0</v>
      </c>
      <c r="G734" s="26" t="n">
        <v>0</v>
      </c>
      <c r="H734" s="26" t="n">
        <v>105681.3</v>
      </c>
      <c r="I734" s="26" t="n">
        <v>0</v>
      </c>
      <c r="J734" s="26" t="n">
        <v>0</v>
      </c>
      <c r="K734" s="26" t="n">
        <v>0</v>
      </c>
      <c r="L734" s="26" t="n">
        <v>0</v>
      </c>
      <c r="M734" s="26" t="n">
        <v>0</v>
      </c>
    </row>
    <row r="735" customFormat="false" ht="15" hidden="false" customHeight="false" outlineLevel="0" collapsed="false">
      <c r="A735" s="7" t="s">
        <v>85</v>
      </c>
      <c r="B735" s="7" t="n">
        <v>4413450</v>
      </c>
      <c r="C735" s="7" t="s">
        <v>453</v>
      </c>
      <c r="D735" s="26" t="n">
        <v>0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0</v>
      </c>
      <c r="J735" s="26" t="n">
        <v>0</v>
      </c>
      <c r="K735" s="26" t="n">
        <v>0</v>
      </c>
      <c r="L735" s="26" t="n">
        <v>0</v>
      </c>
      <c r="M735" s="26" t="n">
        <v>0</v>
      </c>
    </row>
    <row r="736" customFormat="false" ht="15" hidden="false" customHeight="false" outlineLevel="0" collapsed="false">
      <c r="A736" s="7" t="s">
        <v>87</v>
      </c>
      <c r="B736" s="7" t="n">
        <v>4413450</v>
      </c>
      <c r="C736" s="7" t="s">
        <v>453</v>
      </c>
      <c r="D736" s="26" t="n">
        <v>0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0</v>
      </c>
      <c r="J736" s="26" t="n">
        <v>0</v>
      </c>
      <c r="K736" s="26" t="n">
        <v>0</v>
      </c>
      <c r="L736" s="26" t="n">
        <v>0</v>
      </c>
      <c r="M736" s="26" t="n">
        <v>0</v>
      </c>
    </row>
    <row r="737" customFormat="false" ht="15" hidden="false" customHeight="false" outlineLevel="0" collapsed="false">
      <c r="A737" s="7" t="s">
        <v>85</v>
      </c>
      <c r="B737" s="7" t="n">
        <v>4413449</v>
      </c>
      <c r="C737" s="7" t="s">
        <v>454</v>
      </c>
      <c r="D737" s="26" t="n">
        <v>0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0</v>
      </c>
      <c r="J737" s="26" t="n">
        <v>0</v>
      </c>
      <c r="K737" s="26" t="n">
        <v>0</v>
      </c>
      <c r="L737" s="26" t="n">
        <v>0</v>
      </c>
      <c r="M737" s="26" t="n">
        <v>0</v>
      </c>
    </row>
    <row r="738" customFormat="false" ht="15" hidden="false" customHeight="false" outlineLevel="0" collapsed="false">
      <c r="A738" s="7" t="s">
        <v>87</v>
      </c>
      <c r="B738" s="7" t="n">
        <v>4413449</v>
      </c>
      <c r="C738" s="7" t="s">
        <v>454</v>
      </c>
      <c r="D738" s="26" t="n">
        <v>0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0</v>
      </c>
      <c r="J738" s="26" t="n">
        <v>0</v>
      </c>
      <c r="K738" s="26" t="n">
        <v>0</v>
      </c>
      <c r="L738" s="26" t="n">
        <v>0</v>
      </c>
      <c r="M738" s="26" t="n">
        <v>0</v>
      </c>
    </row>
    <row r="739" customFormat="false" ht="15" hidden="false" customHeight="false" outlineLevel="0" collapsed="false">
      <c r="A739" s="7" t="s">
        <v>85</v>
      </c>
      <c r="B739" s="7" t="n">
        <v>4413520</v>
      </c>
      <c r="C739" s="7" t="s">
        <v>455</v>
      </c>
      <c r="D739" s="26" t="n">
        <v>7</v>
      </c>
      <c r="E739" s="26" t="n">
        <v>0</v>
      </c>
      <c r="F739" s="26" t="n">
        <v>0</v>
      </c>
      <c r="G739" s="26" t="n">
        <v>0</v>
      </c>
      <c r="H739" s="26" t="n">
        <v>869</v>
      </c>
      <c r="I739" s="26" t="n">
        <v>0</v>
      </c>
      <c r="J739" s="26" t="n">
        <v>0</v>
      </c>
      <c r="K739" s="26" t="n">
        <v>0</v>
      </c>
      <c r="L739" s="26" t="n">
        <v>0</v>
      </c>
      <c r="M739" s="26" t="n">
        <v>0</v>
      </c>
    </row>
    <row r="740" customFormat="false" ht="15" hidden="false" customHeight="false" outlineLevel="0" collapsed="false">
      <c r="A740" s="7" t="s">
        <v>87</v>
      </c>
      <c r="B740" s="7" t="n">
        <v>4413520</v>
      </c>
      <c r="C740" s="7" t="s">
        <v>455</v>
      </c>
      <c r="D740" s="26" t="n">
        <v>700.1</v>
      </c>
      <c r="E740" s="26" t="n">
        <v>0</v>
      </c>
      <c r="F740" s="26" t="n">
        <v>0</v>
      </c>
      <c r="G740" s="26" t="n">
        <v>0</v>
      </c>
      <c r="H740" s="26" t="n">
        <v>80570.4</v>
      </c>
      <c r="I740" s="26" t="n">
        <v>0</v>
      </c>
      <c r="J740" s="26" t="n">
        <v>0</v>
      </c>
      <c r="K740" s="26" t="n">
        <v>0</v>
      </c>
      <c r="L740" s="26" t="n">
        <v>0</v>
      </c>
      <c r="M740" s="26" t="n">
        <v>0</v>
      </c>
    </row>
    <row r="741" customFormat="false" ht="15" hidden="false" customHeight="false" outlineLevel="0" collapsed="false">
      <c r="A741" s="7" t="s">
        <v>85</v>
      </c>
      <c r="B741" s="7" t="n">
        <v>4413522</v>
      </c>
      <c r="C741" s="7" t="s">
        <v>456</v>
      </c>
      <c r="D741" s="26" t="n">
        <v>27</v>
      </c>
      <c r="E741" s="26" t="n">
        <v>0</v>
      </c>
      <c r="F741" s="26" t="n">
        <v>0</v>
      </c>
      <c r="G741" s="26" t="n">
        <v>0</v>
      </c>
      <c r="H741" s="26" t="n">
        <v>1045</v>
      </c>
      <c r="I741" s="26" t="n">
        <v>0</v>
      </c>
      <c r="J741" s="26" t="n">
        <v>0</v>
      </c>
      <c r="K741" s="26" t="n">
        <v>0</v>
      </c>
      <c r="L741" s="26" t="n">
        <v>0</v>
      </c>
      <c r="M741" s="26" t="n">
        <v>0</v>
      </c>
    </row>
    <row r="742" customFormat="false" ht="15" hidden="false" customHeight="false" outlineLevel="0" collapsed="false">
      <c r="A742" s="7" t="s">
        <v>87</v>
      </c>
      <c r="B742" s="7" t="n">
        <v>4413522</v>
      </c>
      <c r="C742" s="7" t="s">
        <v>456</v>
      </c>
      <c r="D742" s="26" t="n">
        <v>2824.7</v>
      </c>
      <c r="E742" s="26" t="n">
        <v>0</v>
      </c>
      <c r="F742" s="26" t="n">
        <v>0</v>
      </c>
      <c r="G742" s="26" t="n">
        <v>0</v>
      </c>
      <c r="H742" s="26" t="n">
        <v>97534</v>
      </c>
      <c r="I742" s="26" t="n">
        <v>0</v>
      </c>
      <c r="J742" s="26" t="n">
        <v>0</v>
      </c>
      <c r="K742" s="26" t="n">
        <v>0</v>
      </c>
      <c r="L742" s="26" t="n">
        <v>0</v>
      </c>
      <c r="M742" s="26" t="n">
        <v>0</v>
      </c>
    </row>
    <row r="743" customFormat="false" ht="15" hidden="false" customHeight="false" outlineLevel="0" collapsed="false">
      <c r="A743" s="7" t="s">
        <v>85</v>
      </c>
      <c r="B743" s="7" t="n">
        <v>4413521</v>
      </c>
      <c r="C743" s="7" t="s">
        <v>457</v>
      </c>
      <c r="D743" s="26" t="n">
        <v>21</v>
      </c>
      <c r="E743" s="26" t="n">
        <v>0</v>
      </c>
      <c r="F743" s="26" t="n">
        <v>0</v>
      </c>
      <c r="G743" s="26" t="n">
        <v>0</v>
      </c>
      <c r="H743" s="26" t="n">
        <v>941</v>
      </c>
      <c r="I743" s="26" t="n">
        <v>0</v>
      </c>
      <c r="J743" s="26" t="n">
        <v>0</v>
      </c>
      <c r="K743" s="26" t="n">
        <v>0</v>
      </c>
      <c r="L743" s="26" t="n">
        <v>0</v>
      </c>
      <c r="M743" s="26" t="n">
        <v>0</v>
      </c>
    </row>
    <row r="744" customFormat="false" ht="15" hidden="false" customHeight="false" outlineLevel="0" collapsed="false">
      <c r="A744" s="7" t="s">
        <v>87</v>
      </c>
      <c r="B744" s="7" t="n">
        <v>4413521</v>
      </c>
      <c r="C744" s="7" t="s">
        <v>457</v>
      </c>
      <c r="D744" s="26" t="n">
        <v>2137.3</v>
      </c>
      <c r="E744" s="26" t="n">
        <v>0</v>
      </c>
      <c r="F744" s="26" t="n">
        <v>0</v>
      </c>
      <c r="G744" s="26" t="n">
        <v>0</v>
      </c>
      <c r="H744" s="26" t="n">
        <v>87621.8</v>
      </c>
      <c r="I744" s="26" t="n">
        <v>0</v>
      </c>
      <c r="J744" s="26" t="n">
        <v>0</v>
      </c>
      <c r="K744" s="26" t="n">
        <v>0</v>
      </c>
      <c r="L744" s="26" t="n">
        <v>0</v>
      </c>
      <c r="M744" s="26" t="n">
        <v>0</v>
      </c>
    </row>
    <row r="745" customFormat="false" ht="15" hidden="false" customHeight="false" outlineLevel="0" collapsed="false">
      <c r="A745" s="7" t="s">
        <v>85</v>
      </c>
      <c r="B745" s="7" t="n">
        <v>4413117</v>
      </c>
      <c r="C745" s="7" t="s">
        <v>458</v>
      </c>
      <c r="D745" s="26" t="n">
        <v>4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0</v>
      </c>
      <c r="L745" s="26" t="n">
        <v>0</v>
      </c>
      <c r="M745" s="26" t="n">
        <v>0</v>
      </c>
    </row>
    <row r="746" customFormat="false" ht="15" hidden="false" customHeight="false" outlineLevel="0" collapsed="false">
      <c r="A746" s="7" t="s">
        <v>87</v>
      </c>
      <c r="B746" s="7" t="n">
        <v>4413117</v>
      </c>
      <c r="C746" s="7" t="s">
        <v>458</v>
      </c>
      <c r="D746" s="26" t="n">
        <v>414.5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0</v>
      </c>
      <c r="L746" s="26" t="n">
        <v>0</v>
      </c>
      <c r="M746" s="26" t="n">
        <v>0</v>
      </c>
    </row>
    <row r="747" customFormat="false" ht="15" hidden="false" customHeight="false" outlineLevel="0" collapsed="false">
      <c r="A747" s="7" t="s">
        <v>85</v>
      </c>
      <c r="B747" s="7" t="n">
        <v>4413118</v>
      </c>
      <c r="C747" s="7" t="s">
        <v>459</v>
      </c>
      <c r="D747" s="26" t="n">
        <v>1</v>
      </c>
      <c r="E747" s="26" t="n">
        <v>0</v>
      </c>
      <c r="F747" s="26" t="n">
        <v>0</v>
      </c>
      <c r="G747" s="26" t="n">
        <v>1</v>
      </c>
      <c r="H747" s="26" t="n">
        <v>0</v>
      </c>
      <c r="I747" s="26" t="n">
        <v>0</v>
      </c>
      <c r="J747" s="26" t="n">
        <v>0</v>
      </c>
      <c r="K747" s="26" t="n">
        <v>0</v>
      </c>
      <c r="L747" s="26" t="n">
        <v>0</v>
      </c>
      <c r="M747" s="26" t="n">
        <v>0</v>
      </c>
    </row>
    <row r="748" customFormat="false" ht="15" hidden="false" customHeight="false" outlineLevel="0" collapsed="false">
      <c r="A748" s="7" t="s">
        <v>87</v>
      </c>
      <c r="B748" s="7" t="n">
        <v>4413118</v>
      </c>
      <c r="C748" s="7" t="s">
        <v>459</v>
      </c>
      <c r="D748" s="26" t="n">
        <v>111</v>
      </c>
      <c r="E748" s="26" t="n">
        <v>0</v>
      </c>
      <c r="F748" s="26" t="n">
        <v>0</v>
      </c>
      <c r="G748" s="26" t="n">
        <v>96.2</v>
      </c>
      <c r="H748" s="26" t="n">
        <v>0</v>
      </c>
      <c r="I748" s="26" t="n">
        <v>0</v>
      </c>
      <c r="J748" s="26" t="n">
        <v>0</v>
      </c>
      <c r="K748" s="26" t="n">
        <v>0</v>
      </c>
      <c r="L748" s="26" t="n">
        <v>0</v>
      </c>
      <c r="M748" s="26" t="n">
        <v>0</v>
      </c>
    </row>
    <row r="749" customFormat="false" ht="15" hidden="false" customHeight="false" outlineLevel="0" collapsed="false">
      <c r="A749" s="7" t="s">
        <v>85</v>
      </c>
      <c r="B749" s="7" t="n">
        <v>4413116</v>
      </c>
      <c r="C749" s="7" t="s">
        <v>460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0</v>
      </c>
      <c r="L749" s="26" t="n">
        <v>0</v>
      </c>
      <c r="M749" s="26" t="n">
        <v>0</v>
      </c>
    </row>
    <row r="750" customFormat="false" ht="15" hidden="false" customHeight="false" outlineLevel="0" collapsed="false">
      <c r="A750" s="7" t="s">
        <v>87</v>
      </c>
      <c r="B750" s="7" t="n">
        <v>4413116</v>
      </c>
      <c r="C750" s="7" t="s">
        <v>460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0</v>
      </c>
      <c r="L750" s="26" t="n">
        <v>0</v>
      </c>
      <c r="M750" s="26" t="n">
        <v>0</v>
      </c>
    </row>
    <row r="751" customFormat="false" ht="15" hidden="false" customHeight="false" outlineLevel="0" collapsed="false">
      <c r="A751" s="7" t="s">
        <v>85</v>
      </c>
      <c r="B751" s="7" t="n">
        <v>4413119</v>
      </c>
      <c r="C751" s="7" t="s">
        <v>461</v>
      </c>
      <c r="D751" s="26" t="n">
        <v>6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0</v>
      </c>
      <c r="L751" s="26" t="n">
        <v>0</v>
      </c>
      <c r="M751" s="26" t="n">
        <v>0</v>
      </c>
    </row>
    <row r="752" customFormat="false" ht="15" hidden="false" customHeight="false" outlineLevel="0" collapsed="false">
      <c r="A752" s="7" t="s">
        <v>87</v>
      </c>
      <c r="B752" s="7" t="n">
        <v>4413119</v>
      </c>
      <c r="C752" s="7" t="s">
        <v>461</v>
      </c>
      <c r="D752" s="26" t="n">
        <v>651.4</v>
      </c>
      <c r="E752" s="26" t="n">
        <v>0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0</v>
      </c>
      <c r="L752" s="26" t="n">
        <v>0</v>
      </c>
      <c r="M752" s="26" t="n">
        <v>0</v>
      </c>
    </row>
    <row r="753" customFormat="false" ht="15" hidden="false" customHeight="false" outlineLevel="0" collapsed="false">
      <c r="A753" s="7" t="s">
        <v>85</v>
      </c>
      <c r="B753" s="7" t="n">
        <v>4413120</v>
      </c>
      <c r="C753" s="7" t="s">
        <v>462</v>
      </c>
      <c r="D753" s="26" t="n">
        <v>5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  <c r="L753" s="26" t="n">
        <v>0</v>
      </c>
      <c r="M753" s="26" t="n">
        <v>0</v>
      </c>
    </row>
    <row r="754" customFormat="false" ht="15" hidden="false" customHeight="false" outlineLevel="0" collapsed="false">
      <c r="A754" s="7" t="s">
        <v>87</v>
      </c>
      <c r="B754" s="7" t="n">
        <v>4413120</v>
      </c>
      <c r="C754" s="7" t="s">
        <v>462</v>
      </c>
      <c r="D754" s="26" t="n">
        <v>488.6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0</v>
      </c>
      <c r="J754" s="26" t="n">
        <v>0</v>
      </c>
      <c r="K754" s="26" t="n">
        <v>0</v>
      </c>
      <c r="L754" s="26" t="n">
        <v>0</v>
      </c>
      <c r="M754" s="26" t="n">
        <v>0</v>
      </c>
    </row>
    <row r="755" customFormat="false" ht="15" hidden="false" customHeight="false" outlineLevel="0" collapsed="false">
      <c r="A755" s="7" t="s">
        <v>85</v>
      </c>
      <c r="B755" s="7" t="n">
        <v>4413122</v>
      </c>
      <c r="C755" s="7" t="s">
        <v>463</v>
      </c>
      <c r="D755" s="26" t="n">
        <v>3</v>
      </c>
      <c r="E755" s="26" t="n">
        <v>0</v>
      </c>
      <c r="F755" s="26" t="n">
        <v>0</v>
      </c>
      <c r="G755" s="26" t="n">
        <v>0</v>
      </c>
      <c r="H755" s="26" t="n">
        <v>-1</v>
      </c>
      <c r="I755" s="26" t="n">
        <v>0</v>
      </c>
      <c r="J755" s="26" t="n">
        <v>0</v>
      </c>
      <c r="K755" s="26" t="n">
        <v>0</v>
      </c>
      <c r="L755" s="26" t="n">
        <v>0</v>
      </c>
      <c r="M755" s="26" t="n">
        <v>0</v>
      </c>
    </row>
    <row r="756" customFormat="false" ht="15" hidden="false" customHeight="false" outlineLevel="0" collapsed="false">
      <c r="A756" s="7" t="s">
        <v>87</v>
      </c>
      <c r="B756" s="7" t="n">
        <v>4413122</v>
      </c>
      <c r="C756" s="7" t="s">
        <v>463</v>
      </c>
      <c r="D756" s="26" t="n">
        <v>241.7</v>
      </c>
      <c r="E756" s="26" t="n">
        <v>0</v>
      </c>
      <c r="F756" s="26" t="n">
        <v>0</v>
      </c>
      <c r="G756" s="26" t="n">
        <v>0</v>
      </c>
      <c r="H756" s="26" t="n">
        <v>-71.3</v>
      </c>
      <c r="I756" s="26" t="n">
        <v>0</v>
      </c>
      <c r="J756" s="26" t="n">
        <v>0</v>
      </c>
      <c r="K756" s="26" t="n">
        <v>0</v>
      </c>
      <c r="L756" s="26" t="n">
        <v>0</v>
      </c>
      <c r="M756" s="26" t="n">
        <v>0</v>
      </c>
    </row>
    <row r="757" customFormat="false" ht="15" hidden="false" customHeight="false" outlineLevel="0" collapsed="false">
      <c r="A757" s="7" t="s">
        <v>85</v>
      </c>
      <c r="B757" s="7" t="n">
        <v>4413123</v>
      </c>
      <c r="C757" s="7" t="s">
        <v>464</v>
      </c>
      <c r="D757" s="26" t="n">
        <v>2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0</v>
      </c>
      <c r="J757" s="26" t="n">
        <v>0</v>
      </c>
      <c r="K757" s="26" t="n">
        <v>0</v>
      </c>
      <c r="L757" s="26" t="n">
        <v>0</v>
      </c>
      <c r="M757" s="26" t="n">
        <v>0</v>
      </c>
    </row>
    <row r="758" customFormat="false" ht="15" hidden="false" customHeight="false" outlineLevel="0" collapsed="false">
      <c r="A758" s="7" t="s">
        <v>87</v>
      </c>
      <c r="B758" s="7" t="n">
        <v>4413123</v>
      </c>
      <c r="C758" s="7" t="s">
        <v>464</v>
      </c>
      <c r="D758" s="26" t="n">
        <v>160.6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0</v>
      </c>
      <c r="J758" s="26" t="n">
        <v>0</v>
      </c>
      <c r="K758" s="26" t="n">
        <v>0</v>
      </c>
      <c r="L758" s="26" t="n">
        <v>0</v>
      </c>
      <c r="M758" s="26" t="n">
        <v>0</v>
      </c>
    </row>
    <row r="759" customFormat="false" ht="15" hidden="false" customHeight="false" outlineLevel="0" collapsed="false">
      <c r="A759" s="7" t="s">
        <v>85</v>
      </c>
      <c r="B759" s="7" t="n">
        <v>4413121</v>
      </c>
      <c r="C759" s="7" t="s">
        <v>465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0</v>
      </c>
      <c r="J759" s="26" t="n">
        <v>0</v>
      </c>
      <c r="K759" s="26" t="n">
        <v>0</v>
      </c>
      <c r="L759" s="26" t="n">
        <v>0</v>
      </c>
      <c r="M759" s="26" t="n">
        <v>0</v>
      </c>
    </row>
    <row r="760" customFormat="false" ht="15" hidden="false" customHeight="false" outlineLevel="0" collapsed="false">
      <c r="A760" s="7" t="s">
        <v>87</v>
      </c>
      <c r="B760" s="7" t="n">
        <v>4413121</v>
      </c>
      <c r="C760" s="7" t="s">
        <v>465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0</v>
      </c>
      <c r="J760" s="26" t="n">
        <v>0</v>
      </c>
      <c r="K760" s="26" t="n">
        <v>0</v>
      </c>
      <c r="L760" s="26" t="n">
        <v>0</v>
      </c>
      <c r="M760" s="26" t="n">
        <v>0</v>
      </c>
    </row>
    <row r="761" customFormat="false" ht="15" hidden="false" customHeight="false" outlineLevel="0" collapsed="false">
      <c r="A761" s="7" t="s">
        <v>85</v>
      </c>
      <c r="B761" s="7" t="n">
        <v>4413124</v>
      </c>
      <c r="C761" s="7" t="s">
        <v>466</v>
      </c>
      <c r="D761" s="26" t="n">
        <v>0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0</v>
      </c>
      <c r="J761" s="26" t="n">
        <v>0</v>
      </c>
      <c r="K761" s="26" t="n">
        <v>0</v>
      </c>
      <c r="L761" s="26" t="n">
        <v>0</v>
      </c>
      <c r="M761" s="26" t="n">
        <v>0</v>
      </c>
    </row>
    <row r="762" customFormat="false" ht="15" hidden="false" customHeight="false" outlineLevel="0" collapsed="false">
      <c r="A762" s="7" t="s">
        <v>87</v>
      </c>
      <c r="B762" s="7" t="n">
        <v>4413124</v>
      </c>
      <c r="C762" s="7" t="s">
        <v>466</v>
      </c>
      <c r="D762" s="26" t="n">
        <v>0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0</v>
      </c>
      <c r="J762" s="26" t="n">
        <v>0</v>
      </c>
      <c r="K762" s="26" t="n">
        <v>0</v>
      </c>
      <c r="L762" s="26" t="n">
        <v>0</v>
      </c>
      <c r="M762" s="26" t="n">
        <v>0</v>
      </c>
    </row>
    <row r="763" customFormat="false" ht="15" hidden="false" customHeight="false" outlineLevel="0" collapsed="false">
      <c r="A763" s="7" t="s">
        <v>85</v>
      </c>
      <c r="B763" s="7" t="n">
        <v>4413125</v>
      </c>
      <c r="C763" s="7" t="s">
        <v>467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0</v>
      </c>
      <c r="J763" s="26" t="n">
        <v>0</v>
      </c>
      <c r="K763" s="26" t="n">
        <v>0</v>
      </c>
      <c r="L763" s="26" t="n">
        <v>0</v>
      </c>
      <c r="M763" s="26" t="n">
        <v>0</v>
      </c>
    </row>
    <row r="764" customFormat="false" ht="15" hidden="false" customHeight="false" outlineLevel="0" collapsed="false">
      <c r="A764" s="7" t="s">
        <v>87</v>
      </c>
      <c r="B764" s="7" t="n">
        <v>4413125</v>
      </c>
      <c r="C764" s="7" t="s">
        <v>467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0</v>
      </c>
      <c r="L764" s="26" t="n">
        <v>0</v>
      </c>
      <c r="M764" s="26" t="n">
        <v>0</v>
      </c>
    </row>
    <row r="765" customFormat="false" ht="15" hidden="false" customHeight="false" outlineLevel="0" collapsed="false">
      <c r="A765" s="7" t="s">
        <v>85</v>
      </c>
      <c r="B765" s="7" t="n">
        <v>4408071</v>
      </c>
      <c r="C765" s="7" t="s">
        <v>468</v>
      </c>
      <c r="D765" s="26" t="n">
        <v>2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0</v>
      </c>
      <c r="L765" s="26" t="n">
        <v>0</v>
      </c>
      <c r="M765" s="26" t="n">
        <v>0</v>
      </c>
    </row>
    <row r="766" customFormat="false" ht="15" hidden="false" customHeight="false" outlineLevel="0" collapsed="false">
      <c r="A766" s="7" t="s">
        <v>87</v>
      </c>
      <c r="B766" s="7" t="n">
        <v>4408071</v>
      </c>
      <c r="C766" s="7" t="s">
        <v>468</v>
      </c>
      <c r="D766" s="26" t="n">
        <v>628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0</v>
      </c>
      <c r="L766" s="26" t="n">
        <v>0</v>
      </c>
      <c r="M766" s="26" t="n">
        <v>0</v>
      </c>
    </row>
    <row r="767" customFormat="false" ht="15" hidden="false" customHeight="false" outlineLevel="0" collapsed="false">
      <c r="A767" s="7" t="s">
        <v>85</v>
      </c>
      <c r="B767" s="7" t="n">
        <v>4408072</v>
      </c>
      <c r="C767" s="7" t="s">
        <v>469</v>
      </c>
      <c r="D767" s="26" t="n">
        <v>2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0</v>
      </c>
      <c r="L767" s="26" t="n">
        <v>0</v>
      </c>
      <c r="M767" s="26" t="n">
        <v>0</v>
      </c>
    </row>
    <row r="768" customFormat="false" ht="15" hidden="false" customHeight="false" outlineLevel="0" collapsed="false">
      <c r="A768" s="7" t="s">
        <v>87</v>
      </c>
      <c r="B768" s="7" t="n">
        <v>4408072</v>
      </c>
      <c r="C768" s="7" t="s">
        <v>469</v>
      </c>
      <c r="D768" s="26" t="n">
        <v>628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0</v>
      </c>
      <c r="L768" s="26" t="n">
        <v>0</v>
      </c>
      <c r="M768" s="26" t="n">
        <v>0</v>
      </c>
    </row>
    <row r="769" customFormat="false" ht="15" hidden="false" customHeight="false" outlineLevel="0" collapsed="false">
      <c r="A769" s="7" t="s">
        <v>85</v>
      </c>
      <c r="B769" s="7" t="n">
        <v>4408070</v>
      </c>
      <c r="C769" s="7" t="s">
        <v>470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4</v>
      </c>
      <c r="J769" s="26" t="n">
        <v>0</v>
      </c>
      <c r="K769" s="26" t="n">
        <v>0</v>
      </c>
      <c r="L769" s="26" t="n">
        <v>0</v>
      </c>
      <c r="M769" s="26" t="n">
        <v>0</v>
      </c>
    </row>
    <row r="770" customFormat="false" ht="15" hidden="false" customHeight="false" outlineLevel="0" collapsed="false">
      <c r="A770" s="7" t="s">
        <v>87</v>
      </c>
      <c r="B770" s="7" t="n">
        <v>4408070</v>
      </c>
      <c r="C770" s="7" t="s">
        <v>470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1206.8</v>
      </c>
      <c r="J770" s="26" t="n">
        <v>0</v>
      </c>
      <c r="K770" s="26" t="n">
        <v>0</v>
      </c>
      <c r="L770" s="26" t="n">
        <v>0</v>
      </c>
      <c r="M770" s="26" t="n">
        <v>0</v>
      </c>
    </row>
    <row r="771" customFormat="false" ht="15" hidden="false" customHeight="false" outlineLevel="0" collapsed="false">
      <c r="A771" s="7" t="s">
        <v>85</v>
      </c>
      <c r="B771" s="7" t="n">
        <v>4408073</v>
      </c>
      <c r="C771" s="7" t="s">
        <v>471</v>
      </c>
      <c r="D771" s="26" t="n">
        <v>2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2</v>
      </c>
      <c r="J771" s="26" t="n">
        <v>0</v>
      </c>
      <c r="K771" s="26" t="n">
        <v>0</v>
      </c>
      <c r="L771" s="26" t="n">
        <v>0</v>
      </c>
      <c r="M771" s="26" t="n">
        <v>0</v>
      </c>
    </row>
    <row r="772" customFormat="false" ht="15" hidden="false" customHeight="false" outlineLevel="0" collapsed="false">
      <c r="A772" s="7" t="s">
        <v>87</v>
      </c>
      <c r="B772" s="7" t="n">
        <v>4408073</v>
      </c>
      <c r="C772" s="7" t="s">
        <v>471</v>
      </c>
      <c r="D772" s="26" t="n">
        <v>628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603.4</v>
      </c>
      <c r="J772" s="26" t="n">
        <v>0</v>
      </c>
      <c r="K772" s="26" t="n">
        <v>0</v>
      </c>
      <c r="L772" s="26" t="n">
        <v>0</v>
      </c>
      <c r="M772" s="26" t="n">
        <v>0</v>
      </c>
    </row>
    <row r="773" customFormat="false" ht="15" hidden="false" customHeight="false" outlineLevel="0" collapsed="false">
      <c r="A773" s="7" t="s">
        <v>85</v>
      </c>
      <c r="B773" s="7" t="n">
        <v>4408074</v>
      </c>
      <c r="C773" s="7" t="s">
        <v>472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0</v>
      </c>
      <c r="L773" s="26" t="n">
        <v>0</v>
      </c>
      <c r="M773" s="26" t="n">
        <v>0</v>
      </c>
    </row>
    <row r="774" customFormat="false" ht="15" hidden="false" customHeight="false" outlineLevel="0" collapsed="false">
      <c r="A774" s="7" t="s">
        <v>87</v>
      </c>
      <c r="B774" s="7" t="n">
        <v>4408074</v>
      </c>
      <c r="C774" s="7" t="s">
        <v>472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0</v>
      </c>
      <c r="L774" s="26" t="n">
        <v>0</v>
      </c>
      <c r="M774" s="26" t="n">
        <v>0</v>
      </c>
    </row>
    <row r="775" customFormat="false" ht="15" hidden="false" customHeight="false" outlineLevel="0" collapsed="false">
      <c r="A775" s="7" t="s">
        <v>85</v>
      </c>
      <c r="B775" s="7" t="n">
        <v>4408076</v>
      </c>
      <c r="C775" s="7" t="s">
        <v>473</v>
      </c>
      <c r="D775" s="26" t="n">
        <v>4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-1</v>
      </c>
      <c r="J775" s="26" t="n">
        <v>0</v>
      </c>
      <c r="K775" s="26" t="n">
        <v>0</v>
      </c>
      <c r="L775" s="26" t="n">
        <v>0</v>
      </c>
      <c r="M775" s="26" t="n">
        <v>0</v>
      </c>
    </row>
    <row r="776" customFormat="false" ht="15" hidden="false" customHeight="false" outlineLevel="0" collapsed="false">
      <c r="A776" s="7" t="s">
        <v>87</v>
      </c>
      <c r="B776" s="7" t="n">
        <v>4408076</v>
      </c>
      <c r="C776" s="7" t="s">
        <v>473</v>
      </c>
      <c r="D776" s="26" t="n">
        <v>743.5</v>
      </c>
      <c r="E776" s="26" t="n">
        <v>0</v>
      </c>
      <c r="F776" s="26" t="n">
        <v>0</v>
      </c>
      <c r="G776" s="26" t="n">
        <v>0</v>
      </c>
      <c r="H776" s="26" t="n">
        <v>0</v>
      </c>
      <c r="I776" s="26" t="n">
        <v>-178.9</v>
      </c>
      <c r="J776" s="26" t="n">
        <v>0</v>
      </c>
      <c r="K776" s="26" t="n">
        <v>0</v>
      </c>
      <c r="L776" s="26" t="n">
        <v>0</v>
      </c>
      <c r="M776" s="26" t="n">
        <v>0</v>
      </c>
    </row>
    <row r="777" customFormat="false" ht="15" hidden="false" customHeight="false" outlineLevel="0" collapsed="false">
      <c r="A777" s="7" t="s">
        <v>85</v>
      </c>
      <c r="B777" s="7" t="n">
        <v>4408077</v>
      </c>
      <c r="C777" s="7" t="s">
        <v>474</v>
      </c>
      <c r="D777" s="26" t="n">
        <v>2</v>
      </c>
      <c r="E777" s="26" t="n">
        <v>0</v>
      </c>
      <c r="F777" s="26" t="n">
        <v>0</v>
      </c>
      <c r="G777" s="26" t="n">
        <v>0</v>
      </c>
      <c r="H777" s="26" t="n">
        <v>-1</v>
      </c>
      <c r="I777" s="26" t="n">
        <v>0</v>
      </c>
      <c r="J777" s="26" t="n">
        <v>0</v>
      </c>
      <c r="K777" s="26" t="n">
        <v>0</v>
      </c>
      <c r="L777" s="26" t="n">
        <v>0</v>
      </c>
      <c r="M777" s="26" t="n">
        <v>0</v>
      </c>
    </row>
    <row r="778" customFormat="false" ht="15" hidden="false" customHeight="false" outlineLevel="0" collapsed="false">
      <c r="A778" s="7" t="s">
        <v>87</v>
      </c>
      <c r="B778" s="7" t="n">
        <v>4408077</v>
      </c>
      <c r="C778" s="7" t="s">
        <v>474</v>
      </c>
      <c r="D778" s="26" t="n">
        <v>346.8</v>
      </c>
      <c r="E778" s="26" t="n">
        <v>0</v>
      </c>
      <c r="F778" s="26" t="n">
        <v>0</v>
      </c>
      <c r="G778" s="26" t="n">
        <v>0</v>
      </c>
      <c r="H778" s="26" t="n">
        <v>-166.1</v>
      </c>
      <c r="I778" s="26" t="n">
        <v>0</v>
      </c>
      <c r="J778" s="26" t="n">
        <v>0</v>
      </c>
      <c r="K778" s="26" t="n">
        <v>0</v>
      </c>
      <c r="L778" s="26" t="n">
        <v>0</v>
      </c>
      <c r="M778" s="26" t="n">
        <v>0</v>
      </c>
    </row>
    <row r="779" customFormat="false" ht="15" hidden="false" customHeight="false" outlineLevel="0" collapsed="false">
      <c r="A779" s="7" t="s">
        <v>85</v>
      </c>
      <c r="B779" s="7" t="n">
        <v>4408075</v>
      </c>
      <c r="C779" s="7" t="s">
        <v>475</v>
      </c>
      <c r="D779" s="26" t="n">
        <v>0</v>
      </c>
      <c r="E779" s="26" t="n">
        <v>0</v>
      </c>
      <c r="F779" s="26" t="n">
        <v>0</v>
      </c>
      <c r="G779" s="26" t="n">
        <v>0</v>
      </c>
      <c r="H779" s="26" t="n">
        <v>0</v>
      </c>
      <c r="I779" s="26" t="n">
        <v>0</v>
      </c>
      <c r="J779" s="26" t="n">
        <v>0</v>
      </c>
      <c r="K779" s="26" t="n">
        <v>0</v>
      </c>
      <c r="L779" s="26" t="n">
        <v>0</v>
      </c>
      <c r="M779" s="26" t="n">
        <v>0</v>
      </c>
    </row>
    <row r="780" customFormat="false" ht="15" hidden="false" customHeight="false" outlineLevel="0" collapsed="false">
      <c r="A780" s="7" t="s">
        <v>87</v>
      </c>
      <c r="B780" s="7" t="n">
        <v>4408075</v>
      </c>
      <c r="C780" s="7" t="s">
        <v>475</v>
      </c>
      <c r="D780" s="26" t="n">
        <v>0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0</v>
      </c>
      <c r="J780" s="26" t="n">
        <v>0</v>
      </c>
      <c r="K780" s="26" t="n">
        <v>0</v>
      </c>
      <c r="L780" s="26" t="n">
        <v>0</v>
      </c>
      <c r="M780" s="26" t="n">
        <v>0</v>
      </c>
    </row>
    <row r="781" customFormat="false" ht="15" hidden="false" customHeight="false" outlineLevel="0" collapsed="false">
      <c r="A781" s="7" t="s">
        <v>85</v>
      </c>
      <c r="B781" s="7" t="n">
        <v>4408078</v>
      </c>
      <c r="C781" s="7" t="s">
        <v>476</v>
      </c>
      <c r="D781" s="26" t="n">
        <v>0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0</v>
      </c>
      <c r="J781" s="26" t="n">
        <v>0</v>
      </c>
      <c r="K781" s="26" t="n">
        <v>0</v>
      </c>
      <c r="L781" s="26" t="n">
        <v>0</v>
      </c>
      <c r="M781" s="26" t="n">
        <v>0</v>
      </c>
    </row>
    <row r="782" customFormat="false" ht="15" hidden="false" customHeight="false" outlineLevel="0" collapsed="false">
      <c r="A782" s="7" t="s">
        <v>87</v>
      </c>
      <c r="B782" s="7" t="n">
        <v>4408078</v>
      </c>
      <c r="C782" s="7" t="s">
        <v>476</v>
      </c>
      <c r="D782" s="26" t="n">
        <v>0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0</v>
      </c>
      <c r="J782" s="26" t="n">
        <v>0</v>
      </c>
      <c r="K782" s="26" t="n">
        <v>0</v>
      </c>
      <c r="L782" s="26" t="n">
        <v>0</v>
      </c>
      <c r="M782" s="26" t="n">
        <v>0</v>
      </c>
    </row>
    <row r="783" customFormat="false" ht="15" hidden="false" customHeight="false" outlineLevel="0" collapsed="false">
      <c r="A783" s="7" t="s">
        <v>85</v>
      </c>
      <c r="B783" s="7" t="n">
        <v>4408080</v>
      </c>
      <c r="C783" s="7" t="s">
        <v>477</v>
      </c>
      <c r="D783" s="26" t="n">
        <v>6</v>
      </c>
      <c r="E783" s="26" t="n">
        <v>0</v>
      </c>
      <c r="F783" s="26" t="n">
        <v>0</v>
      </c>
      <c r="G783" s="26" t="n">
        <v>0</v>
      </c>
      <c r="H783" s="26" t="n">
        <v>1</v>
      </c>
      <c r="I783" s="26" t="n">
        <v>4</v>
      </c>
      <c r="J783" s="26" t="n">
        <v>0</v>
      </c>
      <c r="K783" s="26" t="n">
        <v>0</v>
      </c>
      <c r="L783" s="26" t="n">
        <v>0</v>
      </c>
      <c r="M783" s="26" t="n">
        <v>0</v>
      </c>
    </row>
    <row r="784" customFormat="false" ht="15" hidden="false" customHeight="false" outlineLevel="0" collapsed="false">
      <c r="A784" s="7" t="s">
        <v>87</v>
      </c>
      <c r="B784" s="7" t="n">
        <v>4408080</v>
      </c>
      <c r="C784" s="7" t="s">
        <v>477</v>
      </c>
      <c r="D784" s="26" t="n">
        <v>1087.2</v>
      </c>
      <c r="E784" s="26" t="n">
        <v>0</v>
      </c>
      <c r="F784" s="26" t="n">
        <v>0</v>
      </c>
      <c r="G784" s="26" t="n">
        <v>0</v>
      </c>
      <c r="H784" s="26" t="n">
        <v>166.1</v>
      </c>
      <c r="I784" s="26" t="n">
        <v>715.5</v>
      </c>
      <c r="J784" s="26" t="n">
        <v>0</v>
      </c>
      <c r="K784" s="26" t="n">
        <v>0</v>
      </c>
      <c r="L784" s="26" t="n">
        <v>0</v>
      </c>
      <c r="M784" s="26" t="n">
        <v>0</v>
      </c>
    </row>
    <row r="785" customFormat="false" ht="15" hidden="false" customHeight="false" outlineLevel="0" collapsed="false">
      <c r="A785" s="7" t="s">
        <v>85</v>
      </c>
      <c r="B785" s="7" t="n">
        <v>4408081</v>
      </c>
      <c r="C785" s="7" t="s">
        <v>478</v>
      </c>
      <c r="D785" s="26" t="n">
        <v>7</v>
      </c>
      <c r="E785" s="26" t="n">
        <v>0</v>
      </c>
      <c r="F785" s="26" t="n">
        <v>0</v>
      </c>
      <c r="G785" s="26" t="n">
        <v>0</v>
      </c>
      <c r="H785" s="26" t="n">
        <v>-1</v>
      </c>
      <c r="I785" s="26" t="n">
        <v>1</v>
      </c>
      <c r="J785" s="26" t="n">
        <v>0</v>
      </c>
      <c r="K785" s="26" t="n">
        <v>0</v>
      </c>
      <c r="L785" s="26" t="n">
        <v>0</v>
      </c>
      <c r="M785" s="26" t="n">
        <v>0</v>
      </c>
    </row>
    <row r="786" customFormat="false" ht="15" hidden="false" customHeight="false" outlineLevel="0" collapsed="false">
      <c r="A786" s="7" t="s">
        <v>87</v>
      </c>
      <c r="B786" s="7" t="n">
        <v>4408081</v>
      </c>
      <c r="C786" s="7" t="s">
        <v>478</v>
      </c>
      <c r="D786" s="26" t="n">
        <v>1274.6</v>
      </c>
      <c r="E786" s="26" t="n">
        <v>0</v>
      </c>
      <c r="F786" s="26" t="n">
        <v>0</v>
      </c>
      <c r="G786" s="26" t="n">
        <v>0</v>
      </c>
      <c r="H786" s="26" t="n">
        <v>-166.1</v>
      </c>
      <c r="I786" s="26" t="n">
        <v>178.9</v>
      </c>
      <c r="J786" s="26" t="n">
        <v>0</v>
      </c>
      <c r="K786" s="26" t="n">
        <v>0</v>
      </c>
      <c r="L786" s="26" t="n">
        <v>0</v>
      </c>
      <c r="M786" s="26" t="n">
        <v>0</v>
      </c>
    </row>
    <row r="787" customFormat="false" ht="15" hidden="false" customHeight="false" outlineLevel="0" collapsed="false">
      <c r="A787" s="7" t="s">
        <v>85</v>
      </c>
      <c r="B787" s="7" t="n">
        <v>4408079</v>
      </c>
      <c r="C787" s="7" t="s">
        <v>479</v>
      </c>
      <c r="D787" s="26" t="n">
        <v>3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0</v>
      </c>
      <c r="L787" s="26" t="n">
        <v>0</v>
      </c>
      <c r="M787" s="26" t="n">
        <v>0</v>
      </c>
    </row>
    <row r="788" customFormat="false" ht="15" hidden="false" customHeight="false" outlineLevel="0" collapsed="false">
      <c r="A788" s="7" t="s">
        <v>87</v>
      </c>
      <c r="B788" s="7" t="n">
        <v>4408079</v>
      </c>
      <c r="C788" s="7" t="s">
        <v>479</v>
      </c>
      <c r="D788" s="26" t="n">
        <v>549.8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0</v>
      </c>
      <c r="L788" s="26" t="n">
        <v>0</v>
      </c>
      <c r="M788" s="26" t="n">
        <v>0</v>
      </c>
    </row>
    <row r="789" customFormat="false" ht="15" hidden="false" customHeight="false" outlineLevel="0" collapsed="false">
      <c r="A789" s="7" t="s">
        <v>85</v>
      </c>
      <c r="B789" s="7" t="n">
        <v>4408082</v>
      </c>
      <c r="C789" s="7" t="s">
        <v>480</v>
      </c>
      <c r="D789" s="26" t="n">
        <v>4</v>
      </c>
      <c r="E789" s="26" t="n">
        <v>0</v>
      </c>
      <c r="F789" s="26" t="n">
        <v>0</v>
      </c>
      <c r="G789" s="26" t="n">
        <v>0</v>
      </c>
      <c r="H789" s="26" t="n">
        <v>-2</v>
      </c>
      <c r="I789" s="26" t="n">
        <v>0</v>
      </c>
      <c r="J789" s="26" t="n">
        <v>0</v>
      </c>
      <c r="K789" s="26" t="n">
        <v>0</v>
      </c>
      <c r="L789" s="26" t="n">
        <v>0</v>
      </c>
      <c r="M789" s="26" t="n">
        <v>0</v>
      </c>
    </row>
    <row r="790" customFormat="false" ht="15" hidden="false" customHeight="false" outlineLevel="0" collapsed="false">
      <c r="A790" s="7" t="s">
        <v>87</v>
      </c>
      <c r="B790" s="7" t="n">
        <v>4408082</v>
      </c>
      <c r="C790" s="7" t="s">
        <v>480</v>
      </c>
      <c r="D790" s="26" t="n">
        <v>718.9</v>
      </c>
      <c r="E790" s="26" t="n">
        <v>0</v>
      </c>
      <c r="F790" s="26" t="n">
        <v>0</v>
      </c>
      <c r="G790" s="26" t="n">
        <v>0</v>
      </c>
      <c r="H790" s="26" t="n">
        <v>-332.2</v>
      </c>
      <c r="I790" s="26" t="n">
        <v>0</v>
      </c>
      <c r="J790" s="26" t="n">
        <v>0</v>
      </c>
      <c r="K790" s="26" t="n">
        <v>0</v>
      </c>
      <c r="L790" s="26" t="n">
        <v>0</v>
      </c>
      <c r="M790" s="26" t="n">
        <v>0</v>
      </c>
    </row>
    <row r="791" customFormat="false" ht="15" hidden="false" customHeight="false" outlineLevel="0" collapsed="false">
      <c r="A791" s="7" t="s">
        <v>85</v>
      </c>
      <c r="B791" s="7" t="n">
        <v>4413466</v>
      </c>
      <c r="C791" s="7" t="s">
        <v>481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0</v>
      </c>
      <c r="L791" s="26" t="n">
        <v>0</v>
      </c>
      <c r="M791" s="26" t="n">
        <v>0</v>
      </c>
    </row>
    <row r="792" customFormat="false" ht="15" hidden="false" customHeight="false" outlineLevel="0" collapsed="false">
      <c r="A792" s="7" t="s">
        <v>87</v>
      </c>
      <c r="B792" s="7" t="n">
        <v>4413466</v>
      </c>
      <c r="C792" s="7" t="s">
        <v>481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0</v>
      </c>
      <c r="L792" s="26" t="n">
        <v>0</v>
      </c>
      <c r="M792" s="26" t="n">
        <v>0</v>
      </c>
    </row>
    <row r="793" customFormat="false" ht="15" hidden="false" customHeight="false" outlineLevel="0" collapsed="false">
      <c r="A793" s="7" t="s">
        <v>85</v>
      </c>
      <c r="B793" s="7" t="n">
        <v>4413467</v>
      </c>
      <c r="C793" s="7" t="s">
        <v>482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0</v>
      </c>
      <c r="L793" s="26" t="n">
        <v>0</v>
      </c>
      <c r="M793" s="26" t="n">
        <v>0</v>
      </c>
    </row>
    <row r="794" customFormat="false" ht="15" hidden="false" customHeight="false" outlineLevel="0" collapsed="false">
      <c r="A794" s="7" t="s">
        <v>87</v>
      </c>
      <c r="B794" s="7" t="n">
        <v>4413467</v>
      </c>
      <c r="C794" s="7" t="s">
        <v>482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0</v>
      </c>
      <c r="L794" s="26" t="n">
        <v>0</v>
      </c>
      <c r="M794" s="26" t="n">
        <v>0</v>
      </c>
    </row>
    <row r="795" customFormat="false" ht="15" hidden="false" customHeight="false" outlineLevel="0" collapsed="false">
      <c r="A795" s="7" t="s">
        <v>85</v>
      </c>
      <c r="B795" s="7" t="n">
        <v>4413464</v>
      </c>
      <c r="C795" s="7" t="s">
        <v>483</v>
      </c>
      <c r="D795" s="26" t="n">
        <v>-4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0</v>
      </c>
      <c r="L795" s="26" t="n">
        <v>0</v>
      </c>
      <c r="M795" s="26" t="n">
        <v>0</v>
      </c>
    </row>
    <row r="796" customFormat="false" ht="15" hidden="false" customHeight="false" outlineLevel="0" collapsed="false">
      <c r="A796" s="7" t="s">
        <v>87</v>
      </c>
      <c r="B796" s="7" t="n">
        <v>4413464</v>
      </c>
      <c r="C796" s="7" t="s">
        <v>483</v>
      </c>
      <c r="D796" s="26" t="n">
        <v>-32.5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0</v>
      </c>
      <c r="L796" s="26" t="n">
        <v>0</v>
      </c>
      <c r="M796" s="26" t="n">
        <v>0</v>
      </c>
    </row>
    <row r="797" customFormat="false" ht="15" hidden="false" customHeight="false" outlineLevel="0" collapsed="false">
      <c r="A797" s="7" t="s">
        <v>85</v>
      </c>
      <c r="B797" s="7" t="n">
        <v>4413473</v>
      </c>
      <c r="C797" s="7" t="s">
        <v>484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0</v>
      </c>
      <c r="L797" s="26" t="n">
        <v>0</v>
      </c>
      <c r="M797" s="26" t="n">
        <v>0</v>
      </c>
    </row>
    <row r="798" customFormat="false" ht="15" hidden="false" customHeight="false" outlineLevel="0" collapsed="false">
      <c r="A798" s="7" t="s">
        <v>87</v>
      </c>
      <c r="B798" s="7" t="n">
        <v>4413473</v>
      </c>
      <c r="C798" s="7" t="s">
        <v>484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0</v>
      </c>
      <c r="L798" s="26" t="n">
        <v>0</v>
      </c>
      <c r="M798" s="26" t="n">
        <v>0</v>
      </c>
    </row>
    <row r="799" customFormat="false" ht="15" hidden="false" customHeight="false" outlineLevel="0" collapsed="false">
      <c r="A799" s="7" t="s">
        <v>85</v>
      </c>
      <c r="B799" s="7" t="n">
        <v>4408088</v>
      </c>
      <c r="C799" s="7" t="s">
        <v>485</v>
      </c>
      <c r="D799" s="26" t="n">
        <v>20</v>
      </c>
      <c r="E799" s="26" t="n">
        <v>0</v>
      </c>
      <c r="F799" s="26" t="n">
        <v>4</v>
      </c>
      <c r="G799" s="26" t="n">
        <v>1</v>
      </c>
      <c r="H799" s="26" t="n">
        <v>224</v>
      </c>
      <c r="I799" s="26" t="n">
        <v>31</v>
      </c>
      <c r="J799" s="26" t="n">
        <v>0</v>
      </c>
      <c r="K799" s="26" t="n">
        <v>0</v>
      </c>
      <c r="L799" s="26" t="n">
        <v>0</v>
      </c>
      <c r="M799" s="26" t="n">
        <v>0</v>
      </c>
    </row>
    <row r="800" customFormat="false" ht="15" hidden="false" customHeight="false" outlineLevel="0" collapsed="false">
      <c r="A800" s="7" t="s">
        <v>87</v>
      </c>
      <c r="B800" s="7" t="n">
        <v>4408088</v>
      </c>
      <c r="C800" s="7" t="s">
        <v>485</v>
      </c>
      <c r="D800" s="26" t="n">
        <v>1561.4</v>
      </c>
      <c r="E800" s="26" t="n">
        <v>0</v>
      </c>
      <c r="F800" s="26" t="n">
        <v>321.8</v>
      </c>
      <c r="G800" s="26" t="n">
        <v>69.6</v>
      </c>
      <c r="H800" s="26" t="n">
        <v>15661.5</v>
      </c>
      <c r="I800" s="26" t="n">
        <v>2307.7</v>
      </c>
      <c r="J800" s="26" t="n">
        <v>0</v>
      </c>
      <c r="K800" s="26" t="n">
        <v>0</v>
      </c>
      <c r="L800" s="26" t="n">
        <v>0</v>
      </c>
      <c r="M800" s="26" t="n">
        <v>0</v>
      </c>
    </row>
    <row r="801" customFormat="false" ht="15" hidden="false" customHeight="false" outlineLevel="0" collapsed="false">
      <c r="A801" s="7" t="s">
        <v>85</v>
      </c>
      <c r="B801" s="7" t="n">
        <v>4408083</v>
      </c>
      <c r="C801" s="7" t="s">
        <v>486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  <c r="L801" s="26" t="n">
        <v>0</v>
      </c>
      <c r="M801" s="26" t="n">
        <v>0</v>
      </c>
    </row>
    <row r="802" customFormat="false" ht="15" hidden="false" customHeight="false" outlineLevel="0" collapsed="false">
      <c r="A802" s="7" t="s">
        <v>87</v>
      </c>
      <c r="B802" s="7" t="n">
        <v>4408083</v>
      </c>
      <c r="C802" s="7" t="s">
        <v>486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  <c r="L802" s="26" t="n">
        <v>0</v>
      </c>
      <c r="M802" s="26" t="n">
        <v>0</v>
      </c>
    </row>
    <row r="803" customFormat="false" ht="15" hidden="false" customHeight="false" outlineLevel="0" collapsed="false">
      <c r="A803" s="7" t="s">
        <v>85</v>
      </c>
      <c r="B803" s="7" t="n">
        <v>4408266</v>
      </c>
      <c r="C803" s="7" t="s">
        <v>487</v>
      </c>
      <c r="D803" s="26" t="n">
        <v>79</v>
      </c>
      <c r="E803" s="26" t="n">
        <v>0</v>
      </c>
      <c r="F803" s="26" t="n">
        <v>0</v>
      </c>
      <c r="G803" s="26" t="n">
        <v>0</v>
      </c>
      <c r="H803" s="26" t="n">
        <v>922</v>
      </c>
      <c r="I803" s="26" t="n">
        <v>0</v>
      </c>
      <c r="J803" s="26" t="n">
        <v>0</v>
      </c>
      <c r="K803" s="26" t="n">
        <v>0</v>
      </c>
      <c r="L803" s="26" t="n">
        <v>0</v>
      </c>
      <c r="M803" s="26" t="n">
        <v>0</v>
      </c>
    </row>
    <row r="804" customFormat="false" ht="15" hidden="false" customHeight="false" outlineLevel="0" collapsed="false">
      <c r="A804" s="7" t="s">
        <v>87</v>
      </c>
      <c r="B804" s="7" t="n">
        <v>4408266</v>
      </c>
      <c r="C804" s="7" t="s">
        <v>487</v>
      </c>
      <c r="D804" s="26" t="n">
        <v>6503.9</v>
      </c>
      <c r="E804" s="26" t="n">
        <v>0</v>
      </c>
      <c r="F804" s="26" t="n">
        <v>0</v>
      </c>
      <c r="G804" s="26" t="n">
        <v>0</v>
      </c>
      <c r="H804" s="26" t="n">
        <v>62831.2</v>
      </c>
      <c r="I804" s="26" t="n">
        <v>0</v>
      </c>
      <c r="J804" s="26" t="n">
        <v>0</v>
      </c>
      <c r="K804" s="26" t="n">
        <v>0</v>
      </c>
      <c r="L804" s="26" t="n">
        <v>0</v>
      </c>
      <c r="M804" s="26" t="n">
        <v>0</v>
      </c>
    </row>
    <row r="805" customFormat="false" ht="15" hidden="false" customHeight="false" outlineLevel="0" collapsed="false">
      <c r="A805" s="7" t="s">
        <v>85</v>
      </c>
      <c r="B805" s="7" t="n">
        <v>4408084</v>
      </c>
      <c r="C805" s="7" t="s">
        <v>488</v>
      </c>
      <c r="D805" s="26" t="n">
        <v>1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0</v>
      </c>
      <c r="J805" s="26" t="n">
        <v>0</v>
      </c>
      <c r="K805" s="26" t="n">
        <v>0</v>
      </c>
      <c r="L805" s="26" t="n">
        <v>0</v>
      </c>
      <c r="M805" s="26" t="n">
        <v>0</v>
      </c>
    </row>
    <row r="806" customFormat="false" ht="15" hidden="false" customHeight="false" outlineLevel="0" collapsed="false">
      <c r="A806" s="7" t="s">
        <v>87</v>
      </c>
      <c r="B806" s="7" t="n">
        <v>4408084</v>
      </c>
      <c r="C806" s="7" t="s">
        <v>488</v>
      </c>
      <c r="D806" s="26" t="n">
        <v>141.8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0</v>
      </c>
      <c r="J806" s="26" t="n">
        <v>0</v>
      </c>
      <c r="K806" s="26" t="n">
        <v>0</v>
      </c>
      <c r="L806" s="26" t="n">
        <v>0</v>
      </c>
      <c r="M806" s="26" t="n">
        <v>0</v>
      </c>
    </row>
    <row r="807" customFormat="false" ht="15" hidden="false" customHeight="false" outlineLevel="0" collapsed="false">
      <c r="A807" s="7" t="s">
        <v>85</v>
      </c>
      <c r="B807" s="7" t="n">
        <v>4408085</v>
      </c>
      <c r="C807" s="7" t="s">
        <v>489</v>
      </c>
      <c r="D807" s="26" t="n">
        <v>1</v>
      </c>
      <c r="E807" s="26" t="n">
        <v>0</v>
      </c>
      <c r="F807" s="26" t="n">
        <v>0</v>
      </c>
      <c r="G807" s="26" t="n">
        <v>0</v>
      </c>
      <c r="H807" s="26" t="n">
        <v>-2</v>
      </c>
      <c r="I807" s="26" t="n">
        <v>0</v>
      </c>
      <c r="J807" s="26" t="n">
        <v>0</v>
      </c>
      <c r="K807" s="26" t="n">
        <v>0</v>
      </c>
      <c r="L807" s="26" t="n">
        <v>0</v>
      </c>
      <c r="M807" s="26" t="n">
        <v>0</v>
      </c>
    </row>
    <row r="808" customFormat="false" ht="15" hidden="false" customHeight="false" outlineLevel="0" collapsed="false">
      <c r="A808" s="7" t="s">
        <v>87</v>
      </c>
      <c r="B808" s="7" t="n">
        <v>4408085</v>
      </c>
      <c r="C808" s="7" t="s">
        <v>489</v>
      </c>
      <c r="D808" s="26" t="n">
        <v>142</v>
      </c>
      <c r="E808" s="26" t="n">
        <v>0</v>
      </c>
      <c r="F808" s="26" t="n">
        <v>0</v>
      </c>
      <c r="G808" s="26" t="n">
        <v>0</v>
      </c>
      <c r="H808" s="26" t="n">
        <v>-262.1</v>
      </c>
      <c r="I808" s="26" t="n">
        <v>0</v>
      </c>
      <c r="J808" s="26" t="n">
        <v>0</v>
      </c>
      <c r="K808" s="26" t="n">
        <v>0</v>
      </c>
      <c r="L808" s="26" t="n">
        <v>0</v>
      </c>
      <c r="M808" s="26" t="n">
        <v>0</v>
      </c>
    </row>
    <row r="809" customFormat="false" ht="15" hidden="false" customHeight="false" outlineLevel="0" collapsed="false">
      <c r="A809" s="7" t="s">
        <v>85</v>
      </c>
      <c r="B809" s="7" t="n">
        <v>4408086</v>
      </c>
      <c r="C809" s="7" t="s">
        <v>490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-1</v>
      </c>
      <c r="I809" s="26" t="n">
        <v>0</v>
      </c>
      <c r="J809" s="26" t="n">
        <v>0</v>
      </c>
      <c r="K809" s="26" t="n">
        <v>0</v>
      </c>
      <c r="L809" s="26" t="n">
        <v>0</v>
      </c>
      <c r="M809" s="26" t="n">
        <v>0</v>
      </c>
    </row>
    <row r="810" customFormat="false" ht="15" hidden="false" customHeight="false" outlineLevel="0" collapsed="false">
      <c r="A810" s="7" t="s">
        <v>87</v>
      </c>
      <c r="B810" s="7" t="n">
        <v>4408086</v>
      </c>
      <c r="C810" s="7" t="s">
        <v>490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0</v>
      </c>
      <c r="J810" s="26" t="n">
        <v>0</v>
      </c>
      <c r="K810" s="26" t="n">
        <v>0</v>
      </c>
      <c r="L810" s="26" t="n">
        <v>0</v>
      </c>
      <c r="M810" s="26" t="n">
        <v>0</v>
      </c>
    </row>
    <row r="811" customFormat="false" ht="15" hidden="false" customHeight="false" outlineLevel="0" collapsed="false">
      <c r="A811" s="7" t="s">
        <v>85</v>
      </c>
      <c r="B811" s="7" t="n">
        <v>4408087</v>
      </c>
      <c r="C811" s="7" t="s">
        <v>491</v>
      </c>
      <c r="D811" s="26" t="n">
        <v>0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0</v>
      </c>
      <c r="L811" s="26" t="n">
        <v>0</v>
      </c>
      <c r="M811" s="26" t="n">
        <v>0</v>
      </c>
    </row>
    <row r="812" customFormat="false" ht="15" hidden="false" customHeight="false" outlineLevel="0" collapsed="false">
      <c r="A812" s="7" t="s">
        <v>87</v>
      </c>
      <c r="B812" s="7" t="n">
        <v>4408087</v>
      </c>
      <c r="C812" s="7" t="s">
        <v>491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0</v>
      </c>
      <c r="L812" s="26" t="n">
        <v>0</v>
      </c>
      <c r="M812" s="26" t="n">
        <v>0</v>
      </c>
    </row>
    <row r="813" customFormat="false" ht="15" hidden="false" customHeight="false" outlineLevel="0" collapsed="false">
      <c r="A813" s="7" t="s">
        <v>85</v>
      </c>
      <c r="B813" s="7" t="n">
        <v>4413339</v>
      </c>
      <c r="C813" s="7" t="s">
        <v>492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0</v>
      </c>
      <c r="L813" s="26" t="n">
        <v>0</v>
      </c>
      <c r="M813" s="26" t="n">
        <v>0</v>
      </c>
    </row>
    <row r="814" customFormat="false" ht="15" hidden="false" customHeight="false" outlineLevel="0" collapsed="false">
      <c r="A814" s="7" t="s">
        <v>87</v>
      </c>
      <c r="B814" s="7" t="n">
        <v>4413339</v>
      </c>
      <c r="C814" s="7" t="s">
        <v>492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0</v>
      </c>
      <c r="L814" s="26" t="n">
        <v>0</v>
      </c>
      <c r="M814" s="26" t="n">
        <v>0</v>
      </c>
    </row>
    <row r="815" customFormat="false" ht="15" hidden="false" customHeight="false" outlineLevel="0" collapsed="false">
      <c r="A815" s="7" t="s">
        <v>85</v>
      </c>
      <c r="B815" s="7" t="n">
        <v>4413139</v>
      </c>
      <c r="C815" s="7" t="s">
        <v>493</v>
      </c>
      <c r="D815" s="26" t="n">
        <v>105</v>
      </c>
      <c r="E815" s="26" t="n">
        <v>0</v>
      </c>
      <c r="F815" s="26" t="n">
        <v>0</v>
      </c>
      <c r="G815" s="26" t="n">
        <v>0</v>
      </c>
      <c r="H815" s="26" t="n">
        <v>410</v>
      </c>
      <c r="I815" s="26" t="n">
        <v>83</v>
      </c>
      <c r="J815" s="26" t="n">
        <v>0</v>
      </c>
      <c r="K815" s="26" t="n">
        <v>0</v>
      </c>
      <c r="L815" s="26" t="n">
        <v>0</v>
      </c>
      <c r="M815" s="26" t="n">
        <v>0</v>
      </c>
    </row>
    <row r="816" customFormat="false" ht="15" hidden="false" customHeight="false" outlineLevel="0" collapsed="false">
      <c r="A816" s="7" t="s">
        <v>87</v>
      </c>
      <c r="B816" s="7" t="n">
        <v>4413139</v>
      </c>
      <c r="C816" s="7" t="s">
        <v>493</v>
      </c>
      <c r="D816" s="26" t="n">
        <v>3135.3</v>
      </c>
      <c r="E816" s="26" t="n">
        <v>0</v>
      </c>
      <c r="F816" s="26" t="n">
        <v>0</v>
      </c>
      <c r="G816" s="26" t="n">
        <v>0</v>
      </c>
      <c r="H816" s="26" t="n">
        <v>10557.7</v>
      </c>
      <c r="I816" s="26" t="n">
        <v>2315.9</v>
      </c>
      <c r="J816" s="26" t="n">
        <v>0</v>
      </c>
      <c r="K816" s="26" t="n">
        <v>0</v>
      </c>
      <c r="L816" s="26" t="n">
        <v>0</v>
      </c>
      <c r="M816" s="26" t="n">
        <v>0</v>
      </c>
    </row>
    <row r="817" customFormat="false" ht="15" hidden="false" customHeight="false" outlineLevel="0" collapsed="false">
      <c r="A817" s="7" t="s">
        <v>85</v>
      </c>
      <c r="B817" s="7" t="n">
        <v>4413140</v>
      </c>
      <c r="C817" s="7" t="s">
        <v>494</v>
      </c>
      <c r="D817" s="26" t="n">
        <v>153</v>
      </c>
      <c r="E817" s="26" t="n">
        <v>0</v>
      </c>
      <c r="F817" s="26" t="n">
        <v>3</v>
      </c>
      <c r="G817" s="26" t="n">
        <v>1</v>
      </c>
      <c r="H817" s="26" t="n">
        <v>555</v>
      </c>
      <c r="I817" s="26" t="n">
        <v>145</v>
      </c>
      <c r="J817" s="26" t="n">
        <v>0</v>
      </c>
      <c r="K817" s="26" t="n">
        <v>0</v>
      </c>
      <c r="L817" s="26" t="n">
        <v>0</v>
      </c>
      <c r="M817" s="26" t="n">
        <v>0</v>
      </c>
    </row>
    <row r="818" customFormat="false" ht="15" hidden="false" customHeight="false" outlineLevel="0" collapsed="false">
      <c r="A818" s="7" t="s">
        <v>87</v>
      </c>
      <c r="B818" s="7" t="n">
        <v>4413140</v>
      </c>
      <c r="C818" s="7" t="s">
        <v>494</v>
      </c>
      <c r="D818" s="26" t="n">
        <v>4532.8</v>
      </c>
      <c r="E818" s="26" t="n">
        <v>0</v>
      </c>
      <c r="F818" s="26" t="n">
        <v>92.7</v>
      </c>
      <c r="G818" s="26" t="n">
        <v>25.8</v>
      </c>
      <c r="H818" s="26" t="n">
        <v>14270.6</v>
      </c>
      <c r="I818" s="26" t="n">
        <v>4031.1</v>
      </c>
      <c r="J818" s="26" t="n">
        <v>0</v>
      </c>
      <c r="K818" s="26" t="n">
        <v>0</v>
      </c>
      <c r="L818" s="26" t="n">
        <v>0</v>
      </c>
      <c r="M818" s="26" t="n">
        <v>0</v>
      </c>
    </row>
    <row r="819" customFormat="false" ht="15" hidden="false" customHeight="false" outlineLevel="0" collapsed="false">
      <c r="A819" s="7" t="s">
        <v>85</v>
      </c>
      <c r="B819" s="7" t="n">
        <v>4413141</v>
      </c>
      <c r="C819" s="7" t="s">
        <v>495</v>
      </c>
      <c r="D819" s="26" t="n">
        <v>130</v>
      </c>
      <c r="E819" s="26" t="n">
        <v>0</v>
      </c>
      <c r="F819" s="26" t="n">
        <v>4</v>
      </c>
      <c r="G819" s="26" t="n">
        <v>0</v>
      </c>
      <c r="H819" s="26" t="n">
        <v>391</v>
      </c>
      <c r="I819" s="26" t="n">
        <v>72</v>
      </c>
      <c r="J819" s="26" t="n">
        <v>0</v>
      </c>
      <c r="K819" s="26" t="n">
        <v>0</v>
      </c>
      <c r="L819" s="26" t="n">
        <v>0</v>
      </c>
      <c r="M819" s="26" t="n">
        <v>0</v>
      </c>
    </row>
    <row r="820" customFormat="false" ht="15" hidden="false" customHeight="false" outlineLevel="0" collapsed="false">
      <c r="A820" s="7" t="s">
        <v>87</v>
      </c>
      <c r="B820" s="7" t="n">
        <v>4413141</v>
      </c>
      <c r="C820" s="7" t="s">
        <v>495</v>
      </c>
      <c r="D820" s="26" t="n">
        <v>3849</v>
      </c>
      <c r="E820" s="26" t="n">
        <v>0</v>
      </c>
      <c r="F820" s="26" t="n">
        <v>123.6</v>
      </c>
      <c r="G820" s="26" t="n">
        <v>0</v>
      </c>
      <c r="H820" s="26" t="n">
        <v>10058</v>
      </c>
      <c r="I820" s="26" t="n">
        <v>1998.7</v>
      </c>
      <c r="J820" s="26" t="n">
        <v>0</v>
      </c>
      <c r="K820" s="26" t="n">
        <v>0</v>
      </c>
      <c r="L820" s="26" t="n">
        <v>0</v>
      </c>
      <c r="M820" s="26" t="n">
        <v>0</v>
      </c>
    </row>
    <row r="821" customFormat="false" ht="15" hidden="false" customHeight="false" outlineLevel="0" collapsed="false">
      <c r="A821" s="7" t="s">
        <v>85</v>
      </c>
      <c r="B821" s="7" t="n">
        <v>4413142</v>
      </c>
      <c r="C821" s="7" t="s">
        <v>496</v>
      </c>
      <c r="D821" s="26" t="n">
        <v>49</v>
      </c>
      <c r="E821" s="26" t="n">
        <v>0</v>
      </c>
      <c r="F821" s="26" t="n">
        <v>0</v>
      </c>
      <c r="G821" s="26" t="n">
        <v>0</v>
      </c>
      <c r="H821" s="26" t="n">
        <v>205</v>
      </c>
      <c r="I821" s="26" t="n">
        <v>34</v>
      </c>
      <c r="J821" s="26" t="n">
        <v>0</v>
      </c>
      <c r="K821" s="26" t="n">
        <v>0</v>
      </c>
      <c r="L821" s="26" t="n">
        <v>0</v>
      </c>
      <c r="M821" s="26" t="n">
        <v>0</v>
      </c>
    </row>
    <row r="822" customFormat="false" ht="15" hidden="false" customHeight="false" outlineLevel="0" collapsed="false">
      <c r="A822" s="7" t="s">
        <v>87</v>
      </c>
      <c r="B822" s="7" t="n">
        <v>4413142</v>
      </c>
      <c r="C822" s="7" t="s">
        <v>496</v>
      </c>
      <c r="D822" s="26" t="n">
        <v>1440.1</v>
      </c>
      <c r="E822" s="26" t="n">
        <v>0</v>
      </c>
      <c r="F822" s="26" t="n">
        <v>0</v>
      </c>
      <c r="G822" s="26" t="n">
        <v>0</v>
      </c>
      <c r="H822" s="26" t="n">
        <v>5281.3</v>
      </c>
      <c r="I822" s="26" t="n">
        <v>945.8</v>
      </c>
      <c r="J822" s="26" t="n">
        <v>0</v>
      </c>
      <c r="K822" s="26" t="n">
        <v>0</v>
      </c>
      <c r="L822" s="26" t="n">
        <v>0</v>
      </c>
      <c r="M822" s="26" t="n">
        <v>0</v>
      </c>
    </row>
    <row r="823" customFormat="false" ht="15" hidden="false" customHeight="false" outlineLevel="0" collapsed="false">
      <c r="A823" s="7" t="s">
        <v>85</v>
      </c>
      <c r="B823" s="7" t="n">
        <v>4413143</v>
      </c>
      <c r="C823" s="7" t="s">
        <v>497</v>
      </c>
      <c r="D823" s="26" t="n">
        <v>25</v>
      </c>
      <c r="E823" s="26" t="n">
        <v>0</v>
      </c>
      <c r="F823" s="26" t="n">
        <v>0</v>
      </c>
      <c r="G823" s="26" t="n">
        <v>0</v>
      </c>
      <c r="H823" s="26" t="n">
        <v>37</v>
      </c>
      <c r="I823" s="26" t="n">
        <v>0</v>
      </c>
      <c r="J823" s="26" t="n">
        <v>0</v>
      </c>
      <c r="K823" s="26" t="n">
        <v>0</v>
      </c>
      <c r="L823" s="26" t="n">
        <v>0</v>
      </c>
      <c r="M823" s="26" t="n">
        <v>0</v>
      </c>
    </row>
    <row r="824" customFormat="false" ht="15" hidden="false" customHeight="false" outlineLevel="0" collapsed="false">
      <c r="A824" s="7" t="s">
        <v>87</v>
      </c>
      <c r="B824" s="7" t="n">
        <v>4413143</v>
      </c>
      <c r="C824" s="7" t="s">
        <v>497</v>
      </c>
      <c r="D824" s="26" t="n">
        <v>753.5</v>
      </c>
      <c r="E824" s="26" t="n">
        <v>0</v>
      </c>
      <c r="F824" s="26" t="n">
        <v>0</v>
      </c>
      <c r="G824" s="26" t="n">
        <v>0</v>
      </c>
      <c r="H824" s="26" t="n">
        <v>953.5</v>
      </c>
      <c r="I824" s="26" t="n">
        <v>0</v>
      </c>
      <c r="J824" s="26" t="n">
        <v>0</v>
      </c>
      <c r="K824" s="26" t="n">
        <v>0</v>
      </c>
      <c r="L824" s="26" t="n">
        <v>0</v>
      </c>
      <c r="M824" s="26" t="n">
        <v>0</v>
      </c>
    </row>
    <row r="825" customFormat="false" ht="15" hidden="false" customHeight="false" outlineLevel="0" collapsed="false">
      <c r="A825" s="7" t="s">
        <v>85</v>
      </c>
      <c r="B825" s="7" t="n">
        <v>4413144</v>
      </c>
      <c r="C825" s="7" t="s">
        <v>498</v>
      </c>
      <c r="D825" s="26" t="n">
        <v>2</v>
      </c>
      <c r="E825" s="26" t="n">
        <v>0</v>
      </c>
      <c r="F825" s="26" t="n">
        <v>0</v>
      </c>
      <c r="G825" s="26" t="n">
        <v>0</v>
      </c>
      <c r="H825" s="26" t="n">
        <v>5</v>
      </c>
      <c r="I825" s="26" t="n">
        <v>0</v>
      </c>
      <c r="J825" s="26" t="n">
        <v>0</v>
      </c>
      <c r="K825" s="26" t="n">
        <v>0</v>
      </c>
      <c r="L825" s="26" t="n">
        <v>0</v>
      </c>
      <c r="M825" s="26" t="n">
        <v>0</v>
      </c>
    </row>
    <row r="826" customFormat="false" ht="15" hidden="false" customHeight="false" outlineLevel="0" collapsed="false">
      <c r="A826" s="7" t="s">
        <v>87</v>
      </c>
      <c r="B826" s="7" t="n">
        <v>4413144</v>
      </c>
      <c r="C826" s="7" t="s">
        <v>498</v>
      </c>
      <c r="D826" s="26" t="n">
        <v>61.8</v>
      </c>
      <c r="E826" s="26" t="n">
        <v>0</v>
      </c>
      <c r="F826" s="26" t="n">
        <v>0</v>
      </c>
      <c r="G826" s="26" t="n">
        <v>0</v>
      </c>
      <c r="H826" s="26" t="n">
        <v>128.9</v>
      </c>
      <c r="I826" s="26" t="n">
        <v>0</v>
      </c>
      <c r="J826" s="26" t="n">
        <v>0</v>
      </c>
      <c r="K826" s="26" t="n">
        <v>0</v>
      </c>
      <c r="L826" s="26" t="n">
        <v>0</v>
      </c>
      <c r="M826" s="26" t="n">
        <v>0</v>
      </c>
    </row>
    <row r="827" customFormat="false" ht="15" hidden="false" customHeight="false" outlineLevel="0" collapsed="false">
      <c r="A827" s="7" t="s">
        <v>85</v>
      </c>
      <c r="B827" s="7" t="n">
        <v>4413146</v>
      </c>
      <c r="C827" s="7" t="s">
        <v>499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-1</v>
      </c>
      <c r="I827" s="26" t="n">
        <v>0</v>
      </c>
      <c r="J827" s="26" t="n">
        <v>0</v>
      </c>
      <c r="K827" s="26" t="n">
        <v>0</v>
      </c>
      <c r="L827" s="26" t="n">
        <v>0</v>
      </c>
      <c r="M827" s="26" t="n">
        <v>0</v>
      </c>
    </row>
    <row r="828" customFormat="false" ht="15" hidden="false" customHeight="false" outlineLevel="0" collapsed="false">
      <c r="A828" s="7" t="s">
        <v>87</v>
      </c>
      <c r="B828" s="7" t="n">
        <v>4413146</v>
      </c>
      <c r="C828" s="7" t="s">
        <v>499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  <c r="L828" s="26" t="n">
        <v>0</v>
      </c>
      <c r="M828" s="26" t="n">
        <v>0</v>
      </c>
    </row>
    <row r="829" customFormat="false" ht="15" hidden="false" customHeight="false" outlineLevel="0" collapsed="false">
      <c r="A829" s="7" t="s">
        <v>85</v>
      </c>
      <c r="B829" s="7" t="n">
        <v>4413147</v>
      </c>
      <c r="C829" s="7" t="s">
        <v>500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0</v>
      </c>
      <c r="I829" s="26" t="n">
        <v>0</v>
      </c>
      <c r="J829" s="26" t="n">
        <v>0</v>
      </c>
      <c r="K829" s="26" t="n">
        <v>0</v>
      </c>
      <c r="L829" s="26" t="n">
        <v>0</v>
      </c>
      <c r="M829" s="26" t="n">
        <v>0</v>
      </c>
    </row>
    <row r="830" customFormat="false" ht="15" hidden="false" customHeight="false" outlineLevel="0" collapsed="false">
      <c r="A830" s="7" t="s">
        <v>87</v>
      </c>
      <c r="B830" s="7" t="n">
        <v>4413147</v>
      </c>
      <c r="C830" s="7" t="s">
        <v>500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  <c r="L830" s="26" t="n">
        <v>0</v>
      </c>
      <c r="M830" s="26" t="n">
        <v>0</v>
      </c>
    </row>
    <row r="831" customFormat="false" ht="15" hidden="false" customHeight="false" outlineLevel="0" collapsed="false">
      <c r="A831" s="7" t="s">
        <v>85</v>
      </c>
      <c r="B831" s="7" t="n">
        <v>4413148</v>
      </c>
      <c r="C831" s="7" t="s">
        <v>501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  <c r="L831" s="26" t="n">
        <v>0</v>
      </c>
      <c r="M831" s="26" t="n">
        <v>0</v>
      </c>
    </row>
    <row r="832" customFormat="false" ht="15" hidden="false" customHeight="false" outlineLevel="0" collapsed="false">
      <c r="A832" s="7" t="s">
        <v>87</v>
      </c>
      <c r="B832" s="7" t="n">
        <v>4413148</v>
      </c>
      <c r="C832" s="7" t="s">
        <v>501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  <c r="L832" s="26" t="n">
        <v>0</v>
      </c>
      <c r="M832" s="26" t="n">
        <v>0</v>
      </c>
    </row>
    <row r="833" customFormat="false" ht="15" hidden="false" customHeight="false" outlineLevel="0" collapsed="false">
      <c r="A833" s="7" t="s">
        <v>85</v>
      </c>
      <c r="B833" s="7" t="n">
        <v>4413500</v>
      </c>
      <c r="C833" s="7" t="s">
        <v>502</v>
      </c>
      <c r="D833" s="26" t="n">
        <v>92</v>
      </c>
      <c r="E833" s="26" t="n">
        <v>0</v>
      </c>
      <c r="F833" s="26" t="n">
        <v>2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  <c r="L833" s="26" t="n">
        <v>0</v>
      </c>
      <c r="M833" s="26" t="n">
        <v>0</v>
      </c>
    </row>
    <row r="834" customFormat="false" ht="15" hidden="false" customHeight="false" outlineLevel="0" collapsed="false">
      <c r="A834" s="7" t="s">
        <v>87</v>
      </c>
      <c r="B834" s="7" t="n">
        <v>4413500</v>
      </c>
      <c r="C834" s="7" t="s">
        <v>502</v>
      </c>
      <c r="D834" s="26" t="n">
        <v>2610.1</v>
      </c>
      <c r="E834" s="26" t="n">
        <v>0</v>
      </c>
      <c r="F834" s="26" t="n">
        <v>59.5</v>
      </c>
      <c r="G834" s="26" t="n">
        <v>0</v>
      </c>
      <c r="H834" s="26" t="n">
        <v>0</v>
      </c>
      <c r="I834" s="26" t="n">
        <v>0</v>
      </c>
      <c r="J834" s="26" t="n">
        <v>0</v>
      </c>
      <c r="K834" s="26" t="n">
        <v>0</v>
      </c>
      <c r="L834" s="26" t="n">
        <v>0</v>
      </c>
      <c r="M834" s="26" t="n">
        <v>0</v>
      </c>
    </row>
    <row r="835" customFormat="false" ht="15" hidden="false" customHeight="false" outlineLevel="0" collapsed="false">
      <c r="A835" s="7" t="s">
        <v>85</v>
      </c>
      <c r="B835" s="7" t="n">
        <v>4413501</v>
      </c>
      <c r="C835" s="7" t="s">
        <v>503</v>
      </c>
      <c r="D835" s="26" t="n">
        <v>169</v>
      </c>
      <c r="E835" s="26" t="n">
        <v>0</v>
      </c>
      <c r="F835" s="26" t="n">
        <v>0</v>
      </c>
      <c r="G835" s="26" t="n">
        <v>0</v>
      </c>
      <c r="H835" s="26" t="n">
        <v>0</v>
      </c>
      <c r="I835" s="26" t="n">
        <v>0</v>
      </c>
      <c r="J835" s="26" t="n">
        <v>0</v>
      </c>
      <c r="K835" s="26" t="n">
        <v>0</v>
      </c>
      <c r="L835" s="26" t="n">
        <v>0</v>
      </c>
      <c r="M835" s="26" t="n">
        <v>0</v>
      </c>
    </row>
    <row r="836" customFormat="false" ht="15" hidden="false" customHeight="false" outlineLevel="0" collapsed="false">
      <c r="A836" s="7" t="s">
        <v>87</v>
      </c>
      <c r="B836" s="7" t="n">
        <v>4413501</v>
      </c>
      <c r="C836" s="7" t="s">
        <v>503</v>
      </c>
      <c r="D836" s="26" t="n">
        <v>5003.7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0</v>
      </c>
      <c r="L836" s="26" t="n">
        <v>0</v>
      </c>
      <c r="M836" s="26" t="n">
        <v>0</v>
      </c>
    </row>
    <row r="837" customFormat="false" ht="15" hidden="false" customHeight="false" outlineLevel="0" collapsed="false">
      <c r="A837" s="7" t="s">
        <v>85</v>
      </c>
      <c r="B837" s="7" t="n">
        <v>4413502</v>
      </c>
      <c r="C837" s="7" t="s">
        <v>504</v>
      </c>
      <c r="D837" s="26" t="n">
        <v>117</v>
      </c>
      <c r="E837" s="26" t="n">
        <v>0</v>
      </c>
      <c r="F837" s="26" t="n">
        <v>2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0</v>
      </c>
      <c r="L837" s="26" t="n">
        <v>0</v>
      </c>
      <c r="M837" s="26" t="n">
        <v>0</v>
      </c>
    </row>
    <row r="838" customFormat="false" ht="15" hidden="false" customHeight="false" outlineLevel="0" collapsed="false">
      <c r="A838" s="7" t="s">
        <v>87</v>
      </c>
      <c r="B838" s="7" t="n">
        <v>4413502</v>
      </c>
      <c r="C838" s="7" t="s">
        <v>504</v>
      </c>
      <c r="D838" s="26" t="n">
        <v>3501.7</v>
      </c>
      <c r="E838" s="26" t="n">
        <v>0</v>
      </c>
      <c r="F838" s="26" t="n">
        <v>59.5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0</v>
      </c>
      <c r="L838" s="26" t="n">
        <v>0</v>
      </c>
      <c r="M838" s="26" t="n">
        <v>0</v>
      </c>
    </row>
    <row r="839" customFormat="false" ht="15" hidden="false" customHeight="false" outlineLevel="0" collapsed="false">
      <c r="A839" s="7" t="s">
        <v>85</v>
      </c>
      <c r="B839" s="7" t="n">
        <v>4413503</v>
      </c>
      <c r="C839" s="7" t="s">
        <v>505</v>
      </c>
      <c r="D839" s="26" t="n">
        <v>89</v>
      </c>
      <c r="E839" s="26" t="n">
        <v>0</v>
      </c>
      <c r="F839" s="26" t="n">
        <v>2</v>
      </c>
      <c r="G839" s="26" t="n">
        <v>0</v>
      </c>
      <c r="H839" s="26" t="n">
        <v>0</v>
      </c>
      <c r="I839" s="26" t="n">
        <v>0</v>
      </c>
      <c r="J839" s="26" t="n">
        <v>1</v>
      </c>
      <c r="K839" s="26" t="n">
        <v>0</v>
      </c>
      <c r="L839" s="26" t="n">
        <v>0</v>
      </c>
      <c r="M839" s="26" t="n">
        <v>0</v>
      </c>
    </row>
    <row r="840" customFormat="false" ht="15" hidden="false" customHeight="false" outlineLevel="0" collapsed="false">
      <c r="A840" s="7" t="s">
        <v>87</v>
      </c>
      <c r="B840" s="7" t="n">
        <v>4413503</v>
      </c>
      <c r="C840" s="7" t="s">
        <v>505</v>
      </c>
      <c r="D840" s="26" t="n">
        <v>2618.2</v>
      </c>
      <c r="E840" s="26" t="n">
        <v>0</v>
      </c>
      <c r="F840" s="26" t="n">
        <v>59.5</v>
      </c>
      <c r="G840" s="26" t="n">
        <v>0</v>
      </c>
      <c r="H840" s="26" t="n">
        <v>0</v>
      </c>
      <c r="I840" s="26" t="n">
        <v>0</v>
      </c>
      <c r="J840" s="26" t="n">
        <v>27.8</v>
      </c>
      <c r="K840" s="26" t="n">
        <v>0</v>
      </c>
      <c r="L840" s="26" t="n">
        <v>0</v>
      </c>
      <c r="M840" s="26" t="n">
        <v>0</v>
      </c>
    </row>
    <row r="841" customFormat="false" ht="15" hidden="false" customHeight="false" outlineLevel="0" collapsed="false">
      <c r="A841" s="7" t="s">
        <v>85</v>
      </c>
      <c r="B841" s="7" t="n">
        <v>4413504</v>
      </c>
      <c r="C841" s="7" t="s">
        <v>506</v>
      </c>
      <c r="D841" s="26" t="n">
        <v>4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0</v>
      </c>
      <c r="J841" s="26" t="n">
        <v>1</v>
      </c>
      <c r="K841" s="26" t="n">
        <v>0</v>
      </c>
      <c r="L841" s="26" t="n">
        <v>0</v>
      </c>
      <c r="M841" s="26" t="n">
        <v>0</v>
      </c>
    </row>
    <row r="842" customFormat="false" ht="15" hidden="false" customHeight="false" outlineLevel="0" collapsed="false">
      <c r="A842" s="7" t="s">
        <v>87</v>
      </c>
      <c r="B842" s="7" t="n">
        <v>4413504</v>
      </c>
      <c r="C842" s="7" t="s">
        <v>506</v>
      </c>
      <c r="D842" s="26" t="n">
        <v>119.4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0</v>
      </c>
      <c r="J842" s="26" t="n">
        <v>27.8</v>
      </c>
      <c r="K842" s="26" t="n">
        <v>0</v>
      </c>
      <c r="L842" s="26" t="n">
        <v>0</v>
      </c>
      <c r="M842" s="26" t="n">
        <v>0</v>
      </c>
    </row>
    <row r="843" customFormat="false" ht="15" hidden="false" customHeight="false" outlineLevel="0" collapsed="false">
      <c r="A843" s="7" t="s">
        <v>85</v>
      </c>
      <c r="B843" s="7" t="n">
        <v>4413365</v>
      </c>
      <c r="C843" s="7" t="s">
        <v>507</v>
      </c>
      <c r="D843" s="26" t="n">
        <v>146</v>
      </c>
      <c r="E843" s="26" t="n">
        <v>0</v>
      </c>
      <c r="F843" s="26" t="n">
        <v>0</v>
      </c>
      <c r="G843" s="26" t="n">
        <v>0</v>
      </c>
      <c r="H843" s="26" t="n">
        <v>733</v>
      </c>
      <c r="I843" s="26" t="n">
        <v>107</v>
      </c>
      <c r="J843" s="26" t="n">
        <v>0</v>
      </c>
      <c r="K843" s="26" t="n">
        <v>0</v>
      </c>
      <c r="L843" s="26" t="n">
        <v>0</v>
      </c>
      <c r="M843" s="26" t="n">
        <v>0</v>
      </c>
    </row>
    <row r="844" customFormat="false" ht="15" hidden="false" customHeight="false" outlineLevel="0" collapsed="false">
      <c r="A844" s="7" t="s">
        <v>87</v>
      </c>
      <c r="B844" s="7" t="n">
        <v>4413365</v>
      </c>
      <c r="C844" s="7" t="s">
        <v>507</v>
      </c>
      <c r="D844" s="26" t="n">
        <v>4343.9</v>
      </c>
      <c r="E844" s="26" t="n">
        <v>0</v>
      </c>
      <c r="F844" s="26" t="n">
        <v>0</v>
      </c>
      <c r="G844" s="26" t="n">
        <v>0</v>
      </c>
      <c r="H844" s="26" t="n">
        <v>18857.2</v>
      </c>
      <c r="I844" s="26" t="n">
        <v>2970.3</v>
      </c>
      <c r="J844" s="26" t="n">
        <v>0</v>
      </c>
      <c r="K844" s="26" t="n">
        <v>0</v>
      </c>
      <c r="L844" s="26" t="n">
        <v>0</v>
      </c>
      <c r="M844" s="26" t="n">
        <v>0</v>
      </c>
    </row>
    <row r="845" customFormat="false" ht="15" hidden="false" customHeight="false" outlineLevel="0" collapsed="false">
      <c r="A845" s="7" t="s">
        <v>85</v>
      </c>
      <c r="B845" s="7" t="n">
        <v>4413364</v>
      </c>
      <c r="C845" s="7" t="s">
        <v>508</v>
      </c>
      <c r="D845" s="26" t="n">
        <v>216</v>
      </c>
      <c r="E845" s="26" t="n">
        <v>0</v>
      </c>
      <c r="F845" s="26" t="n">
        <v>0</v>
      </c>
      <c r="G845" s="26" t="n">
        <v>0</v>
      </c>
      <c r="H845" s="26" t="n">
        <v>1089</v>
      </c>
      <c r="I845" s="26" t="n">
        <v>121</v>
      </c>
      <c r="J845" s="26" t="n">
        <v>0</v>
      </c>
      <c r="K845" s="26" t="n">
        <v>0</v>
      </c>
      <c r="L845" s="26" t="n">
        <v>0</v>
      </c>
      <c r="M845" s="26" t="n">
        <v>0</v>
      </c>
    </row>
    <row r="846" customFormat="false" ht="15" hidden="false" customHeight="false" outlineLevel="0" collapsed="false">
      <c r="A846" s="7" t="s">
        <v>87</v>
      </c>
      <c r="B846" s="7" t="n">
        <v>4413364</v>
      </c>
      <c r="C846" s="7" t="s">
        <v>508</v>
      </c>
      <c r="D846" s="26" t="n">
        <v>6434.6</v>
      </c>
      <c r="E846" s="26" t="n">
        <v>0</v>
      </c>
      <c r="F846" s="26" t="n">
        <v>0</v>
      </c>
      <c r="G846" s="26" t="n">
        <v>0</v>
      </c>
      <c r="H846" s="26" t="n">
        <v>28021.7</v>
      </c>
      <c r="I846" s="26" t="n">
        <v>3355</v>
      </c>
      <c r="J846" s="26" t="n">
        <v>0</v>
      </c>
      <c r="K846" s="26" t="n">
        <v>0</v>
      </c>
      <c r="L846" s="26" t="n">
        <v>0</v>
      </c>
      <c r="M846" s="26" t="n">
        <v>0</v>
      </c>
    </row>
    <row r="847" customFormat="false" ht="15" hidden="false" customHeight="false" outlineLevel="0" collapsed="false">
      <c r="A847" s="7" t="s">
        <v>85</v>
      </c>
      <c r="B847" s="7" t="n">
        <v>4413366</v>
      </c>
      <c r="C847" s="7" t="s">
        <v>509</v>
      </c>
      <c r="D847" s="26" t="n">
        <v>155</v>
      </c>
      <c r="E847" s="26" t="n">
        <v>0</v>
      </c>
      <c r="F847" s="26" t="n">
        <v>0</v>
      </c>
      <c r="G847" s="26" t="n">
        <v>0</v>
      </c>
      <c r="H847" s="26" t="n">
        <v>833</v>
      </c>
      <c r="I847" s="26" t="n">
        <v>109</v>
      </c>
      <c r="J847" s="26" t="n">
        <v>0</v>
      </c>
      <c r="K847" s="26" t="n">
        <v>0</v>
      </c>
      <c r="L847" s="26" t="n">
        <v>0</v>
      </c>
      <c r="M847" s="26" t="n">
        <v>0</v>
      </c>
    </row>
    <row r="848" customFormat="false" ht="15" hidden="false" customHeight="false" outlineLevel="0" collapsed="false">
      <c r="A848" s="7" t="s">
        <v>87</v>
      </c>
      <c r="B848" s="7" t="n">
        <v>4413366</v>
      </c>
      <c r="C848" s="7" t="s">
        <v>509</v>
      </c>
      <c r="D848" s="26" t="n">
        <v>4633.6</v>
      </c>
      <c r="E848" s="26" t="n">
        <v>0</v>
      </c>
      <c r="F848" s="26" t="n">
        <v>0</v>
      </c>
      <c r="G848" s="26" t="n">
        <v>0</v>
      </c>
      <c r="H848" s="26" t="n">
        <v>21400.4</v>
      </c>
      <c r="I848" s="26" t="n">
        <v>3023.9</v>
      </c>
      <c r="J848" s="26" t="n">
        <v>0</v>
      </c>
      <c r="K848" s="26" t="n">
        <v>0</v>
      </c>
      <c r="L848" s="26" t="n">
        <v>0</v>
      </c>
      <c r="M848" s="26" t="n">
        <v>0</v>
      </c>
    </row>
    <row r="849" customFormat="false" ht="15" hidden="false" customHeight="false" outlineLevel="0" collapsed="false">
      <c r="A849" s="7" t="s">
        <v>85</v>
      </c>
      <c r="B849" s="7" t="n">
        <v>4413367</v>
      </c>
      <c r="C849" s="7" t="s">
        <v>510</v>
      </c>
      <c r="D849" s="26" t="n">
        <v>49</v>
      </c>
      <c r="E849" s="26" t="n">
        <v>0</v>
      </c>
      <c r="F849" s="26" t="n">
        <v>0</v>
      </c>
      <c r="G849" s="26" t="n">
        <v>0</v>
      </c>
      <c r="H849" s="26" t="n">
        <v>347</v>
      </c>
      <c r="I849" s="26" t="n">
        <v>47</v>
      </c>
      <c r="J849" s="26" t="n">
        <v>0</v>
      </c>
      <c r="K849" s="26" t="n">
        <v>0</v>
      </c>
      <c r="L849" s="26" t="n">
        <v>0</v>
      </c>
      <c r="M849" s="26" t="n">
        <v>0</v>
      </c>
    </row>
    <row r="850" customFormat="false" ht="15" hidden="false" customHeight="false" outlineLevel="0" collapsed="false">
      <c r="A850" s="7" t="s">
        <v>87</v>
      </c>
      <c r="B850" s="7" t="n">
        <v>4413367</v>
      </c>
      <c r="C850" s="7" t="s">
        <v>510</v>
      </c>
      <c r="D850" s="26" t="n">
        <v>1476.2</v>
      </c>
      <c r="E850" s="26" t="n">
        <v>0</v>
      </c>
      <c r="F850" s="26" t="n">
        <v>0</v>
      </c>
      <c r="G850" s="26" t="n">
        <v>0</v>
      </c>
      <c r="H850" s="26" t="n">
        <v>8929.8</v>
      </c>
      <c r="I850" s="26" t="n">
        <v>1302.8</v>
      </c>
      <c r="J850" s="26" t="n">
        <v>0</v>
      </c>
      <c r="K850" s="26" t="n">
        <v>0</v>
      </c>
      <c r="L850" s="26" t="n">
        <v>0</v>
      </c>
      <c r="M850" s="26" t="n">
        <v>0</v>
      </c>
    </row>
    <row r="851" customFormat="false" ht="15" hidden="false" customHeight="false" outlineLevel="0" collapsed="false">
      <c r="A851" s="7" t="s">
        <v>85</v>
      </c>
      <c r="B851" s="7" t="n">
        <v>4413368</v>
      </c>
      <c r="C851" s="7" t="s">
        <v>511</v>
      </c>
      <c r="D851" s="26" t="n">
        <v>12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44</v>
      </c>
      <c r="J851" s="26" t="n">
        <v>0</v>
      </c>
      <c r="K851" s="26" t="n">
        <v>0</v>
      </c>
      <c r="L851" s="26" t="n">
        <v>0</v>
      </c>
      <c r="M851" s="26" t="n">
        <v>0</v>
      </c>
    </row>
    <row r="852" customFormat="false" ht="15" hidden="false" customHeight="false" outlineLevel="0" collapsed="false">
      <c r="A852" s="7" t="s">
        <v>87</v>
      </c>
      <c r="B852" s="7" t="n">
        <v>4413368</v>
      </c>
      <c r="C852" s="7" t="s">
        <v>511</v>
      </c>
      <c r="D852" s="26" t="n">
        <v>351.9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1221.4</v>
      </c>
      <c r="J852" s="26" t="n">
        <v>0</v>
      </c>
      <c r="K852" s="26" t="n">
        <v>0</v>
      </c>
      <c r="L852" s="26" t="n">
        <v>0</v>
      </c>
      <c r="M852" s="26" t="n">
        <v>0</v>
      </c>
    </row>
    <row r="853" customFormat="false" ht="15" hidden="false" customHeight="false" outlineLevel="0" collapsed="false">
      <c r="A853" s="7" t="s">
        <v>85</v>
      </c>
      <c r="B853" s="7" t="n">
        <v>4413369</v>
      </c>
      <c r="C853" s="7" t="s">
        <v>512</v>
      </c>
      <c r="D853" s="26" t="n">
        <v>6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  <c r="L853" s="26" t="n">
        <v>0</v>
      </c>
      <c r="M853" s="26" t="n">
        <v>0</v>
      </c>
    </row>
    <row r="854" customFormat="false" ht="15" hidden="false" customHeight="false" outlineLevel="0" collapsed="false">
      <c r="A854" s="7" t="s">
        <v>87</v>
      </c>
      <c r="B854" s="7" t="n">
        <v>4413369</v>
      </c>
      <c r="C854" s="7" t="s">
        <v>512</v>
      </c>
      <c r="D854" s="26" t="n">
        <v>179.2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0</v>
      </c>
      <c r="J854" s="26" t="n">
        <v>0</v>
      </c>
      <c r="K854" s="26" t="n">
        <v>0</v>
      </c>
      <c r="L854" s="26" t="n">
        <v>0</v>
      </c>
      <c r="M854" s="26" t="n">
        <v>0</v>
      </c>
    </row>
    <row r="855" customFormat="false" ht="15" hidden="false" customHeight="false" outlineLevel="0" collapsed="false">
      <c r="A855" s="7" t="s">
        <v>85</v>
      </c>
      <c r="B855" s="7" t="n">
        <v>4413363</v>
      </c>
      <c r="C855" s="7" t="s">
        <v>513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  <c r="L855" s="26" t="n">
        <v>0</v>
      </c>
      <c r="M855" s="26" t="n">
        <v>0</v>
      </c>
    </row>
    <row r="856" customFormat="false" ht="15" hidden="false" customHeight="false" outlineLevel="0" collapsed="false">
      <c r="A856" s="7" t="s">
        <v>87</v>
      </c>
      <c r="B856" s="7" t="n">
        <v>4413363</v>
      </c>
      <c r="C856" s="7" t="s">
        <v>513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  <c r="L856" s="26" t="n">
        <v>0</v>
      </c>
      <c r="M856" s="26" t="n">
        <v>0</v>
      </c>
    </row>
    <row r="857" customFormat="false" ht="15" hidden="false" customHeight="false" outlineLevel="0" collapsed="false">
      <c r="A857" s="7" t="s">
        <v>85</v>
      </c>
      <c r="B857" s="7" t="n">
        <v>4408208</v>
      </c>
      <c r="C857" s="7" t="s">
        <v>514</v>
      </c>
      <c r="D857" s="26" t="n">
        <v>388</v>
      </c>
      <c r="E857" s="26" t="n">
        <v>2</v>
      </c>
      <c r="F857" s="26" t="n">
        <v>6</v>
      </c>
      <c r="G857" s="26" t="n">
        <v>0</v>
      </c>
      <c r="H857" s="26" t="n">
        <v>803</v>
      </c>
      <c r="I857" s="26" t="n">
        <v>123</v>
      </c>
      <c r="J857" s="26" t="n">
        <v>0</v>
      </c>
      <c r="K857" s="26" t="n">
        <v>0</v>
      </c>
      <c r="L857" s="26" t="n">
        <v>0</v>
      </c>
      <c r="M857" s="26" t="n">
        <v>-2</v>
      </c>
    </row>
    <row r="858" customFormat="false" ht="15" hidden="false" customHeight="false" outlineLevel="0" collapsed="false">
      <c r="A858" s="7" t="s">
        <v>87</v>
      </c>
      <c r="B858" s="7" t="n">
        <v>4408208</v>
      </c>
      <c r="C858" s="7" t="s">
        <v>514</v>
      </c>
      <c r="D858" s="26" t="n">
        <v>14002.9</v>
      </c>
      <c r="E858" s="26" t="n">
        <v>66.1</v>
      </c>
      <c r="F858" s="26" t="n">
        <v>211.8</v>
      </c>
      <c r="G858" s="26" t="n">
        <v>0</v>
      </c>
      <c r="H858" s="26" t="n">
        <v>21410.6</v>
      </c>
      <c r="I858" s="26" t="n">
        <v>3539</v>
      </c>
      <c r="J858" s="26" t="n">
        <v>0</v>
      </c>
      <c r="K858" s="26" t="n">
        <v>0</v>
      </c>
      <c r="L858" s="26" t="n">
        <v>0</v>
      </c>
      <c r="M858" s="26" t="n">
        <v>-88.1</v>
      </c>
    </row>
    <row r="859" customFormat="false" ht="15" hidden="false" customHeight="false" outlineLevel="0" collapsed="false">
      <c r="A859" s="7" t="s">
        <v>85</v>
      </c>
      <c r="B859" s="7" t="n">
        <v>4413331</v>
      </c>
      <c r="C859" s="7" t="s">
        <v>515</v>
      </c>
      <c r="D859" s="26" t="n">
        <v>228</v>
      </c>
      <c r="E859" s="26" t="n">
        <v>3</v>
      </c>
      <c r="F859" s="26" t="n">
        <v>0</v>
      </c>
      <c r="G859" s="26" t="n">
        <v>0</v>
      </c>
      <c r="H859" s="26" t="n">
        <v>0</v>
      </c>
      <c r="I859" s="26" t="n">
        <v>0</v>
      </c>
      <c r="J859" s="26" t="n">
        <v>0</v>
      </c>
      <c r="K859" s="26" t="n">
        <v>0</v>
      </c>
      <c r="L859" s="26" t="n">
        <v>0</v>
      </c>
      <c r="M859" s="26" t="n">
        <v>0</v>
      </c>
    </row>
    <row r="860" customFormat="false" ht="15" hidden="false" customHeight="false" outlineLevel="0" collapsed="false">
      <c r="A860" s="7" t="s">
        <v>87</v>
      </c>
      <c r="B860" s="7" t="n">
        <v>4413331</v>
      </c>
      <c r="C860" s="7" t="s">
        <v>515</v>
      </c>
      <c r="D860" s="26" t="n">
        <v>8293.3</v>
      </c>
      <c r="E860" s="26" t="n">
        <v>107.6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0</v>
      </c>
      <c r="L860" s="26" t="n">
        <v>0</v>
      </c>
      <c r="M860" s="26" t="n">
        <v>0</v>
      </c>
    </row>
    <row r="861" customFormat="false" ht="15" hidden="false" customHeight="false" outlineLevel="0" collapsed="false">
      <c r="A861" s="7" t="s">
        <v>85</v>
      </c>
      <c r="B861" s="7" t="n">
        <v>4413405</v>
      </c>
      <c r="C861" s="7" t="s">
        <v>516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7</v>
      </c>
      <c r="I861" s="26" t="n">
        <v>-2</v>
      </c>
      <c r="J861" s="26" t="n">
        <v>0</v>
      </c>
      <c r="K861" s="26" t="n">
        <v>0</v>
      </c>
      <c r="L861" s="26" t="n">
        <v>0</v>
      </c>
      <c r="M861" s="26" t="n">
        <v>0</v>
      </c>
    </row>
    <row r="862" customFormat="false" ht="15" hidden="false" customHeight="false" outlineLevel="0" collapsed="false">
      <c r="A862" s="7" t="s">
        <v>87</v>
      </c>
      <c r="B862" s="7" t="n">
        <v>4413405</v>
      </c>
      <c r="C862" s="7" t="s">
        <v>516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510.3</v>
      </c>
      <c r="I862" s="26" t="n">
        <v>-141.1</v>
      </c>
      <c r="J862" s="26" t="n">
        <v>0</v>
      </c>
      <c r="K862" s="26" t="n">
        <v>0</v>
      </c>
      <c r="L862" s="26" t="n">
        <v>0</v>
      </c>
      <c r="M862" s="26" t="n">
        <v>0</v>
      </c>
    </row>
    <row r="863" customFormat="false" ht="15" hidden="false" customHeight="false" outlineLevel="0" collapsed="false">
      <c r="A863" s="7" t="s">
        <v>85</v>
      </c>
      <c r="B863" s="7" t="n">
        <v>4413409</v>
      </c>
      <c r="C863" s="7" t="s">
        <v>517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0</v>
      </c>
      <c r="L863" s="26" t="n">
        <v>0</v>
      </c>
      <c r="M863" s="26" t="n">
        <v>0</v>
      </c>
    </row>
    <row r="864" customFormat="false" ht="15" hidden="false" customHeight="false" outlineLevel="0" collapsed="false">
      <c r="A864" s="7" t="s">
        <v>87</v>
      </c>
      <c r="B864" s="7" t="n">
        <v>4413409</v>
      </c>
      <c r="C864" s="7" t="s">
        <v>517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0</v>
      </c>
      <c r="L864" s="26" t="n">
        <v>0</v>
      </c>
      <c r="M864" s="26" t="n">
        <v>0</v>
      </c>
    </row>
    <row r="865" customFormat="false" ht="15" hidden="false" customHeight="false" outlineLevel="0" collapsed="false">
      <c r="A865" s="7" t="s">
        <v>85</v>
      </c>
      <c r="B865" s="7" t="n">
        <v>4413531</v>
      </c>
      <c r="C865" s="7" t="s">
        <v>518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0</v>
      </c>
      <c r="J865" s="26" t="n">
        <v>0</v>
      </c>
      <c r="K865" s="26" t="n">
        <v>0</v>
      </c>
      <c r="L865" s="26" t="n">
        <v>0</v>
      </c>
      <c r="M865" s="26" t="n">
        <v>0</v>
      </c>
    </row>
    <row r="866" customFormat="false" ht="15" hidden="false" customHeight="false" outlineLevel="0" collapsed="false">
      <c r="A866" s="7" t="s">
        <v>87</v>
      </c>
      <c r="B866" s="7" t="n">
        <v>4413531</v>
      </c>
      <c r="C866" s="7" t="s">
        <v>518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0</v>
      </c>
      <c r="J866" s="26" t="n">
        <v>0</v>
      </c>
      <c r="K866" s="26" t="n">
        <v>0</v>
      </c>
      <c r="L866" s="26" t="n">
        <v>0</v>
      </c>
      <c r="M866" s="26" t="n">
        <v>0</v>
      </c>
    </row>
    <row r="867" customFormat="false" ht="15" hidden="false" customHeight="false" outlineLevel="0" collapsed="false">
      <c r="A867" s="7" t="s">
        <v>85</v>
      </c>
      <c r="B867" s="7" t="n">
        <v>4420018</v>
      </c>
      <c r="C867" s="7" t="s">
        <v>519</v>
      </c>
      <c r="D867" s="26" t="n">
        <v>-1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1</v>
      </c>
      <c r="J867" s="26" t="n">
        <v>0</v>
      </c>
      <c r="K867" s="26" t="n">
        <v>0</v>
      </c>
      <c r="L867" s="26" t="n">
        <v>0</v>
      </c>
      <c r="M867" s="26" t="n">
        <v>0</v>
      </c>
    </row>
    <row r="868" customFormat="false" ht="15" hidden="false" customHeight="false" outlineLevel="0" collapsed="false">
      <c r="A868" s="7" t="s">
        <v>87</v>
      </c>
      <c r="B868" s="7" t="n">
        <v>4420018</v>
      </c>
      <c r="C868" s="7" t="s">
        <v>519</v>
      </c>
      <c r="D868" s="26" t="n">
        <v>-98.3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105.9</v>
      </c>
      <c r="J868" s="26" t="n">
        <v>0</v>
      </c>
      <c r="K868" s="26" t="n">
        <v>0</v>
      </c>
      <c r="L868" s="26" t="n">
        <v>0</v>
      </c>
      <c r="M868" s="26" t="n">
        <v>0</v>
      </c>
    </row>
    <row r="869" customFormat="false" ht="15" hidden="false" customHeight="false" outlineLevel="0" collapsed="false">
      <c r="A869" s="7" t="s">
        <v>85</v>
      </c>
      <c r="B869" s="7" t="n">
        <v>4420019</v>
      </c>
      <c r="C869" s="7" t="s">
        <v>520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2</v>
      </c>
      <c r="I869" s="26" t="n">
        <v>-3</v>
      </c>
      <c r="J869" s="26" t="n">
        <v>0</v>
      </c>
      <c r="K869" s="26" t="n">
        <v>0</v>
      </c>
      <c r="L869" s="26" t="n">
        <v>0</v>
      </c>
      <c r="M869" s="26" t="n">
        <v>0</v>
      </c>
    </row>
    <row r="870" customFormat="false" ht="15" hidden="false" customHeight="false" outlineLevel="0" collapsed="false">
      <c r="A870" s="7" t="s">
        <v>87</v>
      </c>
      <c r="B870" s="7" t="n">
        <v>4420019</v>
      </c>
      <c r="C870" s="7" t="s">
        <v>520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98.2</v>
      </c>
      <c r="I870" s="26" t="n">
        <v>-158.7</v>
      </c>
      <c r="J870" s="26" t="n">
        <v>0</v>
      </c>
      <c r="K870" s="26" t="n">
        <v>0</v>
      </c>
      <c r="L870" s="26" t="n">
        <v>0</v>
      </c>
      <c r="M870" s="26" t="n">
        <v>0</v>
      </c>
    </row>
    <row r="871" customFormat="false" ht="15" hidden="false" customHeight="false" outlineLevel="0" collapsed="false">
      <c r="A871" s="7" t="s">
        <v>85</v>
      </c>
      <c r="B871" s="7" t="n">
        <v>4420020</v>
      </c>
      <c r="C871" s="7" t="s">
        <v>521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-3</v>
      </c>
      <c r="J871" s="26" t="n">
        <v>0</v>
      </c>
      <c r="K871" s="26" t="n">
        <v>0</v>
      </c>
      <c r="L871" s="26" t="n">
        <v>0</v>
      </c>
      <c r="M871" s="26" t="n">
        <v>0</v>
      </c>
    </row>
    <row r="872" customFormat="false" ht="15" hidden="false" customHeight="false" outlineLevel="0" collapsed="false">
      <c r="A872" s="7" t="s">
        <v>87</v>
      </c>
      <c r="B872" s="7" t="n">
        <v>4420020</v>
      </c>
      <c r="C872" s="7" t="s">
        <v>521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-158.7</v>
      </c>
      <c r="J872" s="26" t="n">
        <v>0</v>
      </c>
      <c r="K872" s="26" t="n">
        <v>0</v>
      </c>
      <c r="L872" s="26" t="n">
        <v>0</v>
      </c>
      <c r="M872" s="26" t="n">
        <v>0</v>
      </c>
    </row>
    <row r="873" customFormat="false" ht="15" hidden="false" customHeight="false" outlineLevel="0" collapsed="false">
      <c r="A873" s="7" t="s">
        <v>85</v>
      </c>
      <c r="B873" s="7" t="n">
        <v>4413212</v>
      </c>
      <c r="C873" s="7" t="s">
        <v>522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-3</v>
      </c>
      <c r="J873" s="26" t="n">
        <v>0</v>
      </c>
      <c r="K873" s="26" t="n">
        <v>0</v>
      </c>
      <c r="L873" s="26" t="n">
        <v>0</v>
      </c>
      <c r="M873" s="26" t="n">
        <v>0</v>
      </c>
    </row>
    <row r="874" customFormat="false" ht="15" hidden="false" customHeight="false" outlineLevel="0" collapsed="false">
      <c r="A874" s="7" t="s">
        <v>87</v>
      </c>
      <c r="B874" s="7" t="n">
        <v>4413212</v>
      </c>
      <c r="C874" s="7" t="s">
        <v>522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-302.4</v>
      </c>
      <c r="J874" s="26" t="n">
        <v>0</v>
      </c>
      <c r="K874" s="26" t="n">
        <v>0</v>
      </c>
      <c r="L874" s="26" t="n">
        <v>0</v>
      </c>
      <c r="M874" s="26" t="n">
        <v>0</v>
      </c>
    </row>
    <row r="875" customFormat="false" ht="15" hidden="false" customHeight="false" outlineLevel="0" collapsed="false">
      <c r="A875" s="7" t="s">
        <v>85</v>
      </c>
      <c r="B875" s="7" t="n">
        <v>4413211</v>
      </c>
      <c r="C875" s="7" t="s">
        <v>523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  <c r="L875" s="26" t="n">
        <v>0</v>
      </c>
      <c r="M875" s="26" t="n">
        <v>0</v>
      </c>
    </row>
    <row r="876" customFormat="false" ht="15" hidden="false" customHeight="false" outlineLevel="0" collapsed="false">
      <c r="A876" s="7" t="s">
        <v>87</v>
      </c>
      <c r="B876" s="7" t="n">
        <v>4413211</v>
      </c>
      <c r="C876" s="7" t="s">
        <v>523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  <c r="L876" s="26" t="n">
        <v>0</v>
      </c>
      <c r="M876" s="26" t="n">
        <v>0</v>
      </c>
    </row>
    <row r="877" customFormat="false" ht="15" hidden="false" customHeight="false" outlineLevel="0" collapsed="false">
      <c r="A877" s="7" t="s">
        <v>85</v>
      </c>
      <c r="B877" s="7" t="n">
        <v>4413210</v>
      </c>
      <c r="C877" s="7" t="s">
        <v>524</v>
      </c>
      <c r="D877" s="26" t="n">
        <v>0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-1</v>
      </c>
      <c r="J877" s="26" t="n">
        <v>0</v>
      </c>
      <c r="K877" s="26" t="n">
        <v>0</v>
      </c>
      <c r="L877" s="26" t="n">
        <v>0</v>
      </c>
      <c r="M877" s="26" t="n">
        <v>0</v>
      </c>
    </row>
    <row r="878" customFormat="false" ht="15" hidden="false" customHeight="false" outlineLevel="0" collapsed="false">
      <c r="A878" s="7" t="s">
        <v>87</v>
      </c>
      <c r="B878" s="7" t="n">
        <v>4413210</v>
      </c>
      <c r="C878" s="7" t="s">
        <v>524</v>
      </c>
      <c r="D878" s="26" t="n">
        <v>0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-88.2</v>
      </c>
      <c r="J878" s="26" t="n">
        <v>0</v>
      </c>
      <c r="K878" s="26" t="n">
        <v>0</v>
      </c>
      <c r="L878" s="26" t="n">
        <v>0</v>
      </c>
      <c r="M878" s="26" t="n">
        <v>0</v>
      </c>
    </row>
    <row r="879" customFormat="false" ht="15" hidden="false" customHeight="false" outlineLevel="0" collapsed="false">
      <c r="A879" s="7" t="s">
        <v>85</v>
      </c>
      <c r="B879" s="7" t="n">
        <v>4413213</v>
      </c>
      <c r="C879" s="7" t="s">
        <v>525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  <c r="L879" s="26" t="n">
        <v>0</v>
      </c>
      <c r="M879" s="26" t="n">
        <v>0</v>
      </c>
    </row>
    <row r="880" customFormat="false" ht="15" hidden="false" customHeight="false" outlineLevel="0" collapsed="false">
      <c r="A880" s="7" t="s">
        <v>87</v>
      </c>
      <c r="B880" s="7" t="n">
        <v>4413213</v>
      </c>
      <c r="C880" s="7" t="s">
        <v>525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  <c r="L880" s="26" t="n">
        <v>0</v>
      </c>
      <c r="M880" s="26" t="n">
        <v>0</v>
      </c>
    </row>
    <row r="881" customFormat="false" ht="15" hidden="false" customHeight="false" outlineLevel="0" collapsed="false">
      <c r="A881" s="7" t="s">
        <v>85</v>
      </c>
      <c r="B881" s="7" t="n">
        <v>4413207</v>
      </c>
      <c r="C881" s="7" t="s">
        <v>526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0</v>
      </c>
      <c r="J881" s="26" t="n">
        <v>0</v>
      </c>
      <c r="K881" s="26" t="n">
        <v>0</v>
      </c>
      <c r="L881" s="26" t="n">
        <v>0</v>
      </c>
      <c r="M881" s="26" t="n">
        <v>0</v>
      </c>
    </row>
    <row r="882" customFormat="false" ht="15" hidden="false" customHeight="false" outlineLevel="0" collapsed="false">
      <c r="A882" s="7" t="s">
        <v>87</v>
      </c>
      <c r="B882" s="7" t="n">
        <v>4413207</v>
      </c>
      <c r="C882" s="7" t="s">
        <v>526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0</v>
      </c>
      <c r="J882" s="26" t="n">
        <v>0</v>
      </c>
      <c r="K882" s="26" t="n">
        <v>0</v>
      </c>
      <c r="L882" s="26" t="n">
        <v>0</v>
      </c>
      <c r="M882" s="26" t="n">
        <v>0</v>
      </c>
    </row>
    <row r="883" customFormat="false" ht="15" hidden="false" customHeight="false" outlineLevel="0" collapsed="false">
      <c r="A883" s="7" t="s">
        <v>85</v>
      </c>
      <c r="B883" s="7" t="n">
        <v>4413208</v>
      </c>
      <c r="C883" s="7" t="s">
        <v>527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0</v>
      </c>
      <c r="L883" s="26" t="n">
        <v>0</v>
      </c>
      <c r="M883" s="26" t="n">
        <v>0</v>
      </c>
    </row>
    <row r="884" customFormat="false" ht="15" hidden="false" customHeight="false" outlineLevel="0" collapsed="false">
      <c r="A884" s="7" t="s">
        <v>87</v>
      </c>
      <c r="B884" s="7" t="n">
        <v>4413208</v>
      </c>
      <c r="C884" s="7" t="s">
        <v>527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0</v>
      </c>
      <c r="L884" s="26" t="n">
        <v>0</v>
      </c>
      <c r="M884" s="26" t="n">
        <v>0</v>
      </c>
    </row>
    <row r="885" customFormat="false" ht="15" hidden="false" customHeight="false" outlineLevel="0" collapsed="false">
      <c r="A885" s="7" t="s">
        <v>85</v>
      </c>
      <c r="B885" s="7" t="n">
        <v>4413168</v>
      </c>
      <c r="C885" s="7" t="s">
        <v>528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0</v>
      </c>
      <c r="L885" s="26" t="n">
        <v>0</v>
      </c>
      <c r="M885" s="26" t="n">
        <v>0</v>
      </c>
    </row>
    <row r="886" customFormat="false" ht="15" hidden="false" customHeight="false" outlineLevel="0" collapsed="false">
      <c r="A886" s="7" t="s">
        <v>87</v>
      </c>
      <c r="B886" s="7" t="n">
        <v>4413168</v>
      </c>
      <c r="C886" s="7" t="s">
        <v>528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0</v>
      </c>
      <c r="L886" s="26" t="n">
        <v>0</v>
      </c>
      <c r="M886" s="26" t="n">
        <v>0</v>
      </c>
    </row>
    <row r="887" customFormat="false" ht="15" hidden="false" customHeight="false" outlineLevel="0" collapsed="false">
      <c r="A887" s="7" t="s">
        <v>85</v>
      </c>
      <c r="B887" s="7" t="n">
        <v>4413167</v>
      </c>
      <c r="C887" s="7" t="s">
        <v>529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-1</v>
      </c>
      <c r="I887" s="26" t="n">
        <v>0</v>
      </c>
      <c r="J887" s="26" t="n">
        <v>0</v>
      </c>
      <c r="K887" s="26" t="n">
        <v>0</v>
      </c>
      <c r="L887" s="26" t="n">
        <v>0</v>
      </c>
      <c r="M887" s="26" t="n">
        <v>0</v>
      </c>
    </row>
    <row r="888" customFormat="false" ht="15" hidden="false" customHeight="false" outlineLevel="0" collapsed="false">
      <c r="A888" s="7" t="s">
        <v>87</v>
      </c>
      <c r="B888" s="7" t="n">
        <v>4413167</v>
      </c>
      <c r="C888" s="7" t="s">
        <v>529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-32.3</v>
      </c>
      <c r="I888" s="26" t="n">
        <v>0</v>
      </c>
      <c r="J888" s="26" t="n">
        <v>0</v>
      </c>
      <c r="K888" s="26" t="n">
        <v>0</v>
      </c>
      <c r="L888" s="26" t="n">
        <v>0</v>
      </c>
      <c r="M888" s="26" t="n">
        <v>0</v>
      </c>
    </row>
    <row r="889" customFormat="false" ht="15" hidden="false" customHeight="false" outlineLevel="0" collapsed="false">
      <c r="A889" s="7" t="s">
        <v>85</v>
      </c>
      <c r="B889" s="7" t="n">
        <v>4413166</v>
      </c>
      <c r="C889" s="7" t="s">
        <v>530</v>
      </c>
      <c r="D889" s="26" t="n">
        <v>-1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0</v>
      </c>
      <c r="L889" s="26" t="n">
        <v>0</v>
      </c>
      <c r="M889" s="26" t="n">
        <v>0</v>
      </c>
    </row>
    <row r="890" customFormat="false" ht="15" hidden="false" customHeight="false" outlineLevel="0" collapsed="false">
      <c r="A890" s="7" t="s">
        <v>87</v>
      </c>
      <c r="B890" s="7" t="n">
        <v>4413166</v>
      </c>
      <c r="C890" s="7" t="s">
        <v>530</v>
      </c>
      <c r="D890" s="26" t="n">
        <v>-37.8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0</v>
      </c>
      <c r="J890" s="26" t="n">
        <v>0</v>
      </c>
      <c r="K890" s="26" t="n">
        <v>0</v>
      </c>
      <c r="L890" s="26" t="n">
        <v>0</v>
      </c>
      <c r="M890" s="26" t="n">
        <v>0</v>
      </c>
    </row>
    <row r="891" customFormat="false" ht="15" hidden="false" customHeight="false" outlineLevel="0" collapsed="false">
      <c r="A891" s="7" t="s">
        <v>85</v>
      </c>
      <c r="B891" s="7" t="n">
        <v>4413163</v>
      </c>
      <c r="C891" s="7" t="s">
        <v>531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0</v>
      </c>
      <c r="J891" s="26" t="n">
        <v>0</v>
      </c>
      <c r="K891" s="26" t="n">
        <v>0</v>
      </c>
      <c r="L891" s="26" t="n">
        <v>0</v>
      </c>
      <c r="M891" s="26" t="n">
        <v>0</v>
      </c>
    </row>
    <row r="892" customFormat="false" ht="15" hidden="false" customHeight="false" outlineLevel="0" collapsed="false">
      <c r="A892" s="7" t="s">
        <v>87</v>
      </c>
      <c r="B892" s="7" t="n">
        <v>4413163</v>
      </c>
      <c r="C892" s="7" t="s">
        <v>531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0</v>
      </c>
      <c r="J892" s="26" t="n">
        <v>0</v>
      </c>
      <c r="K892" s="26" t="n">
        <v>0</v>
      </c>
      <c r="L892" s="26" t="n">
        <v>0</v>
      </c>
      <c r="M892" s="26" t="n">
        <v>0</v>
      </c>
    </row>
    <row r="893" customFormat="false" ht="15" hidden="false" customHeight="false" outlineLevel="0" collapsed="false">
      <c r="A893" s="7" t="s">
        <v>85</v>
      </c>
      <c r="B893" s="7" t="n">
        <v>4413308</v>
      </c>
      <c r="C893" s="7" t="s">
        <v>532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0</v>
      </c>
      <c r="J893" s="26" t="n">
        <v>0</v>
      </c>
      <c r="K893" s="26" t="n">
        <v>0</v>
      </c>
      <c r="L893" s="26" t="n">
        <v>0</v>
      </c>
      <c r="M893" s="26" t="n">
        <v>0</v>
      </c>
    </row>
    <row r="894" customFormat="false" ht="15" hidden="false" customHeight="false" outlineLevel="0" collapsed="false">
      <c r="A894" s="7" t="s">
        <v>87</v>
      </c>
      <c r="B894" s="7" t="n">
        <v>4413308</v>
      </c>
      <c r="C894" s="7" t="s">
        <v>532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0</v>
      </c>
      <c r="J894" s="26" t="n">
        <v>0</v>
      </c>
      <c r="K894" s="26" t="n">
        <v>0</v>
      </c>
      <c r="L894" s="26" t="n">
        <v>0</v>
      </c>
      <c r="M894" s="26" t="n">
        <v>0</v>
      </c>
    </row>
    <row r="895" customFormat="false" ht="15" hidden="false" customHeight="false" outlineLevel="0" collapsed="false">
      <c r="A895" s="7" t="s">
        <v>85</v>
      </c>
      <c r="B895" s="7" t="n">
        <v>4413135</v>
      </c>
      <c r="C895" s="7" t="s">
        <v>533</v>
      </c>
      <c r="D895" s="26" t="n">
        <v>196</v>
      </c>
      <c r="E895" s="26" t="n">
        <v>0</v>
      </c>
      <c r="F895" s="26" t="n">
        <v>2</v>
      </c>
      <c r="G895" s="26" t="n">
        <v>0</v>
      </c>
      <c r="H895" s="26" t="n">
        <v>721</v>
      </c>
      <c r="I895" s="26" t="n">
        <v>319</v>
      </c>
      <c r="J895" s="26" t="n">
        <v>2</v>
      </c>
      <c r="K895" s="26" t="n">
        <v>0</v>
      </c>
      <c r="L895" s="26" t="n">
        <v>0</v>
      </c>
      <c r="M895" s="26" t="n">
        <v>0</v>
      </c>
    </row>
    <row r="896" customFormat="false" ht="15" hidden="false" customHeight="false" outlineLevel="0" collapsed="false">
      <c r="A896" s="7" t="s">
        <v>87</v>
      </c>
      <c r="B896" s="7" t="n">
        <v>4413135</v>
      </c>
      <c r="C896" s="7" t="s">
        <v>533</v>
      </c>
      <c r="D896" s="26" t="n">
        <v>10611.6</v>
      </c>
      <c r="E896" s="26" t="n">
        <v>0</v>
      </c>
      <c r="F896" s="26" t="n">
        <v>113.4</v>
      </c>
      <c r="G896" s="26" t="n">
        <v>0</v>
      </c>
      <c r="H896" s="26" t="n">
        <v>35030.1</v>
      </c>
      <c r="I896" s="26" t="n">
        <v>16783.9</v>
      </c>
      <c r="J896" s="26" t="n">
        <v>105.8</v>
      </c>
      <c r="K896" s="26" t="n">
        <v>0</v>
      </c>
      <c r="L896" s="26" t="n">
        <v>0</v>
      </c>
      <c r="M896" s="26" t="n">
        <v>0</v>
      </c>
    </row>
    <row r="897" customFormat="false" ht="15" hidden="false" customHeight="false" outlineLevel="0" collapsed="false">
      <c r="A897" s="7" t="s">
        <v>85</v>
      </c>
      <c r="B897" s="7" t="n">
        <v>4413136</v>
      </c>
      <c r="C897" s="7" t="s">
        <v>534</v>
      </c>
      <c r="D897" s="26" t="n">
        <v>186</v>
      </c>
      <c r="E897" s="26" t="n">
        <v>3</v>
      </c>
      <c r="F897" s="26" t="n">
        <v>1</v>
      </c>
      <c r="G897" s="26" t="n">
        <v>1</v>
      </c>
      <c r="H897" s="26" t="n">
        <v>650</v>
      </c>
      <c r="I897" s="26" t="n">
        <v>193</v>
      </c>
      <c r="J897" s="26" t="n">
        <v>1</v>
      </c>
      <c r="K897" s="26" t="n">
        <v>0</v>
      </c>
      <c r="L897" s="26" t="n">
        <v>0</v>
      </c>
      <c r="M897" s="26" t="n">
        <v>0</v>
      </c>
    </row>
    <row r="898" customFormat="false" ht="15" hidden="false" customHeight="false" outlineLevel="0" collapsed="false">
      <c r="A898" s="7" t="s">
        <v>87</v>
      </c>
      <c r="B898" s="7" t="n">
        <v>4413136</v>
      </c>
      <c r="C898" s="7" t="s">
        <v>534</v>
      </c>
      <c r="D898" s="26" t="n">
        <v>10095.8</v>
      </c>
      <c r="E898" s="26" t="n">
        <v>170</v>
      </c>
      <c r="F898" s="26" t="n">
        <v>56.7</v>
      </c>
      <c r="G898" s="26" t="n">
        <v>49.1</v>
      </c>
      <c r="H898" s="26" t="n">
        <v>31572.4</v>
      </c>
      <c r="I898" s="26" t="n">
        <v>10096.7</v>
      </c>
      <c r="J898" s="26" t="n">
        <v>52.9</v>
      </c>
      <c r="K898" s="26" t="n">
        <v>0</v>
      </c>
      <c r="L898" s="26" t="n">
        <v>0</v>
      </c>
      <c r="M898" s="26" t="n">
        <v>0</v>
      </c>
    </row>
    <row r="899" customFormat="false" ht="15" hidden="false" customHeight="false" outlineLevel="0" collapsed="false">
      <c r="A899" s="7" t="s">
        <v>85</v>
      </c>
      <c r="B899" s="7" t="n">
        <v>4413137</v>
      </c>
      <c r="C899" s="7" t="s">
        <v>535</v>
      </c>
      <c r="D899" s="26" t="n">
        <v>78</v>
      </c>
      <c r="E899" s="26" t="n">
        <v>0</v>
      </c>
      <c r="F899" s="26" t="n">
        <v>0</v>
      </c>
      <c r="G899" s="26" t="n">
        <v>0</v>
      </c>
      <c r="H899" s="26" t="n">
        <v>329</v>
      </c>
      <c r="I899" s="26" t="n">
        <v>119</v>
      </c>
      <c r="J899" s="26" t="n">
        <v>0</v>
      </c>
      <c r="K899" s="26" t="n">
        <v>0</v>
      </c>
      <c r="L899" s="26" t="n">
        <v>0</v>
      </c>
      <c r="M899" s="26" t="n">
        <v>0</v>
      </c>
    </row>
    <row r="900" customFormat="false" ht="15" hidden="false" customHeight="false" outlineLevel="0" collapsed="false">
      <c r="A900" s="7" t="s">
        <v>87</v>
      </c>
      <c r="B900" s="7" t="n">
        <v>4413137</v>
      </c>
      <c r="C900" s="7" t="s">
        <v>535</v>
      </c>
      <c r="D900" s="26" t="n">
        <v>4312.8</v>
      </c>
      <c r="E900" s="26" t="n">
        <v>0</v>
      </c>
      <c r="F900" s="26" t="n">
        <v>0</v>
      </c>
      <c r="G900" s="26" t="n">
        <v>0</v>
      </c>
      <c r="H900" s="26" t="n">
        <v>16012.6</v>
      </c>
      <c r="I900" s="26" t="n">
        <v>6241.6</v>
      </c>
      <c r="J900" s="26" t="n">
        <v>0</v>
      </c>
      <c r="K900" s="26" t="n">
        <v>0</v>
      </c>
      <c r="L900" s="26" t="n">
        <v>0</v>
      </c>
      <c r="M900" s="26" t="n">
        <v>0</v>
      </c>
    </row>
    <row r="901" customFormat="false" ht="15" hidden="false" customHeight="false" outlineLevel="0" collapsed="false">
      <c r="A901" s="7" t="s">
        <v>85</v>
      </c>
      <c r="B901" s="7" t="n">
        <v>4413138</v>
      </c>
      <c r="C901" s="7" t="s">
        <v>536</v>
      </c>
      <c r="D901" s="26" t="n">
        <v>90</v>
      </c>
      <c r="E901" s="26" t="n">
        <v>3</v>
      </c>
      <c r="F901" s="26" t="n">
        <v>1</v>
      </c>
      <c r="G901" s="26" t="n">
        <v>0</v>
      </c>
      <c r="H901" s="26" t="n">
        <v>370</v>
      </c>
      <c r="I901" s="26" t="n">
        <v>158</v>
      </c>
      <c r="J901" s="26" t="n">
        <v>0</v>
      </c>
      <c r="K901" s="26" t="n">
        <v>0</v>
      </c>
      <c r="L901" s="26" t="n">
        <v>0</v>
      </c>
      <c r="M901" s="26" t="n">
        <v>-1</v>
      </c>
    </row>
    <row r="902" customFormat="false" ht="15" hidden="false" customHeight="false" outlineLevel="0" collapsed="false">
      <c r="A902" s="7" t="s">
        <v>87</v>
      </c>
      <c r="B902" s="7" t="n">
        <v>4413138</v>
      </c>
      <c r="C902" s="7" t="s">
        <v>536</v>
      </c>
      <c r="D902" s="26" t="n">
        <v>4916.6</v>
      </c>
      <c r="E902" s="26" t="n">
        <v>170</v>
      </c>
      <c r="F902" s="26" t="n">
        <v>56.2</v>
      </c>
      <c r="G902" s="26" t="n">
        <v>0</v>
      </c>
      <c r="H902" s="26" t="n">
        <v>17970.4</v>
      </c>
      <c r="I902" s="26" t="n">
        <v>8287.1</v>
      </c>
      <c r="J902" s="26" t="n">
        <v>0</v>
      </c>
      <c r="K902" s="26" t="n">
        <v>0</v>
      </c>
      <c r="L902" s="26" t="n">
        <v>0</v>
      </c>
      <c r="M902" s="26" t="n">
        <v>-75.6</v>
      </c>
    </row>
    <row r="903" customFormat="false" ht="15" hidden="false" customHeight="false" outlineLevel="0" collapsed="false">
      <c r="A903" s="7" t="s">
        <v>85</v>
      </c>
      <c r="B903" s="7" t="n">
        <v>4413176</v>
      </c>
      <c r="C903" s="7" t="s">
        <v>537</v>
      </c>
      <c r="D903" s="26" t="n">
        <v>3</v>
      </c>
      <c r="E903" s="26" t="n">
        <v>0</v>
      </c>
      <c r="F903" s="26" t="n">
        <v>0</v>
      </c>
      <c r="G903" s="26" t="n">
        <v>0</v>
      </c>
      <c r="H903" s="26" t="n">
        <v>1</v>
      </c>
      <c r="I903" s="26" t="n">
        <v>0</v>
      </c>
      <c r="J903" s="26" t="n">
        <v>0</v>
      </c>
      <c r="K903" s="26" t="n">
        <v>0</v>
      </c>
      <c r="L903" s="26" t="n">
        <v>0</v>
      </c>
      <c r="M903" s="26" t="n">
        <v>0</v>
      </c>
    </row>
    <row r="904" customFormat="false" ht="15" hidden="false" customHeight="false" outlineLevel="0" collapsed="false">
      <c r="A904" s="7" t="s">
        <v>87</v>
      </c>
      <c r="B904" s="7" t="n">
        <v>4413176</v>
      </c>
      <c r="C904" s="7" t="s">
        <v>537</v>
      </c>
      <c r="D904" s="26" t="n">
        <v>283.8</v>
      </c>
      <c r="E904" s="26" t="n">
        <v>0</v>
      </c>
      <c r="F904" s="26" t="n">
        <v>0</v>
      </c>
      <c r="G904" s="26" t="n">
        <v>0</v>
      </c>
      <c r="H904" s="26" t="n">
        <v>81.9</v>
      </c>
      <c r="I904" s="26" t="n">
        <v>0</v>
      </c>
      <c r="J904" s="26" t="n">
        <v>0</v>
      </c>
      <c r="K904" s="26" t="n">
        <v>0</v>
      </c>
      <c r="L904" s="26" t="n">
        <v>0</v>
      </c>
      <c r="M904" s="26" t="n">
        <v>0</v>
      </c>
    </row>
    <row r="905" customFormat="false" ht="15" hidden="false" customHeight="false" outlineLevel="0" collapsed="false">
      <c r="A905" s="7" t="s">
        <v>85</v>
      </c>
      <c r="B905" s="7" t="n">
        <v>4413175</v>
      </c>
      <c r="C905" s="7" t="s">
        <v>538</v>
      </c>
      <c r="D905" s="26" t="n">
        <v>2</v>
      </c>
      <c r="E905" s="26" t="n">
        <v>0</v>
      </c>
      <c r="F905" s="26" t="n">
        <v>0</v>
      </c>
      <c r="G905" s="26" t="n">
        <v>0</v>
      </c>
      <c r="H905" s="26" t="n">
        <v>1</v>
      </c>
      <c r="I905" s="26" t="n">
        <v>0</v>
      </c>
      <c r="J905" s="26" t="n">
        <v>0</v>
      </c>
      <c r="K905" s="26" t="n">
        <v>0</v>
      </c>
      <c r="L905" s="26" t="n">
        <v>0</v>
      </c>
      <c r="M905" s="26" t="n">
        <v>0</v>
      </c>
    </row>
    <row r="906" customFormat="false" ht="15" hidden="false" customHeight="false" outlineLevel="0" collapsed="false">
      <c r="A906" s="7" t="s">
        <v>87</v>
      </c>
      <c r="B906" s="7" t="n">
        <v>4413175</v>
      </c>
      <c r="C906" s="7" t="s">
        <v>538</v>
      </c>
      <c r="D906" s="26" t="n">
        <v>189.1</v>
      </c>
      <c r="E906" s="26" t="n">
        <v>0</v>
      </c>
      <c r="F906" s="26" t="n">
        <v>0</v>
      </c>
      <c r="G906" s="26" t="n">
        <v>0</v>
      </c>
      <c r="H906" s="26" t="n">
        <v>84.9</v>
      </c>
      <c r="I906" s="26" t="n">
        <v>0</v>
      </c>
      <c r="J906" s="26" t="n">
        <v>0</v>
      </c>
      <c r="K906" s="26" t="n">
        <v>0</v>
      </c>
      <c r="L906" s="26" t="n">
        <v>0</v>
      </c>
      <c r="M906" s="26" t="n">
        <v>0</v>
      </c>
    </row>
    <row r="907" customFormat="false" ht="15" hidden="false" customHeight="false" outlineLevel="0" collapsed="false">
      <c r="A907" s="7" t="s">
        <v>85</v>
      </c>
      <c r="B907" s="7" t="n">
        <v>4413174</v>
      </c>
      <c r="C907" s="7" t="s">
        <v>539</v>
      </c>
      <c r="D907" s="26" t="n">
        <v>1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0</v>
      </c>
      <c r="J907" s="26" t="n">
        <v>0</v>
      </c>
      <c r="K907" s="26" t="n">
        <v>0</v>
      </c>
      <c r="L907" s="26" t="n">
        <v>0</v>
      </c>
      <c r="M907" s="26" t="n">
        <v>0</v>
      </c>
    </row>
    <row r="908" customFormat="false" ht="15" hidden="false" customHeight="false" outlineLevel="0" collapsed="false">
      <c r="A908" s="7" t="s">
        <v>87</v>
      </c>
      <c r="B908" s="7" t="n">
        <v>4413174</v>
      </c>
      <c r="C908" s="7" t="s">
        <v>539</v>
      </c>
      <c r="D908" s="26" t="n">
        <v>94.5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0</v>
      </c>
      <c r="L908" s="26" t="n">
        <v>0</v>
      </c>
      <c r="M908" s="26" t="n">
        <v>0</v>
      </c>
    </row>
    <row r="909" customFormat="false" ht="15" hidden="false" customHeight="false" outlineLevel="0" collapsed="false">
      <c r="A909" s="7" t="s">
        <v>85</v>
      </c>
      <c r="B909" s="7" t="n">
        <v>4413177</v>
      </c>
      <c r="C909" s="7" t="s">
        <v>540</v>
      </c>
      <c r="D909" s="26" t="n">
        <v>1</v>
      </c>
      <c r="E909" s="26" t="n">
        <v>0</v>
      </c>
      <c r="F909" s="26" t="n">
        <v>0</v>
      </c>
      <c r="G909" s="26" t="n">
        <v>0</v>
      </c>
      <c r="H909" s="26" t="n">
        <v>1</v>
      </c>
      <c r="I909" s="26" t="n">
        <v>0</v>
      </c>
      <c r="J909" s="26" t="n">
        <v>0</v>
      </c>
      <c r="K909" s="26" t="n">
        <v>0</v>
      </c>
      <c r="L909" s="26" t="n">
        <v>0</v>
      </c>
      <c r="M909" s="26" t="n">
        <v>0</v>
      </c>
    </row>
    <row r="910" customFormat="false" ht="15" hidden="false" customHeight="false" outlineLevel="0" collapsed="false">
      <c r="A910" s="7" t="s">
        <v>87</v>
      </c>
      <c r="B910" s="7" t="n">
        <v>4413177</v>
      </c>
      <c r="C910" s="7" t="s">
        <v>540</v>
      </c>
      <c r="D910" s="26" t="n">
        <v>94.6</v>
      </c>
      <c r="E910" s="26" t="n">
        <v>0</v>
      </c>
      <c r="F910" s="26" t="n">
        <v>0</v>
      </c>
      <c r="G910" s="26" t="n">
        <v>0</v>
      </c>
      <c r="H910" s="26" t="n">
        <v>81.9</v>
      </c>
      <c r="I910" s="26" t="n">
        <v>0</v>
      </c>
      <c r="J910" s="26" t="n">
        <v>0</v>
      </c>
      <c r="K910" s="26" t="n">
        <v>0</v>
      </c>
      <c r="L910" s="26" t="n">
        <v>0</v>
      </c>
      <c r="M910" s="26" t="n">
        <v>0</v>
      </c>
    </row>
    <row r="911" customFormat="false" ht="15" hidden="false" customHeight="false" outlineLevel="0" collapsed="false">
      <c r="A911" s="7" t="s">
        <v>85</v>
      </c>
      <c r="B911" s="7" t="n">
        <v>4413516</v>
      </c>
      <c r="C911" s="7" t="s">
        <v>541</v>
      </c>
      <c r="D911" s="26" t="n">
        <v>241</v>
      </c>
      <c r="E911" s="26" t="n">
        <v>0</v>
      </c>
      <c r="F911" s="26" t="n">
        <v>0</v>
      </c>
      <c r="G911" s="26" t="n">
        <v>0</v>
      </c>
      <c r="H911" s="26" t="n">
        <v>935</v>
      </c>
      <c r="I911" s="26" t="n">
        <v>0</v>
      </c>
      <c r="J911" s="26" t="n">
        <v>0</v>
      </c>
      <c r="K911" s="26" t="n">
        <v>0</v>
      </c>
      <c r="L911" s="26" t="n">
        <v>0</v>
      </c>
      <c r="M911" s="26" t="n">
        <v>0</v>
      </c>
    </row>
    <row r="912" customFormat="false" ht="15" hidden="false" customHeight="false" outlineLevel="0" collapsed="false">
      <c r="A912" s="7" t="s">
        <v>87</v>
      </c>
      <c r="B912" s="7" t="n">
        <v>4413516</v>
      </c>
      <c r="C912" s="7" t="s">
        <v>541</v>
      </c>
      <c r="D912" s="26" t="n">
        <v>12736.4</v>
      </c>
      <c r="E912" s="26" t="n">
        <v>0</v>
      </c>
      <c r="F912" s="26" t="n">
        <v>0</v>
      </c>
      <c r="G912" s="26" t="n">
        <v>0</v>
      </c>
      <c r="H912" s="26" t="n">
        <v>45804.2</v>
      </c>
      <c r="I912" s="26" t="n">
        <v>0</v>
      </c>
      <c r="J912" s="26" t="n">
        <v>0</v>
      </c>
      <c r="K912" s="26" t="n">
        <v>0</v>
      </c>
      <c r="L912" s="26" t="n">
        <v>0</v>
      </c>
      <c r="M912" s="26" t="n">
        <v>0</v>
      </c>
    </row>
    <row r="913" customFormat="false" ht="15" hidden="false" customHeight="false" outlineLevel="0" collapsed="false">
      <c r="A913" s="7" t="s">
        <v>85</v>
      </c>
      <c r="B913" s="7" t="n">
        <v>4413517</v>
      </c>
      <c r="C913" s="7" t="s">
        <v>542</v>
      </c>
      <c r="D913" s="26" t="n">
        <v>160</v>
      </c>
      <c r="E913" s="26" t="n">
        <v>0</v>
      </c>
      <c r="F913" s="26" t="n">
        <v>0</v>
      </c>
      <c r="G913" s="26" t="n">
        <v>0</v>
      </c>
      <c r="H913" s="26" t="n">
        <v>802</v>
      </c>
      <c r="I913" s="26" t="n">
        <v>0</v>
      </c>
      <c r="J913" s="26" t="n">
        <v>0</v>
      </c>
      <c r="K913" s="26" t="n">
        <v>0</v>
      </c>
      <c r="L913" s="26" t="n">
        <v>0</v>
      </c>
      <c r="M913" s="26" t="n">
        <v>0</v>
      </c>
    </row>
    <row r="914" customFormat="false" ht="15" hidden="false" customHeight="false" outlineLevel="0" collapsed="false">
      <c r="A914" s="7" t="s">
        <v>87</v>
      </c>
      <c r="B914" s="7" t="n">
        <v>4413517</v>
      </c>
      <c r="C914" s="7" t="s">
        <v>542</v>
      </c>
      <c r="D914" s="26" t="n">
        <v>8753.6</v>
      </c>
      <c r="E914" s="26" t="n">
        <v>0</v>
      </c>
      <c r="F914" s="26" t="n">
        <v>0</v>
      </c>
      <c r="G914" s="26" t="n">
        <v>0</v>
      </c>
      <c r="H914" s="26" t="n">
        <v>39247.7</v>
      </c>
      <c r="I914" s="26" t="n">
        <v>0</v>
      </c>
      <c r="J914" s="26" t="n">
        <v>0</v>
      </c>
      <c r="K914" s="26" t="n">
        <v>0</v>
      </c>
      <c r="L914" s="26" t="n">
        <v>0</v>
      </c>
      <c r="M914" s="26" t="n">
        <v>0</v>
      </c>
    </row>
    <row r="915" customFormat="false" ht="15" hidden="false" customHeight="false" outlineLevel="0" collapsed="false">
      <c r="A915" s="7" t="s">
        <v>85</v>
      </c>
      <c r="B915" s="7" t="n">
        <v>4413519</v>
      </c>
      <c r="C915" s="7" t="s">
        <v>543</v>
      </c>
      <c r="D915" s="26" t="n">
        <v>86</v>
      </c>
      <c r="E915" s="26" t="n">
        <v>0</v>
      </c>
      <c r="F915" s="26" t="n">
        <v>0</v>
      </c>
      <c r="G915" s="26" t="n">
        <v>0</v>
      </c>
      <c r="H915" s="26" t="n">
        <v>464</v>
      </c>
      <c r="I915" s="26" t="n">
        <v>0</v>
      </c>
      <c r="J915" s="26" t="n">
        <v>0</v>
      </c>
      <c r="K915" s="26" t="n">
        <v>0</v>
      </c>
      <c r="L915" s="26" t="n">
        <v>0</v>
      </c>
      <c r="M915" s="26" t="n">
        <v>0</v>
      </c>
    </row>
    <row r="916" customFormat="false" ht="15" hidden="false" customHeight="false" outlineLevel="0" collapsed="false">
      <c r="A916" s="7" t="s">
        <v>87</v>
      </c>
      <c r="B916" s="7" t="n">
        <v>4413519</v>
      </c>
      <c r="C916" s="7" t="s">
        <v>543</v>
      </c>
      <c r="D916" s="26" t="n">
        <v>4720.2</v>
      </c>
      <c r="E916" s="26" t="n">
        <v>0</v>
      </c>
      <c r="F916" s="26" t="n">
        <v>0</v>
      </c>
      <c r="G916" s="26" t="n">
        <v>0</v>
      </c>
      <c r="H916" s="26" t="n">
        <v>22776.9</v>
      </c>
      <c r="I916" s="26" t="n">
        <v>0</v>
      </c>
      <c r="J916" s="26" t="n">
        <v>0</v>
      </c>
      <c r="K916" s="26" t="n">
        <v>0</v>
      </c>
      <c r="L916" s="26" t="n">
        <v>0</v>
      </c>
      <c r="M916" s="26" t="n">
        <v>0</v>
      </c>
    </row>
    <row r="917" customFormat="false" ht="15" hidden="false" customHeight="false" outlineLevel="0" collapsed="false">
      <c r="A917" s="7" t="s">
        <v>85</v>
      </c>
      <c r="B917" s="7" t="n">
        <v>4413518</v>
      </c>
      <c r="C917" s="7" t="s">
        <v>544</v>
      </c>
      <c r="D917" s="26" t="n">
        <v>113</v>
      </c>
      <c r="E917" s="26" t="n">
        <v>0</v>
      </c>
      <c r="F917" s="26" t="n">
        <v>0</v>
      </c>
      <c r="G917" s="26" t="n">
        <v>0</v>
      </c>
      <c r="H917" s="26" t="n">
        <v>588</v>
      </c>
      <c r="I917" s="26" t="n">
        <v>0</v>
      </c>
      <c r="J917" s="26" t="n">
        <v>0</v>
      </c>
      <c r="K917" s="26" t="n">
        <v>0</v>
      </c>
      <c r="L917" s="26" t="n">
        <v>0</v>
      </c>
      <c r="M917" s="26" t="n">
        <v>0</v>
      </c>
    </row>
    <row r="918" customFormat="false" ht="15" hidden="false" customHeight="false" outlineLevel="0" collapsed="false">
      <c r="A918" s="7" t="s">
        <v>87</v>
      </c>
      <c r="B918" s="7" t="n">
        <v>4413518</v>
      </c>
      <c r="C918" s="7" t="s">
        <v>544</v>
      </c>
      <c r="D918" s="26" t="n">
        <v>6162.7</v>
      </c>
      <c r="E918" s="26" t="n">
        <v>0</v>
      </c>
      <c r="F918" s="26" t="n">
        <v>0</v>
      </c>
      <c r="G918" s="26" t="n">
        <v>0</v>
      </c>
      <c r="H918" s="26" t="n">
        <v>28808.8</v>
      </c>
      <c r="I918" s="26" t="n">
        <v>0</v>
      </c>
      <c r="J918" s="26" t="n">
        <v>0</v>
      </c>
      <c r="K918" s="26" t="n">
        <v>0</v>
      </c>
      <c r="L918" s="26" t="n">
        <v>0</v>
      </c>
      <c r="M918" s="26" t="n">
        <v>0</v>
      </c>
    </row>
    <row r="919" customFormat="false" ht="15" hidden="false" customHeight="false" outlineLevel="0" collapsed="false">
      <c r="A919" s="7" t="s">
        <v>85</v>
      </c>
      <c r="B919" s="7" t="n">
        <v>4413455</v>
      </c>
      <c r="C919" s="7" t="s">
        <v>545</v>
      </c>
      <c r="D919" s="26" t="n">
        <v>147</v>
      </c>
      <c r="E919" s="26" t="n">
        <v>5</v>
      </c>
      <c r="F919" s="26" t="n">
        <v>1</v>
      </c>
      <c r="G919" s="26" t="n">
        <v>0</v>
      </c>
      <c r="H919" s="26" t="n">
        <v>299</v>
      </c>
      <c r="I919" s="26" t="n">
        <v>15</v>
      </c>
      <c r="J919" s="26" t="n">
        <v>0</v>
      </c>
      <c r="K919" s="26" t="n">
        <v>0</v>
      </c>
      <c r="L919" s="26" t="n">
        <v>0</v>
      </c>
      <c r="M919" s="26" t="n">
        <v>0</v>
      </c>
    </row>
    <row r="920" customFormat="false" ht="15" hidden="false" customHeight="false" outlineLevel="0" collapsed="false">
      <c r="A920" s="7" t="s">
        <v>87</v>
      </c>
      <c r="B920" s="7" t="n">
        <v>4413455</v>
      </c>
      <c r="C920" s="7" t="s">
        <v>545</v>
      </c>
      <c r="D920" s="26" t="n">
        <v>7407.9</v>
      </c>
      <c r="E920" s="26" t="n">
        <v>259.8</v>
      </c>
      <c r="F920" s="26" t="n">
        <v>52</v>
      </c>
      <c r="G920" s="26" t="n">
        <v>0</v>
      </c>
      <c r="H920" s="26" t="n">
        <v>13367.2</v>
      </c>
      <c r="I920" s="26" t="n">
        <v>727.4</v>
      </c>
      <c r="J920" s="26" t="n">
        <v>0</v>
      </c>
      <c r="K920" s="26" t="n">
        <v>0</v>
      </c>
      <c r="L920" s="26" t="n">
        <v>0</v>
      </c>
      <c r="M920" s="26" t="n">
        <v>0</v>
      </c>
    </row>
    <row r="921" customFormat="false" ht="15" hidden="false" customHeight="false" outlineLevel="0" collapsed="false">
      <c r="A921" s="7" t="s">
        <v>85</v>
      </c>
      <c r="B921" s="7" t="n">
        <v>4407000</v>
      </c>
      <c r="C921" s="7" t="s">
        <v>546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  <c r="L921" s="26" t="n">
        <v>0</v>
      </c>
      <c r="M921" s="26" t="n">
        <v>0</v>
      </c>
    </row>
    <row r="922" customFormat="false" ht="15" hidden="false" customHeight="false" outlineLevel="0" collapsed="false">
      <c r="A922" s="7" t="s">
        <v>87</v>
      </c>
      <c r="B922" s="7" t="n">
        <v>4407000</v>
      </c>
      <c r="C922" s="7" t="s">
        <v>546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  <c r="L922" s="26" t="n">
        <v>0</v>
      </c>
      <c r="M922" s="26" t="n">
        <v>0</v>
      </c>
    </row>
    <row r="923" customFormat="false" ht="15" hidden="false" customHeight="false" outlineLevel="0" collapsed="false">
      <c r="A923" s="7" t="s">
        <v>85</v>
      </c>
      <c r="B923" s="7" t="n">
        <v>4416000</v>
      </c>
      <c r="C923" s="7" t="s">
        <v>547</v>
      </c>
      <c r="D923" s="26" t="n">
        <v>153</v>
      </c>
      <c r="E923" s="26" t="n">
        <v>0</v>
      </c>
      <c r="F923" s="26" t="n">
        <v>5</v>
      </c>
      <c r="G923" s="26" t="n">
        <v>0</v>
      </c>
      <c r="H923" s="26" t="n">
        <v>423</v>
      </c>
      <c r="I923" s="26" t="n">
        <v>85</v>
      </c>
      <c r="J923" s="26" t="n">
        <v>0</v>
      </c>
      <c r="K923" s="26" t="n">
        <v>0</v>
      </c>
      <c r="L923" s="26" t="n">
        <v>0</v>
      </c>
      <c r="M923" s="26" t="n">
        <v>0</v>
      </c>
    </row>
    <row r="924" customFormat="false" ht="15" hidden="false" customHeight="false" outlineLevel="0" collapsed="false">
      <c r="A924" s="7" t="s">
        <v>87</v>
      </c>
      <c r="B924" s="7" t="n">
        <v>4416000</v>
      </c>
      <c r="C924" s="7" t="s">
        <v>547</v>
      </c>
      <c r="D924" s="26" t="n">
        <v>12605.9</v>
      </c>
      <c r="E924" s="26" t="n">
        <v>0</v>
      </c>
      <c r="F924" s="26" t="n">
        <v>461.5</v>
      </c>
      <c r="G924" s="26" t="n">
        <v>0</v>
      </c>
      <c r="H924" s="26" t="n">
        <v>34315.1</v>
      </c>
      <c r="I924" s="26" t="n">
        <v>7447.2</v>
      </c>
      <c r="J924" s="26" t="n">
        <v>0</v>
      </c>
      <c r="K924" s="26" t="n">
        <v>0</v>
      </c>
      <c r="L924" s="26" t="n">
        <v>0</v>
      </c>
      <c r="M924" s="26" t="n">
        <v>0</v>
      </c>
    </row>
    <row r="925" customFormat="false" ht="15" hidden="false" customHeight="false" outlineLevel="0" collapsed="false">
      <c r="A925" s="7" t="s">
        <v>85</v>
      </c>
      <c r="B925" s="7" t="n">
        <v>4416001</v>
      </c>
      <c r="C925" s="7" t="s">
        <v>548</v>
      </c>
      <c r="D925" s="26" t="n">
        <v>147</v>
      </c>
      <c r="E925" s="26" t="n">
        <v>5</v>
      </c>
      <c r="F925" s="26" t="n">
        <v>5</v>
      </c>
      <c r="G925" s="26" t="n">
        <v>0</v>
      </c>
      <c r="H925" s="26" t="n">
        <v>425</v>
      </c>
      <c r="I925" s="26" t="n">
        <v>96</v>
      </c>
      <c r="J925" s="26" t="n">
        <v>0</v>
      </c>
      <c r="K925" s="26" t="n">
        <v>0</v>
      </c>
      <c r="L925" s="26" t="n">
        <v>0</v>
      </c>
      <c r="M925" s="26" t="n">
        <v>0</v>
      </c>
    </row>
    <row r="926" customFormat="false" ht="15" hidden="false" customHeight="false" outlineLevel="0" collapsed="false">
      <c r="A926" s="7" t="s">
        <v>87</v>
      </c>
      <c r="B926" s="7" t="n">
        <v>4416001</v>
      </c>
      <c r="C926" s="7" t="s">
        <v>548</v>
      </c>
      <c r="D926" s="26" t="n">
        <v>11952.8</v>
      </c>
      <c r="E926" s="26" t="n">
        <v>461.2</v>
      </c>
      <c r="F926" s="26" t="n">
        <v>461.5</v>
      </c>
      <c r="G926" s="26" t="n">
        <v>0</v>
      </c>
      <c r="H926" s="26" t="n">
        <v>34410.1</v>
      </c>
      <c r="I926" s="26" t="n">
        <v>8409.2</v>
      </c>
      <c r="J926" s="26" t="n">
        <v>0</v>
      </c>
      <c r="K926" s="26" t="n">
        <v>0</v>
      </c>
      <c r="L926" s="26" t="n">
        <v>0</v>
      </c>
      <c r="M926" s="26" t="n">
        <v>0</v>
      </c>
    </row>
    <row r="927" customFormat="false" ht="15" hidden="false" customHeight="false" outlineLevel="0" collapsed="false">
      <c r="A927" s="7" t="s">
        <v>85</v>
      </c>
      <c r="B927" s="7" t="n">
        <v>4416002</v>
      </c>
      <c r="C927" s="7" t="s">
        <v>549</v>
      </c>
      <c r="D927" s="26" t="n">
        <v>44</v>
      </c>
      <c r="E927" s="26" t="n">
        <v>0</v>
      </c>
      <c r="F927" s="26" t="n">
        <v>2</v>
      </c>
      <c r="G927" s="26" t="n">
        <v>0</v>
      </c>
      <c r="H927" s="26" t="n">
        <v>158</v>
      </c>
      <c r="I927" s="26" t="n">
        <v>30</v>
      </c>
      <c r="J927" s="26" t="n">
        <v>0</v>
      </c>
      <c r="K927" s="26" t="n">
        <v>0</v>
      </c>
      <c r="L927" s="26" t="n">
        <v>0</v>
      </c>
      <c r="M927" s="26" t="n">
        <v>0</v>
      </c>
    </row>
    <row r="928" customFormat="false" ht="15" hidden="false" customHeight="false" outlineLevel="0" collapsed="false">
      <c r="A928" s="7" t="s">
        <v>87</v>
      </c>
      <c r="B928" s="7" t="n">
        <v>4416002</v>
      </c>
      <c r="C928" s="7" t="s">
        <v>549</v>
      </c>
      <c r="D928" s="26" t="n">
        <v>3512.6</v>
      </c>
      <c r="E928" s="26" t="n">
        <v>0</v>
      </c>
      <c r="F928" s="26" t="n">
        <v>122.9</v>
      </c>
      <c r="G928" s="26" t="n">
        <v>0</v>
      </c>
      <c r="H928" s="26" t="n">
        <v>12815.8</v>
      </c>
      <c r="I928" s="26" t="n">
        <v>2588.1</v>
      </c>
      <c r="J928" s="26" t="n">
        <v>0</v>
      </c>
      <c r="K928" s="26" t="n">
        <v>0</v>
      </c>
      <c r="L928" s="26" t="n">
        <v>0</v>
      </c>
      <c r="M928" s="26" t="n">
        <v>0</v>
      </c>
    </row>
    <row r="929" customFormat="false" ht="15" hidden="false" customHeight="false" outlineLevel="0" collapsed="false">
      <c r="A929" s="7" t="s">
        <v>85</v>
      </c>
      <c r="B929" s="7" t="n">
        <v>4411016</v>
      </c>
      <c r="C929" s="7" t="s">
        <v>550</v>
      </c>
      <c r="D929" s="26" t="n">
        <v>101</v>
      </c>
      <c r="E929" s="26" t="n">
        <v>0</v>
      </c>
      <c r="F929" s="26" t="n">
        <v>3</v>
      </c>
      <c r="G929" s="26" t="n">
        <v>0</v>
      </c>
      <c r="H929" s="26" t="n">
        <v>278</v>
      </c>
      <c r="I929" s="26" t="n">
        <v>84</v>
      </c>
      <c r="J929" s="26" t="n">
        <v>0</v>
      </c>
      <c r="K929" s="26" t="n">
        <v>0</v>
      </c>
      <c r="L929" s="26" t="n">
        <v>0</v>
      </c>
      <c r="M929" s="26" t="n">
        <v>0</v>
      </c>
    </row>
    <row r="930" customFormat="false" ht="15" hidden="false" customHeight="false" outlineLevel="0" collapsed="false">
      <c r="A930" s="7" t="s">
        <v>87</v>
      </c>
      <c r="B930" s="7" t="n">
        <v>4411016</v>
      </c>
      <c r="C930" s="7" t="s">
        <v>550</v>
      </c>
      <c r="D930" s="26" t="n">
        <v>7922.4</v>
      </c>
      <c r="E930" s="26" t="n">
        <v>0</v>
      </c>
      <c r="F930" s="26" t="n">
        <v>276.9</v>
      </c>
      <c r="G930" s="26" t="n">
        <v>0</v>
      </c>
      <c r="H930" s="26" t="n">
        <v>22578.4</v>
      </c>
      <c r="I930" s="26" t="n">
        <v>7310.4</v>
      </c>
      <c r="J930" s="26" t="n">
        <v>0</v>
      </c>
      <c r="K930" s="26" t="n">
        <v>0</v>
      </c>
      <c r="L930" s="26" t="n">
        <v>0</v>
      </c>
      <c r="M930" s="26" t="n">
        <v>0</v>
      </c>
    </row>
    <row r="931" customFormat="false" ht="15" hidden="false" customHeight="false" outlineLevel="0" collapsed="false">
      <c r="A931" s="7" t="s">
        <v>85</v>
      </c>
      <c r="B931" s="7" t="n">
        <v>4416003</v>
      </c>
      <c r="C931" s="7" t="s">
        <v>551</v>
      </c>
      <c r="D931" s="26" t="n">
        <v>124</v>
      </c>
      <c r="E931" s="26" t="n">
        <v>0</v>
      </c>
      <c r="F931" s="26" t="n">
        <v>0</v>
      </c>
      <c r="G931" s="26" t="n">
        <v>0</v>
      </c>
      <c r="H931" s="26" t="n">
        <v>0</v>
      </c>
      <c r="I931" s="26" t="n">
        <v>94</v>
      </c>
      <c r="J931" s="26" t="n">
        <v>0</v>
      </c>
      <c r="K931" s="26" t="n">
        <v>0</v>
      </c>
      <c r="L931" s="26" t="n">
        <v>0</v>
      </c>
      <c r="M931" s="26" t="n">
        <v>0</v>
      </c>
    </row>
    <row r="932" customFormat="false" ht="15" hidden="false" customHeight="false" outlineLevel="0" collapsed="false">
      <c r="A932" s="7" t="s">
        <v>87</v>
      </c>
      <c r="B932" s="7" t="n">
        <v>4416003</v>
      </c>
      <c r="C932" s="7" t="s">
        <v>551</v>
      </c>
      <c r="D932" s="26" t="n">
        <v>6812.1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5124.9</v>
      </c>
      <c r="J932" s="26" t="n">
        <v>0</v>
      </c>
      <c r="K932" s="26" t="n">
        <v>0</v>
      </c>
      <c r="L932" s="26" t="n">
        <v>0</v>
      </c>
      <c r="M932" s="26" t="n">
        <v>0</v>
      </c>
    </row>
    <row r="933" customFormat="false" ht="15" hidden="false" customHeight="false" outlineLevel="0" collapsed="false">
      <c r="A933" s="7" t="s">
        <v>85</v>
      </c>
      <c r="B933" s="7" t="n">
        <v>4416005</v>
      </c>
      <c r="C933" s="7" t="s">
        <v>552</v>
      </c>
      <c r="D933" s="26" t="n">
        <v>129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118</v>
      </c>
      <c r="J933" s="26" t="n">
        <v>0</v>
      </c>
      <c r="K933" s="26" t="n">
        <v>0</v>
      </c>
      <c r="L933" s="26" t="n">
        <v>0</v>
      </c>
      <c r="M933" s="26" t="n">
        <v>0</v>
      </c>
    </row>
    <row r="934" customFormat="false" ht="15" hidden="false" customHeight="false" outlineLevel="0" collapsed="false">
      <c r="A934" s="7" t="s">
        <v>87</v>
      </c>
      <c r="B934" s="7" t="n">
        <v>4416005</v>
      </c>
      <c r="C934" s="7" t="s">
        <v>552</v>
      </c>
      <c r="D934" s="26" t="n">
        <v>7157.9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6456.7</v>
      </c>
      <c r="J934" s="26" t="n">
        <v>0</v>
      </c>
      <c r="K934" s="26" t="n">
        <v>0</v>
      </c>
      <c r="L934" s="26" t="n">
        <v>0</v>
      </c>
      <c r="M934" s="26" t="n">
        <v>0</v>
      </c>
    </row>
    <row r="935" customFormat="false" ht="15" hidden="false" customHeight="false" outlineLevel="0" collapsed="false">
      <c r="A935" s="7" t="s">
        <v>85</v>
      </c>
      <c r="B935" s="7" t="n">
        <v>4416006</v>
      </c>
      <c r="C935" s="7" t="s">
        <v>553</v>
      </c>
      <c r="D935" s="26" t="n">
        <v>-1</v>
      </c>
      <c r="E935" s="26" t="n">
        <v>0</v>
      </c>
      <c r="F935" s="26" t="n">
        <v>0</v>
      </c>
      <c r="G935" s="26" t="n">
        <v>0</v>
      </c>
      <c r="H935" s="26" t="n">
        <v>-5</v>
      </c>
      <c r="I935" s="26" t="n">
        <v>0</v>
      </c>
      <c r="J935" s="26" t="n">
        <v>0</v>
      </c>
      <c r="K935" s="26" t="n">
        <v>0</v>
      </c>
      <c r="L935" s="26" t="n">
        <v>0</v>
      </c>
      <c r="M935" s="26" t="n">
        <v>0</v>
      </c>
    </row>
    <row r="936" customFormat="false" ht="15" hidden="false" customHeight="false" outlineLevel="0" collapsed="false">
      <c r="A936" s="7" t="s">
        <v>87</v>
      </c>
      <c r="B936" s="7" t="n">
        <v>4416006</v>
      </c>
      <c r="C936" s="7" t="s">
        <v>553</v>
      </c>
      <c r="D936" s="26" t="n">
        <v>-25.3</v>
      </c>
      <c r="E936" s="26" t="n">
        <v>0</v>
      </c>
      <c r="F936" s="26" t="n">
        <v>0</v>
      </c>
      <c r="G936" s="26" t="n">
        <v>0</v>
      </c>
      <c r="H936" s="26" t="n">
        <v>-245.6</v>
      </c>
      <c r="I936" s="26" t="n">
        <v>0</v>
      </c>
      <c r="J936" s="26" t="n">
        <v>0</v>
      </c>
      <c r="K936" s="26" t="n">
        <v>0</v>
      </c>
      <c r="L936" s="26" t="n">
        <v>0</v>
      </c>
      <c r="M936" s="26" t="n">
        <v>0</v>
      </c>
    </row>
    <row r="937" customFormat="false" ht="15" hidden="false" customHeight="false" outlineLevel="0" collapsed="false">
      <c r="A937" s="7" t="s">
        <v>85</v>
      </c>
      <c r="B937" s="7" t="n">
        <v>4416011</v>
      </c>
      <c r="C937" s="7" t="s">
        <v>554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0</v>
      </c>
      <c r="J937" s="26" t="n">
        <v>0</v>
      </c>
      <c r="K937" s="26" t="n">
        <v>0</v>
      </c>
      <c r="L937" s="26" t="n">
        <v>0</v>
      </c>
      <c r="M937" s="26" t="n">
        <v>0</v>
      </c>
    </row>
    <row r="938" customFormat="false" ht="15" hidden="false" customHeight="false" outlineLevel="0" collapsed="false">
      <c r="A938" s="7" t="s">
        <v>87</v>
      </c>
      <c r="B938" s="7" t="n">
        <v>4416011</v>
      </c>
      <c r="C938" s="7" t="s">
        <v>554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0</v>
      </c>
      <c r="J938" s="26" t="n">
        <v>0</v>
      </c>
      <c r="K938" s="26" t="n">
        <v>0</v>
      </c>
      <c r="L938" s="26" t="n">
        <v>0</v>
      </c>
      <c r="M938" s="26" t="n">
        <v>0</v>
      </c>
    </row>
    <row r="939" customFormat="false" ht="15" hidden="false" customHeight="false" outlineLevel="0" collapsed="false">
      <c r="A939" s="7" t="s">
        <v>85</v>
      </c>
      <c r="B939" s="7" t="n">
        <v>4416010</v>
      </c>
      <c r="C939" s="7" t="s">
        <v>555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0</v>
      </c>
      <c r="J939" s="26" t="n">
        <v>0</v>
      </c>
      <c r="K939" s="26" t="n">
        <v>0</v>
      </c>
      <c r="L939" s="26" t="n">
        <v>0</v>
      </c>
      <c r="M939" s="26" t="n">
        <v>0</v>
      </c>
    </row>
    <row r="940" customFormat="false" ht="15" hidden="false" customHeight="false" outlineLevel="0" collapsed="false">
      <c r="A940" s="7" t="s">
        <v>87</v>
      </c>
      <c r="B940" s="7" t="n">
        <v>4416010</v>
      </c>
      <c r="C940" s="7" t="s">
        <v>555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0</v>
      </c>
      <c r="J940" s="26" t="n">
        <v>0</v>
      </c>
      <c r="K940" s="26" t="n">
        <v>0</v>
      </c>
      <c r="L940" s="26" t="n">
        <v>0</v>
      </c>
      <c r="M940" s="26" t="n">
        <v>0</v>
      </c>
    </row>
    <row r="941" customFormat="false" ht="15" hidden="false" customHeight="false" outlineLevel="0" collapsed="false">
      <c r="A941" s="7" t="s">
        <v>85</v>
      </c>
      <c r="B941" s="7" t="n">
        <v>4416009</v>
      </c>
      <c r="C941" s="7" t="s">
        <v>556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-3</v>
      </c>
      <c r="I941" s="26" t="n">
        <v>0</v>
      </c>
      <c r="J941" s="26" t="n">
        <v>0</v>
      </c>
      <c r="K941" s="26" t="n">
        <v>0</v>
      </c>
      <c r="L941" s="26" t="n">
        <v>0</v>
      </c>
      <c r="M941" s="26" t="n">
        <v>0</v>
      </c>
    </row>
    <row r="942" customFormat="false" ht="15" hidden="false" customHeight="false" outlineLevel="0" collapsed="false">
      <c r="A942" s="7" t="s">
        <v>87</v>
      </c>
      <c r="B942" s="7" t="n">
        <v>4416009</v>
      </c>
      <c r="C942" s="7" t="s">
        <v>556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-241.3</v>
      </c>
      <c r="I942" s="26" t="n">
        <v>0</v>
      </c>
      <c r="J942" s="26" t="n">
        <v>0</v>
      </c>
      <c r="K942" s="26" t="n">
        <v>0</v>
      </c>
      <c r="L942" s="26" t="n">
        <v>0</v>
      </c>
      <c r="M942" s="26" t="n">
        <v>0</v>
      </c>
    </row>
    <row r="943" customFormat="false" ht="15" hidden="false" customHeight="false" outlineLevel="0" collapsed="false">
      <c r="A943" s="7" t="s">
        <v>85</v>
      </c>
      <c r="B943" s="7" t="n">
        <v>4413033</v>
      </c>
      <c r="C943" s="7" t="s">
        <v>557</v>
      </c>
      <c r="D943" s="26" t="n">
        <v>736</v>
      </c>
      <c r="E943" s="26" t="n">
        <v>9</v>
      </c>
      <c r="F943" s="26" t="n">
        <v>2</v>
      </c>
      <c r="G943" s="26" t="n">
        <v>0</v>
      </c>
      <c r="H943" s="26" t="n">
        <v>4057</v>
      </c>
      <c r="I943" s="26" t="n">
        <v>562</v>
      </c>
      <c r="J943" s="26" t="n">
        <v>0</v>
      </c>
      <c r="K943" s="26" t="n">
        <v>0</v>
      </c>
      <c r="L943" s="26" t="n">
        <v>0</v>
      </c>
      <c r="M943" s="26" t="n">
        <v>0</v>
      </c>
    </row>
    <row r="944" customFormat="false" ht="15" hidden="false" customHeight="false" outlineLevel="0" collapsed="false">
      <c r="A944" s="7" t="s">
        <v>87</v>
      </c>
      <c r="B944" s="7" t="n">
        <v>4413033</v>
      </c>
      <c r="C944" s="7" t="s">
        <v>557</v>
      </c>
      <c r="D944" s="26" t="n">
        <v>12472.5</v>
      </c>
      <c r="E944" s="26" t="n">
        <v>146.3</v>
      </c>
      <c r="F944" s="26" t="n">
        <v>18.4</v>
      </c>
      <c r="G944" s="26" t="n">
        <v>0</v>
      </c>
      <c r="H944" s="26" t="n">
        <v>50190</v>
      </c>
      <c r="I944" s="26" t="n">
        <v>7497.3</v>
      </c>
      <c r="J944" s="26" t="n">
        <v>0</v>
      </c>
      <c r="K944" s="26" t="n">
        <v>0</v>
      </c>
      <c r="L944" s="26" t="n">
        <v>0</v>
      </c>
      <c r="M944" s="26" t="n">
        <v>0</v>
      </c>
    </row>
    <row r="945" customFormat="false" ht="15" hidden="false" customHeight="false" outlineLevel="0" collapsed="false">
      <c r="A945" s="7" t="s">
        <v>85</v>
      </c>
      <c r="B945" s="7" t="n">
        <v>4413034</v>
      </c>
      <c r="C945" s="7" t="s">
        <v>558</v>
      </c>
      <c r="D945" s="26" t="n">
        <v>116</v>
      </c>
      <c r="E945" s="26" t="n">
        <v>0</v>
      </c>
      <c r="F945" s="26" t="n">
        <v>0</v>
      </c>
      <c r="G945" s="26" t="n">
        <v>0</v>
      </c>
      <c r="H945" s="26" t="n">
        <v>208</v>
      </c>
      <c r="I945" s="26" t="n">
        <v>45</v>
      </c>
      <c r="J945" s="26" t="n">
        <v>0</v>
      </c>
      <c r="K945" s="26" t="n">
        <v>0</v>
      </c>
      <c r="L945" s="26" t="n">
        <v>0</v>
      </c>
      <c r="M945" s="26" t="n">
        <v>0</v>
      </c>
    </row>
    <row r="946" customFormat="false" ht="15" hidden="false" customHeight="false" outlineLevel="0" collapsed="false">
      <c r="A946" s="7" t="s">
        <v>87</v>
      </c>
      <c r="B946" s="7" t="n">
        <v>4413034</v>
      </c>
      <c r="C946" s="7" t="s">
        <v>558</v>
      </c>
      <c r="D946" s="26" t="n">
        <v>2425</v>
      </c>
      <c r="E946" s="26" t="n">
        <v>0</v>
      </c>
      <c r="F946" s="26" t="n">
        <v>0</v>
      </c>
      <c r="G946" s="26" t="n">
        <v>0</v>
      </c>
      <c r="H946" s="26" t="n">
        <v>4120.4</v>
      </c>
      <c r="I946" s="26" t="n">
        <v>960.3</v>
      </c>
      <c r="J946" s="26" t="n">
        <v>0</v>
      </c>
      <c r="K946" s="26" t="n">
        <v>0</v>
      </c>
      <c r="L946" s="26" t="n">
        <v>0</v>
      </c>
      <c r="M946" s="26" t="n">
        <v>0</v>
      </c>
    </row>
    <row r="947" customFormat="false" ht="15" hidden="false" customHeight="false" outlineLevel="0" collapsed="false">
      <c r="A947" s="7" t="s">
        <v>85</v>
      </c>
      <c r="B947" s="7" t="n">
        <v>4415297</v>
      </c>
      <c r="C947" s="7" t="s">
        <v>559</v>
      </c>
      <c r="D947" s="26" t="n">
        <v>316</v>
      </c>
      <c r="E947" s="26" t="n">
        <v>0</v>
      </c>
      <c r="F947" s="26" t="n">
        <v>0</v>
      </c>
      <c r="G947" s="26" t="n">
        <v>0</v>
      </c>
      <c r="H947" s="26" t="n">
        <v>0</v>
      </c>
      <c r="I947" s="26" t="n">
        <v>0</v>
      </c>
      <c r="J947" s="26" t="n">
        <v>0</v>
      </c>
      <c r="K947" s="26" t="n">
        <v>0</v>
      </c>
      <c r="L947" s="26" t="n">
        <v>0</v>
      </c>
      <c r="M947" s="26" t="n">
        <v>0</v>
      </c>
    </row>
    <row r="948" customFormat="false" ht="15" hidden="false" customHeight="false" outlineLevel="0" collapsed="false">
      <c r="A948" s="7" t="s">
        <v>87</v>
      </c>
      <c r="B948" s="7" t="n">
        <v>4415297</v>
      </c>
      <c r="C948" s="7" t="s">
        <v>559</v>
      </c>
      <c r="D948" s="26" t="n">
        <v>7117.5</v>
      </c>
      <c r="E948" s="26" t="n">
        <v>0</v>
      </c>
      <c r="F948" s="26" t="n">
        <v>0</v>
      </c>
      <c r="G948" s="26" t="n">
        <v>0</v>
      </c>
      <c r="H948" s="26" t="n">
        <v>0</v>
      </c>
      <c r="I948" s="26" t="n">
        <v>0</v>
      </c>
      <c r="J948" s="26" t="n">
        <v>0</v>
      </c>
      <c r="K948" s="26" t="n">
        <v>0</v>
      </c>
      <c r="L948" s="26" t="n">
        <v>0</v>
      </c>
      <c r="M948" s="26" t="n">
        <v>0</v>
      </c>
    </row>
    <row r="949" customFormat="false" ht="15" hidden="false" customHeight="false" outlineLevel="0" collapsed="false">
      <c r="A949" s="7" t="s">
        <v>85</v>
      </c>
      <c r="B949" s="7" t="n">
        <v>4402007</v>
      </c>
      <c r="C949" s="7" t="s">
        <v>560</v>
      </c>
      <c r="D949" s="26" t="n">
        <v>296</v>
      </c>
      <c r="E949" s="26" t="n">
        <v>3</v>
      </c>
      <c r="F949" s="26" t="n">
        <v>2</v>
      </c>
      <c r="G949" s="26" t="n">
        <v>42</v>
      </c>
      <c r="H949" s="26" t="n">
        <v>1909</v>
      </c>
      <c r="I949" s="26" t="n">
        <v>148</v>
      </c>
      <c r="J949" s="26" t="n">
        <v>0</v>
      </c>
      <c r="K949" s="26" t="n">
        <v>0</v>
      </c>
      <c r="L949" s="26" t="n">
        <v>0</v>
      </c>
      <c r="M949" s="26" t="n">
        <v>0</v>
      </c>
    </row>
    <row r="950" customFormat="false" ht="15" hidden="false" customHeight="false" outlineLevel="0" collapsed="false">
      <c r="A950" s="7" t="s">
        <v>87</v>
      </c>
      <c r="B950" s="7" t="n">
        <v>4402007</v>
      </c>
      <c r="C950" s="7" t="s">
        <v>560</v>
      </c>
      <c r="D950" s="26" t="n">
        <v>5509.9</v>
      </c>
      <c r="E950" s="26" t="n">
        <v>58.9</v>
      </c>
      <c r="F950" s="26" t="n">
        <v>10.9</v>
      </c>
      <c r="G950" s="26" t="n">
        <v>708.9</v>
      </c>
      <c r="H950" s="26" t="n">
        <v>33927.9</v>
      </c>
      <c r="I950" s="26" t="n">
        <v>2837.3</v>
      </c>
      <c r="J950" s="26" t="n">
        <v>0</v>
      </c>
      <c r="K950" s="26" t="n">
        <v>0</v>
      </c>
      <c r="L950" s="26" t="n">
        <v>0</v>
      </c>
      <c r="M950" s="26" t="n">
        <v>0</v>
      </c>
    </row>
    <row r="951" customFormat="false" ht="15" hidden="false" customHeight="false" outlineLevel="0" collapsed="false">
      <c r="A951" s="7" t="s">
        <v>85</v>
      </c>
      <c r="B951" s="7" t="n">
        <v>4421001</v>
      </c>
      <c r="C951" s="7" t="s">
        <v>561</v>
      </c>
      <c r="D951" s="26" t="n">
        <v>160</v>
      </c>
      <c r="E951" s="26" t="n">
        <v>0</v>
      </c>
      <c r="F951" s="26" t="n">
        <v>1</v>
      </c>
      <c r="G951" s="26" t="n">
        <v>0</v>
      </c>
      <c r="H951" s="26" t="n">
        <v>1179</v>
      </c>
      <c r="I951" s="26" t="n">
        <v>59</v>
      </c>
      <c r="J951" s="26" t="n">
        <v>0</v>
      </c>
      <c r="K951" s="26" t="n">
        <v>0</v>
      </c>
      <c r="L951" s="26" t="n">
        <v>0</v>
      </c>
      <c r="M951" s="26" t="n">
        <v>0</v>
      </c>
    </row>
    <row r="952" customFormat="false" ht="15" hidden="false" customHeight="false" outlineLevel="0" collapsed="false">
      <c r="A952" s="7" t="s">
        <v>87</v>
      </c>
      <c r="B952" s="7" t="n">
        <v>4421001</v>
      </c>
      <c r="C952" s="7" t="s">
        <v>561</v>
      </c>
      <c r="D952" s="26" t="n">
        <v>9236.9</v>
      </c>
      <c r="E952" s="26" t="n">
        <v>0</v>
      </c>
      <c r="F952" s="26" t="n">
        <v>0</v>
      </c>
      <c r="G952" s="26" t="n">
        <v>0</v>
      </c>
      <c r="H952" s="26" t="n">
        <v>61190.5</v>
      </c>
      <c r="I952" s="26" t="n">
        <v>3304</v>
      </c>
      <c r="J952" s="26" t="n">
        <v>0</v>
      </c>
      <c r="K952" s="26" t="n">
        <v>0</v>
      </c>
      <c r="L952" s="26" t="n">
        <v>0</v>
      </c>
      <c r="M952" s="26" t="n">
        <v>0</v>
      </c>
    </row>
    <row r="953" customFormat="false" ht="15" hidden="false" customHeight="false" outlineLevel="0" collapsed="false">
      <c r="A953" s="7" t="s">
        <v>85</v>
      </c>
      <c r="B953" s="7" t="n">
        <v>4413058</v>
      </c>
      <c r="C953" s="7" t="s">
        <v>562</v>
      </c>
      <c r="D953" s="26" t="n">
        <v>113</v>
      </c>
      <c r="E953" s="26" t="n">
        <v>0</v>
      </c>
      <c r="F953" s="26" t="n">
        <v>0</v>
      </c>
      <c r="G953" s="26" t="n">
        <v>0</v>
      </c>
      <c r="H953" s="26" t="n">
        <v>571</v>
      </c>
      <c r="I953" s="26" t="n">
        <v>84</v>
      </c>
      <c r="J953" s="26" t="n">
        <v>0</v>
      </c>
      <c r="K953" s="26" t="n">
        <v>0</v>
      </c>
      <c r="L953" s="26" t="n">
        <v>0</v>
      </c>
      <c r="M953" s="26" t="n">
        <v>0</v>
      </c>
    </row>
    <row r="954" customFormat="false" ht="15" hidden="false" customHeight="false" outlineLevel="0" collapsed="false">
      <c r="A954" s="7" t="s">
        <v>87</v>
      </c>
      <c r="B954" s="7" t="n">
        <v>4413058</v>
      </c>
      <c r="C954" s="7" t="s">
        <v>562</v>
      </c>
      <c r="D954" s="26" t="n">
        <v>3467.3</v>
      </c>
      <c r="E954" s="26" t="n">
        <v>0</v>
      </c>
      <c r="F954" s="26" t="n">
        <v>-20.6</v>
      </c>
      <c r="G954" s="26" t="n">
        <v>0</v>
      </c>
      <c r="H954" s="26" t="n">
        <v>15313.6</v>
      </c>
      <c r="I954" s="26" t="n">
        <v>2425.4</v>
      </c>
      <c r="J954" s="26" t="n">
        <v>0</v>
      </c>
      <c r="K954" s="26" t="n">
        <v>0</v>
      </c>
      <c r="L954" s="26" t="n">
        <v>0</v>
      </c>
      <c r="M954" s="26" t="n">
        <v>0</v>
      </c>
    </row>
    <row r="955" customFormat="false" ht="15" hidden="false" customHeight="false" outlineLevel="0" collapsed="false">
      <c r="A955" s="7" t="s">
        <v>85</v>
      </c>
      <c r="B955" s="7" t="n">
        <v>4411001</v>
      </c>
      <c r="C955" s="7" t="s">
        <v>563</v>
      </c>
      <c r="D955" s="26" t="n">
        <v>222</v>
      </c>
      <c r="E955" s="26" t="n">
        <v>0</v>
      </c>
      <c r="F955" s="26" t="n">
        <v>0</v>
      </c>
      <c r="G955" s="26" t="n">
        <v>0</v>
      </c>
      <c r="H955" s="26" t="n">
        <v>235</v>
      </c>
      <c r="I955" s="26" t="n">
        <v>66</v>
      </c>
      <c r="J955" s="26" t="n">
        <v>0</v>
      </c>
      <c r="K955" s="26" t="n">
        <v>0</v>
      </c>
      <c r="L955" s="26" t="n">
        <v>0</v>
      </c>
      <c r="M955" s="26" t="n">
        <v>0</v>
      </c>
    </row>
    <row r="956" customFormat="false" ht="15" hidden="false" customHeight="false" outlineLevel="0" collapsed="false">
      <c r="A956" s="7" t="s">
        <v>87</v>
      </c>
      <c r="B956" s="7" t="n">
        <v>4411001</v>
      </c>
      <c r="C956" s="7" t="s">
        <v>563</v>
      </c>
      <c r="D956" s="26" t="n">
        <v>5823</v>
      </c>
      <c r="E956" s="26" t="n">
        <v>0</v>
      </c>
      <c r="F956" s="26" t="n">
        <v>0</v>
      </c>
      <c r="G956" s="26" t="n">
        <v>0</v>
      </c>
      <c r="H956" s="26" t="n">
        <v>5701.6</v>
      </c>
      <c r="I956" s="26" t="n">
        <v>1727.3</v>
      </c>
      <c r="J956" s="26" t="n">
        <v>0</v>
      </c>
      <c r="K956" s="26" t="n">
        <v>0</v>
      </c>
      <c r="L956" s="26" t="n">
        <v>0</v>
      </c>
      <c r="M956" s="26" t="n">
        <v>0</v>
      </c>
    </row>
    <row r="957" customFormat="false" ht="15" hidden="false" customHeight="false" outlineLevel="0" collapsed="false">
      <c r="A957" s="7" t="s">
        <v>85</v>
      </c>
      <c r="B957" s="7" t="n">
        <v>4402000</v>
      </c>
      <c r="C957" s="7" t="s">
        <v>564</v>
      </c>
      <c r="D957" s="26" t="n">
        <v>124</v>
      </c>
      <c r="E957" s="26" t="n">
        <v>0</v>
      </c>
      <c r="F957" s="26" t="n">
        <v>0</v>
      </c>
      <c r="G957" s="26" t="n">
        <v>0</v>
      </c>
      <c r="H957" s="26" t="n">
        <v>199</v>
      </c>
      <c r="I957" s="26" t="n">
        <v>53</v>
      </c>
      <c r="J957" s="26" t="n">
        <v>0</v>
      </c>
      <c r="K957" s="26" t="n">
        <v>0</v>
      </c>
      <c r="L957" s="26" t="n">
        <v>0</v>
      </c>
      <c r="M957" s="26" t="n">
        <v>0</v>
      </c>
    </row>
    <row r="958" customFormat="false" ht="15" hidden="false" customHeight="false" outlineLevel="0" collapsed="false">
      <c r="A958" s="7" t="s">
        <v>87</v>
      </c>
      <c r="B958" s="7" t="n">
        <v>4402000</v>
      </c>
      <c r="C958" s="7" t="s">
        <v>564</v>
      </c>
      <c r="D958" s="26" t="n">
        <v>3246.9</v>
      </c>
      <c r="E958" s="26" t="n">
        <v>0</v>
      </c>
      <c r="F958" s="26" t="n">
        <v>-26</v>
      </c>
      <c r="G958" s="26" t="n">
        <v>0</v>
      </c>
      <c r="H958" s="26" t="n">
        <v>4320.4</v>
      </c>
      <c r="I958" s="26" t="n">
        <v>1249.7</v>
      </c>
      <c r="J958" s="26" t="n">
        <v>0</v>
      </c>
      <c r="K958" s="26" t="n">
        <v>0</v>
      </c>
      <c r="L958" s="26" t="n">
        <v>0</v>
      </c>
      <c r="M958" s="26" t="n">
        <v>0</v>
      </c>
    </row>
    <row r="959" customFormat="false" ht="15" hidden="false" customHeight="false" outlineLevel="0" collapsed="false">
      <c r="A959" s="7" t="s">
        <v>85</v>
      </c>
      <c r="B959" s="7" t="n">
        <v>4413060</v>
      </c>
      <c r="C959" s="7" t="s">
        <v>565</v>
      </c>
      <c r="D959" s="26" t="n">
        <v>513</v>
      </c>
      <c r="E959" s="26" t="n">
        <v>2</v>
      </c>
      <c r="F959" s="26" t="n">
        <v>6</v>
      </c>
      <c r="G959" s="26" t="n">
        <v>0</v>
      </c>
      <c r="H959" s="26" t="n">
        <v>0</v>
      </c>
      <c r="I959" s="26" t="n">
        <v>336</v>
      </c>
      <c r="J959" s="26" t="n">
        <v>0</v>
      </c>
      <c r="K959" s="26" t="n">
        <v>0</v>
      </c>
      <c r="L959" s="26" t="n">
        <v>0</v>
      </c>
      <c r="M959" s="26" t="n">
        <v>0</v>
      </c>
    </row>
    <row r="960" customFormat="false" ht="15" hidden="false" customHeight="false" outlineLevel="0" collapsed="false">
      <c r="A960" s="7" t="s">
        <v>87</v>
      </c>
      <c r="B960" s="7" t="n">
        <v>4413060</v>
      </c>
      <c r="C960" s="7" t="s">
        <v>565</v>
      </c>
      <c r="D960" s="26" t="n">
        <v>7019.4</v>
      </c>
      <c r="E960" s="26" t="n">
        <v>28.3</v>
      </c>
      <c r="F960" s="26" t="n">
        <v>70.7</v>
      </c>
      <c r="G960" s="26" t="n">
        <v>0</v>
      </c>
      <c r="H960" s="26" t="n">
        <v>0</v>
      </c>
      <c r="I960" s="26" t="n">
        <v>4548.4</v>
      </c>
      <c r="J960" s="26" t="n">
        <v>0</v>
      </c>
      <c r="K960" s="26" t="n">
        <v>0</v>
      </c>
      <c r="L960" s="26" t="n">
        <v>0</v>
      </c>
      <c r="M960" s="26" t="n">
        <v>0</v>
      </c>
    </row>
    <row r="961" customFormat="false" ht="15" hidden="false" customHeight="false" outlineLevel="0" collapsed="false">
      <c r="A961" s="7" t="s">
        <v>85</v>
      </c>
      <c r="B961" s="7" t="n">
        <v>4413061</v>
      </c>
      <c r="C961" s="7" t="s">
        <v>566</v>
      </c>
      <c r="D961" s="26" t="n">
        <v>160</v>
      </c>
      <c r="E961" s="26" t="n">
        <v>0</v>
      </c>
      <c r="F961" s="26" t="n">
        <v>7</v>
      </c>
      <c r="G961" s="26" t="n">
        <v>0</v>
      </c>
      <c r="H961" s="26" t="n">
        <v>0</v>
      </c>
      <c r="I961" s="26" t="n">
        <v>150</v>
      </c>
      <c r="J961" s="26" t="n">
        <v>0</v>
      </c>
      <c r="K961" s="26" t="n">
        <v>0</v>
      </c>
      <c r="L961" s="26" t="n">
        <v>0</v>
      </c>
      <c r="M961" s="26" t="n">
        <v>0</v>
      </c>
    </row>
    <row r="962" customFormat="false" ht="15" hidden="false" customHeight="false" outlineLevel="0" collapsed="false">
      <c r="A962" s="7" t="s">
        <v>87</v>
      </c>
      <c r="B962" s="7" t="n">
        <v>4413061</v>
      </c>
      <c r="C962" s="7" t="s">
        <v>566</v>
      </c>
      <c r="D962" s="26" t="n">
        <v>3169.2</v>
      </c>
      <c r="E962" s="26" t="n">
        <v>0</v>
      </c>
      <c r="F962" s="26" t="n">
        <v>138.4</v>
      </c>
      <c r="G962" s="26" t="n">
        <v>0</v>
      </c>
      <c r="H962" s="26" t="n">
        <v>0</v>
      </c>
      <c r="I962" s="26" t="n">
        <v>2970.1</v>
      </c>
      <c r="J962" s="26" t="n">
        <v>0</v>
      </c>
      <c r="K962" s="26" t="n">
        <v>0</v>
      </c>
      <c r="L962" s="26" t="n">
        <v>0</v>
      </c>
      <c r="M962" s="26" t="n">
        <v>0</v>
      </c>
    </row>
    <row r="963" customFormat="false" ht="15" hidden="false" customHeight="false" outlineLevel="0" collapsed="false">
      <c r="A963" s="7" t="s">
        <v>85</v>
      </c>
      <c r="B963" s="7" t="n">
        <v>4413059</v>
      </c>
      <c r="C963" s="7" t="s">
        <v>567</v>
      </c>
      <c r="D963" s="26" t="n">
        <v>997</v>
      </c>
      <c r="E963" s="26" t="n">
        <v>0</v>
      </c>
      <c r="F963" s="26" t="n">
        <v>28</v>
      </c>
      <c r="G963" s="26" t="n">
        <v>4</v>
      </c>
      <c r="H963" s="26" t="n">
        <v>-4</v>
      </c>
      <c r="I963" s="26" t="n">
        <v>662</v>
      </c>
      <c r="J963" s="26" t="n">
        <v>1</v>
      </c>
      <c r="K963" s="26" t="n">
        <v>0</v>
      </c>
      <c r="L963" s="26" t="n">
        <v>0</v>
      </c>
      <c r="M963" s="26" t="n">
        <v>0</v>
      </c>
    </row>
    <row r="964" customFormat="false" ht="15" hidden="false" customHeight="false" outlineLevel="0" collapsed="false">
      <c r="A964" s="7" t="s">
        <v>87</v>
      </c>
      <c r="B964" s="7" t="n">
        <v>4413059</v>
      </c>
      <c r="C964" s="7" t="s">
        <v>567</v>
      </c>
      <c r="D964" s="26" t="n">
        <v>13644.9</v>
      </c>
      <c r="E964" s="26" t="n">
        <v>0</v>
      </c>
      <c r="F964" s="26" t="n">
        <v>346.8</v>
      </c>
      <c r="G964" s="26" t="n">
        <v>50.2</v>
      </c>
      <c r="H964" s="26" t="n">
        <v>-47.7</v>
      </c>
      <c r="I964" s="26" t="n">
        <v>8957.3</v>
      </c>
      <c r="J964" s="26" t="n">
        <v>13.5</v>
      </c>
      <c r="K964" s="26" t="n">
        <v>0</v>
      </c>
      <c r="L964" s="26" t="n">
        <v>0</v>
      </c>
      <c r="M964" s="26" t="n">
        <v>0</v>
      </c>
    </row>
    <row r="965" customFormat="false" ht="15" hidden="false" customHeight="false" outlineLevel="0" collapsed="false">
      <c r="A965" s="7" t="s">
        <v>85</v>
      </c>
      <c r="B965" s="7" t="n">
        <v>4409001</v>
      </c>
      <c r="C965" s="7" t="s">
        <v>568</v>
      </c>
      <c r="D965" s="26" t="n">
        <v>243</v>
      </c>
      <c r="E965" s="26" t="n">
        <v>2</v>
      </c>
      <c r="F965" s="26" t="n">
        <v>11</v>
      </c>
      <c r="G965" s="26" t="n">
        <v>3</v>
      </c>
      <c r="H965" s="26" t="n">
        <v>223</v>
      </c>
      <c r="I965" s="26" t="n">
        <v>112</v>
      </c>
      <c r="J965" s="26" t="n">
        <v>0</v>
      </c>
      <c r="K965" s="26" t="n">
        <v>0</v>
      </c>
      <c r="L965" s="26" t="n">
        <v>0</v>
      </c>
      <c r="M965" s="26" t="n">
        <v>0</v>
      </c>
    </row>
    <row r="966" customFormat="false" ht="15" hidden="false" customHeight="false" outlineLevel="0" collapsed="false">
      <c r="A966" s="7" t="s">
        <v>87</v>
      </c>
      <c r="B966" s="7" t="n">
        <v>4409001</v>
      </c>
      <c r="C966" s="7" t="s">
        <v>568</v>
      </c>
      <c r="D966" s="26" t="n">
        <v>3178.7</v>
      </c>
      <c r="E966" s="26" t="n">
        <v>23.6</v>
      </c>
      <c r="F966" s="26" t="n">
        <v>138.5</v>
      </c>
      <c r="G966" s="26" t="n">
        <v>36.4</v>
      </c>
      <c r="H966" s="26" t="n">
        <v>2310.4</v>
      </c>
      <c r="I966" s="26" t="n">
        <v>1254.4</v>
      </c>
      <c r="J966" s="26" t="n">
        <v>0</v>
      </c>
      <c r="K966" s="26" t="n">
        <v>0</v>
      </c>
      <c r="L966" s="26" t="n">
        <v>0</v>
      </c>
      <c r="M966" s="26" t="n">
        <v>0</v>
      </c>
    </row>
    <row r="967" customFormat="false" ht="15" hidden="false" customHeight="false" outlineLevel="0" collapsed="false">
      <c r="A967" s="7" t="s">
        <v>85</v>
      </c>
      <c r="B967" s="7" t="n">
        <v>4409000</v>
      </c>
      <c r="C967" s="7" t="s">
        <v>569</v>
      </c>
      <c r="D967" s="26" t="n">
        <v>388</v>
      </c>
      <c r="E967" s="26" t="n">
        <v>8</v>
      </c>
      <c r="F967" s="26" t="n">
        <v>11</v>
      </c>
      <c r="G967" s="26" t="n">
        <v>0</v>
      </c>
      <c r="H967" s="26" t="n">
        <v>0</v>
      </c>
      <c r="I967" s="26" t="n">
        <v>247</v>
      </c>
      <c r="J967" s="26" t="n">
        <v>0</v>
      </c>
      <c r="K967" s="26" t="n">
        <v>0</v>
      </c>
      <c r="L967" s="26" t="n">
        <v>0</v>
      </c>
      <c r="M967" s="26" t="n">
        <v>0</v>
      </c>
    </row>
    <row r="968" customFormat="false" ht="15" hidden="false" customHeight="false" outlineLevel="0" collapsed="false">
      <c r="A968" s="7" t="s">
        <v>87</v>
      </c>
      <c r="B968" s="7" t="n">
        <v>4409000</v>
      </c>
      <c r="C968" s="7" t="s">
        <v>569</v>
      </c>
      <c r="D968" s="26" t="n">
        <v>5263.8</v>
      </c>
      <c r="E968" s="26" t="n">
        <v>113.1</v>
      </c>
      <c r="F968" s="26" t="n">
        <v>136.7</v>
      </c>
      <c r="G968" s="26" t="n">
        <v>0</v>
      </c>
      <c r="H968" s="26" t="n">
        <v>0</v>
      </c>
      <c r="I968" s="26" t="n">
        <v>3249.9</v>
      </c>
      <c r="J968" s="26" t="n">
        <v>0</v>
      </c>
      <c r="K968" s="26" t="n">
        <v>0</v>
      </c>
      <c r="L968" s="26" t="n">
        <v>0</v>
      </c>
      <c r="M968" s="26" t="n">
        <v>0</v>
      </c>
    </row>
    <row r="969" customFormat="false" ht="15" hidden="false" customHeight="false" outlineLevel="0" collapsed="false">
      <c r="A969" s="7" t="s">
        <v>85</v>
      </c>
      <c r="B969" s="7" t="n">
        <v>4421000</v>
      </c>
      <c r="C969" s="7" t="s">
        <v>570</v>
      </c>
      <c r="D969" s="26" t="n">
        <v>1647</v>
      </c>
      <c r="E969" s="26" t="n">
        <v>5</v>
      </c>
      <c r="F969" s="26" t="n">
        <v>15</v>
      </c>
      <c r="G969" s="26" t="n">
        <v>25</v>
      </c>
      <c r="H969" s="26" t="n">
        <v>0</v>
      </c>
      <c r="I969" s="26" t="n">
        <v>885</v>
      </c>
      <c r="J969" s="26" t="n">
        <v>1</v>
      </c>
      <c r="K969" s="26" t="n">
        <v>0</v>
      </c>
      <c r="L969" s="26" t="n">
        <v>0</v>
      </c>
      <c r="M969" s="26" t="n">
        <v>0</v>
      </c>
    </row>
    <row r="970" customFormat="false" ht="15" hidden="false" customHeight="false" outlineLevel="0" collapsed="false">
      <c r="A970" s="7" t="s">
        <v>87</v>
      </c>
      <c r="B970" s="7" t="n">
        <v>4421000</v>
      </c>
      <c r="C970" s="7" t="s">
        <v>570</v>
      </c>
      <c r="D970" s="26" t="n">
        <v>29211.2</v>
      </c>
      <c r="E970" s="26" t="n">
        <v>89.6</v>
      </c>
      <c r="F970" s="26" t="n">
        <v>173.5</v>
      </c>
      <c r="G970" s="26" t="n">
        <v>413.3</v>
      </c>
      <c r="H970" s="26" t="n">
        <v>0</v>
      </c>
      <c r="I970" s="26" t="n">
        <v>14919</v>
      </c>
      <c r="J970" s="26" t="n">
        <v>17.5</v>
      </c>
      <c r="K970" s="26" t="n">
        <v>0</v>
      </c>
      <c r="L970" s="26" t="n">
        <v>0</v>
      </c>
      <c r="M970" s="26" t="n">
        <v>0</v>
      </c>
    </row>
    <row r="971" customFormat="false" ht="15" hidden="false" customHeight="false" outlineLevel="0" collapsed="false">
      <c r="A971" s="7" t="s">
        <v>85</v>
      </c>
      <c r="B971" s="7" t="n">
        <v>4413340</v>
      </c>
      <c r="C971" s="7" t="s">
        <v>571</v>
      </c>
      <c r="D971" s="26" t="n">
        <v>11</v>
      </c>
      <c r="E971" s="26" t="n">
        <v>0</v>
      </c>
      <c r="F971" s="26" t="n">
        <v>3</v>
      </c>
      <c r="G971" s="26" t="n">
        <v>0</v>
      </c>
      <c r="H971" s="26" t="n">
        <v>106</v>
      </c>
      <c r="I971" s="26" t="n">
        <v>28</v>
      </c>
      <c r="J971" s="26" t="n">
        <v>0</v>
      </c>
      <c r="K971" s="26" t="n">
        <v>0</v>
      </c>
      <c r="L971" s="26" t="n">
        <v>0</v>
      </c>
      <c r="M971" s="26" t="n">
        <v>0</v>
      </c>
    </row>
    <row r="972" customFormat="false" ht="15" hidden="false" customHeight="false" outlineLevel="0" collapsed="false">
      <c r="A972" s="7" t="s">
        <v>87</v>
      </c>
      <c r="B972" s="7" t="n">
        <v>4413340</v>
      </c>
      <c r="C972" s="7" t="s">
        <v>571</v>
      </c>
      <c r="D972" s="26" t="n">
        <v>676</v>
      </c>
      <c r="E972" s="26" t="n">
        <v>0</v>
      </c>
      <c r="F972" s="26" t="n">
        <v>38.2</v>
      </c>
      <c r="G972" s="26" t="n">
        <v>0</v>
      </c>
      <c r="H972" s="26" t="n">
        <v>4298.2</v>
      </c>
      <c r="I972" s="26" t="n">
        <v>1223.6</v>
      </c>
      <c r="J972" s="26" t="n">
        <v>0</v>
      </c>
      <c r="K972" s="26" t="n">
        <v>0</v>
      </c>
      <c r="L972" s="26" t="n">
        <v>0</v>
      </c>
      <c r="M972" s="26" t="n">
        <v>0</v>
      </c>
    </row>
    <row r="973" customFormat="false" ht="15" hidden="false" customHeight="false" outlineLevel="0" collapsed="false">
      <c r="A973" s="7" t="s">
        <v>85</v>
      </c>
      <c r="B973" s="7" t="n">
        <v>4413063</v>
      </c>
      <c r="C973" s="7" t="s">
        <v>572</v>
      </c>
      <c r="D973" s="26" t="n">
        <v>258</v>
      </c>
      <c r="E973" s="26" t="n">
        <v>0</v>
      </c>
      <c r="F973" s="26" t="n">
        <v>0</v>
      </c>
      <c r="G973" s="26" t="n">
        <v>2</v>
      </c>
      <c r="H973" s="26" t="n">
        <v>0</v>
      </c>
      <c r="I973" s="26" t="n">
        <v>88</v>
      </c>
      <c r="J973" s="26" t="n">
        <v>0</v>
      </c>
      <c r="K973" s="26" t="n">
        <v>0</v>
      </c>
      <c r="L973" s="26" t="n">
        <v>0</v>
      </c>
      <c r="M973" s="26" t="n">
        <v>0</v>
      </c>
    </row>
    <row r="974" customFormat="false" ht="15" hidden="false" customHeight="false" outlineLevel="0" collapsed="false">
      <c r="A974" s="7" t="s">
        <v>87</v>
      </c>
      <c r="B974" s="7" t="n">
        <v>4413063</v>
      </c>
      <c r="C974" s="7" t="s">
        <v>572</v>
      </c>
      <c r="D974" s="26" t="n">
        <v>4059.2</v>
      </c>
      <c r="E974" s="26" t="n">
        <v>0</v>
      </c>
      <c r="F974" s="26" t="n">
        <v>-16.5</v>
      </c>
      <c r="G974" s="26" t="n">
        <v>35.2</v>
      </c>
      <c r="H974" s="26" t="n">
        <v>0</v>
      </c>
      <c r="I974" s="26" t="n">
        <v>1149.2</v>
      </c>
      <c r="J974" s="26" t="n">
        <v>0</v>
      </c>
      <c r="K974" s="26" t="n">
        <v>0</v>
      </c>
      <c r="L974" s="26" t="n">
        <v>0</v>
      </c>
      <c r="M974" s="26" t="n">
        <v>0</v>
      </c>
    </row>
    <row r="975" customFormat="false" ht="15" hidden="false" customHeight="false" outlineLevel="0" collapsed="false">
      <c r="A975" s="7" t="s">
        <v>85</v>
      </c>
      <c r="B975" s="7" t="n">
        <v>4421003</v>
      </c>
      <c r="C975" s="7" t="s">
        <v>573</v>
      </c>
      <c r="D975" s="26" t="n">
        <v>124</v>
      </c>
      <c r="E975" s="26" t="n">
        <v>0</v>
      </c>
      <c r="F975" s="26" t="n">
        <v>3</v>
      </c>
      <c r="G975" s="26" t="n">
        <v>0</v>
      </c>
      <c r="H975" s="26" t="n">
        <v>968</v>
      </c>
      <c r="I975" s="26" t="n">
        <v>98</v>
      </c>
      <c r="J975" s="26" t="n">
        <v>0</v>
      </c>
      <c r="K975" s="26" t="n">
        <v>0</v>
      </c>
      <c r="L975" s="26" t="n">
        <v>0</v>
      </c>
      <c r="M975" s="26" t="n">
        <v>0</v>
      </c>
    </row>
    <row r="976" customFormat="false" ht="15" hidden="false" customHeight="false" outlineLevel="0" collapsed="false">
      <c r="A976" s="7" t="s">
        <v>87</v>
      </c>
      <c r="B976" s="7" t="n">
        <v>4421003</v>
      </c>
      <c r="C976" s="7" t="s">
        <v>573</v>
      </c>
      <c r="D976" s="26" t="n">
        <v>4318.7</v>
      </c>
      <c r="E976" s="26" t="n">
        <v>0</v>
      </c>
      <c r="F976" s="26" t="n">
        <v>100</v>
      </c>
      <c r="G976" s="26" t="n">
        <v>0</v>
      </c>
      <c r="H976" s="26" t="n">
        <v>27666.3</v>
      </c>
      <c r="I976" s="26" t="n">
        <v>3049.8</v>
      </c>
      <c r="J976" s="26" t="n">
        <v>0</v>
      </c>
      <c r="K976" s="26" t="n">
        <v>0</v>
      </c>
      <c r="L976" s="26" t="n">
        <v>0</v>
      </c>
      <c r="M976" s="26" t="n">
        <v>0</v>
      </c>
    </row>
    <row r="977" customFormat="false" ht="15" hidden="false" customHeight="false" outlineLevel="0" collapsed="false">
      <c r="A977" s="7" t="s">
        <v>85</v>
      </c>
      <c r="B977" s="7" t="n">
        <v>4413370</v>
      </c>
      <c r="C977" s="7" t="s">
        <v>574</v>
      </c>
      <c r="D977" s="26" t="n">
        <v>324</v>
      </c>
      <c r="E977" s="26" t="n">
        <v>3</v>
      </c>
      <c r="F977" s="26" t="n">
        <v>3</v>
      </c>
      <c r="G977" s="26" t="n">
        <v>0</v>
      </c>
      <c r="H977" s="26" t="n">
        <v>1818</v>
      </c>
      <c r="I977" s="26" t="n">
        <v>142</v>
      </c>
      <c r="J977" s="26" t="n">
        <v>0</v>
      </c>
      <c r="K977" s="26" t="n">
        <v>0</v>
      </c>
      <c r="L977" s="26" t="n">
        <v>0</v>
      </c>
      <c r="M977" s="26" t="n">
        <v>0</v>
      </c>
    </row>
    <row r="978" customFormat="false" ht="15" hidden="false" customHeight="false" outlineLevel="0" collapsed="false">
      <c r="A978" s="7" t="s">
        <v>87</v>
      </c>
      <c r="B978" s="7" t="n">
        <v>4413370</v>
      </c>
      <c r="C978" s="7" t="s">
        <v>574</v>
      </c>
      <c r="D978" s="26" t="n">
        <v>12298.4</v>
      </c>
      <c r="E978" s="26" t="n">
        <v>120.8</v>
      </c>
      <c r="F978" s="26" t="n">
        <v>120.8</v>
      </c>
      <c r="G978" s="26" t="n">
        <v>0</v>
      </c>
      <c r="H978" s="26" t="n">
        <v>63005.9</v>
      </c>
      <c r="I978" s="26" t="n">
        <v>5326.8</v>
      </c>
      <c r="J978" s="26" t="n">
        <v>0</v>
      </c>
      <c r="K978" s="26" t="n">
        <v>0</v>
      </c>
      <c r="L978" s="26" t="n">
        <v>0</v>
      </c>
      <c r="M978" s="26" t="n">
        <v>0</v>
      </c>
    </row>
    <row r="979" customFormat="false" ht="15" hidden="false" customHeight="false" outlineLevel="0" collapsed="false">
      <c r="A979" s="7" t="s">
        <v>85</v>
      </c>
      <c r="B979" s="7" t="n">
        <v>4413371</v>
      </c>
      <c r="C979" s="7" t="s">
        <v>575</v>
      </c>
      <c r="D979" s="26" t="n">
        <v>52</v>
      </c>
      <c r="E979" s="26" t="n">
        <v>0</v>
      </c>
      <c r="F979" s="26" t="n">
        <v>6</v>
      </c>
      <c r="G979" s="26" t="n">
        <v>1</v>
      </c>
      <c r="H979" s="26" t="n">
        <v>84</v>
      </c>
      <c r="I979" s="26" t="n">
        <v>17</v>
      </c>
      <c r="J979" s="26" t="n">
        <v>0</v>
      </c>
      <c r="K979" s="26" t="n">
        <v>0</v>
      </c>
      <c r="L979" s="26" t="n">
        <v>0</v>
      </c>
      <c r="M979" s="26" t="n">
        <v>0</v>
      </c>
    </row>
    <row r="980" customFormat="false" ht="15" hidden="false" customHeight="false" outlineLevel="0" collapsed="false">
      <c r="A980" s="7" t="s">
        <v>87</v>
      </c>
      <c r="B980" s="7" t="n">
        <v>4413371</v>
      </c>
      <c r="C980" s="7" t="s">
        <v>575</v>
      </c>
      <c r="D980" s="26" t="n">
        <v>1511.3</v>
      </c>
      <c r="E980" s="26" t="n">
        <v>0</v>
      </c>
      <c r="F980" s="26" t="n">
        <v>176.9</v>
      </c>
      <c r="G980" s="26" t="n">
        <v>31.4</v>
      </c>
      <c r="H980" s="26" t="n">
        <v>2147.5</v>
      </c>
      <c r="I980" s="26" t="n">
        <v>467.8</v>
      </c>
      <c r="J980" s="26" t="n">
        <v>0</v>
      </c>
      <c r="K980" s="26" t="n">
        <v>0</v>
      </c>
      <c r="L980" s="26" t="n">
        <v>0</v>
      </c>
      <c r="M980" s="26" t="n">
        <v>0</v>
      </c>
    </row>
    <row r="981" customFormat="false" ht="15" hidden="false" customHeight="false" outlineLevel="0" collapsed="false">
      <c r="A981" s="7" t="s">
        <v>85</v>
      </c>
      <c r="B981" s="7" t="n">
        <v>4413066</v>
      </c>
      <c r="C981" s="7" t="s">
        <v>576</v>
      </c>
      <c r="D981" s="26" t="n">
        <v>146</v>
      </c>
      <c r="E981" s="26" t="n">
        <v>0</v>
      </c>
      <c r="F981" s="26" t="n">
        <v>3</v>
      </c>
      <c r="G981" s="26" t="n">
        <v>0</v>
      </c>
      <c r="H981" s="26" t="n">
        <v>0</v>
      </c>
      <c r="I981" s="26" t="n">
        <v>35</v>
      </c>
      <c r="J981" s="26" t="n">
        <v>0</v>
      </c>
      <c r="K981" s="26" t="n">
        <v>0</v>
      </c>
      <c r="L981" s="26" t="n">
        <v>0</v>
      </c>
      <c r="M981" s="26" t="n">
        <v>0</v>
      </c>
    </row>
    <row r="982" customFormat="false" ht="15" hidden="false" customHeight="false" outlineLevel="0" collapsed="false">
      <c r="A982" s="7" t="s">
        <v>87</v>
      </c>
      <c r="B982" s="7" t="n">
        <v>4413066</v>
      </c>
      <c r="C982" s="7" t="s">
        <v>576</v>
      </c>
      <c r="D982" s="26" t="n">
        <v>2763.7</v>
      </c>
      <c r="E982" s="26" t="n">
        <v>0</v>
      </c>
      <c r="F982" s="26" t="n">
        <v>47</v>
      </c>
      <c r="G982" s="26" t="n">
        <v>0</v>
      </c>
      <c r="H982" s="26" t="n">
        <v>0</v>
      </c>
      <c r="I982" s="26" t="n">
        <v>658.1</v>
      </c>
      <c r="J982" s="26" t="n">
        <v>0</v>
      </c>
      <c r="K982" s="26" t="n">
        <v>0</v>
      </c>
      <c r="L982" s="26" t="n">
        <v>0</v>
      </c>
      <c r="M982" s="26" t="n">
        <v>0</v>
      </c>
    </row>
    <row r="983" customFormat="false" ht="15" hidden="false" customHeight="false" outlineLevel="0" collapsed="false">
      <c r="A983" s="7" t="s">
        <v>85</v>
      </c>
      <c r="B983" s="7" t="n">
        <v>4401001</v>
      </c>
      <c r="C983" s="7" t="s">
        <v>577</v>
      </c>
      <c r="D983" s="26" t="n">
        <v>415</v>
      </c>
      <c r="E983" s="26" t="n">
        <v>0</v>
      </c>
      <c r="F983" s="26" t="n">
        <v>0</v>
      </c>
      <c r="G983" s="26" t="n">
        <v>0</v>
      </c>
      <c r="H983" s="26" t="n">
        <v>1142</v>
      </c>
      <c r="I983" s="26" t="n">
        <v>168</v>
      </c>
      <c r="J983" s="26" t="n">
        <v>0</v>
      </c>
      <c r="K983" s="26" t="n">
        <v>0</v>
      </c>
      <c r="L983" s="26" t="n">
        <v>0</v>
      </c>
      <c r="M983" s="26" t="n">
        <v>0</v>
      </c>
    </row>
    <row r="984" customFormat="false" ht="15" hidden="false" customHeight="false" outlineLevel="0" collapsed="false">
      <c r="A984" s="7" t="s">
        <v>87</v>
      </c>
      <c r="B984" s="7" t="n">
        <v>4401001</v>
      </c>
      <c r="C984" s="7" t="s">
        <v>577</v>
      </c>
      <c r="D984" s="26" t="n">
        <v>10290.8</v>
      </c>
      <c r="E984" s="26" t="n">
        <v>0</v>
      </c>
      <c r="F984" s="26" t="n">
        <v>-26</v>
      </c>
      <c r="G984" s="26" t="n">
        <v>0</v>
      </c>
      <c r="H984" s="26" t="n">
        <v>25972.9</v>
      </c>
      <c r="I984" s="26" t="n">
        <v>3675.6</v>
      </c>
      <c r="J984" s="26" t="n">
        <v>0</v>
      </c>
      <c r="K984" s="26" t="n">
        <v>0</v>
      </c>
      <c r="L984" s="26" t="n">
        <v>0</v>
      </c>
      <c r="M984" s="26" t="n">
        <v>0</v>
      </c>
    </row>
    <row r="985" customFormat="false" ht="15" hidden="false" customHeight="false" outlineLevel="0" collapsed="false">
      <c r="A985" s="7" t="s">
        <v>85</v>
      </c>
      <c r="B985" s="7" t="n">
        <v>4401000</v>
      </c>
      <c r="C985" s="7" t="s">
        <v>578</v>
      </c>
      <c r="D985" s="26" t="n">
        <v>328</v>
      </c>
      <c r="E985" s="26" t="n">
        <v>0</v>
      </c>
      <c r="F985" s="26" t="n">
        <v>0</v>
      </c>
      <c r="G985" s="26" t="n">
        <v>0</v>
      </c>
      <c r="H985" s="26" t="n">
        <v>1030</v>
      </c>
      <c r="I985" s="26" t="n">
        <v>134</v>
      </c>
      <c r="J985" s="26" t="n">
        <v>0</v>
      </c>
      <c r="K985" s="26" t="n">
        <v>0</v>
      </c>
      <c r="L985" s="26" t="n">
        <v>0</v>
      </c>
      <c r="M985" s="26" t="n">
        <v>0</v>
      </c>
    </row>
    <row r="986" customFormat="false" ht="15" hidden="false" customHeight="false" outlineLevel="0" collapsed="false">
      <c r="A986" s="7" t="s">
        <v>87</v>
      </c>
      <c r="B986" s="7" t="n">
        <v>4401000</v>
      </c>
      <c r="C986" s="7" t="s">
        <v>578</v>
      </c>
      <c r="D986" s="26" t="n">
        <v>7481.9</v>
      </c>
      <c r="E986" s="26" t="n">
        <v>0</v>
      </c>
      <c r="F986" s="26" t="n">
        <v>-23.6</v>
      </c>
      <c r="G986" s="26" t="n">
        <v>0</v>
      </c>
      <c r="H986" s="26" t="n">
        <v>22376.6</v>
      </c>
      <c r="I986" s="26" t="n">
        <v>2713.4</v>
      </c>
      <c r="J986" s="26" t="n">
        <v>0</v>
      </c>
      <c r="K986" s="26" t="n">
        <v>0</v>
      </c>
      <c r="L986" s="26" t="n">
        <v>0</v>
      </c>
      <c r="M986" s="26" t="n">
        <v>0</v>
      </c>
    </row>
    <row r="987" customFormat="false" ht="15" hidden="false" customHeight="false" outlineLevel="0" collapsed="false">
      <c r="A987" s="7" t="s">
        <v>85</v>
      </c>
      <c r="B987" s="7" t="n">
        <v>4408069</v>
      </c>
      <c r="C987" s="7" t="s">
        <v>579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-2</v>
      </c>
      <c r="I987" s="26" t="n">
        <v>0</v>
      </c>
      <c r="J987" s="26" t="n">
        <v>0</v>
      </c>
      <c r="K987" s="26" t="n">
        <v>0</v>
      </c>
      <c r="L987" s="26" t="n">
        <v>0</v>
      </c>
      <c r="M987" s="26" t="n">
        <v>0</v>
      </c>
    </row>
    <row r="988" customFormat="false" ht="15" hidden="false" customHeight="false" outlineLevel="0" collapsed="false">
      <c r="A988" s="7" t="s">
        <v>87</v>
      </c>
      <c r="B988" s="7" t="n">
        <v>4408069</v>
      </c>
      <c r="C988" s="7" t="s">
        <v>579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-136.3</v>
      </c>
      <c r="I988" s="26" t="n">
        <v>0</v>
      </c>
      <c r="J988" s="26" t="n">
        <v>0</v>
      </c>
      <c r="K988" s="26" t="n">
        <v>0</v>
      </c>
      <c r="L988" s="26" t="n">
        <v>0</v>
      </c>
      <c r="M988" s="26" t="n">
        <v>0</v>
      </c>
    </row>
    <row r="989" customFormat="false" ht="15" hidden="false" customHeight="false" outlineLevel="0" collapsed="false">
      <c r="A989" s="7" t="s">
        <v>85</v>
      </c>
      <c r="B989" s="7" t="n">
        <v>4413452</v>
      </c>
      <c r="C989" s="7" t="s">
        <v>580</v>
      </c>
      <c r="D989" s="26" t="n">
        <v>57</v>
      </c>
      <c r="E989" s="26" t="n">
        <v>4</v>
      </c>
      <c r="F989" s="26" t="n">
        <v>2</v>
      </c>
      <c r="G989" s="26" t="n">
        <v>0</v>
      </c>
      <c r="H989" s="26" t="n">
        <v>830</v>
      </c>
      <c r="I989" s="26" t="n">
        <v>28</v>
      </c>
      <c r="J989" s="26" t="n">
        <v>0</v>
      </c>
      <c r="K989" s="26" t="n">
        <v>0</v>
      </c>
      <c r="L989" s="26" t="n">
        <v>0</v>
      </c>
      <c r="M989" s="26" t="n">
        <v>0</v>
      </c>
    </row>
    <row r="990" customFormat="false" ht="15" hidden="false" customHeight="false" outlineLevel="0" collapsed="false">
      <c r="A990" s="7" t="s">
        <v>87</v>
      </c>
      <c r="B990" s="7" t="n">
        <v>4413452</v>
      </c>
      <c r="C990" s="7" t="s">
        <v>580</v>
      </c>
      <c r="D990" s="26" t="n">
        <v>2631.5</v>
      </c>
      <c r="E990" s="26" t="n">
        <v>189</v>
      </c>
      <c r="F990" s="26" t="n">
        <v>94.6</v>
      </c>
      <c r="G990" s="26" t="n">
        <v>0</v>
      </c>
      <c r="H990" s="26" t="n">
        <v>33989.9</v>
      </c>
      <c r="I990" s="26" t="n">
        <v>1234.2</v>
      </c>
      <c r="J990" s="26" t="n">
        <v>0</v>
      </c>
      <c r="K990" s="26" t="n">
        <v>0</v>
      </c>
      <c r="L990" s="26" t="n">
        <v>0</v>
      </c>
      <c r="M990" s="26" t="n">
        <v>0</v>
      </c>
    </row>
    <row r="991" customFormat="false" ht="15" hidden="false" customHeight="false" outlineLevel="0" collapsed="false">
      <c r="A991" s="7" t="s">
        <v>85</v>
      </c>
      <c r="B991" s="7" t="n">
        <v>4413069</v>
      </c>
      <c r="C991" s="7" t="s">
        <v>581</v>
      </c>
      <c r="D991" s="26" t="n">
        <v>-2</v>
      </c>
      <c r="E991" s="26" t="n">
        <v>0</v>
      </c>
      <c r="F991" s="26" t="n">
        <v>0</v>
      </c>
      <c r="G991" s="26" t="n">
        <v>0</v>
      </c>
      <c r="H991" s="26" t="n">
        <v>-16</v>
      </c>
      <c r="I991" s="26" t="n">
        <v>0</v>
      </c>
      <c r="J991" s="26" t="n">
        <v>0</v>
      </c>
      <c r="K991" s="26" t="n">
        <v>0</v>
      </c>
      <c r="L991" s="26" t="n">
        <v>0</v>
      </c>
      <c r="M991" s="26" t="n">
        <v>0</v>
      </c>
    </row>
    <row r="992" customFormat="false" ht="15" hidden="false" customHeight="false" outlineLevel="0" collapsed="false">
      <c r="A992" s="7" t="s">
        <v>87</v>
      </c>
      <c r="B992" s="7" t="n">
        <v>4413069</v>
      </c>
      <c r="C992" s="7" t="s">
        <v>581</v>
      </c>
      <c r="D992" s="26" t="n">
        <v>-152.1</v>
      </c>
      <c r="E992" s="26" t="n">
        <v>0</v>
      </c>
      <c r="F992" s="26" t="n">
        <v>0</v>
      </c>
      <c r="G992" s="26" t="n">
        <v>0</v>
      </c>
      <c r="H992" s="26" t="n">
        <v>-1026.6</v>
      </c>
      <c r="I992" s="26" t="n">
        <v>0</v>
      </c>
      <c r="J992" s="26" t="n">
        <v>0</v>
      </c>
      <c r="K992" s="26" t="n">
        <v>0</v>
      </c>
      <c r="L992" s="26" t="n">
        <v>0</v>
      </c>
      <c r="M992" s="26" t="n">
        <v>0</v>
      </c>
    </row>
    <row r="993" customFormat="false" ht="15" hidden="false" customHeight="false" outlineLevel="0" collapsed="false">
      <c r="A993" s="7" t="s">
        <v>85</v>
      </c>
      <c r="B993" s="7" t="n">
        <v>4413070</v>
      </c>
      <c r="C993" s="7" t="s">
        <v>582</v>
      </c>
      <c r="D993" s="26" t="n">
        <v>-1</v>
      </c>
      <c r="E993" s="26" t="n">
        <v>0</v>
      </c>
      <c r="F993" s="26" t="n">
        <v>0</v>
      </c>
      <c r="G993" s="26" t="n">
        <v>0</v>
      </c>
      <c r="H993" s="26" t="n">
        <v>-12</v>
      </c>
      <c r="I993" s="26" t="n">
        <v>0</v>
      </c>
      <c r="J993" s="26" t="n">
        <v>0</v>
      </c>
      <c r="K993" s="26" t="n">
        <v>0</v>
      </c>
      <c r="L993" s="26" t="n">
        <v>0</v>
      </c>
      <c r="M993" s="26" t="n">
        <v>0</v>
      </c>
    </row>
    <row r="994" customFormat="false" ht="15" hidden="false" customHeight="false" outlineLevel="0" collapsed="false">
      <c r="A994" s="7" t="s">
        <v>87</v>
      </c>
      <c r="B994" s="7" t="n">
        <v>4413070</v>
      </c>
      <c r="C994" s="7" t="s">
        <v>582</v>
      </c>
      <c r="D994" s="26" t="n">
        <v>-74</v>
      </c>
      <c r="E994" s="26" t="n">
        <v>0</v>
      </c>
      <c r="F994" s="26" t="n">
        <v>0</v>
      </c>
      <c r="G994" s="26" t="n">
        <v>0</v>
      </c>
      <c r="H994" s="26" t="n">
        <v>-769.9</v>
      </c>
      <c r="I994" s="26" t="n">
        <v>0</v>
      </c>
      <c r="J994" s="26" t="n">
        <v>0</v>
      </c>
      <c r="K994" s="26" t="n">
        <v>0</v>
      </c>
      <c r="L994" s="26" t="n">
        <v>0</v>
      </c>
      <c r="M994" s="26" t="n">
        <v>0</v>
      </c>
    </row>
    <row r="995" customFormat="false" ht="15" hidden="false" customHeight="false" outlineLevel="0" collapsed="false">
      <c r="A995" s="7" t="s">
        <v>85</v>
      </c>
      <c r="B995" s="7" t="n">
        <v>4411015</v>
      </c>
      <c r="C995" s="7" t="s">
        <v>583</v>
      </c>
      <c r="D995" s="26" t="n">
        <v>49</v>
      </c>
      <c r="E995" s="26" t="n">
        <v>0</v>
      </c>
      <c r="F995" s="26" t="n">
        <v>0</v>
      </c>
      <c r="G995" s="26" t="n">
        <v>0</v>
      </c>
      <c r="H995" s="26" t="n">
        <v>21</v>
      </c>
      <c r="I995" s="26" t="n">
        <v>0</v>
      </c>
      <c r="J995" s="26" t="n">
        <v>0</v>
      </c>
      <c r="K995" s="26" t="n">
        <v>0</v>
      </c>
      <c r="L995" s="26" t="n">
        <v>0</v>
      </c>
      <c r="M995" s="26" t="n">
        <v>0</v>
      </c>
    </row>
    <row r="996" customFormat="false" ht="15" hidden="false" customHeight="false" outlineLevel="0" collapsed="false">
      <c r="A996" s="7" t="s">
        <v>87</v>
      </c>
      <c r="B996" s="7" t="n">
        <v>4411015</v>
      </c>
      <c r="C996" s="7" t="s">
        <v>583</v>
      </c>
      <c r="D996" s="26" t="n">
        <v>2276.2</v>
      </c>
      <c r="E996" s="26" t="n">
        <v>0</v>
      </c>
      <c r="F996" s="26" t="n">
        <v>0</v>
      </c>
      <c r="G996" s="26" t="n">
        <v>0</v>
      </c>
      <c r="H996" s="26" t="n">
        <v>826.4</v>
      </c>
      <c r="I996" s="26" t="n">
        <v>0</v>
      </c>
      <c r="J996" s="26" t="n">
        <v>0</v>
      </c>
      <c r="K996" s="26" t="n">
        <v>0</v>
      </c>
      <c r="L996" s="26" t="n">
        <v>0</v>
      </c>
      <c r="M996" s="26" t="n">
        <v>0</v>
      </c>
    </row>
    <row r="997" customFormat="false" ht="15" hidden="false" customHeight="false" outlineLevel="0" collapsed="false">
      <c r="A997" s="7" t="s">
        <v>85</v>
      </c>
      <c r="B997" s="7" t="n">
        <v>4413307</v>
      </c>
      <c r="C997" s="7" t="s">
        <v>584</v>
      </c>
      <c r="D997" s="26" t="n">
        <v>139</v>
      </c>
      <c r="E997" s="26" t="n">
        <v>0</v>
      </c>
      <c r="F997" s="26" t="n">
        <v>2</v>
      </c>
      <c r="G997" s="26" t="n">
        <v>0</v>
      </c>
      <c r="H997" s="26" t="n">
        <v>962</v>
      </c>
      <c r="I997" s="26" t="n">
        <v>79</v>
      </c>
      <c r="J997" s="26" t="n">
        <v>0</v>
      </c>
      <c r="K997" s="26" t="n">
        <v>0</v>
      </c>
      <c r="L997" s="26" t="n">
        <v>0</v>
      </c>
      <c r="M997" s="26" t="n">
        <v>0</v>
      </c>
    </row>
    <row r="998" customFormat="false" ht="15" hidden="false" customHeight="false" outlineLevel="0" collapsed="false">
      <c r="A998" s="7" t="s">
        <v>87</v>
      </c>
      <c r="B998" s="7" t="n">
        <v>4413307</v>
      </c>
      <c r="C998" s="7" t="s">
        <v>584</v>
      </c>
      <c r="D998" s="26" t="n">
        <v>4291.2</v>
      </c>
      <c r="E998" s="26" t="n">
        <v>0</v>
      </c>
      <c r="F998" s="26" t="n">
        <v>41.2</v>
      </c>
      <c r="G998" s="26" t="n">
        <v>0</v>
      </c>
      <c r="H998" s="26" t="n">
        <v>25707.7</v>
      </c>
      <c r="I998" s="26" t="n">
        <v>2285.4</v>
      </c>
      <c r="J998" s="26" t="n">
        <v>0</v>
      </c>
      <c r="K998" s="26" t="n">
        <v>0</v>
      </c>
      <c r="L998" s="26" t="n">
        <v>0</v>
      </c>
      <c r="M998" s="26" t="n">
        <v>0</v>
      </c>
    </row>
    <row r="999" customFormat="false" ht="15" hidden="false" customHeight="false" outlineLevel="0" collapsed="false">
      <c r="A999" s="7" t="s">
        <v>85</v>
      </c>
      <c r="B999" s="7" t="n">
        <v>4411000</v>
      </c>
      <c r="C999" s="7" t="s">
        <v>585</v>
      </c>
      <c r="D999" s="26" t="n">
        <v>296</v>
      </c>
      <c r="E999" s="26" t="n">
        <v>3</v>
      </c>
      <c r="F999" s="26" t="n">
        <v>10</v>
      </c>
      <c r="G999" s="26" t="n">
        <v>0</v>
      </c>
      <c r="H999" s="26" t="n">
        <v>2204</v>
      </c>
      <c r="I999" s="26" t="n">
        <v>155</v>
      </c>
      <c r="J999" s="26" t="n">
        <v>0</v>
      </c>
      <c r="K999" s="26" t="n">
        <v>0</v>
      </c>
      <c r="L999" s="26" t="n">
        <v>0</v>
      </c>
      <c r="M999" s="26" t="n">
        <v>0</v>
      </c>
    </row>
    <row r="1000" customFormat="false" ht="15" hidden="false" customHeight="false" outlineLevel="0" collapsed="false">
      <c r="A1000" s="7" t="s">
        <v>87</v>
      </c>
      <c r="B1000" s="7" t="n">
        <v>4411000</v>
      </c>
      <c r="C1000" s="7" t="s">
        <v>585</v>
      </c>
      <c r="D1000" s="26" t="n">
        <v>8347.3</v>
      </c>
      <c r="E1000" s="26" t="n">
        <v>80.6</v>
      </c>
      <c r="F1000" s="26" t="n">
        <v>268.7</v>
      </c>
      <c r="G1000" s="26" t="n">
        <v>0</v>
      </c>
      <c r="H1000" s="26" t="n">
        <v>51118.9</v>
      </c>
      <c r="I1000" s="26" t="n">
        <v>3879.9</v>
      </c>
      <c r="J1000" s="26" t="n">
        <v>0</v>
      </c>
      <c r="K1000" s="26" t="n">
        <v>0</v>
      </c>
      <c r="L1000" s="26" t="n">
        <v>0</v>
      </c>
      <c r="M1000" s="26" t="n">
        <v>0</v>
      </c>
    </row>
    <row r="1001" customFormat="false" ht="15" hidden="false" customHeight="false" outlineLevel="0" collapsed="false">
      <c r="A1001" s="7" t="s">
        <v>85</v>
      </c>
      <c r="B1001" s="7" t="n">
        <v>4401002</v>
      </c>
      <c r="C1001" s="7" t="s">
        <v>586</v>
      </c>
      <c r="D1001" s="26" t="n">
        <v>261</v>
      </c>
      <c r="E1001" s="26" t="n">
        <v>0</v>
      </c>
      <c r="F1001" s="26" t="n">
        <v>0</v>
      </c>
      <c r="G1001" s="26" t="n">
        <v>0</v>
      </c>
      <c r="H1001" s="26" t="n">
        <v>0</v>
      </c>
      <c r="I1001" s="26" t="n">
        <v>118</v>
      </c>
      <c r="J1001" s="26" t="n">
        <v>0</v>
      </c>
      <c r="K1001" s="26" t="n">
        <v>0</v>
      </c>
      <c r="L1001" s="26" t="n">
        <v>0</v>
      </c>
      <c r="M1001" s="26" t="n">
        <v>0</v>
      </c>
    </row>
    <row r="1002" customFormat="false" ht="15" hidden="false" customHeight="false" outlineLevel="0" collapsed="false">
      <c r="A1002" s="7" t="s">
        <v>87</v>
      </c>
      <c r="B1002" s="7" t="n">
        <v>4401002</v>
      </c>
      <c r="C1002" s="7" t="s">
        <v>586</v>
      </c>
      <c r="D1002" s="26" t="n">
        <v>2239.4</v>
      </c>
      <c r="E1002" s="26" t="n">
        <v>0</v>
      </c>
      <c r="F1002" s="26" t="n">
        <v>-8.5</v>
      </c>
      <c r="G1002" s="26" t="n">
        <v>0</v>
      </c>
      <c r="H1002" s="26" t="n">
        <v>0</v>
      </c>
      <c r="I1002" s="26" t="n">
        <v>851.9</v>
      </c>
      <c r="J1002" s="26" t="n">
        <v>0</v>
      </c>
      <c r="K1002" s="26" t="n">
        <v>0</v>
      </c>
      <c r="L1002" s="26" t="n">
        <v>0</v>
      </c>
      <c r="M1002" s="26" t="n">
        <v>0</v>
      </c>
    </row>
    <row r="1003" customFormat="false" ht="15" hidden="false" customHeight="false" outlineLevel="0" collapsed="false">
      <c r="A1003" s="7" t="s">
        <v>85</v>
      </c>
      <c r="B1003" s="7" t="n">
        <v>4419006</v>
      </c>
      <c r="C1003" s="7" t="s">
        <v>587</v>
      </c>
      <c r="D1003" s="26" t="n">
        <v>1054</v>
      </c>
      <c r="E1003" s="26" t="n">
        <v>0</v>
      </c>
      <c r="F1003" s="26" t="n">
        <v>9</v>
      </c>
      <c r="G1003" s="26" t="n">
        <v>0</v>
      </c>
      <c r="H1003" s="26" t="n">
        <v>0</v>
      </c>
      <c r="I1003" s="26" t="n">
        <v>928</v>
      </c>
      <c r="J1003" s="26" t="n">
        <v>0</v>
      </c>
      <c r="K1003" s="26" t="n">
        <v>0</v>
      </c>
      <c r="L1003" s="26" t="n">
        <v>0</v>
      </c>
      <c r="M1003" s="26" t="n">
        <v>0</v>
      </c>
    </row>
    <row r="1004" customFormat="false" ht="15" hidden="false" customHeight="false" outlineLevel="0" collapsed="false">
      <c r="A1004" s="7" t="s">
        <v>87</v>
      </c>
      <c r="B1004" s="7" t="n">
        <v>4419006</v>
      </c>
      <c r="C1004" s="7" t="s">
        <v>587</v>
      </c>
      <c r="D1004" s="26" t="n">
        <v>14444.1</v>
      </c>
      <c r="E1004" s="26" t="n">
        <v>0</v>
      </c>
      <c r="F1004" s="26" t="n">
        <v>108.4</v>
      </c>
      <c r="G1004" s="26" t="n">
        <v>0</v>
      </c>
      <c r="H1004" s="26" t="n">
        <v>0</v>
      </c>
      <c r="I1004" s="26" t="n">
        <v>12205.1</v>
      </c>
      <c r="J1004" s="26" t="n">
        <v>0</v>
      </c>
      <c r="K1004" s="26" t="n">
        <v>0</v>
      </c>
      <c r="L1004" s="26" t="n">
        <v>0</v>
      </c>
      <c r="M1004" s="26" t="n">
        <v>0</v>
      </c>
    </row>
    <row r="1005" customFormat="false" ht="15" hidden="false" customHeight="false" outlineLevel="0" collapsed="false">
      <c r="A1005" s="7" t="s">
        <v>85</v>
      </c>
      <c r="B1005" s="7" t="n">
        <v>4413150</v>
      </c>
      <c r="C1005" s="7" t="s">
        <v>588</v>
      </c>
      <c r="D1005" s="26" t="n">
        <v>49</v>
      </c>
      <c r="E1005" s="26" t="n">
        <v>0</v>
      </c>
      <c r="F1005" s="26" t="n">
        <v>0</v>
      </c>
      <c r="G1005" s="26" t="n">
        <v>0</v>
      </c>
      <c r="H1005" s="26" t="n">
        <v>68</v>
      </c>
      <c r="I1005" s="26" t="n">
        <v>111</v>
      </c>
      <c r="J1005" s="26" t="n">
        <v>0</v>
      </c>
      <c r="K1005" s="26" t="n">
        <v>0</v>
      </c>
      <c r="L1005" s="26" t="n">
        <v>0</v>
      </c>
      <c r="M1005" s="26" t="n">
        <v>0</v>
      </c>
    </row>
    <row r="1006" customFormat="false" ht="15" hidden="false" customHeight="false" outlineLevel="0" collapsed="false">
      <c r="A1006" s="7" t="s">
        <v>87</v>
      </c>
      <c r="B1006" s="7" t="n">
        <v>4413150</v>
      </c>
      <c r="C1006" s="7" t="s">
        <v>588</v>
      </c>
      <c r="D1006" s="26" t="n">
        <v>1383.8</v>
      </c>
      <c r="E1006" s="26" t="n">
        <v>0</v>
      </c>
      <c r="F1006" s="26" t="n">
        <v>0</v>
      </c>
      <c r="G1006" s="26" t="n">
        <v>0</v>
      </c>
      <c r="H1006" s="26" t="n">
        <v>1686.8</v>
      </c>
      <c r="I1006" s="26" t="n">
        <v>2961.7</v>
      </c>
      <c r="J1006" s="26" t="n">
        <v>0</v>
      </c>
      <c r="K1006" s="26" t="n">
        <v>0</v>
      </c>
      <c r="L1006" s="26" t="n">
        <v>0</v>
      </c>
      <c r="M1006" s="26" t="n">
        <v>0</v>
      </c>
    </row>
    <row r="1007" customFormat="false" ht="15" hidden="false" customHeight="false" outlineLevel="0" collapsed="false">
      <c r="A1007" s="7" t="s">
        <v>85</v>
      </c>
      <c r="B1007" s="7" t="n">
        <v>4417000</v>
      </c>
      <c r="C1007" s="7" t="s">
        <v>589</v>
      </c>
      <c r="D1007" s="26" t="n">
        <v>216</v>
      </c>
      <c r="E1007" s="26" t="n">
        <v>0</v>
      </c>
      <c r="F1007" s="26" t="n">
        <v>4</v>
      </c>
      <c r="G1007" s="26" t="n">
        <v>0</v>
      </c>
      <c r="H1007" s="26" t="n">
        <v>0</v>
      </c>
      <c r="I1007" s="26" t="n">
        <v>196</v>
      </c>
      <c r="J1007" s="26" t="n">
        <v>0</v>
      </c>
      <c r="K1007" s="26" t="n">
        <v>0</v>
      </c>
      <c r="L1007" s="26" t="n">
        <v>0</v>
      </c>
      <c r="M1007" s="26" t="n">
        <v>0</v>
      </c>
    </row>
    <row r="1008" customFormat="false" ht="15" hidden="false" customHeight="false" outlineLevel="0" collapsed="false">
      <c r="A1008" s="7" t="s">
        <v>87</v>
      </c>
      <c r="B1008" s="7" t="n">
        <v>4417000</v>
      </c>
      <c r="C1008" s="7" t="s">
        <v>589</v>
      </c>
      <c r="D1008" s="26" t="n">
        <v>5363.4</v>
      </c>
      <c r="E1008" s="26" t="n">
        <v>0</v>
      </c>
      <c r="F1008" s="26" t="n">
        <v>83.9</v>
      </c>
      <c r="G1008" s="26" t="n">
        <v>0</v>
      </c>
      <c r="H1008" s="26" t="n">
        <v>0</v>
      </c>
      <c r="I1008" s="26" t="n">
        <v>4287.3</v>
      </c>
      <c r="J1008" s="26" t="n">
        <v>0</v>
      </c>
      <c r="K1008" s="26" t="n">
        <v>0</v>
      </c>
      <c r="L1008" s="26" t="n">
        <v>0</v>
      </c>
      <c r="M1008" s="26" t="n">
        <v>0</v>
      </c>
    </row>
    <row r="1009" customFormat="false" ht="15" hidden="false" customHeight="false" outlineLevel="0" collapsed="false">
      <c r="A1009" s="7" t="s">
        <v>85</v>
      </c>
      <c r="B1009" s="7" t="n">
        <v>4417001</v>
      </c>
      <c r="C1009" s="7" t="s">
        <v>590</v>
      </c>
      <c r="D1009" s="26" t="n">
        <v>-1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0</v>
      </c>
      <c r="J1009" s="26" t="n">
        <v>0</v>
      </c>
      <c r="K1009" s="26" t="n">
        <v>0</v>
      </c>
      <c r="L1009" s="26" t="n">
        <v>0</v>
      </c>
      <c r="M1009" s="26" t="n">
        <v>0</v>
      </c>
    </row>
    <row r="1010" customFormat="false" ht="15" hidden="false" customHeight="false" outlineLevel="0" collapsed="false">
      <c r="A1010" s="7" t="s">
        <v>87</v>
      </c>
      <c r="B1010" s="7" t="n">
        <v>4417001</v>
      </c>
      <c r="C1010" s="7" t="s">
        <v>590</v>
      </c>
      <c r="D1010" s="26" t="n">
        <v>-9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0</v>
      </c>
      <c r="J1010" s="26" t="n">
        <v>0</v>
      </c>
      <c r="K1010" s="26" t="n">
        <v>0</v>
      </c>
      <c r="L1010" s="26" t="n">
        <v>0</v>
      </c>
      <c r="M1010" s="26" t="n">
        <v>0</v>
      </c>
    </row>
    <row r="1011" customFormat="false" ht="15" hidden="false" customHeight="false" outlineLevel="0" collapsed="false">
      <c r="A1011" s="7" t="s">
        <v>85</v>
      </c>
      <c r="B1011" s="7" t="n">
        <v>4415080</v>
      </c>
      <c r="C1011" s="7" t="s">
        <v>591</v>
      </c>
      <c r="D1011" s="26" t="n">
        <v>44</v>
      </c>
      <c r="E1011" s="26" t="n">
        <v>0</v>
      </c>
      <c r="F1011" s="26" t="n">
        <v>0</v>
      </c>
      <c r="G1011" s="26" t="n">
        <v>0</v>
      </c>
      <c r="H1011" s="26" t="n">
        <v>97</v>
      </c>
      <c r="I1011" s="26" t="n">
        <v>69</v>
      </c>
      <c r="J1011" s="26" t="n">
        <v>0</v>
      </c>
      <c r="K1011" s="26" t="n">
        <v>0</v>
      </c>
      <c r="L1011" s="26" t="n">
        <v>0</v>
      </c>
      <c r="M1011" s="26" t="n">
        <v>0</v>
      </c>
    </row>
    <row r="1012" customFormat="false" ht="15" hidden="false" customHeight="false" outlineLevel="0" collapsed="false">
      <c r="A1012" s="7" t="s">
        <v>87</v>
      </c>
      <c r="B1012" s="7" t="n">
        <v>4415080</v>
      </c>
      <c r="C1012" s="7" t="s">
        <v>591</v>
      </c>
      <c r="D1012" s="26" t="n">
        <v>419.3</v>
      </c>
      <c r="E1012" s="26" t="n">
        <v>0</v>
      </c>
      <c r="F1012" s="26" t="n">
        <v>0</v>
      </c>
      <c r="G1012" s="26" t="n">
        <v>0</v>
      </c>
      <c r="H1012" s="26" t="n">
        <v>791.2</v>
      </c>
      <c r="I1012" s="26" t="n">
        <v>564.4</v>
      </c>
      <c r="J1012" s="26" t="n">
        <v>0</v>
      </c>
      <c r="K1012" s="26" t="n">
        <v>0</v>
      </c>
      <c r="L1012" s="26" t="n">
        <v>0</v>
      </c>
      <c r="M1012" s="26" t="n">
        <v>0</v>
      </c>
    </row>
    <row r="1013" customFormat="false" ht="15" hidden="false" customHeight="false" outlineLevel="0" collapsed="false">
      <c r="A1013" s="7" t="s">
        <v>85</v>
      </c>
      <c r="B1013" s="7" t="n">
        <v>4413152</v>
      </c>
      <c r="C1013" s="7" t="s">
        <v>592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0</v>
      </c>
      <c r="J1013" s="26" t="n">
        <v>0</v>
      </c>
      <c r="K1013" s="26" t="n">
        <v>0</v>
      </c>
      <c r="L1013" s="26" t="n">
        <v>0</v>
      </c>
      <c r="M1013" s="26" t="n">
        <v>0</v>
      </c>
    </row>
    <row r="1014" customFormat="false" ht="15" hidden="false" customHeight="false" outlineLevel="0" collapsed="false">
      <c r="A1014" s="7" t="s">
        <v>87</v>
      </c>
      <c r="B1014" s="7" t="n">
        <v>4413152</v>
      </c>
      <c r="C1014" s="7" t="s">
        <v>592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0</v>
      </c>
      <c r="J1014" s="26" t="n">
        <v>0</v>
      </c>
      <c r="K1014" s="26" t="n">
        <v>0</v>
      </c>
      <c r="L1014" s="26" t="n">
        <v>0</v>
      </c>
      <c r="M1014" s="26" t="n">
        <v>0</v>
      </c>
    </row>
    <row r="1015" customFormat="false" ht="15" hidden="false" customHeight="false" outlineLevel="0" collapsed="false">
      <c r="A1015" s="7" t="s">
        <v>85</v>
      </c>
      <c r="B1015" s="7" t="n">
        <v>4411029</v>
      </c>
      <c r="C1015" s="7" t="s">
        <v>593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0</v>
      </c>
      <c r="J1015" s="26" t="n">
        <v>0</v>
      </c>
      <c r="K1015" s="26" t="n">
        <v>0</v>
      </c>
      <c r="L1015" s="26" t="n">
        <v>0</v>
      </c>
      <c r="M1015" s="26" t="n">
        <v>0</v>
      </c>
    </row>
    <row r="1016" customFormat="false" ht="15" hidden="false" customHeight="false" outlineLevel="0" collapsed="false">
      <c r="A1016" s="7" t="s">
        <v>87</v>
      </c>
      <c r="B1016" s="7" t="n">
        <v>4411029</v>
      </c>
      <c r="C1016" s="7" t="s">
        <v>593</v>
      </c>
      <c r="D1016" s="26" t="n">
        <v>0</v>
      </c>
      <c r="E1016" s="26" t="n">
        <v>0</v>
      </c>
      <c r="F1016" s="26" t="n">
        <v>0</v>
      </c>
      <c r="G1016" s="26" t="n">
        <v>0</v>
      </c>
      <c r="H1016" s="26" t="n">
        <v>0</v>
      </c>
      <c r="I1016" s="26" t="n">
        <v>0</v>
      </c>
      <c r="J1016" s="26" t="n">
        <v>0</v>
      </c>
      <c r="K1016" s="26" t="n">
        <v>0</v>
      </c>
      <c r="L1016" s="26" t="n">
        <v>0</v>
      </c>
      <c r="M1016" s="26" t="n">
        <v>0</v>
      </c>
    </row>
    <row r="1017" customFormat="false" ht="15" hidden="false" customHeight="false" outlineLevel="0" collapsed="false">
      <c r="A1017" s="7" t="s">
        <v>85</v>
      </c>
      <c r="B1017" s="7" t="n">
        <v>4408046</v>
      </c>
      <c r="C1017" s="7" t="s">
        <v>594</v>
      </c>
      <c r="D1017" s="26" t="n">
        <v>167</v>
      </c>
      <c r="E1017" s="26" t="n">
        <v>0</v>
      </c>
      <c r="F1017" s="26" t="n">
        <v>2</v>
      </c>
      <c r="G1017" s="26" t="n">
        <v>0</v>
      </c>
      <c r="H1017" s="26" t="n">
        <v>189</v>
      </c>
      <c r="I1017" s="26" t="n">
        <v>98</v>
      </c>
      <c r="J1017" s="26" t="n">
        <v>0</v>
      </c>
      <c r="K1017" s="26" t="n">
        <v>0</v>
      </c>
      <c r="L1017" s="26" t="n">
        <v>0</v>
      </c>
      <c r="M1017" s="26" t="n">
        <v>0</v>
      </c>
    </row>
    <row r="1018" customFormat="false" ht="15" hidden="false" customHeight="false" outlineLevel="0" collapsed="false">
      <c r="A1018" s="7" t="s">
        <v>87</v>
      </c>
      <c r="B1018" s="7" t="n">
        <v>4408046</v>
      </c>
      <c r="C1018" s="7" t="s">
        <v>594</v>
      </c>
      <c r="D1018" s="26" t="n">
        <v>5468.9</v>
      </c>
      <c r="E1018" s="26" t="n">
        <v>0</v>
      </c>
      <c r="F1018" s="26" t="n">
        <v>66.1</v>
      </c>
      <c r="G1018" s="26" t="n">
        <v>0</v>
      </c>
      <c r="H1018" s="26" t="n">
        <v>4743.3</v>
      </c>
      <c r="I1018" s="26" t="n">
        <v>2662.6</v>
      </c>
      <c r="J1018" s="26" t="n">
        <v>0</v>
      </c>
      <c r="K1018" s="26" t="n">
        <v>0</v>
      </c>
      <c r="L1018" s="26" t="n">
        <v>0</v>
      </c>
      <c r="M1018" s="26" t="n">
        <v>0</v>
      </c>
    </row>
    <row r="1019" customFormat="false" ht="15" hidden="false" customHeight="false" outlineLevel="0" collapsed="false">
      <c r="A1019" s="7" t="s">
        <v>85</v>
      </c>
      <c r="B1019" s="7" t="n">
        <v>4408047</v>
      </c>
      <c r="C1019" s="7" t="s">
        <v>595</v>
      </c>
      <c r="D1019" s="26" t="n">
        <v>194</v>
      </c>
      <c r="E1019" s="26" t="n">
        <v>0</v>
      </c>
      <c r="F1019" s="26" t="n">
        <v>0</v>
      </c>
      <c r="G1019" s="26" t="n">
        <v>0</v>
      </c>
      <c r="H1019" s="26" t="n">
        <v>282</v>
      </c>
      <c r="I1019" s="26" t="n">
        <v>107</v>
      </c>
      <c r="J1019" s="26" t="n">
        <v>0</v>
      </c>
      <c r="K1019" s="26" t="n">
        <v>0</v>
      </c>
      <c r="L1019" s="26" t="n">
        <v>0</v>
      </c>
      <c r="M1019" s="26" t="n">
        <v>0</v>
      </c>
    </row>
    <row r="1020" customFormat="false" ht="15" hidden="false" customHeight="false" outlineLevel="0" collapsed="false">
      <c r="A1020" s="7" t="s">
        <v>87</v>
      </c>
      <c r="B1020" s="7" t="n">
        <v>4408047</v>
      </c>
      <c r="C1020" s="7" t="s">
        <v>595</v>
      </c>
      <c r="D1020" s="26" t="n">
        <v>6304</v>
      </c>
      <c r="E1020" s="26" t="n">
        <v>0</v>
      </c>
      <c r="F1020" s="26" t="n">
        <v>0</v>
      </c>
      <c r="G1020" s="26" t="n">
        <v>0</v>
      </c>
      <c r="H1020" s="26" t="n">
        <v>7085.9</v>
      </c>
      <c r="I1020" s="26" t="n">
        <v>2906.8</v>
      </c>
      <c r="J1020" s="26" t="n">
        <v>0</v>
      </c>
      <c r="K1020" s="26" t="n">
        <v>0</v>
      </c>
      <c r="L1020" s="26" t="n">
        <v>0</v>
      </c>
      <c r="M1020" s="26" t="n">
        <v>0</v>
      </c>
    </row>
    <row r="1021" customFormat="false" ht="15" hidden="false" customHeight="false" outlineLevel="0" collapsed="false">
      <c r="A1021" s="7" t="s">
        <v>85</v>
      </c>
      <c r="B1021" s="7" t="n">
        <v>4408048</v>
      </c>
      <c r="C1021" s="7" t="s">
        <v>596</v>
      </c>
      <c r="D1021" s="26" t="n">
        <v>125</v>
      </c>
      <c r="E1021" s="26" t="n">
        <v>1</v>
      </c>
      <c r="F1021" s="26" t="n">
        <v>3</v>
      </c>
      <c r="G1021" s="26" t="n">
        <v>0</v>
      </c>
      <c r="H1021" s="26" t="n">
        <v>183</v>
      </c>
      <c r="I1021" s="26" t="n">
        <v>98</v>
      </c>
      <c r="J1021" s="26" t="n">
        <v>0</v>
      </c>
      <c r="K1021" s="26" t="n">
        <v>0</v>
      </c>
      <c r="L1021" s="26" t="n">
        <v>0</v>
      </c>
      <c r="M1021" s="26" t="n">
        <v>0</v>
      </c>
    </row>
    <row r="1022" customFormat="false" ht="15" hidden="false" customHeight="false" outlineLevel="0" collapsed="false">
      <c r="A1022" s="7" t="s">
        <v>87</v>
      </c>
      <c r="B1022" s="7" t="n">
        <v>4408048</v>
      </c>
      <c r="C1022" s="7" t="s">
        <v>596</v>
      </c>
      <c r="D1022" s="26" t="n">
        <v>4083.6</v>
      </c>
      <c r="E1022" s="26" t="n">
        <v>33</v>
      </c>
      <c r="F1022" s="26" t="n">
        <v>99.7</v>
      </c>
      <c r="G1022" s="26" t="n">
        <v>0</v>
      </c>
      <c r="H1022" s="26" t="n">
        <v>4593.4</v>
      </c>
      <c r="I1022" s="26" t="n">
        <v>2659.5</v>
      </c>
      <c r="J1022" s="26" t="n">
        <v>0</v>
      </c>
      <c r="K1022" s="26" t="n">
        <v>0</v>
      </c>
      <c r="L1022" s="26" t="n">
        <v>0</v>
      </c>
      <c r="M1022" s="26" t="n">
        <v>0</v>
      </c>
    </row>
    <row r="1023" customFormat="false" ht="15" hidden="false" customHeight="false" outlineLevel="0" collapsed="false">
      <c r="A1023" s="7" t="s">
        <v>85</v>
      </c>
      <c r="B1023" s="7" t="n">
        <v>4408049</v>
      </c>
      <c r="C1023" s="7" t="s">
        <v>597</v>
      </c>
      <c r="D1023" s="26" t="n">
        <v>77</v>
      </c>
      <c r="E1023" s="26" t="n">
        <v>1</v>
      </c>
      <c r="F1023" s="26" t="n">
        <v>2</v>
      </c>
      <c r="G1023" s="26" t="n">
        <v>0</v>
      </c>
      <c r="H1023" s="26" t="n">
        <v>84</v>
      </c>
      <c r="I1023" s="26" t="n">
        <v>41</v>
      </c>
      <c r="J1023" s="26" t="n">
        <v>0</v>
      </c>
      <c r="K1023" s="26" t="n">
        <v>0</v>
      </c>
      <c r="L1023" s="26" t="n">
        <v>0</v>
      </c>
      <c r="M1023" s="26" t="n">
        <v>0</v>
      </c>
    </row>
    <row r="1024" customFormat="false" ht="15" hidden="false" customHeight="false" outlineLevel="0" collapsed="false">
      <c r="A1024" s="7" t="s">
        <v>87</v>
      </c>
      <c r="B1024" s="7" t="n">
        <v>4408049</v>
      </c>
      <c r="C1024" s="7" t="s">
        <v>597</v>
      </c>
      <c r="D1024" s="26" t="n">
        <v>2504.3</v>
      </c>
      <c r="E1024" s="26" t="n">
        <v>33</v>
      </c>
      <c r="F1024" s="26" t="n">
        <v>66.5</v>
      </c>
      <c r="G1024" s="26" t="n">
        <v>0</v>
      </c>
      <c r="H1024" s="26" t="n">
        <v>2104.6</v>
      </c>
      <c r="I1024" s="26" t="n">
        <v>1114.3</v>
      </c>
      <c r="J1024" s="26" t="n">
        <v>0</v>
      </c>
      <c r="K1024" s="26" t="n">
        <v>0</v>
      </c>
      <c r="L1024" s="26" t="n">
        <v>0</v>
      </c>
      <c r="M1024" s="26" t="n">
        <v>0</v>
      </c>
    </row>
    <row r="1025" customFormat="false" ht="15" hidden="false" customHeight="false" outlineLevel="0" collapsed="false">
      <c r="A1025" s="7" t="s">
        <v>85</v>
      </c>
      <c r="B1025" s="7" t="n">
        <v>4408050</v>
      </c>
      <c r="C1025" s="7" t="s">
        <v>598</v>
      </c>
      <c r="D1025" s="26" t="n">
        <v>4</v>
      </c>
      <c r="E1025" s="26" t="n">
        <v>0</v>
      </c>
      <c r="F1025" s="26" t="n">
        <v>0</v>
      </c>
      <c r="G1025" s="26" t="n">
        <v>0</v>
      </c>
      <c r="H1025" s="26" t="n">
        <v>1</v>
      </c>
      <c r="I1025" s="26" t="n">
        <v>0</v>
      </c>
      <c r="J1025" s="26" t="n">
        <v>0</v>
      </c>
      <c r="K1025" s="26" t="n">
        <v>0</v>
      </c>
      <c r="L1025" s="26" t="n">
        <v>0</v>
      </c>
      <c r="M1025" s="26" t="n">
        <v>0</v>
      </c>
    </row>
    <row r="1026" customFormat="false" ht="15" hidden="false" customHeight="false" outlineLevel="0" collapsed="false">
      <c r="A1026" s="7" t="s">
        <v>87</v>
      </c>
      <c r="B1026" s="7" t="n">
        <v>4408050</v>
      </c>
      <c r="C1026" s="7" t="s">
        <v>598</v>
      </c>
      <c r="D1026" s="26" t="n">
        <v>130.7</v>
      </c>
      <c r="E1026" s="26" t="n">
        <v>0</v>
      </c>
      <c r="F1026" s="26" t="n">
        <v>0</v>
      </c>
      <c r="G1026" s="26" t="n">
        <v>0</v>
      </c>
      <c r="H1026" s="26" t="n">
        <v>25.2</v>
      </c>
      <c r="I1026" s="26" t="n">
        <v>0</v>
      </c>
      <c r="J1026" s="26" t="n">
        <v>0</v>
      </c>
      <c r="K1026" s="26" t="n">
        <v>0</v>
      </c>
      <c r="L1026" s="26" t="n">
        <v>0</v>
      </c>
      <c r="M1026" s="26" t="n">
        <v>0</v>
      </c>
    </row>
    <row r="1027" customFormat="false" ht="15" hidden="false" customHeight="false" outlineLevel="0" collapsed="false">
      <c r="A1027" s="7" t="s">
        <v>85</v>
      </c>
      <c r="B1027" s="7" t="n">
        <v>4408275</v>
      </c>
      <c r="C1027" s="7" t="s">
        <v>599</v>
      </c>
      <c r="D1027" s="26" t="n">
        <v>0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0</v>
      </c>
      <c r="L1027" s="26" t="n">
        <v>0</v>
      </c>
      <c r="M1027" s="26" t="n">
        <v>0</v>
      </c>
    </row>
    <row r="1028" customFormat="false" ht="15" hidden="false" customHeight="false" outlineLevel="0" collapsed="false">
      <c r="A1028" s="7" t="s">
        <v>87</v>
      </c>
      <c r="B1028" s="7" t="n">
        <v>4408275</v>
      </c>
      <c r="C1028" s="7" t="s">
        <v>599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0</v>
      </c>
      <c r="L1028" s="26" t="n">
        <v>0</v>
      </c>
      <c r="M1028" s="26" t="n">
        <v>0</v>
      </c>
    </row>
    <row r="1029" customFormat="false" ht="15" hidden="false" customHeight="false" outlineLevel="0" collapsed="false">
      <c r="A1029" s="7" t="s">
        <v>85</v>
      </c>
      <c r="B1029" s="7" t="n">
        <v>4408052</v>
      </c>
      <c r="C1029" s="7" t="s">
        <v>600</v>
      </c>
      <c r="D1029" s="26" t="n">
        <v>611</v>
      </c>
      <c r="E1029" s="26" t="n">
        <v>0</v>
      </c>
      <c r="F1029" s="26" t="n">
        <v>2</v>
      </c>
      <c r="G1029" s="26" t="n">
        <v>0</v>
      </c>
      <c r="H1029" s="26" t="n">
        <v>2160</v>
      </c>
      <c r="I1029" s="26" t="n">
        <v>211</v>
      </c>
      <c r="J1029" s="26" t="n">
        <v>0</v>
      </c>
      <c r="K1029" s="26" t="n">
        <v>0</v>
      </c>
      <c r="L1029" s="26" t="n">
        <v>0</v>
      </c>
      <c r="M1029" s="26" t="n">
        <v>0</v>
      </c>
    </row>
    <row r="1030" customFormat="false" ht="15" hidden="false" customHeight="false" outlineLevel="0" collapsed="false">
      <c r="A1030" s="7" t="s">
        <v>87</v>
      </c>
      <c r="B1030" s="7" t="n">
        <v>4408052</v>
      </c>
      <c r="C1030" s="7" t="s">
        <v>600</v>
      </c>
      <c r="D1030" s="26" t="n">
        <v>23596.4</v>
      </c>
      <c r="E1030" s="26" t="n">
        <v>0</v>
      </c>
      <c r="F1030" s="26" t="n">
        <v>75.5</v>
      </c>
      <c r="G1030" s="26" t="n">
        <v>0</v>
      </c>
      <c r="H1030" s="26" t="n">
        <v>70516.7</v>
      </c>
      <c r="I1030" s="26" t="n">
        <v>7450.4</v>
      </c>
      <c r="J1030" s="26" t="n">
        <v>0</v>
      </c>
      <c r="K1030" s="26" t="n">
        <v>0</v>
      </c>
      <c r="L1030" s="26" t="n">
        <v>0</v>
      </c>
      <c r="M1030" s="26" t="n">
        <v>0</v>
      </c>
    </row>
    <row r="1031" customFormat="false" ht="15" hidden="false" customHeight="false" outlineLevel="0" collapsed="false">
      <c r="A1031" s="7" t="s">
        <v>85</v>
      </c>
      <c r="B1031" s="7" t="n">
        <v>4408053</v>
      </c>
      <c r="C1031" s="7" t="s">
        <v>601</v>
      </c>
      <c r="D1031" s="26" t="n">
        <v>663</v>
      </c>
      <c r="E1031" s="26" t="n">
        <v>0</v>
      </c>
      <c r="F1031" s="26" t="n">
        <v>2</v>
      </c>
      <c r="G1031" s="26" t="n">
        <v>0</v>
      </c>
      <c r="H1031" s="26" t="n">
        <v>3042</v>
      </c>
      <c r="I1031" s="26" t="n">
        <v>300</v>
      </c>
      <c r="J1031" s="26" t="n">
        <v>0</v>
      </c>
      <c r="K1031" s="26" t="n">
        <v>0</v>
      </c>
      <c r="L1031" s="26" t="n">
        <v>0</v>
      </c>
      <c r="M1031" s="26" t="n">
        <v>0</v>
      </c>
    </row>
    <row r="1032" customFormat="false" ht="15" hidden="false" customHeight="false" outlineLevel="0" collapsed="false">
      <c r="A1032" s="7" t="s">
        <v>87</v>
      </c>
      <c r="B1032" s="7" t="n">
        <v>4408053</v>
      </c>
      <c r="C1032" s="7" t="s">
        <v>601</v>
      </c>
      <c r="D1032" s="26" t="n">
        <v>25775.4</v>
      </c>
      <c r="E1032" s="26" t="n">
        <v>0</v>
      </c>
      <c r="F1032" s="26" t="n">
        <v>75.5</v>
      </c>
      <c r="G1032" s="26" t="n">
        <v>0</v>
      </c>
      <c r="H1032" s="26" t="n">
        <v>99452.8</v>
      </c>
      <c r="I1032" s="26" t="n">
        <v>10585.1</v>
      </c>
      <c r="J1032" s="26" t="n">
        <v>0</v>
      </c>
      <c r="K1032" s="26" t="n">
        <v>0</v>
      </c>
      <c r="L1032" s="26" t="n">
        <v>0</v>
      </c>
      <c r="M1032" s="26" t="n">
        <v>0</v>
      </c>
    </row>
    <row r="1033" customFormat="false" ht="15" hidden="false" customHeight="false" outlineLevel="0" collapsed="false">
      <c r="A1033" s="7" t="s">
        <v>85</v>
      </c>
      <c r="B1033" s="7" t="n">
        <v>4408051</v>
      </c>
      <c r="C1033" s="7" t="s">
        <v>602</v>
      </c>
      <c r="D1033" s="26" t="n">
        <v>342</v>
      </c>
      <c r="E1033" s="26" t="n">
        <v>0</v>
      </c>
      <c r="F1033" s="26" t="n">
        <v>4</v>
      </c>
      <c r="G1033" s="26" t="n">
        <v>0</v>
      </c>
      <c r="H1033" s="26" t="n">
        <v>2255</v>
      </c>
      <c r="I1033" s="26" t="n">
        <v>184</v>
      </c>
      <c r="J1033" s="26" t="n">
        <v>0</v>
      </c>
      <c r="K1033" s="26" t="n">
        <v>0</v>
      </c>
      <c r="L1033" s="26" t="n">
        <v>0</v>
      </c>
      <c r="M1033" s="26" t="n">
        <v>0</v>
      </c>
    </row>
    <row r="1034" customFormat="false" ht="15" hidden="false" customHeight="false" outlineLevel="0" collapsed="false">
      <c r="A1034" s="7" t="s">
        <v>87</v>
      </c>
      <c r="B1034" s="7" t="n">
        <v>4408051</v>
      </c>
      <c r="C1034" s="7" t="s">
        <v>602</v>
      </c>
      <c r="D1034" s="26" t="n">
        <v>13297</v>
      </c>
      <c r="E1034" s="26" t="n">
        <v>0</v>
      </c>
      <c r="F1034" s="26" t="n">
        <v>155.1</v>
      </c>
      <c r="G1034" s="26" t="n">
        <v>0</v>
      </c>
      <c r="H1034" s="26" t="n">
        <v>73733</v>
      </c>
      <c r="I1034" s="26" t="n">
        <v>6493.6</v>
      </c>
      <c r="J1034" s="26" t="n">
        <v>0</v>
      </c>
      <c r="K1034" s="26" t="n">
        <v>0</v>
      </c>
      <c r="L1034" s="26" t="n">
        <v>0</v>
      </c>
      <c r="M1034" s="26" t="n">
        <v>0</v>
      </c>
    </row>
    <row r="1035" customFormat="false" ht="15" hidden="false" customHeight="false" outlineLevel="0" collapsed="false">
      <c r="A1035" s="7" t="s">
        <v>85</v>
      </c>
      <c r="B1035" s="7" t="n">
        <v>4408054</v>
      </c>
      <c r="C1035" s="7" t="s">
        <v>603</v>
      </c>
      <c r="D1035" s="26" t="n">
        <v>245</v>
      </c>
      <c r="E1035" s="26" t="n">
        <v>0</v>
      </c>
      <c r="F1035" s="26" t="n">
        <v>0</v>
      </c>
      <c r="G1035" s="26" t="n">
        <v>0</v>
      </c>
      <c r="H1035" s="26" t="n">
        <v>801</v>
      </c>
      <c r="I1035" s="26" t="n">
        <v>62</v>
      </c>
      <c r="J1035" s="26" t="n">
        <v>0</v>
      </c>
      <c r="K1035" s="26" t="n">
        <v>0</v>
      </c>
      <c r="L1035" s="26" t="n">
        <v>0</v>
      </c>
      <c r="M1035" s="26" t="n">
        <v>0</v>
      </c>
    </row>
    <row r="1036" customFormat="false" ht="15" hidden="false" customHeight="false" outlineLevel="0" collapsed="false">
      <c r="A1036" s="7" t="s">
        <v>87</v>
      </c>
      <c r="B1036" s="7" t="n">
        <v>4408054</v>
      </c>
      <c r="C1036" s="7" t="s">
        <v>603</v>
      </c>
      <c r="D1036" s="26" t="n">
        <v>9483.1</v>
      </c>
      <c r="E1036" s="26" t="n">
        <v>0</v>
      </c>
      <c r="F1036" s="26" t="n">
        <v>0</v>
      </c>
      <c r="G1036" s="26" t="n">
        <v>0</v>
      </c>
      <c r="H1036" s="26" t="n">
        <v>26160</v>
      </c>
      <c r="I1036" s="26" t="n">
        <v>2183</v>
      </c>
      <c r="J1036" s="26" t="n">
        <v>0</v>
      </c>
      <c r="K1036" s="26" t="n">
        <v>0</v>
      </c>
      <c r="L1036" s="26" t="n">
        <v>0</v>
      </c>
      <c r="M1036" s="26" t="n">
        <v>0</v>
      </c>
    </row>
    <row r="1037" customFormat="false" ht="15" hidden="false" customHeight="false" outlineLevel="0" collapsed="false">
      <c r="A1037" s="7" t="s">
        <v>85</v>
      </c>
      <c r="B1037" s="7" t="n">
        <v>4413399</v>
      </c>
      <c r="C1037" s="7" t="s">
        <v>604</v>
      </c>
      <c r="D1037" s="26" t="n">
        <v>-1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0</v>
      </c>
      <c r="L1037" s="26" t="n">
        <v>0</v>
      </c>
      <c r="M1037" s="26" t="n">
        <v>0</v>
      </c>
    </row>
    <row r="1038" customFormat="false" ht="15" hidden="false" customHeight="false" outlineLevel="0" collapsed="false">
      <c r="A1038" s="7" t="s">
        <v>87</v>
      </c>
      <c r="B1038" s="7" t="n">
        <v>4413399</v>
      </c>
      <c r="C1038" s="7" t="s">
        <v>604</v>
      </c>
      <c r="D1038" s="26" t="n">
        <v>-37.8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0</v>
      </c>
      <c r="L1038" s="26" t="n">
        <v>0</v>
      </c>
      <c r="M1038" s="26" t="n">
        <v>0</v>
      </c>
    </row>
    <row r="1039" customFormat="false" ht="15" hidden="false" customHeight="false" outlineLevel="0" collapsed="false">
      <c r="A1039" s="7" t="s">
        <v>85</v>
      </c>
      <c r="B1039" s="7" t="n">
        <v>4413400</v>
      </c>
      <c r="C1039" s="7" t="s">
        <v>605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0</v>
      </c>
      <c r="L1039" s="26" t="n">
        <v>0</v>
      </c>
      <c r="M1039" s="26" t="n">
        <v>0</v>
      </c>
    </row>
    <row r="1040" customFormat="false" ht="15" hidden="false" customHeight="false" outlineLevel="0" collapsed="false">
      <c r="A1040" s="7" t="s">
        <v>87</v>
      </c>
      <c r="B1040" s="7" t="n">
        <v>4413400</v>
      </c>
      <c r="C1040" s="7" t="s">
        <v>605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0</v>
      </c>
      <c r="L1040" s="26" t="n">
        <v>0</v>
      </c>
      <c r="M1040" s="26" t="n">
        <v>0</v>
      </c>
    </row>
    <row r="1041" customFormat="false" ht="15" hidden="false" customHeight="false" outlineLevel="0" collapsed="false">
      <c r="A1041" s="7" t="s">
        <v>85</v>
      </c>
      <c r="B1041" s="7" t="n">
        <v>4411017</v>
      </c>
      <c r="C1041" s="7" t="s">
        <v>606</v>
      </c>
      <c r="D1041" s="26" t="n">
        <v>26</v>
      </c>
      <c r="E1041" s="26" t="n">
        <v>0</v>
      </c>
      <c r="F1041" s="26" t="n">
        <v>0</v>
      </c>
      <c r="G1041" s="26" t="n">
        <v>0</v>
      </c>
      <c r="H1041" s="26" t="n">
        <v>180</v>
      </c>
      <c r="I1041" s="26" t="n">
        <v>0</v>
      </c>
      <c r="J1041" s="26" t="n">
        <v>0</v>
      </c>
      <c r="K1041" s="26" t="n">
        <v>0</v>
      </c>
      <c r="L1041" s="26" t="n">
        <v>0</v>
      </c>
      <c r="M1041" s="26" t="n">
        <v>0</v>
      </c>
    </row>
    <row r="1042" customFormat="false" ht="15" hidden="false" customHeight="false" outlineLevel="0" collapsed="false">
      <c r="A1042" s="7" t="s">
        <v>87</v>
      </c>
      <c r="B1042" s="7" t="n">
        <v>4411017</v>
      </c>
      <c r="C1042" s="7" t="s">
        <v>606</v>
      </c>
      <c r="D1042" s="26" t="n">
        <v>922.3</v>
      </c>
      <c r="E1042" s="26" t="n">
        <v>0</v>
      </c>
      <c r="F1042" s="26" t="n">
        <v>0</v>
      </c>
      <c r="G1042" s="26" t="n">
        <v>0</v>
      </c>
      <c r="H1042" s="26" t="n">
        <v>5113.7</v>
      </c>
      <c r="I1042" s="26" t="n">
        <v>0</v>
      </c>
      <c r="J1042" s="26" t="n">
        <v>0</v>
      </c>
      <c r="K1042" s="26" t="n">
        <v>0</v>
      </c>
      <c r="L1042" s="26" t="n">
        <v>0</v>
      </c>
      <c r="M1042" s="26" t="n">
        <v>0</v>
      </c>
    </row>
    <row r="1043" customFormat="false" ht="15" hidden="false" customHeight="false" outlineLevel="0" collapsed="false">
      <c r="A1043" s="7" t="s">
        <v>85</v>
      </c>
      <c r="B1043" s="7" t="n">
        <v>4411018</v>
      </c>
      <c r="C1043" s="7" t="s">
        <v>607</v>
      </c>
      <c r="D1043" s="26" t="n">
        <v>32</v>
      </c>
      <c r="E1043" s="26" t="n">
        <v>0</v>
      </c>
      <c r="F1043" s="26" t="n">
        <v>0</v>
      </c>
      <c r="G1043" s="26" t="n">
        <v>0</v>
      </c>
      <c r="H1043" s="26" t="n">
        <v>258</v>
      </c>
      <c r="I1043" s="26" t="n">
        <v>0</v>
      </c>
      <c r="J1043" s="26" t="n">
        <v>0</v>
      </c>
      <c r="K1043" s="26" t="n">
        <v>0</v>
      </c>
      <c r="L1043" s="26" t="n">
        <v>0</v>
      </c>
      <c r="M1043" s="26" t="n">
        <v>0</v>
      </c>
    </row>
    <row r="1044" customFormat="false" ht="15" hidden="false" customHeight="false" outlineLevel="0" collapsed="false">
      <c r="A1044" s="7" t="s">
        <v>87</v>
      </c>
      <c r="B1044" s="7" t="n">
        <v>4411018</v>
      </c>
      <c r="C1044" s="7" t="s">
        <v>607</v>
      </c>
      <c r="D1044" s="26" t="n">
        <v>1162.2</v>
      </c>
      <c r="E1044" s="26" t="n">
        <v>0</v>
      </c>
      <c r="F1044" s="26" t="n">
        <v>0</v>
      </c>
      <c r="G1044" s="26" t="n">
        <v>0</v>
      </c>
      <c r="H1044" s="26" t="n">
        <v>7344.8</v>
      </c>
      <c r="I1044" s="26" t="n">
        <v>0</v>
      </c>
      <c r="J1044" s="26" t="n">
        <v>0</v>
      </c>
      <c r="K1044" s="26" t="n">
        <v>0</v>
      </c>
      <c r="L1044" s="26" t="n">
        <v>0</v>
      </c>
      <c r="M1044" s="26" t="n">
        <v>0</v>
      </c>
    </row>
    <row r="1045" customFormat="false" ht="15" hidden="false" customHeight="false" outlineLevel="0" collapsed="false">
      <c r="A1045" s="7" t="s">
        <v>85</v>
      </c>
      <c r="B1045" s="7" t="n">
        <v>4411019</v>
      </c>
      <c r="C1045" s="7" t="s">
        <v>608</v>
      </c>
      <c r="D1045" s="26" t="n">
        <v>24</v>
      </c>
      <c r="E1045" s="26" t="n">
        <v>0</v>
      </c>
      <c r="F1045" s="26" t="n">
        <v>0</v>
      </c>
      <c r="G1045" s="26" t="n">
        <v>0</v>
      </c>
      <c r="H1045" s="26" t="n">
        <v>246</v>
      </c>
      <c r="I1045" s="26" t="n">
        <v>0</v>
      </c>
      <c r="J1045" s="26" t="n">
        <v>0</v>
      </c>
      <c r="K1045" s="26" t="n">
        <v>0</v>
      </c>
      <c r="L1045" s="26" t="n">
        <v>0</v>
      </c>
      <c r="M1045" s="26" t="n">
        <v>0</v>
      </c>
    </row>
    <row r="1046" customFormat="false" ht="15" hidden="false" customHeight="false" outlineLevel="0" collapsed="false">
      <c r="A1046" s="7" t="s">
        <v>87</v>
      </c>
      <c r="B1046" s="7" t="n">
        <v>4411019</v>
      </c>
      <c r="C1046" s="7" t="s">
        <v>608</v>
      </c>
      <c r="D1046" s="26" t="n">
        <v>857.1</v>
      </c>
      <c r="E1046" s="26" t="n">
        <v>0</v>
      </c>
      <c r="F1046" s="26" t="n">
        <v>0</v>
      </c>
      <c r="G1046" s="26" t="n">
        <v>0</v>
      </c>
      <c r="H1046" s="26" t="n">
        <v>6998.3</v>
      </c>
      <c r="I1046" s="26" t="n">
        <v>0</v>
      </c>
      <c r="J1046" s="26" t="n">
        <v>0</v>
      </c>
      <c r="K1046" s="26" t="n">
        <v>0</v>
      </c>
      <c r="L1046" s="26" t="n">
        <v>0</v>
      </c>
      <c r="M1046" s="26" t="n">
        <v>0</v>
      </c>
    </row>
    <row r="1047" customFormat="false" ht="15" hidden="false" customHeight="false" outlineLevel="0" collapsed="false">
      <c r="A1047" s="7" t="s">
        <v>85</v>
      </c>
      <c r="B1047" s="7" t="n">
        <v>4411020</v>
      </c>
      <c r="C1047" s="7" t="s">
        <v>609</v>
      </c>
      <c r="D1047" s="26" t="n">
        <v>13</v>
      </c>
      <c r="E1047" s="26" t="n">
        <v>0</v>
      </c>
      <c r="F1047" s="26" t="n">
        <v>0</v>
      </c>
      <c r="G1047" s="26" t="n">
        <v>0</v>
      </c>
      <c r="H1047" s="26" t="n">
        <v>76</v>
      </c>
      <c r="I1047" s="26" t="n">
        <v>0</v>
      </c>
      <c r="J1047" s="26" t="n">
        <v>0</v>
      </c>
      <c r="K1047" s="26" t="n">
        <v>0</v>
      </c>
      <c r="L1047" s="26" t="n">
        <v>0</v>
      </c>
      <c r="M1047" s="26" t="n">
        <v>0</v>
      </c>
    </row>
    <row r="1048" customFormat="false" ht="15" hidden="false" customHeight="false" outlineLevel="0" collapsed="false">
      <c r="A1048" s="7" t="s">
        <v>87</v>
      </c>
      <c r="B1048" s="7" t="n">
        <v>4411020</v>
      </c>
      <c r="C1048" s="7" t="s">
        <v>609</v>
      </c>
      <c r="D1048" s="26" t="n">
        <v>469.4</v>
      </c>
      <c r="E1048" s="26" t="n">
        <v>0</v>
      </c>
      <c r="F1048" s="26" t="n">
        <v>0</v>
      </c>
      <c r="G1048" s="26" t="n">
        <v>0</v>
      </c>
      <c r="H1048" s="26" t="n">
        <v>2156.6</v>
      </c>
      <c r="I1048" s="26" t="n">
        <v>0</v>
      </c>
      <c r="J1048" s="26" t="n">
        <v>0</v>
      </c>
      <c r="K1048" s="26" t="n">
        <v>0</v>
      </c>
      <c r="L1048" s="26" t="n">
        <v>0</v>
      </c>
      <c r="M1048" s="26" t="n">
        <v>0</v>
      </c>
    </row>
    <row r="1049" customFormat="false" ht="15" hidden="false" customHeight="false" outlineLevel="0" collapsed="false">
      <c r="A1049" s="7" t="s">
        <v>85</v>
      </c>
      <c r="B1049" s="7" t="n">
        <v>4411021</v>
      </c>
      <c r="C1049" s="7" t="s">
        <v>610</v>
      </c>
      <c r="D1049" s="26" t="n">
        <v>28</v>
      </c>
      <c r="E1049" s="26" t="n">
        <v>0</v>
      </c>
      <c r="F1049" s="26" t="n">
        <v>0</v>
      </c>
      <c r="G1049" s="26" t="n">
        <v>0</v>
      </c>
      <c r="H1049" s="26" t="n">
        <v>244</v>
      </c>
      <c r="I1049" s="26" t="n">
        <v>0</v>
      </c>
      <c r="J1049" s="26" t="n">
        <v>0</v>
      </c>
      <c r="K1049" s="26" t="n">
        <v>0</v>
      </c>
      <c r="L1049" s="26" t="n">
        <v>0</v>
      </c>
      <c r="M1049" s="26" t="n">
        <v>0</v>
      </c>
    </row>
    <row r="1050" customFormat="false" ht="15" hidden="false" customHeight="false" outlineLevel="0" collapsed="false">
      <c r="A1050" s="7" t="s">
        <v>87</v>
      </c>
      <c r="B1050" s="7" t="n">
        <v>4411021</v>
      </c>
      <c r="C1050" s="7" t="s">
        <v>610</v>
      </c>
      <c r="D1050" s="26" t="n">
        <v>1071.9</v>
      </c>
      <c r="E1050" s="26" t="n">
        <v>0</v>
      </c>
      <c r="F1050" s="26" t="n">
        <v>0</v>
      </c>
      <c r="G1050" s="26" t="n">
        <v>0</v>
      </c>
      <c r="H1050" s="26" t="n">
        <v>6942.4</v>
      </c>
      <c r="I1050" s="26" t="n">
        <v>0</v>
      </c>
      <c r="J1050" s="26" t="n">
        <v>0</v>
      </c>
      <c r="K1050" s="26" t="n">
        <v>0</v>
      </c>
      <c r="L1050" s="26" t="n">
        <v>0</v>
      </c>
      <c r="M1050" s="26" t="n">
        <v>0</v>
      </c>
    </row>
    <row r="1051" customFormat="false" ht="15" hidden="false" customHeight="false" outlineLevel="0" collapsed="false">
      <c r="A1051" s="7" t="s">
        <v>85</v>
      </c>
      <c r="B1051" s="7" t="n">
        <v>4411022</v>
      </c>
      <c r="C1051" s="7" t="s">
        <v>611</v>
      </c>
      <c r="D1051" s="26" t="n">
        <v>44</v>
      </c>
      <c r="E1051" s="26" t="n">
        <v>0</v>
      </c>
      <c r="F1051" s="26" t="n">
        <v>0</v>
      </c>
      <c r="G1051" s="26" t="n">
        <v>0</v>
      </c>
      <c r="H1051" s="26" t="n">
        <v>419</v>
      </c>
      <c r="I1051" s="26" t="n">
        <v>0</v>
      </c>
      <c r="J1051" s="26" t="n">
        <v>0</v>
      </c>
      <c r="K1051" s="26" t="n">
        <v>0</v>
      </c>
      <c r="L1051" s="26" t="n">
        <v>0</v>
      </c>
      <c r="M1051" s="26" t="n">
        <v>0</v>
      </c>
    </row>
    <row r="1052" customFormat="false" ht="15" hidden="false" customHeight="false" outlineLevel="0" collapsed="false">
      <c r="A1052" s="7" t="s">
        <v>87</v>
      </c>
      <c r="B1052" s="7" t="n">
        <v>4411022</v>
      </c>
      <c r="C1052" s="7" t="s">
        <v>611</v>
      </c>
      <c r="D1052" s="26" t="n">
        <v>1685.9</v>
      </c>
      <c r="E1052" s="26" t="n">
        <v>0</v>
      </c>
      <c r="F1052" s="26" t="n">
        <v>0</v>
      </c>
      <c r="G1052" s="26" t="n">
        <v>0</v>
      </c>
      <c r="H1052" s="26" t="n">
        <v>11927.2</v>
      </c>
      <c r="I1052" s="26" t="n">
        <v>0</v>
      </c>
      <c r="J1052" s="26" t="n">
        <v>0</v>
      </c>
      <c r="K1052" s="26" t="n">
        <v>0</v>
      </c>
      <c r="L1052" s="26" t="n">
        <v>0</v>
      </c>
      <c r="M1052" s="26" t="n">
        <v>0</v>
      </c>
    </row>
    <row r="1053" customFormat="false" ht="15" hidden="false" customHeight="false" outlineLevel="0" collapsed="false">
      <c r="A1053" s="7" t="s">
        <v>85</v>
      </c>
      <c r="B1053" s="7" t="n">
        <v>4411023</v>
      </c>
      <c r="C1053" s="7" t="s">
        <v>612</v>
      </c>
      <c r="D1053" s="26" t="n">
        <v>35</v>
      </c>
      <c r="E1053" s="26" t="n">
        <v>0</v>
      </c>
      <c r="F1053" s="26" t="n">
        <v>0</v>
      </c>
      <c r="G1053" s="26" t="n">
        <v>0</v>
      </c>
      <c r="H1053" s="26" t="n">
        <v>395</v>
      </c>
      <c r="I1053" s="26" t="n">
        <v>0</v>
      </c>
      <c r="J1053" s="26" t="n">
        <v>0</v>
      </c>
      <c r="K1053" s="26" t="n">
        <v>0</v>
      </c>
      <c r="L1053" s="26" t="n">
        <v>0</v>
      </c>
      <c r="M1053" s="26" t="n">
        <v>0</v>
      </c>
    </row>
    <row r="1054" customFormat="false" ht="15" hidden="false" customHeight="false" outlineLevel="0" collapsed="false">
      <c r="A1054" s="7" t="s">
        <v>87</v>
      </c>
      <c r="B1054" s="7" t="n">
        <v>4411023</v>
      </c>
      <c r="C1054" s="7" t="s">
        <v>612</v>
      </c>
      <c r="D1054" s="26" t="n">
        <v>1331.6</v>
      </c>
      <c r="E1054" s="26" t="n">
        <v>0</v>
      </c>
      <c r="F1054" s="26" t="n">
        <v>0</v>
      </c>
      <c r="G1054" s="26" t="n">
        <v>0</v>
      </c>
      <c r="H1054" s="26" t="n">
        <v>11254.2</v>
      </c>
      <c r="I1054" s="26" t="n">
        <v>0</v>
      </c>
      <c r="J1054" s="26" t="n">
        <v>0</v>
      </c>
      <c r="K1054" s="26" t="n">
        <v>0</v>
      </c>
      <c r="L1054" s="26" t="n">
        <v>0</v>
      </c>
      <c r="M1054" s="26" t="n">
        <v>0</v>
      </c>
    </row>
    <row r="1055" customFormat="false" ht="15" hidden="false" customHeight="false" outlineLevel="0" collapsed="false">
      <c r="A1055" s="7" t="s">
        <v>85</v>
      </c>
      <c r="B1055" s="7" t="n">
        <v>4411024</v>
      </c>
      <c r="C1055" s="7" t="s">
        <v>613</v>
      </c>
      <c r="D1055" s="26" t="n">
        <v>16</v>
      </c>
      <c r="E1055" s="26" t="n">
        <v>0</v>
      </c>
      <c r="F1055" s="26" t="n">
        <v>0</v>
      </c>
      <c r="G1055" s="26" t="n">
        <v>0</v>
      </c>
      <c r="H1055" s="26" t="n">
        <v>62</v>
      </c>
      <c r="I1055" s="26" t="n">
        <v>0</v>
      </c>
      <c r="J1055" s="26" t="n">
        <v>0</v>
      </c>
      <c r="K1055" s="26" t="n">
        <v>0</v>
      </c>
      <c r="L1055" s="26" t="n">
        <v>0</v>
      </c>
      <c r="M1055" s="26" t="n">
        <v>0</v>
      </c>
    </row>
    <row r="1056" customFormat="false" ht="15" hidden="false" customHeight="false" outlineLevel="0" collapsed="false">
      <c r="A1056" s="7" t="s">
        <v>87</v>
      </c>
      <c r="B1056" s="7" t="n">
        <v>4411024</v>
      </c>
      <c r="C1056" s="7" t="s">
        <v>613</v>
      </c>
      <c r="D1056" s="26" t="n">
        <v>609.4</v>
      </c>
      <c r="E1056" s="26" t="n">
        <v>0</v>
      </c>
      <c r="F1056" s="26" t="n">
        <v>0</v>
      </c>
      <c r="G1056" s="26" t="n">
        <v>0</v>
      </c>
      <c r="H1056" s="26" t="n">
        <v>1770</v>
      </c>
      <c r="I1056" s="26" t="n">
        <v>0</v>
      </c>
      <c r="J1056" s="26" t="n">
        <v>0</v>
      </c>
      <c r="K1056" s="26" t="n">
        <v>0</v>
      </c>
      <c r="L1056" s="26" t="n">
        <v>0</v>
      </c>
      <c r="M1056" s="26" t="n">
        <v>0</v>
      </c>
    </row>
    <row r="1057" customFormat="false" ht="15" hidden="false" customHeight="false" outlineLevel="0" collapsed="false">
      <c r="A1057" s="7" t="s">
        <v>85</v>
      </c>
      <c r="B1057" s="7" t="n">
        <v>4411031</v>
      </c>
      <c r="C1057" s="7" t="s">
        <v>614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0</v>
      </c>
      <c r="L1057" s="26" t="n">
        <v>0</v>
      </c>
      <c r="M1057" s="26" t="n">
        <v>0</v>
      </c>
    </row>
    <row r="1058" customFormat="false" ht="15" hidden="false" customHeight="false" outlineLevel="0" collapsed="false">
      <c r="A1058" s="7" t="s">
        <v>87</v>
      </c>
      <c r="B1058" s="7" t="n">
        <v>4411031</v>
      </c>
      <c r="C1058" s="7" t="s">
        <v>614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0</v>
      </c>
      <c r="J1058" s="26" t="n">
        <v>0</v>
      </c>
      <c r="K1058" s="26" t="n">
        <v>0</v>
      </c>
      <c r="L1058" s="26" t="n">
        <v>0</v>
      </c>
      <c r="M1058" s="26" t="n">
        <v>0</v>
      </c>
    </row>
    <row r="1059" customFormat="false" ht="15" hidden="false" customHeight="false" outlineLevel="0" collapsed="false">
      <c r="A1059" s="7" t="s">
        <v>85</v>
      </c>
      <c r="B1059" s="7" t="n">
        <v>4411026</v>
      </c>
      <c r="C1059" s="7" t="s">
        <v>615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0</v>
      </c>
      <c r="J1059" s="26" t="n">
        <v>0</v>
      </c>
      <c r="K1059" s="26" t="n">
        <v>0</v>
      </c>
      <c r="L1059" s="26" t="n">
        <v>0</v>
      </c>
      <c r="M1059" s="26" t="n">
        <v>0</v>
      </c>
    </row>
    <row r="1060" customFormat="false" ht="15" hidden="false" customHeight="false" outlineLevel="0" collapsed="false">
      <c r="A1060" s="7" t="s">
        <v>87</v>
      </c>
      <c r="B1060" s="7" t="n">
        <v>4411026</v>
      </c>
      <c r="C1060" s="7" t="s">
        <v>615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0</v>
      </c>
      <c r="J1060" s="26" t="n">
        <v>0</v>
      </c>
      <c r="K1060" s="26" t="n">
        <v>0</v>
      </c>
      <c r="L1060" s="26" t="n">
        <v>0</v>
      </c>
      <c r="M1060" s="26" t="n">
        <v>0</v>
      </c>
    </row>
    <row r="1061" customFormat="false" ht="15" hidden="false" customHeight="false" outlineLevel="0" collapsed="false">
      <c r="A1061" s="7" t="s">
        <v>85</v>
      </c>
      <c r="B1061" s="7" t="n">
        <v>4411027</v>
      </c>
      <c r="C1061" s="7" t="s">
        <v>616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0</v>
      </c>
      <c r="J1061" s="26" t="n">
        <v>0</v>
      </c>
      <c r="K1061" s="26" t="n">
        <v>0</v>
      </c>
      <c r="L1061" s="26" t="n">
        <v>0</v>
      </c>
      <c r="M1061" s="26" t="n">
        <v>0</v>
      </c>
    </row>
    <row r="1062" customFormat="false" ht="15" hidden="false" customHeight="false" outlineLevel="0" collapsed="false">
      <c r="A1062" s="7" t="s">
        <v>87</v>
      </c>
      <c r="B1062" s="7" t="n">
        <v>4411027</v>
      </c>
      <c r="C1062" s="7" t="s">
        <v>616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0</v>
      </c>
      <c r="J1062" s="26" t="n">
        <v>0</v>
      </c>
      <c r="K1062" s="26" t="n">
        <v>0</v>
      </c>
      <c r="L1062" s="26" t="n">
        <v>0</v>
      </c>
      <c r="M1062" s="26" t="n">
        <v>0</v>
      </c>
    </row>
    <row r="1063" customFormat="false" ht="15" hidden="false" customHeight="false" outlineLevel="0" collapsed="false">
      <c r="A1063" s="7" t="s">
        <v>85</v>
      </c>
      <c r="B1063" s="7" t="n">
        <v>4411028</v>
      </c>
      <c r="C1063" s="7" t="s">
        <v>617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0</v>
      </c>
      <c r="J1063" s="26" t="n">
        <v>0</v>
      </c>
      <c r="K1063" s="26" t="n">
        <v>0</v>
      </c>
      <c r="L1063" s="26" t="n">
        <v>0</v>
      </c>
      <c r="M1063" s="26" t="n">
        <v>0</v>
      </c>
    </row>
    <row r="1064" customFormat="false" ht="15" hidden="false" customHeight="false" outlineLevel="0" collapsed="false">
      <c r="A1064" s="7" t="s">
        <v>87</v>
      </c>
      <c r="B1064" s="7" t="n">
        <v>4411028</v>
      </c>
      <c r="C1064" s="7" t="s">
        <v>617</v>
      </c>
      <c r="D1064" s="26" t="n">
        <v>0</v>
      </c>
      <c r="E1064" s="26" t="n">
        <v>0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0</v>
      </c>
      <c r="L1064" s="26" t="n">
        <v>0</v>
      </c>
      <c r="M1064" s="26" t="n">
        <v>0</v>
      </c>
    </row>
    <row r="1065" customFormat="false" ht="15" hidden="false" customHeight="false" outlineLevel="0" collapsed="false">
      <c r="A1065" s="7" t="s">
        <v>85</v>
      </c>
      <c r="B1065" s="7" t="n">
        <v>4411030</v>
      </c>
      <c r="C1065" s="7" t="s">
        <v>618</v>
      </c>
      <c r="D1065" s="26" t="n">
        <v>0</v>
      </c>
      <c r="E1065" s="26" t="n">
        <v>0</v>
      </c>
      <c r="F1065" s="26" t="n">
        <v>0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  <c r="L1065" s="26" t="n">
        <v>0</v>
      </c>
      <c r="M1065" s="26" t="n">
        <v>0</v>
      </c>
    </row>
    <row r="1066" customFormat="false" ht="15" hidden="false" customHeight="false" outlineLevel="0" collapsed="false">
      <c r="A1066" s="7" t="s">
        <v>87</v>
      </c>
      <c r="B1066" s="7" t="n">
        <v>4411030</v>
      </c>
      <c r="C1066" s="7" t="s">
        <v>618</v>
      </c>
      <c r="D1066" s="26" t="n">
        <v>0</v>
      </c>
      <c r="E1066" s="26" t="n">
        <v>0</v>
      </c>
      <c r="F1066" s="26" t="n">
        <v>0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  <c r="L1066" s="26" t="n">
        <v>0</v>
      </c>
      <c r="M1066" s="26" t="n">
        <v>0</v>
      </c>
    </row>
    <row r="1067" customFormat="false" ht="15" hidden="false" customHeight="false" outlineLevel="0" collapsed="false">
      <c r="A1067" s="7" t="s">
        <v>85</v>
      </c>
      <c r="B1067" s="7" t="n">
        <v>4415162</v>
      </c>
      <c r="C1067" s="7" t="s">
        <v>619</v>
      </c>
      <c r="D1067" s="26" t="n">
        <v>377</v>
      </c>
      <c r="E1067" s="26" t="n">
        <v>5</v>
      </c>
      <c r="F1067" s="26" t="n">
        <v>0</v>
      </c>
      <c r="G1067" s="26" t="n">
        <v>0</v>
      </c>
      <c r="H1067" s="26" t="n">
        <v>1840</v>
      </c>
      <c r="I1067" s="26" t="n">
        <v>596</v>
      </c>
      <c r="J1067" s="26" t="n">
        <v>0</v>
      </c>
      <c r="K1067" s="26" t="n">
        <v>0</v>
      </c>
      <c r="L1067" s="26" t="n">
        <v>0</v>
      </c>
      <c r="M1067" s="26" t="n">
        <v>0</v>
      </c>
    </row>
    <row r="1068" customFormat="false" ht="15" hidden="false" customHeight="false" outlineLevel="0" collapsed="false">
      <c r="A1068" s="7" t="s">
        <v>87</v>
      </c>
      <c r="B1068" s="7" t="n">
        <v>4415162</v>
      </c>
      <c r="C1068" s="7" t="s">
        <v>619</v>
      </c>
      <c r="D1068" s="26" t="n">
        <v>7215.3</v>
      </c>
      <c r="E1068" s="26" t="n">
        <v>100.5</v>
      </c>
      <c r="F1068" s="26" t="n">
        <v>0</v>
      </c>
      <c r="G1068" s="26" t="n">
        <v>0</v>
      </c>
      <c r="H1068" s="26" t="n">
        <v>26241.7</v>
      </c>
      <c r="I1068" s="26" t="n">
        <v>9178.4</v>
      </c>
      <c r="J1068" s="26" t="n">
        <v>0</v>
      </c>
      <c r="K1068" s="26" t="n">
        <v>0</v>
      </c>
      <c r="L1068" s="26" t="n">
        <v>0</v>
      </c>
      <c r="M1068" s="26" t="n">
        <v>0</v>
      </c>
    </row>
    <row r="1069" customFormat="false" ht="15" hidden="false" customHeight="false" outlineLevel="0" collapsed="false">
      <c r="A1069" s="7" t="s">
        <v>85</v>
      </c>
      <c r="B1069" s="7" t="n">
        <v>4415161</v>
      </c>
      <c r="C1069" s="7" t="s">
        <v>620</v>
      </c>
      <c r="D1069" s="26" t="n">
        <v>372</v>
      </c>
      <c r="E1069" s="26" t="n">
        <v>9</v>
      </c>
      <c r="F1069" s="26" t="n">
        <v>9</v>
      </c>
      <c r="G1069" s="26" t="n">
        <v>0</v>
      </c>
      <c r="H1069" s="26" t="n">
        <v>2021</v>
      </c>
      <c r="I1069" s="26" t="n">
        <v>577</v>
      </c>
      <c r="J1069" s="26" t="n">
        <v>0</v>
      </c>
      <c r="K1069" s="26" t="n">
        <v>0</v>
      </c>
      <c r="L1069" s="26" t="n">
        <v>0</v>
      </c>
      <c r="M1069" s="26" t="n">
        <v>0</v>
      </c>
    </row>
    <row r="1070" customFormat="false" ht="15" hidden="false" customHeight="false" outlineLevel="0" collapsed="false">
      <c r="A1070" s="7" t="s">
        <v>87</v>
      </c>
      <c r="B1070" s="7" t="n">
        <v>4415161</v>
      </c>
      <c r="C1070" s="7" t="s">
        <v>620</v>
      </c>
      <c r="D1070" s="26" t="n">
        <v>7084.9</v>
      </c>
      <c r="E1070" s="26" t="n">
        <v>180.9</v>
      </c>
      <c r="F1070" s="26" t="n">
        <v>181</v>
      </c>
      <c r="G1070" s="26" t="n">
        <v>0</v>
      </c>
      <c r="H1070" s="26" t="n">
        <v>28832.9</v>
      </c>
      <c r="I1070" s="26" t="n">
        <v>8885.8</v>
      </c>
      <c r="J1070" s="26" t="n">
        <v>0</v>
      </c>
      <c r="K1070" s="26" t="n">
        <v>0</v>
      </c>
      <c r="L1070" s="26" t="n">
        <v>0</v>
      </c>
      <c r="M1070" s="26" t="n">
        <v>0</v>
      </c>
    </row>
    <row r="1071" customFormat="false" ht="15" hidden="false" customHeight="false" outlineLevel="0" collapsed="false">
      <c r="A1071" s="7" t="s">
        <v>85</v>
      </c>
      <c r="B1071" s="7" t="n">
        <v>4415160</v>
      </c>
      <c r="C1071" s="7" t="s">
        <v>621</v>
      </c>
      <c r="D1071" s="26" t="n">
        <v>273</v>
      </c>
      <c r="E1071" s="26" t="n">
        <v>2</v>
      </c>
      <c r="F1071" s="26" t="n">
        <v>3</v>
      </c>
      <c r="G1071" s="26" t="n">
        <v>0</v>
      </c>
      <c r="H1071" s="26" t="n">
        <v>1303</v>
      </c>
      <c r="I1071" s="26" t="n">
        <v>470</v>
      </c>
      <c r="J1071" s="26" t="n">
        <v>0</v>
      </c>
      <c r="K1071" s="26" t="n">
        <v>0</v>
      </c>
      <c r="L1071" s="26" t="n">
        <v>0</v>
      </c>
      <c r="M1071" s="26" t="n">
        <v>0</v>
      </c>
    </row>
    <row r="1072" customFormat="false" ht="15" hidden="false" customHeight="false" outlineLevel="0" collapsed="false">
      <c r="A1072" s="7" t="s">
        <v>87</v>
      </c>
      <c r="B1072" s="7" t="n">
        <v>4415160</v>
      </c>
      <c r="C1072" s="7" t="s">
        <v>621</v>
      </c>
      <c r="D1072" s="26" t="n">
        <v>5207</v>
      </c>
      <c r="E1072" s="26" t="n">
        <v>40.2</v>
      </c>
      <c r="F1072" s="26" t="n">
        <v>60.3</v>
      </c>
      <c r="G1072" s="26" t="n">
        <v>0</v>
      </c>
      <c r="H1072" s="26" t="n">
        <v>18579.7</v>
      </c>
      <c r="I1072" s="26" t="n">
        <v>7238</v>
      </c>
      <c r="J1072" s="26" t="n">
        <v>0</v>
      </c>
      <c r="K1072" s="26" t="n">
        <v>0</v>
      </c>
      <c r="L1072" s="26" t="n">
        <v>0</v>
      </c>
      <c r="M1072" s="26" t="n">
        <v>0</v>
      </c>
    </row>
    <row r="1073" customFormat="false" ht="15" hidden="false" customHeight="false" outlineLevel="0" collapsed="false">
      <c r="A1073" s="7" t="s">
        <v>85</v>
      </c>
      <c r="B1073" s="7" t="n">
        <v>4415163</v>
      </c>
      <c r="C1073" s="7" t="s">
        <v>622</v>
      </c>
      <c r="D1073" s="26" t="n">
        <v>210</v>
      </c>
      <c r="E1073" s="26" t="n">
        <v>4</v>
      </c>
      <c r="F1073" s="26" t="n">
        <v>8</v>
      </c>
      <c r="G1073" s="26" t="n">
        <v>0</v>
      </c>
      <c r="H1073" s="26" t="n">
        <v>1128</v>
      </c>
      <c r="I1073" s="26" t="n">
        <v>249</v>
      </c>
      <c r="J1073" s="26" t="n">
        <v>0</v>
      </c>
      <c r="K1073" s="26" t="n">
        <v>0</v>
      </c>
      <c r="L1073" s="26" t="n">
        <v>0</v>
      </c>
      <c r="M1073" s="26" t="n">
        <v>0</v>
      </c>
    </row>
    <row r="1074" customFormat="false" ht="15" hidden="false" customHeight="false" outlineLevel="0" collapsed="false">
      <c r="A1074" s="7" t="s">
        <v>87</v>
      </c>
      <c r="B1074" s="7" t="n">
        <v>4415163</v>
      </c>
      <c r="C1074" s="7" t="s">
        <v>622</v>
      </c>
      <c r="D1074" s="26" t="n">
        <v>4056.1</v>
      </c>
      <c r="E1074" s="26" t="n">
        <v>80.4</v>
      </c>
      <c r="F1074" s="26" t="n">
        <v>156.5</v>
      </c>
      <c r="G1074" s="26" t="n">
        <v>0</v>
      </c>
      <c r="H1074" s="26" t="n">
        <v>16083.8</v>
      </c>
      <c r="I1074" s="26" t="n">
        <v>3834.6</v>
      </c>
      <c r="J1074" s="26" t="n">
        <v>0</v>
      </c>
      <c r="K1074" s="26" t="n">
        <v>0</v>
      </c>
      <c r="L1074" s="26" t="n">
        <v>0</v>
      </c>
      <c r="M1074" s="26" t="n">
        <v>0</v>
      </c>
    </row>
    <row r="1075" customFormat="false" ht="15" hidden="false" customHeight="false" outlineLevel="0" collapsed="false">
      <c r="A1075" s="7" t="s">
        <v>85</v>
      </c>
      <c r="B1075" s="7" t="n">
        <v>4408057</v>
      </c>
      <c r="C1075" s="7" t="s">
        <v>623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0</v>
      </c>
      <c r="J1075" s="26" t="n">
        <v>0</v>
      </c>
      <c r="K1075" s="26" t="n">
        <v>0</v>
      </c>
      <c r="L1075" s="26" t="n">
        <v>0</v>
      </c>
      <c r="M1075" s="26" t="n">
        <v>0</v>
      </c>
    </row>
    <row r="1076" customFormat="false" ht="15" hidden="false" customHeight="false" outlineLevel="0" collapsed="false">
      <c r="A1076" s="7" t="s">
        <v>87</v>
      </c>
      <c r="B1076" s="7" t="n">
        <v>4408057</v>
      </c>
      <c r="C1076" s="7" t="s">
        <v>623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0</v>
      </c>
      <c r="L1076" s="26" t="n">
        <v>0</v>
      </c>
      <c r="M1076" s="26" t="n">
        <v>0</v>
      </c>
    </row>
    <row r="1077" customFormat="false" ht="15" hidden="false" customHeight="false" outlineLevel="0" collapsed="false">
      <c r="A1077" s="7" t="s">
        <v>85</v>
      </c>
      <c r="B1077" s="7" t="n">
        <v>4408059</v>
      </c>
      <c r="C1077" s="7" t="s">
        <v>624</v>
      </c>
      <c r="D1077" s="26" t="n">
        <v>2</v>
      </c>
      <c r="E1077" s="26" t="n">
        <v>0</v>
      </c>
      <c r="F1077" s="26" t="n">
        <v>0</v>
      </c>
      <c r="G1077" s="26" t="n">
        <v>0</v>
      </c>
      <c r="H1077" s="26" t="n">
        <v>-5</v>
      </c>
      <c r="I1077" s="26" t="n">
        <v>-4</v>
      </c>
      <c r="J1077" s="26" t="n">
        <v>0</v>
      </c>
      <c r="K1077" s="26" t="n">
        <v>0</v>
      </c>
      <c r="L1077" s="26" t="n">
        <v>0</v>
      </c>
      <c r="M1077" s="26" t="n">
        <v>0</v>
      </c>
    </row>
    <row r="1078" customFormat="false" ht="15" hidden="false" customHeight="false" outlineLevel="0" collapsed="false">
      <c r="A1078" s="7" t="s">
        <v>87</v>
      </c>
      <c r="B1078" s="7" t="n">
        <v>4408059</v>
      </c>
      <c r="C1078" s="7" t="s">
        <v>624</v>
      </c>
      <c r="D1078" s="26" t="n">
        <v>132.6</v>
      </c>
      <c r="E1078" s="26" t="n">
        <v>0</v>
      </c>
      <c r="F1078" s="26" t="n">
        <v>0</v>
      </c>
      <c r="G1078" s="26" t="n">
        <v>0</v>
      </c>
      <c r="H1078" s="26" t="n">
        <v>-318.1</v>
      </c>
      <c r="I1078" s="26" t="n">
        <v>-314.4</v>
      </c>
      <c r="J1078" s="26" t="n">
        <v>0</v>
      </c>
      <c r="K1078" s="26" t="n">
        <v>0</v>
      </c>
      <c r="L1078" s="26" t="n">
        <v>0</v>
      </c>
      <c r="M1078" s="26" t="n">
        <v>0</v>
      </c>
    </row>
    <row r="1079" customFormat="false" ht="15" hidden="false" customHeight="false" outlineLevel="0" collapsed="false">
      <c r="A1079" s="7" t="s">
        <v>85</v>
      </c>
      <c r="B1079" s="7" t="n">
        <v>4408060</v>
      </c>
      <c r="C1079" s="7" t="s">
        <v>625</v>
      </c>
      <c r="D1079" s="26" t="n">
        <v>-1</v>
      </c>
      <c r="E1079" s="26" t="n">
        <v>0</v>
      </c>
      <c r="F1079" s="26" t="n">
        <v>0</v>
      </c>
      <c r="G1079" s="26" t="n">
        <v>0</v>
      </c>
      <c r="H1079" s="26" t="n">
        <v>-1</v>
      </c>
      <c r="I1079" s="26" t="n">
        <v>2</v>
      </c>
      <c r="J1079" s="26" t="n">
        <v>0</v>
      </c>
      <c r="K1079" s="26" t="n">
        <v>0</v>
      </c>
      <c r="L1079" s="26" t="n">
        <v>0</v>
      </c>
      <c r="M1079" s="26" t="n">
        <v>0</v>
      </c>
    </row>
    <row r="1080" customFormat="false" ht="15" hidden="false" customHeight="false" outlineLevel="0" collapsed="false">
      <c r="A1080" s="7" t="s">
        <v>87</v>
      </c>
      <c r="B1080" s="7" t="n">
        <v>4408060</v>
      </c>
      <c r="C1080" s="7" t="s">
        <v>625</v>
      </c>
      <c r="D1080" s="26" t="n">
        <v>-50.9</v>
      </c>
      <c r="E1080" s="26" t="n">
        <v>0</v>
      </c>
      <c r="F1080" s="26" t="n">
        <v>0</v>
      </c>
      <c r="G1080" s="26" t="n">
        <v>0</v>
      </c>
      <c r="H1080" s="26" t="n">
        <v>-63.6</v>
      </c>
      <c r="I1080" s="26" t="n">
        <v>137</v>
      </c>
      <c r="J1080" s="26" t="n">
        <v>0</v>
      </c>
      <c r="K1080" s="26" t="n">
        <v>0</v>
      </c>
      <c r="L1080" s="26" t="n">
        <v>0</v>
      </c>
      <c r="M1080" s="26" t="n">
        <v>0</v>
      </c>
    </row>
    <row r="1081" customFormat="false" ht="15" hidden="false" customHeight="false" outlineLevel="0" collapsed="false">
      <c r="A1081" s="7" t="s">
        <v>85</v>
      </c>
      <c r="B1081" s="7" t="n">
        <v>4408061</v>
      </c>
      <c r="C1081" s="7" t="s">
        <v>626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-2</v>
      </c>
      <c r="J1081" s="26" t="n">
        <v>0</v>
      </c>
      <c r="K1081" s="26" t="n">
        <v>0</v>
      </c>
      <c r="L1081" s="26" t="n">
        <v>0</v>
      </c>
      <c r="M1081" s="26" t="n">
        <v>0</v>
      </c>
    </row>
    <row r="1082" customFormat="false" ht="15" hidden="false" customHeight="false" outlineLevel="0" collapsed="false">
      <c r="A1082" s="7" t="s">
        <v>87</v>
      </c>
      <c r="B1082" s="7" t="n">
        <v>4408061</v>
      </c>
      <c r="C1082" s="7" t="s">
        <v>626</v>
      </c>
      <c r="D1082" s="26" t="n">
        <v>7.8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-133.6</v>
      </c>
      <c r="J1082" s="26" t="n">
        <v>0</v>
      </c>
      <c r="K1082" s="26" t="n">
        <v>0</v>
      </c>
      <c r="L1082" s="26" t="n">
        <v>0</v>
      </c>
      <c r="M1082" s="26" t="n">
        <v>0</v>
      </c>
    </row>
    <row r="1083" customFormat="false" ht="15" hidden="false" customHeight="false" outlineLevel="0" collapsed="false">
      <c r="A1083" s="7" t="s">
        <v>85</v>
      </c>
      <c r="B1083" s="7" t="n">
        <v>4408062</v>
      </c>
      <c r="C1083" s="7" t="s">
        <v>627</v>
      </c>
      <c r="D1083" s="26" t="n">
        <v>2</v>
      </c>
      <c r="E1083" s="26" t="n">
        <v>0</v>
      </c>
      <c r="F1083" s="26" t="n">
        <v>0</v>
      </c>
      <c r="G1083" s="26" t="n">
        <v>0</v>
      </c>
      <c r="H1083" s="26" t="n">
        <v>-5</v>
      </c>
      <c r="I1083" s="26" t="n">
        <v>1</v>
      </c>
      <c r="J1083" s="26" t="n">
        <v>0</v>
      </c>
      <c r="K1083" s="26" t="n">
        <v>0</v>
      </c>
      <c r="L1083" s="26" t="n">
        <v>0</v>
      </c>
      <c r="M1083" s="26" t="n">
        <v>0</v>
      </c>
    </row>
    <row r="1084" customFormat="false" ht="15" hidden="false" customHeight="false" outlineLevel="0" collapsed="false">
      <c r="A1084" s="7" t="s">
        <v>87</v>
      </c>
      <c r="B1084" s="7" t="n">
        <v>4408062</v>
      </c>
      <c r="C1084" s="7" t="s">
        <v>627</v>
      </c>
      <c r="D1084" s="26" t="n">
        <v>132.3</v>
      </c>
      <c r="E1084" s="26" t="n">
        <v>0</v>
      </c>
      <c r="F1084" s="26" t="n">
        <v>0</v>
      </c>
      <c r="G1084" s="26" t="n">
        <v>0</v>
      </c>
      <c r="H1084" s="26" t="n">
        <v>-318.1</v>
      </c>
      <c r="I1084" s="26" t="n">
        <v>68.5</v>
      </c>
      <c r="J1084" s="26" t="n">
        <v>0</v>
      </c>
      <c r="K1084" s="26" t="n">
        <v>0</v>
      </c>
      <c r="L1084" s="26" t="n">
        <v>0</v>
      </c>
      <c r="M1084" s="26" t="n">
        <v>0</v>
      </c>
    </row>
    <row r="1085" customFormat="false" ht="15" hidden="false" customHeight="false" outlineLevel="0" collapsed="false">
      <c r="A1085" s="7" t="s">
        <v>85</v>
      </c>
      <c r="B1085" s="7" t="n">
        <v>4415000</v>
      </c>
      <c r="C1085" s="7" t="s">
        <v>628</v>
      </c>
      <c r="D1085" s="26" t="n">
        <v>106</v>
      </c>
      <c r="E1085" s="26" t="n">
        <v>0</v>
      </c>
      <c r="F1085" s="26" t="n">
        <v>0</v>
      </c>
      <c r="G1085" s="26" t="n">
        <v>0</v>
      </c>
      <c r="H1085" s="26" t="n">
        <v>648</v>
      </c>
      <c r="I1085" s="26" t="n">
        <v>56</v>
      </c>
      <c r="J1085" s="26" t="n">
        <v>0</v>
      </c>
      <c r="K1085" s="26" t="n">
        <v>0</v>
      </c>
      <c r="L1085" s="26" t="n">
        <v>0</v>
      </c>
      <c r="M1085" s="26" t="n">
        <v>0</v>
      </c>
    </row>
    <row r="1086" customFormat="false" ht="15" hidden="false" customHeight="false" outlineLevel="0" collapsed="false">
      <c r="A1086" s="7" t="s">
        <v>87</v>
      </c>
      <c r="B1086" s="7" t="n">
        <v>4415000</v>
      </c>
      <c r="C1086" s="7" t="s">
        <v>628</v>
      </c>
      <c r="D1086" s="26" t="n">
        <v>10415.4</v>
      </c>
      <c r="E1086" s="26" t="n">
        <v>0</v>
      </c>
      <c r="F1086" s="26" t="n">
        <v>0</v>
      </c>
      <c r="G1086" s="26" t="n">
        <v>0</v>
      </c>
      <c r="H1086" s="26" t="n">
        <v>53009.9</v>
      </c>
      <c r="I1086" s="26" t="n">
        <v>4869.9</v>
      </c>
      <c r="J1086" s="26" t="n">
        <v>0</v>
      </c>
      <c r="K1086" s="26" t="n">
        <v>0</v>
      </c>
      <c r="L1086" s="26" t="n">
        <v>0</v>
      </c>
      <c r="M1086" s="26" t="n">
        <v>0</v>
      </c>
    </row>
    <row r="1087" customFormat="false" ht="15" hidden="false" customHeight="false" outlineLevel="0" collapsed="false">
      <c r="A1087" s="7" t="s">
        <v>85</v>
      </c>
      <c r="B1087" s="7" t="n">
        <v>4415001</v>
      </c>
      <c r="C1087" s="7" t="s">
        <v>629</v>
      </c>
      <c r="D1087" s="26" t="n">
        <v>90</v>
      </c>
      <c r="E1087" s="26" t="n">
        <v>0</v>
      </c>
      <c r="F1087" s="26" t="n">
        <v>1</v>
      </c>
      <c r="G1087" s="26" t="n">
        <v>0</v>
      </c>
      <c r="H1087" s="26" t="n">
        <v>797</v>
      </c>
      <c r="I1087" s="26" t="n">
        <v>53</v>
      </c>
      <c r="J1087" s="26" t="n">
        <v>0</v>
      </c>
      <c r="K1087" s="26" t="n">
        <v>0</v>
      </c>
      <c r="L1087" s="26" t="n">
        <v>0</v>
      </c>
      <c r="M1087" s="26" t="n">
        <v>0</v>
      </c>
    </row>
    <row r="1088" customFormat="false" ht="15" hidden="false" customHeight="false" outlineLevel="0" collapsed="false">
      <c r="A1088" s="7" t="s">
        <v>87</v>
      </c>
      <c r="B1088" s="7" t="n">
        <v>4415001</v>
      </c>
      <c r="C1088" s="7" t="s">
        <v>629</v>
      </c>
      <c r="D1088" s="26" t="n">
        <v>8865.9</v>
      </c>
      <c r="E1088" s="26" t="n">
        <v>0</v>
      </c>
      <c r="F1088" s="26" t="n">
        <v>103.1</v>
      </c>
      <c r="G1088" s="26" t="n">
        <v>0</v>
      </c>
      <c r="H1088" s="26" t="n">
        <v>65159.7</v>
      </c>
      <c r="I1088" s="26" t="n">
        <v>4674.6</v>
      </c>
      <c r="J1088" s="26" t="n">
        <v>0</v>
      </c>
      <c r="K1088" s="26" t="n">
        <v>0</v>
      </c>
      <c r="L1088" s="26" t="n">
        <v>0</v>
      </c>
      <c r="M1088" s="26" t="n">
        <v>0</v>
      </c>
    </row>
    <row r="1089" customFormat="false" ht="15" hidden="false" customHeight="false" outlineLevel="0" collapsed="false">
      <c r="A1089" s="7" t="s">
        <v>85</v>
      </c>
      <c r="B1089" s="7" t="n">
        <v>4415002</v>
      </c>
      <c r="C1089" s="7" t="s">
        <v>630</v>
      </c>
      <c r="D1089" s="26" t="n">
        <v>53</v>
      </c>
      <c r="E1089" s="26" t="n">
        <v>0</v>
      </c>
      <c r="F1089" s="26" t="n">
        <v>0</v>
      </c>
      <c r="G1089" s="26" t="n">
        <v>0</v>
      </c>
      <c r="H1089" s="26" t="n">
        <v>589</v>
      </c>
      <c r="I1089" s="26" t="n">
        <v>49</v>
      </c>
      <c r="J1089" s="26" t="n">
        <v>0</v>
      </c>
      <c r="K1089" s="26" t="n">
        <v>0</v>
      </c>
      <c r="L1089" s="26" t="n">
        <v>0</v>
      </c>
      <c r="M1089" s="26" t="n">
        <v>0</v>
      </c>
    </row>
    <row r="1090" customFormat="false" ht="15" hidden="false" customHeight="false" outlineLevel="0" collapsed="false">
      <c r="A1090" s="7" t="s">
        <v>87</v>
      </c>
      <c r="B1090" s="7" t="n">
        <v>4415002</v>
      </c>
      <c r="C1090" s="7" t="s">
        <v>630</v>
      </c>
      <c r="D1090" s="26" t="n">
        <v>5173.7</v>
      </c>
      <c r="E1090" s="26" t="n">
        <v>0</v>
      </c>
      <c r="F1090" s="26" t="n">
        <v>0</v>
      </c>
      <c r="G1090" s="26" t="n">
        <v>0</v>
      </c>
      <c r="H1090" s="26" t="n">
        <v>48197.4</v>
      </c>
      <c r="I1090" s="26" t="n">
        <v>4321.8</v>
      </c>
      <c r="J1090" s="26" t="n">
        <v>0</v>
      </c>
      <c r="K1090" s="26" t="n">
        <v>0</v>
      </c>
      <c r="L1090" s="26" t="n">
        <v>0</v>
      </c>
      <c r="M1090" s="26" t="n">
        <v>0</v>
      </c>
    </row>
    <row r="1091" customFormat="false" ht="15" hidden="false" customHeight="false" outlineLevel="0" collapsed="false">
      <c r="A1091" s="7" t="s">
        <v>85</v>
      </c>
      <c r="B1091" s="7" t="n">
        <v>4415003</v>
      </c>
      <c r="C1091" s="7" t="s">
        <v>631</v>
      </c>
      <c r="D1091" s="26" t="n">
        <v>70</v>
      </c>
      <c r="E1091" s="26" t="n">
        <v>0</v>
      </c>
      <c r="F1091" s="26" t="n">
        <v>0</v>
      </c>
      <c r="G1091" s="26" t="n">
        <v>0</v>
      </c>
      <c r="H1091" s="26" t="n">
        <v>514</v>
      </c>
      <c r="I1091" s="26" t="n">
        <v>27</v>
      </c>
      <c r="J1091" s="26" t="n">
        <v>0</v>
      </c>
      <c r="K1091" s="26" t="n">
        <v>0</v>
      </c>
      <c r="L1091" s="26" t="n">
        <v>0</v>
      </c>
      <c r="M1091" s="26" t="n">
        <v>0</v>
      </c>
    </row>
    <row r="1092" customFormat="false" ht="15" hidden="false" customHeight="false" outlineLevel="0" collapsed="false">
      <c r="A1092" s="7" t="s">
        <v>87</v>
      </c>
      <c r="B1092" s="7" t="n">
        <v>4415003</v>
      </c>
      <c r="C1092" s="7" t="s">
        <v>631</v>
      </c>
      <c r="D1092" s="26" t="n">
        <v>6818.9</v>
      </c>
      <c r="E1092" s="26" t="n">
        <v>0</v>
      </c>
      <c r="F1092" s="26" t="n">
        <v>0</v>
      </c>
      <c r="G1092" s="26" t="n">
        <v>0</v>
      </c>
      <c r="H1092" s="26" t="n">
        <v>42043.4</v>
      </c>
      <c r="I1092" s="26" t="n">
        <v>2375.1</v>
      </c>
      <c r="J1092" s="26" t="n">
        <v>0</v>
      </c>
      <c r="K1092" s="26" t="n">
        <v>0</v>
      </c>
      <c r="L1092" s="26" t="n">
        <v>0</v>
      </c>
      <c r="M1092" s="26" t="n">
        <v>0</v>
      </c>
    </row>
    <row r="1093" customFormat="false" ht="15" hidden="false" customHeight="false" outlineLevel="0" collapsed="false">
      <c r="A1093" s="7" t="s">
        <v>85</v>
      </c>
      <c r="B1093" s="7" t="n">
        <v>4415142</v>
      </c>
      <c r="C1093" s="7" t="s">
        <v>632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-1</v>
      </c>
      <c r="J1093" s="26" t="n">
        <v>0</v>
      </c>
      <c r="K1093" s="26" t="n">
        <v>0</v>
      </c>
      <c r="L1093" s="26" t="n">
        <v>0</v>
      </c>
      <c r="M1093" s="26" t="n">
        <v>0</v>
      </c>
    </row>
    <row r="1094" customFormat="false" ht="15" hidden="false" customHeight="false" outlineLevel="0" collapsed="false">
      <c r="A1094" s="7" t="s">
        <v>87</v>
      </c>
      <c r="B1094" s="7" t="n">
        <v>4415142</v>
      </c>
      <c r="C1094" s="7" t="s">
        <v>632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-166.6</v>
      </c>
      <c r="J1094" s="26" t="n">
        <v>0</v>
      </c>
      <c r="K1094" s="26" t="n">
        <v>0</v>
      </c>
      <c r="L1094" s="26" t="n">
        <v>0</v>
      </c>
      <c r="M1094" s="26" t="n">
        <v>0</v>
      </c>
    </row>
    <row r="1095" customFormat="false" ht="15" hidden="false" customHeight="false" outlineLevel="0" collapsed="false">
      <c r="A1095" s="7" t="s">
        <v>85</v>
      </c>
      <c r="B1095" s="7" t="n">
        <v>4415004</v>
      </c>
      <c r="C1095" s="7" t="s">
        <v>633</v>
      </c>
      <c r="D1095" s="26" t="n">
        <v>3</v>
      </c>
      <c r="E1095" s="26" t="n">
        <v>0</v>
      </c>
      <c r="F1095" s="26" t="n">
        <v>0</v>
      </c>
      <c r="G1095" s="26" t="n">
        <v>0</v>
      </c>
      <c r="H1095" s="26" t="n">
        <v>2</v>
      </c>
      <c r="I1095" s="26" t="n">
        <v>-1</v>
      </c>
      <c r="J1095" s="26" t="n">
        <v>0</v>
      </c>
      <c r="K1095" s="26" t="n">
        <v>0</v>
      </c>
      <c r="L1095" s="26" t="n">
        <v>0</v>
      </c>
      <c r="M1095" s="26" t="n">
        <v>0</v>
      </c>
    </row>
    <row r="1096" customFormat="false" ht="15" hidden="false" customHeight="false" outlineLevel="0" collapsed="false">
      <c r="A1096" s="7" t="s">
        <v>87</v>
      </c>
      <c r="B1096" s="7" t="n">
        <v>4415004</v>
      </c>
      <c r="C1096" s="7" t="s">
        <v>633</v>
      </c>
      <c r="D1096" s="26" t="n">
        <v>309.2</v>
      </c>
      <c r="E1096" s="26" t="n">
        <v>0</v>
      </c>
      <c r="F1096" s="26" t="n">
        <v>0</v>
      </c>
      <c r="G1096" s="26" t="n">
        <v>0</v>
      </c>
      <c r="H1096" s="26" t="n">
        <v>163.8</v>
      </c>
      <c r="I1096" s="26" t="n">
        <v>-88.2</v>
      </c>
      <c r="J1096" s="26" t="n">
        <v>0</v>
      </c>
      <c r="K1096" s="26" t="n">
        <v>0</v>
      </c>
      <c r="L1096" s="26" t="n">
        <v>0</v>
      </c>
      <c r="M1096" s="26" t="n">
        <v>0</v>
      </c>
    </row>
    <row r="1097" customFormat="false" ht="15" hidden="false" customHeight="false" outlineLevel="0" collapsed="false">
      <c r="A1097" s="7" t="s">
        <v>85</v>
      </c>
      <c r="B1097" s="7" t="n">
        <v>4415158</v>
      </c>
      <c r="C1097" s="7" t="s">
        <v>634</v>
      </c>
      <c r="D1097" s="26" t="n">
        <v>501</v>
      </c>
      <c r="E1097" s="26" t="n">
        <v>0</v>
      </c>
      <c r="F1097" s="26" t="n">
        <v>0</v>
      </c>
      <c r="G1097" s="26" t="n">
        <v>0</v>
      </c>
      <c r="H1097" s="26" t="n">
        <v>4521</v>
      </c>
      <c r="I1097" s="26" t="n">
        <v>367</v>
      </c>
      <c r="J1097" s="26" t="n">
        <v>1</v>
      </c>
      <c r="K1097" s="26" t="n">
        <v>0</v>
      </c>
      <c r="L1097" s="26" t="n">
        <v>0</v>
      </c>
      <c r="M1097" s="26" t="n">
        <v>0</v>
      </c>
    </row>
    <row r="1098" customFormat="false" ht="15" hidden="false" customHeight="false" outlineLevel="0" collapsed="false">
      <c r="A1098" s="7" t="s">
        <v>87</v>
      </c>
      <c r="B1098" s="7" t="n">
        <v>4415158</v>
      </c>
      <c r="C1098" s="7" t="s">
        <v>634</v>
      </c>
      <c r="D1098" s="26" t="n">
        <v>38817.9</v>
      </c>
      <c r="E1098" s="26" t="n">
        <v>0</v>
      </c>
      <c r="F1098" s="26" t="n">
        <v>0</v>
      </c>
      <c r="G1098" s="26" t="n">
        <v>0</v>
      </c>
      <c r="H1098" s="26" t="n">
        <v>304743.2</v>
      </c>
      <c r="I1098" s="26" t="n">
        <v>26702.9</v>
      </c>
      <c r="J1098" s="26" t="n">
        <v>72.8</v>
      </c>
      <c r="K1098" s="26" t="n">
        <v>0</v>
      </c>
      <c r="L1098" s="26" t="n">
        <v>0</v>
      </c>
      <c r="M1098" s="26" t="n">
        <v>0</v>
      </c>
    </row>
    <row r="1099" customFormat="false" ht="15" hidden="false" customHeight="false" outlineLevel="0" collapsed="false">
      <c r="A1099" s="7" t="s">
        <v>85</v>
      </c>
      <c r="B1099" s="7" t="n">
        <v>4415170</v>
      </c>
      <c r="C1099" s="7" t="s">
        <v>635</v>
      </c>
      <c r="D1099" s="26" t="n">
        <v>1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0</v>
      </c>
      <c r="L1099" s="26" t="n">
        <v>0</v>
      </c>
      <c r="M1099" s="26" t="n">
        <v>0</v>
      </c>
    </row>
    <row r="1100" customFormat="false" ht="15" hidden="false" customHeight="false" outlineLevel="0" collapsed="false">
      <c r="A1100" s="7" t="s">
        <v>87</v>
      </c>
      <c r="B1100" s="7" t="n">
        <v>4415170</v>
      </c>
      <c r="C1100" s="7" t="s">
        <v>635</v>
      </c>
      <c r="D1100" s="26" t="n">
        <v>108.7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0</v>
      </c>
      <c r="L1100" s="26" t="n">
        <v>0</v>
      </c>
      <c r="M1100" s="26" t="n">
        <v>0</v>
      </c>
    </row>
    <row r="1101" customFormat="false" ht="15" hidden="false" customHeight="false" outlineLevel="0" collapsed="false">
      <c r="A1101" s="7" t="s">
        <v>85</v>
      </c>
      <c r="B1101" s="7" t="n">
        <v>4415171</v>
      </c>
      <c r="C1101" s="7" t="s">
        <v>636</v>
      </c>
      <c r="D1101" s="26" t="n">
        <v>1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0</v>
      </c>
      <c r="L1101" s="26" t="n">
        <v>0</v>
      </c>
      <c r="M1101" s="26" t="n">
        <v>0</v>
      </c>
    </row>
    <row r="1102" customFormat="false" ht="15" hidden="false" customHeight="false" outlineLevel="0" collapsed="false">
      <c r="A1102" s="7" t="s">
        <v>87</v>
      </c>
      <c r="B1102" s="7" t="n">
        <v>4415171</v>
      </c>
      <c r="C1102" s="7" t="s">
        <v>636</v>
      </c>
      <c r="D1102" s="26" t="n">
        <v>108.7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0</v>
      </c>
      <c r="L1102" s="26" t="n">
        <v>0</v>
      </c>
      <c r="M1102" s="26" t="n">
        <v>0</v>
      </c>
    </row>
    <row r="1103" customFormat="false" ht="15" hidden="false" customHeight="false" outlineLevel="0" collapsed="false">
      <c r="A1103" s="7" t="s">
        <v>85</v>
      </c>
      <c r="B1103" s="7" t="n">
        <v>4415165</v>
      </c>
      <c r="C1103" s="7" t="s">
        <v>637</v>
      </c>
      <c r="D1103" s="26" t="n">
        <v>1</v>
      </c>
      <c r="E1103" s="26" t="n">
        <v>0</v>
      </c>
      <c r="F1103" s="26" t="n">
        <v>0</v>
      </c>
      <c r="G1103" s="26" t="n">
        <v>0</v>
      </c>
      <c r="H1103" s="26" t="n">
        <v>-2</v>
      </c>
      <c r="I1103" s="26" t="n">
        <v>0</v>
      </c>
      <c r="J1103" s="26" t="n">
        <v>0</v>
      </c>
      <c r="K1103" s="26" t="n">
        <v>0</v>
      </c>
      <c r="L1103" s="26" t="n">
        <v>0</v>
      </c>
      <c r="M1103" s="26" t="n">
        <v>0</v>
      </c>
    </row>
    <row r="1104" customFormat="false" ht="15" hidden="false" customHeight="false" outlineLevel="0" collapsed="false">
      <c r="A1104" s="7" t="s">
        <v>87</v>
      </c>
      <c r="B1104" s="7" t="n">
        <v>4415165</v>
      </c>
      <c r="C1104" s="7" t="s">
        <v>637</v>
      </c>
      <c r="D1104" s="26" t="n">
        <v>108.7</v>
      </c>
      <c r="E1104" s="26" t="n">
        <v>0</v>
      </c>
      <c r="F1104" s="26" t="n">
        <v>0</v>
      </c>
      <c r="G1104" s="26" t="n">
        <v>0</v>
      </c>
      <c r="H1104" s="26" t="n">
        <v>-188.4</v>
      </c>
      <c r="I1104" s="26" t="n">
        <v>0</v>
      </c>
      <c r="J1104" s="26" t="n">
        <v>0</v>
      </c>
      <c r="K1104" s="26" t="n">
        <v>0</v>
      </c>
      <c r="L1104" s="26" t="n">
        <v>0</v>
      </c>
      <c r="M1104" s="26" t="n">
        <v>0</v>
      </c>
    </row>
    <row r="1105" customFormat="false" ht="15" hidden="false" customHeight="false" outlineLevel="0" collapsed="false">
      <c r="A1105" s="7" t="s">
        <v>85</v>
      </c>
      <c r="B1105" s="7" t="n">
        <v>4415164</v>
      </c>
      <c r="C1105" s="7" t="s">
        <v>638</v>
      </c>
      <c r="D1105" s="26" t="n">
        <v>1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0</v>
      </c>
      <c r="J1105" s="26" t="n">
        <v>0</v>
      </c>
      <c r="K1105" s="26" t="n">
        <v>0</v>
      </c>
      <c r="L1105" s="26" t="n">
        <v>0</v>
      </c>
      <c r="M1105" s="26" t="n">
        <v>0</v>
      </c>
    </row>
    <row r="1106" customFormat="false" ht="15" hidden="false" customHeight="false" outlineLevel="0" collapsed="false">
      <c r="A1106" s="7" t="s">
        <v>87</v>
      </c>
      <c r="B1106" s="7" t="n">
        <v>4415164</v>
      </c>
      <c r="C1106" s="7" t="s">
        <v>638</v>
      </c>
      <c r="D1106" s="26" t="n">
        <v>108.7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0</v>
      </c>
      <c r="J1106" s="26" t="n">
        <v>0</v>
      </c>
      <c r="K1106" s="26" t="n">
        <v>0</v>
      </c>
      <c r="L1106" s="26" t="n">
        <v>0</v>
      </c>
      <c r="M1106" s="26" t="n">
        <v>0</v>
      </c>
    </row>
    <row r="1107" customFormat="false" ht="15" hidden="false" customHeight="false" outlineLevel="0" collapsed="false">
      <c r="A1107" s="7" t="s">
        <v>85</v>
      </c>
      <c r="B1107" s="7" t="n">
        <v>4415166</v>
      </c>
      <c r="C1107" s="7" t="s">
        <v>639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0</v>
      </c>
      <c r="J1107" s="26" t="n">
        <v>0</v>
      </c>
      <c r="K1107" s="26" t="n">
        <v>0</v>
      </c>
      <c r="L1107" s="26" t="n">
        <v>0</v>
      </c>
      <c r="M1107" s="26" t="n">
        <v>0</v>
      </c>
    </row>
    <row r="1108" customFormat="false" ht="15" hidden="false" customHeight="false" outlineLevel="0" collapsed="false">
      <c r="A1108" s="7" t="s">
        <v>87</v>
      </c>
      <c r="B1108" s="7" t="n">
        <v>4415166</v>
      </c>
      <c r="C1108" s="7" t="s">
        <v>639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0</v>
      </c>
      <c r="J1108" s="26" t="n">
        <v>0</v>
      </c>
      <c r="K1108" s="26" t="n">
        <v>0</v>
      </c>
      <c r="L1108" s="26" t="n">
        <v>0</v>
      </c>
      <c r="M1108" s="26" t="n">
        <v>0</v>
      </c>
    </row>
    <row r="1109" customFormat="false" ht="15" hidden="false" customHeight="false" outlineLevel="0" collapsed="false">
      <c r="A1109" s="7" t="s">
        <v>85</v>
      </c>
      <c r="B1109" s="7" t="n">
        <v>4415173</v>
      </c>
      <c r="C1109" s="7" t="s">
        <v>640</v>
      </c>
      <c r="D1109" s="26" t="n">
        <v>1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0</v>
      </c>
      <c r="J1109" s="26" t="n">
        <v>0</v>
      </c>
      <c r="K1109" s="26" t="n">
        <v>0</v>
      </c>
      <c r="L1109" s="26" t="n">
        <v>0</v>
      </c>
      <c r="M1109" s="26" t="n">
        <v>0</v>
      </c>
    </row>
    <row r="1110" customFormat="false" ht="15" hidden="false" customHeight="false" outlineLevel="0" collapsed="false">
      <c r="A1110" s="7" t="s">
        <v>87</v>
      </c>
      <c r="B1110" s="7" t="n">
        <v>4415173</v>
      </c>
      <c r="C1110" s="7" t="s">
        <v>640</v>
      </c>
      <c r="D1110" s="26" t="n">
        <v>108.7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0</v>
      </c>
      <c r="J1110" s="26" t="n">
        <v>0</v>
      </c>
      <c r="K1110" s="26" t="n">
        <v>0</v>
      </c>
      <c r="L1110" s="26" t="n">
        <v>0</v>
      </c>
      <c r="M1110" s="26" t="n">
        <v>0</v>
      </c>
    </row>
    <row r="1111" customFormat="false" ht="15" hidden="false" customHeight="false" outlineLevel="0" collapsed="false">
      <c r="A1111" s="7" t="s">
        <v>85</v>
      </c>
      <c r="B1111" s="7" t="n">
        <v>4415174</v>
      </c>
      <c r="C1111" s="7" t="s">
        <v>641</v>
      </c>
      <c r="D1111" s="26" t="n">
        <v>1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0</v>
      </c>
      <c r="J1111" s="26" t="n">
        <v>0</v>
      </c>
      <c r="K1111" s="26" t="n">
        <v>0</v>
      </c>
      <c r="L1111" s="26" t="n">
        <v>0</v>
      </c>
      <c r="M1111" s="26" t="n">
        <v>0</v>
      </c>
    </row>
    <row r="1112" customFormat="false" ht="15" hidden="false" customHeight="false" outlineLevel="0" collapsed="false">
      <c r="A1112" s="7" t="s">
        <v>87</v>
      </c>
      <c r="B1112" s="7" t="n">
        <v>4415174</v>
      </c>
      <c r="C1112" s="7" t="s">
        <v>641</v>
      </c>
      <c r="D1112" s="26" t="n">
        <v>108.7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0</v>
      </c>
      <c r="L1112" s="26" t="n">
        <v>0</v>
      </c>
      <c r="M1112" s="26" t="n">
        <v>0</v>
      </c>
    </row>
    <row r="1113" customFormat="false" ht="15" hidden="false" customHeight="false" outlineLevel="0" collapsed="false">
      <c r="A1113" s="7" t="s">
        <v>85</v>
      </c>
      <c r="B1113" s="7" t="n">
        <v>4415167</v>
      </c>
      <c r="C1113" s="7" t="s">
        <v>642</v>
      </c>
      <c r="D1113" s="26" t="n">
        <v>1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  <c r="L1113" s="26" t="n">
        <v>0</v>
      </c>
      <c r="M1113" s="26" t="n">
        <v>0</v>
      </c>
    </row>
    <row r="1114" customFormat="false" ht="15" hidden="false" customHeight="false" outlineLevel="0" collapsed="false">
      <c r="A1114" s="7" t="s">
        <v>87</v>
      </c>
      <c r="B1114" s="7" t="n">
        <v>4415167</v>
      </c>
      <c r="C1114" s="7" t="s">
        <v>642</v>
      </c>
      <c r="D1114" s="26" t="n">
        <v>108.7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0</v>
      </c>
      <c r="J1114" s="26" t="n">
        <v>0</v>
      </c>
      <c r="K1114" s="26" t="n">
        <v>0</v>
      </c>
      <c r="L1114" s="26" t="n">
        <v>0</v>
      </c>
      <c r="M1114" s="26" t="n">
        <v>0</v>
      </c>
    </row>
    <row r="1115" customFormat="false" ht="15" hidden="false" customHeight="false" outlineLevel="0" collapsed="false">
      <c r="A1115" s="7" t="s">
        <v>85</v>
      </c>
      <c r="B1115" s="7" t="n">
        <v>4415168</v>
      </c>
      <c r="C1115" s="7" t="s">
        <v>643</v>
      </c>
      <c r="D1115" s="26" t="n">
        <v>1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0</v>
      </c>
      <c r="J1115" s="26" t="n">
        <v>0</v>
      </c>
      <c r="K1115" s="26" t="n">
        <v>0</v>
      </c>
      <c r="L1115" s="26" t="n">
        <v>0</v>
      </c>
      <c r="M1115" s="26" t="n">
        <v>0</v>
      </c>
    </row>
    <row r="1116" customFormat="false" ht="15" hidden="false" customHeight="false" outlineLevel="0" collapsed="false">
      <c r="A1116" s="7" t="s">
        <v>87</v>
      </c>
      <c r="B1116" s="7" t="n">
        <v>4415168</v>
      </c>
      <c r="C1116" s="7" t="s">
        <v>643</v>
      </c>
      <c r="D1116" s="26" t="n">
        <v>108.7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0</v>
      </c>
      <c r="J1116" s="26" t="n">
        <v>0</v>
      </c>
      <c r="K1116" s="26" t="n">
        <v>0</v>
      </c>
      <c r="L1116" s="26" t="n">
        <v>0</v>
      </c>
      <c r="M1116" s="26" t="n">
        <v>0</v>
      </c>
    </row>
    <row r="1117" customFormat="false" ht="15" hidden="false" customHeight="false" outlineLevel="0" collapsed="false">
      <c r="A1117" s="7" t="s">
        <v>85</v>
      </c>
      <c r="B1117" s="7" t="n">
        <v>4415169</v>
      </c>
      <c r="C1117" s="7" t="s">
        <v>644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0</v>
      </c>
      <c r="J1117" s="26" t="n">
        <v>0</v>
      </c>
      <c r="K1117" s="26" t="n">
        <v>0</v>
      </c>
      <c r="L1117" s="26" t="n">
        <v>0</v>
      </c>
      <c r="M1117" s="26" t="n">
        <v>0</v>
      </c>
    </row>
    <row r="1118" customFormat="false" ht="15" hidden="false" customHeight="false" outlineLevel="0" collapsed="false">
      <c r="A1118" s="7" t="s">
        <v>87</v>
      </c>
      <c r="B1118" s="7" t="n">
        <v>4415169</v>
      </c>
      <c r="C1118" s="7" t="s">
        <v>644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0</v>
      </c>
      <c r="J1118" s="26" t="n">
        <v>0</v>
      </c>
      <c r="K1118" s="26" t="n">
        <v>0</v>
      </c>
      <c r="L1118" s="26" t="n">
        <v>0</v>
      </c>
      <c r="M1118" s="26" t="n">
        <v>0</v>
      </c>
    </row>
    <row r="1119" customFormat="false" ht="15" hidden="false" customHeight="false" outlineLevel="0" collapsed="false">
      <c r="A1119" s="7" t="s">
        <v>85</v>
      </c>
      <c r="B1119" s="7" t="n">
        <v>4415159</v>
      </c>
      <c r="C1119" s="7" t="s">
        <v>645</v>
      </c>
      <c r="D1119" s="26" t="n">
        <v>120</v>
      </c>
      <c r="E1119" s="26" t="n">
        <v>0</v>
      </c>
      <c r="F1119" s="26" t="n">
        <v>0</v>
      </c>
      <c r="G1119" s="26" t="n">
        <v>0</v>
      </c>
      <c r="H1119" s="26" t="n">
        <v>145</v>
      </c>
      <c r="I1119" s="26" t="n">
        <v>43</v>
      </c>
      <c r="J1119" s="26" t="n">
        <v>0</v>
      </c>
      <c r="K1119" s="26" t="n">
        <v>0</v>
      </c>
      <c r="L1119" s="26" t="n">
        <v>0</v>
      </c>
      <c r="M1119" s="26" t="n">
        <v>0</v>
      </c>
    </row>
    <row r="1120" customFormat="false" ht="15" hidden="false" customHeight="false" outlineLevel="0" collapsed="false">
      <c r="A1120" s="7" t="s">
        <v>87</v>
      </c>
      <c r="B1120" s="7" t="n">
        <v>4415159</v>
      </c>
      <c r="C1120" s="7" t="s">
        <v>645</v>
      </c>
      <c r="D1120" s="26" t="n">
        <v>13916.1</v>
      </c>
      <c r="E1120" s="26" t="n">
        <v>0</v>
      </c>
      <c r="F1120" s="26" t="n">
        <v>0</v>
      </c>
      <c r="G1120" s="26" t="n">
        <v>0</v>
      </c>
      <c r="H1120" s="26" t="n">
        <v>14778.5</v>
      </c>
      <c r="I1120" s="26" t="n">
        <v>4740.9</v>
      </c>
      <c r="J1120" s="26" t="n">
        <v>0</v>
      </c>
      <c r="K1120" s="26" t="n">
        <v>0</v>
      </c>
      <c r="L1120" s="26" t="n">
        <v>0</v>
      </c>
      <c r="M1120" s="26" t="n">
        <v>0</v>
      </c>
    </row>
    <row r="1121" customFormat="false" ht="15" hidden="false" customHeight="false" outlineLevel="0" collapsed="false">
      <c r="A1121" s="7" t="s">
        <v>85</v>
      </c>
      <c r="B1121" s="7" t="n">
        <v>4415093</v>
      </c>
      <c r="C1121" s="7" t="s">
        <v>646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0</v>
      </c>
      <c r="I1121" s="26" t="n">
        <v>0</v>
      </c>
      <c r="J1121" s="26" t="n">
        <v>0</v>
      </c>
      <c r="K1121" s="26" t="n">
        <v>0</v>
      </c>
      <c r="L1121" s="26" t="n">
        <v>0</v>
      </c>
      <c r="M1121" s="26" t="n">
        <v>0</v>
      </c>
    </row>
    <row r="1122" customFormat="false" ht="15" hidden="false" customHeight="false" outlineLevel="0" collapsed="false">
      <c r="A1122" s="7" t="s">
        <v>87</v>
      </c>
      <c r="B1122" s="7" t="n">
        <v>4415093</v>
      </c>
      <c r="C1122" s="7" t="s">
        <v>646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0</v>
      </c>
      <c r="I1122" s="26" t="n">
        <v>0</v>
      </c>
      <c r="J1122" s="26" t="n">
        <v>0</v>
      </c>
      <c r="K1122" s="26" t="n">
        <v>0</v>
      </c>
      <c r="L1122" s="26" t="n">
        <v>0</v>
      </c>
      <c r="M1122" s="26" t="n">
        <v>0</v>
      </c>
    </row>
    <row r="1123" customFormat="false" ht="15" hidden="false" customHeight="false" outlineLevel="0" collapsed="false">
      <c r="A1123" s="7" t="s">
        <v>85</v>
      </c>
      <c r="B1123" s="7" t="n">
        <v>4415124</v>
      </c>
      <c r="C1123" s="7" t="s">
        <v>647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0</v>
      </c>
      <c r="J1123" s="26" t="n">
        <v>0</v>
      </c>
      <c r="K1123" s="26" t="n">
        <v>0</v>
      </c>
      <c r="L1123" s="26" t="n">
        <v>0</v>
      </c>
      <c r="M1123" s="26" t="n">
        <v>0</v>
      </c>
    </row>
    <row r="1124" customFormat="false" ht="15" hidden="false" customHeight="false" outlineLevel="0" collapsed="false">
      <c r="A1124" s="7" t="s">
        <v>87</v>
      </c>
      <c r="B1124" s="7" t="n">
        <v>4415124</v>
      </c>
      <c r="C1124" s="7" t="s">
        <v>647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0</v>
      </c>
      <c r="L1124" s="26" t="n">
        <v>0</v>
      </c>
      <c r="M1124" s="26" t="n">
        <v>0</v>
      </c>
    </row>
    <row r="1125" customFormat="false" ht="15" hidden="false" customHeight="false" outlineLevel="0" collapsed="false">
      <c r="A1125" s="7" t="s">
        <v>85</v>
      </c>
      <c r="B1125" s="7" t="n">
        <v>4415125</v>
      </c>
      <c r="C1125" s="7" t="s">
        <v>648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0</v>
      </c>
      <c r="L1125" s="26" t="n">
        <v>0</v>
      </c>
      <c r="M1125" s="26" t="n">
        <v>0</v>
      </c>
    </row>
    <row r="1126" customFormat="false" ht="15" hidden="false" customHeight="false" outlineLevel="0" collapsed="false">
      <c r="A1126" s="7" t="s">
        <v>87</v>
      </c>
      <c r="B1126" s="7" t="n">
        <v>4415125</v>
      </c>
      <c r="C1126" s="7" t="s">
        <v>648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0</v>
      </c>
      <c r="L1126" s="26" t="n">
        <v>0</v>
      </c>
      <c r="M1126" s="26" t="n">
        <v>0</v>
      </c>
    </row>
    <row r="1127" customFormat="false" ht="15" hidden="false" customHeight="false" outlineLevel="0" collapsed="false">
      <c r="A1127" s="7" t="s">
        <v>85</v>
      </c>
      <c r="B1127" s="7" t="n">
        <v>4415090</v>
      </c>
      <c r="C1127" s="7" t="s">
        <v>649</v>
      </c>
      <c r="D1127" s="26" t="n">
        <v>1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0</v>
      </c>
      <c r="L1127" s="26" t="n">
        <v>0</v>
      </c>
      <c r="M1127" s="26" t="n">
        <v>0</v>
      </c>
    </row>
    <row r="1128" customFormat="false" ht="15" hidden="false" customHeight="false" outlineLevel="0" collapsed="false">
      <c r="A1128" s="7" t="s">
        <v>87</v>
      </c>
      <c r="B1128" s="7" t="n">
        <v>4415090</v>
      </c>
      <c r="C1128" s="7" t="s">
        <v>649</v>
      </c>
      <c r="D1128" s="26" t="n">
        <v>90.1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0</v>
      </c>
      <c r="L1128" s="26" t="n">
        <v>0</v>
      </c>
      <c r="M1128" s="26" t="n">
        <v>0</v>
      </c>
    </row>
    <row r="1129" customFormat="false" ht="15" hidden="false" customHeight="false" outlineLevel="0" collapsed="false">
      <c r="A1129" s="7" t="s">
        <v>85</v>
      </c>
      <c r="B1129" s="7" t="n">
        <v>4415089</v>
      </c>
      <c r="C1129" s="7" t="s">
        <v>650</v>
      </c>
      <c r="D1129" s="26" t="n">
        <v>1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-2</v>
      </c>
      <c r="J1129" s="26" t="n">
        <v>0</v>
      </c>
      <c r="K1129" s="26" t="n">
        <v>0</v>
      </c>
      <c r="L1129" s="26" t="n">
        <v>0</v>
      </c>
      <c r="M1129" s="26" t="n">
        <v>0</v>
      </c>
    </row>
    <row r="1130" customFormat="false" ht="15" hidden="false" customHeight="false" outlineLevel="0" collapsed="false">
      <c r="A1130" s="7" t="s">
        <v>87</v>
      </c>
      <c r="B1130" s="7" t="n">
        <v>4415089</v>
      </c>
      <c r="C1130" s="7" t="s">
        <v>650</v>
      </c>
      <c r="D1130" s="26" t="n">
        <v>90.1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-194.1</v>
      </c>
      <c r="J1130" s="26" t="n">
        <v>0</v>
      </c>
      <c r="K1130" s="26" t="n">
        <v>0</v>
      </c>
      <c r="L1130" s="26" t="n">
        <v>0</v>
      </c>
      <c r="M1130" s="26" t="n">
        <v>0</v>
      </c>
    </row>
    <row r="1131" customFormat="false" ht="15" hidden="false" customHeight="false" outlineLevel="0" collapsed="false">
      <c r="A1131" s="7" t="s">
        <v>85</v>
      </c>
      <c r="B1131" s="7" t="n">
        <v>4415096</v>
      </c>
      <c r="C1131" s="7" t="s">
        <v>651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0</v>
      </c>
      <c r="L1131" s="26" t="n">
        <v>0</v>
      </c>
      <c r="M1131" s="26" t="n">
        <v>0</v>
      </c>
    </row>
    <row r="1132" customFormat="false" ht="15" hidden="false" customHeight="false" outlineLevel="0" collapsed="false">
      <c r="A1132" s="7" t="s">
        <v>87</v>
      </c>
      <c r="B1132" s="7" t="n">
        <v>4415096</v>
      </c>
      <c r="C1132" s="7" t="s">
        <v>651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0</v>
      </c>
      <c r="L1132" s="26" t="n">
        <v>0</v>
      </c>
      <c r="M1132" s="26" t="n">
        <v>0</v>
      </c>
    </row>
    <row r="1133" customFormat="false" ht="15" hidden="false" customHeight="false" outlineLevel="0" collapsed="false">
      <c r="A1133" s="7" t="s">
        <v>85</v>
      </c>
      <c r="B1133" s="7" t="n">
        <v>4415091</v>
      </c>
      <c r="C1133" s="7" t="s">
        <v>652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0</v>
      </c>
      <c r="L1133" s="26" t="n">
        <v>0</v>
      </c>
      <c r="M1133" s="26" t="n">
        <v>0</v>
      </c>
    </row>
    <row r="1134" customFormat="false" ht="15" hidden="false" customHeight="false" outlineLevel="0" collapsed="false">
      <c r="A1134" s="7" t="s">
        <v>87</v>
      </c>
      <c r="B1134" s="7" t="n">
        <v>4415091</v>
      </c>
      <c r="C1134" s="7" t="s">
        <v>652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0</v>
      </c>
      <c r="L1134" s="26" t="n">
        <v>0</v>
      </c>
      <c r="M1134" s="26" t="n">
        <v>0</v>
      </c>
    </row>
    <row r="1135" customFormat="false" ht="15" hidden="false" customHeight="false" outlineLevel="0" collapsed="false">
      <c r="A1135" s="7" t="s">
        <v>85</v>
      </c>
      <c r="B1135" s="7" t="n">
        <v>4415094</v>
      </c>
      <c r="C1135" s="7" t="s">
        <v>653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0</v>
      </c>
      <c r="L1135" s="26" t="n">
        <v>0</v>
      </c>
      <c r="M1135" s="26" t="n">
        <v>0</v>
      </c>
    </row>
    <row r="1136" customFormat="false" ht="15" hidden="false" customHeight="false" outlineLevel="0" collapsed="false">
      <c r="A1136" s="7" t="s">
        <v>87</v>
      </c>
      <c r="B1136" s="7" t="n">
        <v>4415094</v>
      </c>
      <c r="C1136" s="7" t="s">
        <v>653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  <c r="L1136" s="26" t="n">
        <v>0</v>
      </c>
      <c r="M1136" s="26" t="n">
        <v>0</v>
      </c>
    </row>
    <row r="1137" customFormat="false" ht="15" hidden="false" customHeight="false" outlineLevel="0" collapsed="false">
      <c r="A1137" s="7" t="s">
        <v>85</v>
      </c>
      <c r="B1137" s="7" t="n">
        <v>4415095</v>
      </c>
      <c r="C1137" s="7" t="s">
        <v>654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  <c r="L1137" s="26" t="n">
        <v>0</v>
      </c>
      <c r="M1137" s="26" t="n">
        <v>0</v>
      </c>
    </row>
    <row r="1138" customFormat="false" ht="15" hidden="false" customHeight="false" outlineLevel="0" collapsed="false">
      <c r="A1138" s="7" t="s">
        <v>87</v>
      </c>
      <c r="B1138" s="7" t="n">
        <v>4415095</v>
      </c>
      <c r="C1138" s="7" t="s">
        <v>654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0</v>
      </c>
      <c r="J1138" s="26" t="n">
        <v>0</v>
      </c>
      <c r="K1138" s="26" t="n">
        <v>0</v>
      </c>
      <c r="L1138" s="26" t="n">
        <v>0</v>
      </c>
      <c r="M1138" s="26" t="n">
        <v>0</v>
      </c>
    </row>
    <row r="1139" customFormat="false" ht="15" hidden="false" customHeight="false" outlineLevel="0" collapsed="false">
      <c r="A1139" s="7" t="s">
        <v>85</v>
      </c>
      <c r="B1139" s="7" t="n">
        <v>4415025</v>
      </c>
      <c r="C1139" s="7" t="s">
        <v>655</v>
      </c>
      <c r="D1139" s="26" t="n">
        <v>2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0</v>
      </c>
      <c r="J1139" s="26" t="n">
        <v>0</v>
      </c>
      <c r="K1139" s="26" t="n">
        <v>0</v>
      </c>
      <c r="L1139" s="26" t="n">
        <v>0</v>
      </c>
      <c r="M1139" s="26" t="n">
        <v>0</v>
      </c>
    </row>
    <row r="1140" customFormat="false" ht="15" hidden="false" customHeight="false" outlineLevel="0" collapsed="false">
      <c r="A1140" s="7" t="s">
        <v>87</v>
      </c>
      <c r="B1140" s="7" t="n">
        <v>4415025</v>
      </c>
      <c r="C1140" s="7" t="s">
        <v>655</v>
      </c>
      <c r="D1140" s="26" t="n">
        <v>199.3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0</v>
      </c>
      <c r="J1140" s="26" t="n">
        <v>0</v>
      </c>
      <c r="K1140" s="26" t="n">
        <v>0</v>
      </c>
      <c r="L1140" s="26" t="n">
        <v>0</v>
      </c>
      <c r="M1140" s="26" t="n">
        <v>0</v>
      </c>
    </row>
    <row r="1141" customFormat="false" ht="15" hidden="false" customHeight="false" outlineLevel="0" collapsed="false">
      <c r="A1141" s="7" t="s">
        <v>85</v>
      </c>
      <c r="B1141" s="7" t="n">
        <v>4415005</v>
      </c>
      <c r="C1141" s="7" t="s">
        <v>656</v>
      </c>
      <c r="D1141" s="26" t="n">
        <v>62</v>
      </c>
      <c r="E1141" s="26" t="n">
        <v>0</v>
      </c>
      <c r="F1141" s="26" t="n">
        <v>0</v>
      </c>
      <c r="G1141" s="26" t="n">
        <v>0</v>
      </c>
      <c r="H1141" s="26" t="n">
        <v>545</v>
      </c>
      <c r="I1141" s="26" t="n">
        <v>46</v>
      </c>
      <c r="J1141" s="26" t="n">
        <v>0</v>
      </c>
      <c r="K1141" s="26" t="n">
        <v>0</v>
      </c>
      <c r="L1141" s="26" t="n">
        <v>0</v>
      </c>
      <c r="M1141" s="26" t="n">
        <v>0</v>
      </c>
    </row>
    <row r="1142" customFormat="false" ht="15" hidden="false" customHeight="false" outlineLevel="0" collapsed="false">
      <c r="A1142" s="7" t="s">
        <v>87</v>
      </c>
      <c r="B1142" s="7" t="n">
        <v>4415005</v>
      </c>
      <c r="C1142" s="7" t="s">
        <v>656</v>
      </c>
      <c r="D1142" s="26" t="n">
        <v>6194.4</v>
      </c>
      <c r="E1142" s="26" t="n">
        <v>0</v>
      </c>
      <c r="F1142" s="26" t="n">
        <v>0</v>
      </c>
      <c r="G1142" s="26" t="n">
        <v>0</v>
      </c>
      <c r="H1142" s="26" t="n">
        <v>44554.5</v>
      </c>
      <c r="I1142" s="26" t="n">
        <v>4019.4</v>
      </c>
      <c r="J1142" s="26" t="n">
        <v>0</v>
      </c>
      <c r="K1142" s="26" t="n">
        <v>0</v>
      </c>
      <c r="L1142" s="26" t="n">
        <v>0</v>
      </c>
      <c r="M1142" s="26" t="n">
        <v>0</v>
      </c>
    </row>
    <row r="1143" customFormat="false" ht="15" hidden="false" customHeight="false" outlineLevel="0" collapsed="false">
      <c r="A1143" s="7" t="s">
        <v>85</v>
      </c>
      <c r="B1143" s="7" t="n">
        <v>4415006</v>
      </c>
      <c r="C1143" s="7" t="s">
        <v>657</v>
      </c>
      <c r="D1143" s="26" t="n">
        <v>80</v>
      </c>
      <c r="E1143" s="26" t="n">
        <v>0</v>
      </c>
      <c r="F1143" s="26" t="n">
        <v>0</v>
      </c>
      <c r="G1143" s="26" t="n">
        <v>0</v>
      </c>
      <c r="H1143" s="26" t="n">
        <v>621</v>
      </c>
      <c r="I1143" s="26" t="n">
        <v>63</v>
      </c>
      <c r="J1143" s="26" t="n">
        <v>0</v>
      </c>
      <c r="K1143" s="26" t="n">
        <v>0</v>
      </c>
      <c r="L1143" s="26" t="n">
        <v>0</v>
      </c>
      <c r="M1143" s="26" t="n">
        <v>0</v>
      </c>
    </row>
    <row r="1144" customFormat="false" ht="15" hidden="false" customHeight="false" outlineLevel="0" collapsed="false">
      <c r="A1144" s="7" t="s">
        <v>87</v>
      </c>
      <c r="B1144" s="7" t="n">
        <v>4415006</v>
      </c>
      <c r="C1144" s="7" t="s">
        <v>657</v>
      </c>
      <c r="D1144" s="26" t="n">
        <v>7782.5</v>
      </c>
      <c r="E1144" s="26" t="n">
        <v>0</v>
      </c>
      <c r="F1144" s="26" t="n">
        <v>0</v>
      </c>
      <c r="G1144" s="26" t="n">
        <v>0</v>
      </c>
      <c r="H1144" s="26" t="n">
        <v>50799.4</v>
      </c>
      <c r="I1144" s="26" t="n">
        <v>5556.6</v>
      </c>
      <c r="J1144" s="26" t="n">
        <v>0</v>
      </c>
      <c r="K1144" s="26" t="n">
        <v>0</v>
      </c>
      <c r="L1144" s="26" t="n">
        <v>0</v>
      </c>
      <c r="M1144" s="26" t="n">
        <v>0</v>
      </c>
    </row>
    <row r="1145" customFormat="false" ht="15" hidden="false" customHeight="false" outlineLevel="0" collapsed="false">
      <c r="A1145" s="7" t="s">
        <v>85</v>
      </c>
      <c r="B1145" s="7" t="n">
        <v>4415007</v>
      </c>
      <c r="C1145" s="7" t="s">
        <v>658</v>
      </c>
      <c r="D1145" s="26" t="n">
        <v>62</v>
      </c>
      <c r="E1145" s="26" t="n">
        <v>0</v>
      </c>
      <c r="F1145" s="26" t="n">
        <v>0</v>
      </c>
      <c r="G1145" s="26" t="n">
        <v>0</v>
      </c>
      <c r="H1145" s="26" t="n">
        <v>601</v>
      </c>
      <c r="I1145" s="26" t="n">
        <v>80</v>
      </c>
      <c r="J1145" s="26" t="n">
        <v>0</v>
      </c>
      <c r="K1145" s="26" t="n">
        <v>0</v>
      </c>
      <c r="L1145" s="26" t="n">
        <v>0</v>
      </c>
      <c r="M1145" s="26" t="n">
        <v>0</v>
      </c>
    </row>
    <row r="1146" customFormat="false" ht="15" hidden="false" customHeight="false" outlineLevel="0" collapsed="false">
      <c r="A1146" s="7" t="s">
        <v>87</v>
      </c>
      <c r="B1146" s="7" t="n">
        <v>4415007</v>
      </c>
      <c r="C1146" s="7" t="s">
        <v>658</v>
      </c>
      <c r="D1146" s="26" t="n">
        <v>6057.7</v>
      </c>
      <c r="E1146" s="26" t="n">
        <v>0</v>
      </c>
      <c r="F1146" s="26" t="n">
        <v>0</v>
      </c>
      <c r="G1146" s="26" t="n">
        <v>0</v>
      </c>
      <c r="H1146" s="26" t="n">
        <v>49181</v>
      </c>
      <c r="I1146" s="26" t="n">
        <v>7018.2</v>
      </c>
      <c r="J1146" s="26" t="n">
        <v>0</v>
      </c>
      <c r="K1146" s="26" t="n">
        <v>0</v>
      </c>
      <c r="L1146" s="26" t="n">
        <v>0</v>
      </c>
      <c r="M1146" s="26" t="n">
        <v>0</v>
      </c>
    </row>
    <row r="1147" customFormat="false" ht="15" hidden="false" customHeight="false" outlineLevel="0" collapsed="false">
      <c r="A1147" s="7" t="s">
        <v>85</v>
      </c>
      <c r="B1147" s="7" t="n">
        <v>4415008</v>
      </c>
      <c r="C1147" s="7" t="s">
        <v>659</v>
      </c>
      <c r="D1147" s="26" t="n">
        <v>33</v>
      </c>
      <c r="E1147" s="26" t="n">
        <v>0</v>
      </c>
      <c r="F1147" s="26" t="n">
        <v>0</v>
      </c>
      <c r="G1147" s="26" t="n">
        <v>0</v>
      </c>
      <c r="H1147" s="26" t="n">
        <v>224</v>
      </c>
      <c r="I1147" s="26" t="n">
        <v>18</v>
      </c>
      <c r="J1147" s="26" t="n">
        <v>0</v>
      </c>
      <c r="K1147" s="26" t="n">
        <v>0</v>
      </c>
      <c r="L1147" s="26" t="n">
        <v>0</v>
      </c>
      <c r="M1147" s="26" t="n">
        <v>0</v>
      </c>
    </row>
    <row r="1148" customFormat="false" ht="15" hidden="false" customHeight="false" outlineLevel="0" collapsed="false">
      <c r="A1148" s="7" t="s">
        <v>87</v>
      </c>
      <c r="B1148" s="7" t="n">
        <v>4415008</v>
      </c>
      <c r="C1148" s="7" t="s">
        <v>659</v>
      </c>
      <c r="D1148" s="26" t="n">
        <v>3312.8</v>
      </c>
      <c r="E1148" s="26" t="n">
        <v>0</v>
      </c>
      <c r="F1148" s="26" t="n">
        <v>0</v>
      </c>
      <c r="G1148" s="26" t="n">
        <v>0</v>
      </c>
      <c r="H1148" s="26" t="n">
        <v>18345.6</v>
      </c>
      <c r="I1148" s="26" t="n">
        <v>1549.8</v>
      </c>
      <c r="J1148" s="26" t="n">
        <v>0</v>
      </c>
      <c r="K1148" s="26" t="n">
        <v>0</v>
      </c>
      <c r="L1148" s="26" t="n">
        <v>0</v>
      </c>
      <c r="M1148" s="26" t="n">
        <v>0</v>
      </c>
    </row>
    <row r="1149" customFormat="false" ht="15" hidden="false" customHeight="false" outlineLevel="0" collapsed="false">
      <c r="A1149" s="7" t="s">
        <v>85</v>
      </c>
      <c r="B1149" s="7" t="n">
        <v>4415009</v>
      </c>
      <c r="C1149" s="7" t="s">
        <v>660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0</v>
      </c>
      <c r="L1149" s="26" t="n">
        <v>0</v>
      </c>
      <c r="M1149" s="26" t="n">
        <v>0</v>
      </c>
    </row>
    <row r="1150" customFormat="false" ht="15" hidden="false" customHeight="false" outlineLevel="0" collapsed="false">
      <c r="A1150" s="7" t="s">
        <v>87</v>
      </c>
      <c r="B1150" s="7" t="n">
        <v>4415009</v>
      </c>
      <c r="C1150" s="7" t="s">
        <v>660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0</v>
      </c>
      <c r="L1150" s="26" t="n">
        <v>0</v>
      </c>
      <c r="M1150" s="26" t="n">
        <v>0</v>
      </c>
    </row>
    <row r="1151" customFormat="false" ht="15" hidden="false" customHeight="false" outlineLevel="0" collapsed="false">
      <c r="A1151" s="7" t="s">
        <v>85</v>
      </c>
      <c r="B1151" s="7" t="n">
        <v>4415021</v>
      </c>
      <c r="C1151" s="7" t="s">
        <v>661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0</v>
      </c>
      <c r="L1151" s="26" t="n">
        <v>0</v>
      </c>
      <c r="M1151" s="26" t="n">
        <v>0</v>
      </c>
    </row>
    <row r="1152" customFormat="false" ht="15" hidden="false" customHeight="false" outlineLevel="0" collapsed="false">
      <c r="A1152" s="7" t="s">
        <v>87</v>
      </c>
      <c r="B1152" s="7" t="n">
        <v>4415021</v>
      </c>
      <c r="C1152" s="7" t="s">
        <v>661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0</v>
      </c>
      <c r="L1152" s="26" t="n">
        <v>0</v>
      </c>
      <c r="M1152" s="26" t="n">
        <v>0</v>
      </c>
    </row>
    <row r="1153" customFormat="false" ht="15" hidden="false" customHeight="false" outlineLevel="0" collapsed="false">
      <c r="A1153" s="7" t="s">
        <v>85</v>
      </c>
      <c r="B1153" s="7" t="n">
        <v>4415028</v>
      </c>
      <c r="C1153" s="7" t="s">
        <v>662</v>
      </c>
      <c r="D1153" s="26" t="n">
        <v>637</v>
      </c>
      <c r="E1153" s="26" t="n">
        <v>9</v>
      </c>
      <c r="F1153" s="26" t="n">
        <v>6</v>
      </c>
      <c r="G1153" s="26" t="n">
        <v>0</v>
      </c>
      <c r="H1153" s="26" t="n">
        <v>194</v>
      </c>
      <c r="I1153" s="26" t="n">
        <v>47</v>
      </c>
      <c r="J1153" s="26" t="n">
        <v>0</v>
      </c>
      <c r="K1153" s="26" t="n">
        <v>0</v>
      </c>
      <c r="L1153" s="26" t="n">
        <v>0</v>
      </c>
      <c r="M1153" s="26" t="n">
        <v>0</v>
      </c>
    </row>
    <row r="1154" customFormat="false" ht="15" hidden="false" customHeight="false" outlineLevel="0" collapsed="false">
      <c r="A1154" s="7" t="s">
        <v>87</v>
      </c>
      <c r="B1154" s="7" t="n">
        <v>4415028</v>
      </c>
      <c r="C1154" s="7" t="s">
        <v>662</v>
      </c>
      <c r="D1154" s="26" t="n">
        <v>22998.8</v>
      </c>
      <c r="E1154" s="26" t="n">
        <v>268.9</v>
      </c>
      <c r="F1154" s="26" t="n">
        <v>212.7</v>
      </c>
      <c r="G1154" s="26" t="n">
        <v>0</v>
      </c>
      <c r="H1154" s="26" t="n">
        <v>4329.5</v>
      </c>
      <c r="I1154" s="26" t="n">
        <v>1130.8</v>
      </c>
      <c r="J1154" s="26" t="n">
        <v>0</v>
      </c>
      <c r="K1154" s="26" t="n">
        <v>0</v>
      </c>
      <c r="L1154" s="26" t="n">
        <v>0</v>
      </c>
      <c r="M1154" s="26" t="n">
        <v>0</v>
      </c>
    </row>
    <row r="1155" customFormat="false" ht="15" hidden="false" customHeight="false" outlineLevel="0" collapsed="false">
      <c r="A1155" s="7" t="s">
        <v>85</v>
      </c>
      <c r="B1155" s="7" t="n">
        <v>4408268</v>
      </c>
      <c r="C1155" s="7" t="s">
        <v>663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0</v>
      </c>
      <c r="J1155" s="26" t="n">
        <v>0</v>
      </c>
      <c r="K1155" s="26" t="n">
        <v>0</v>
      </c>
      <c r="L1155" s="26" t="n">
        <v>0</v>
      </c>
      <c r="M1155" s="26" t="n">
        <v>0</v>
      </c>
    </row>
    <row r="1156" customFormat="false" ht="15" hidden="false" customHeight="false" outlineLevel="0" collapsed="false">
      <c r="A1156" s="7" t="s">
        <v>87</v>
      </c>
      <c r="B1156" s="7" t="n">
        <v>4408268</v>
      </c>
      <c r="C1156" s="7" t="s">
        <v>663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0</v>
      </c>
      <c r="J1156" s="26" t="n">
        <v>0</v>
      </c>
      <c r="K1156" s="26" t="n">
        <v>0</v>
      </c>
      <c r="L1156" s="26" t="n">
        <v>0</v>
      </c>
      <c r="M1156" s="26" t="n">
        <v>0</v>
      </c>
    </row>
    <row r="1157" customFormat="false" ht="15" hidden="false" customHeight="false" outlineLevel="0" collapsed="false">
      <c r="A1157" s="7" t="s">
        <v>85</v>
      </c>
      <c r="B1157" s="7" t="n">
        <v>4408267</v>
      </c>
      <c r="C1157" s="7" t="s">
        <v>664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0</v>
      </c>
      <c r="J1157" s="26" t="n">
        <v>0</v>
      </c>
      <c r="K1157" s="26" t="n">
        <v>0</v>
      </c>
      <c r="L1157" s="26" t="n">
        <v>0</v>
      </c>
      <c r="M1157" s="26" t="n">
        <v>0</v>
      </c>
    </row>
    <row r="1158" customFormat="false" ht="15" hidden="false" customHeight="false" outlineLevel="0" collapsed="false">
      <c r="A1158" s="7" t="s">
        <v>87</v>
      </c>
      <c r="B1158" s="7" t="n">
        <v>4408267</v>
      </c>
      <c r="C1158" s="7" t="s">
        <v>664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0</v>
      </c>
      <c r="J1158" s="26" t="n">
        <v>0</v>
      </c>
      <c r="K1158" s="26" t="n">
        <v>0</v>
      </c>
      <c r="L1158" s="26" t="n">
        <v>0</v>
      </c>
      <c r="M1158" s="26" t="n">
        <v>0</v>
      </c>
    </row>
    <row r="1159" customFormat="false" ht="15" hidden="false" customHeight="false" outlineLevel="0" collapsed="false">
      <c r="A1159" s="7" t="s">
        <v>85</v>
      </c>
      <c r="B1159" s="7" t="n">
        <v>4415177</v>
      </c>
      <c r="C1159" s="7" t="s">
        <v>665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0</v>
      </c>
      <c r="J1159" s="26" t="n">
        <v>0</v>
      </c>
      <c r="K1159" s="26" t="n">
        <v>0</v>
      </c>
      <c r="L1159" s="26" t="n">
        <v>0</v>
      </c>
      <c r="M1159" s="26" t="n">
        <v>0</v>
      </c>
    </row>
    <row r="1160" customFormat="false" ht="15" hidden="false" customHeight="false" outlineLevel="0" collapsed="false">
      <c r="A1160" s="7" t="s">
        <v>87</v>
      </c>
      <c r="B1160" s="7" t="n">
        <v>4415177</v>
      </c>
      <c r="C1160" s="7" t="s">
        <v>665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0</v>
      </c>
      <c r="J1160" s="26" t="n">
        <v>0</v>
      </c>
      <c r="K1160" s="26" t="n">
        <v>0</v>
      </c>
      <c r="L1160" s="26" t="n">
        <v>0</v>
      </c>
      <c r="M1160" s="26" t="n">
        <v>0</v>
      </c>
    </row>
    <row r="1161" customFormat="false" ht="15" hidden="false" customHeight="false" outlineLevel="0" collapsed="false">
      <c r="A1161" s="7" t="s">
        <v>85</v>
      </c>
      <c r="B1161" s="7" t="n">
        <v>4408095</v>
      </c>
      <c r="C1161" s="7" t="s">
        <v>666</v>
      </c>
      <c r="D1161" s="26" t="n">
        <v>47</v>
      </c>
      <c r="E1161" s="26" t="n">
        <v>0</v>
      </c>
      <c r="F1161" s="26" t="n">
        <v>0</v>
      </c>
      <c r="G1161" s="26" t="n">
        <v>0</v>
      </c>
      <c r="H1161" s="26" t="n">
        <v>121</v>
      </c>
      <c r="I1161" s="26" t="n">
        <v>31</v>
      </c>
      <c r="J1161" s="26" t="n">
        <v>0</v>
      </c>
      <c r="K1161" s="26" t="n">
        <v>0</v>
      </c>
      <c r="L1161" s="26" t="n">
        <v>0</v>
      </c>
      <c r="M1161" s="26" t="n">
        <v>0</v>
      </c>
    </row>
    <row r="1162" customFormat="false" ht="15" hidden="false" customHeight="false" outlineLevel="0" collapsed="false">
      <c r="A1162" s="7" t="s">
        <v>87</v>
      </c>
      <c r="B1162" s="7" t="n">
        <v>4408095</v>
      </c>
      <c r="C1162" s="7" t="s">
        <v>666</v>
      </c>
      <c r="D1162" s="26" t="n">
        <v>1639.6</v>
      </c>
      <c r="E1162" s="26" t="n">
        <v>0</v>
      </c>
      <c r="F1162" s="26" t="n">
        <v>0</v>
      </c>
      <c r="G1162" s="26" t="n">
        <v>0</v>
      </c>
      <c r="H1162" s="26" t="n">
        <v>3854.3</v>
      </c>
      <c r="I1162" s="26" t="n">
        <v>1065.5</v>
      </c>
      <c r="J1162" s="26" t="n">
        <v>0</v>
      </c>
      <c r="K1162" s="26" t="n">
        <v>0</v>
      </c>
      <c r="L1162" s="26" t="n">
        <v>0</v>
      </c>
      <c r="M1162" s="26" t="n">
        <v>0</v>
      </c>
    </row>
    <row r="1163" customFormat="false" ht="15" hidden="false" customHeight="false" outlineLevel="0" collapsed="false">
      <c r="A1163" s="7" t="s">
        <v>85</v>
      </c>
      <c r="B1163" s="7" t="n">
        <v>4408094</v>
      </c>
      <c r="C1163" s="7" t="s">
        <v>667</v>
      </c>
      <c r="D1163" s="26" t="n">
        <v>104</v>
      </c>
      <c r="E1163" s="26" t="n">
        <v>0</v>
      </c>
      <c r="F1163" s="26" t="n">
        <v>0</v>
      </c>
      <c r="G1163" s="26" t="n">
        <v>0</v>
      </c>
      <c r="H1163" s="26" t="n">
        <v>187</v>
      </c>
      <c r="I1163" s="26" t="n">
        <v>42</v>
      </c>
      <c r="J1163" s="26" t="n">
        <v>0</v>
      </c>
      <c r="K1163" s="26" t="n">
        <v>0</v>
      </c>
      <c r="L1163" s="26" t="n">
        <v>0</v>
      </c>
      <c r="M1163" s="26" t="n">
        <v>0</v>
      </c>
    </row>
    <row r="1164" customFormat="false" ht="15" hidden="false" customHeight="false" outlineLevel="0" collapsed="false">
      <c r="A1164" s="7" t="s">
        <v>87</v>
      </c>
      <c r="B1164" s="7" t="n">
        <v>4408094</v>
      </c>
      <c r="C1164" s="7" t="s">
        <v>667</v>
      </c>
      <c r="D1164" s="26" t="n">
        <v>3639.3</v>
      </c>
      <c r="E1164" s="26" t="n">
        <v>0</v>
      </c>
      <c r="F1164" s="26" t="n">
        <v>0</v>
      </c>
      <c r="G1164" s="26" t="n">
        <v>0</v>
      </c>
      <c r="H1164" s="26" t="n">
        <v>5949.8</v>
      </c>
      <c r="I1164" s="26" t="n">
        <v>1443.5</v>
      </c>
      <c r="J1164" s="26" t="n">
        <v>0</v>
      </c>
      <c r="K1164" s="26" t="n">
        <v>0</v>
      </c>
      <c r="L1164" s="26" t="n">
        <v>0</v>
      </c>
      <c r="M1164" s="26" t="n">
        <v>0</v>
      </c>
    </row>
    <row r="1165" customFormat="false" ht="15" hidden="false" customHeight="false" outlineLevel="0" collapsed="false">
      <c r="A1165" s="7" t="s">
        <v>85</v>
      </c>
      <c r="B1165" s="7" t="n">
        <v>4408097</v>
      </c>
      <c r="C1165" s="7" t="s">
        <v>668</v>
      </c>
      <c r="D1165" s="26" t="n">
        <v>77</v>
      </c>
      <c r="E1165" s="26" t="n">
        <v>0</v>
      </c>
      <c r="F1165" s="26" t="n">
        <v>0</v>
      </c>
      <c r="G1165" s="26" t="n">
        <v>0</v>
      </c>
      <c r="H1165" s="26" t="n">
        <v>116</v>
      </c>
      <c r="I1165" s="26" t="n">
        <v>0</v>
      </c>
      <c r="J1165" s="26" t="n">
        <v>0</v>
      </c>
      <c r="K1165" s="26" t="n">
        <v>0</v>
      </c>
      <c r="L1165" s="26" t="n">
        <v>0</v>
      </c>
      <c r="M1165" s="26" t="n">
        <v>0</v>
      </c>
    </row>
    <row r="1166" customFormat="false" ht="15" hidden="false" customHeight="false" outlineLevel="0" collapsed="false">
      <c r="A1166" s="7" t="s">
        <v>87</v>
      </c>
      <c r="B1166" s="7" t="n">
        <v>4408097</v>
      </c>
      <c r="C1166" s="7" t="s">
        <v>668</v>
      </c>
      <c r="D1166" s="26" t="n">
        <v>2689.7</v>
      </c>
      <c r="E1166" s="26" t="n">
        <v>0</v>
      </c>
      <c r="F1166" s="26" t="n">
        <v>0</v>
      </c>
      <c r="G1166" s="26" t="n">
        <v>0</v>
      </c>
      <c r="H1166" s="26" t="n">
        <v>3688.3</v>
      </c>
      <c r="I1166" s="26" t="n">
        <v>0</v>
      </c>
      <c r="J1166" s="26" t="n">
        <v>0</v>
      </c>
      <c r="K1166" s="26" t="n">
        <v>0</v>
      </c>
      <c r="L1166" s="26" t="n">
        <v>0</v>
      </c>
      <c r="M1166" s="26" t="n">
        <v>0</v>
      </c>
    </row>
    <row r="1167" customFormat="false" ht="15" hidden="false" customHeight="false" outlineLevel="0" collapsed="false">
      <c r="A1167" s="7" t="s">
        <v>85</v>
      </c>
      <c r="B1167" s="7" t="n">
        <v>4408096</v>
      </c>
      <c r="C1167" s="7" t="s">
        <v>669</v>
      </c>
      <c r="D1167" s="26" t="n">
        <v>108</v>
      </c>
      <c r="E1167" s="26" t="n">
        <v>0</v>
      </c>
      <c r="F1167" s="26" t="n">
        <v>0</v>
      </c>
      <c r="G1167" s="26" t="n">
        <v>0</v>
      </c>
      <c r="H1167" s="26" t="n">
        <v>102</v>
      </c>
      <c r="I1167" s="26" t="n">
        <v>0</v>
      </c>
      <c r="J1167" s="26" t="n">
        <v>0</v>
      </c>
      <c r="K1167" s="26" t="n">
        <v>0</v>
      </c>
      <c r="L1167" s="26" t="n">
        <v>0</v>
      </c>
      <c r="M1167" s="26" t="n">
        <v>0</v>
      </c>
    </row>
    <row r="1168" customFormat="false" ht="15" hidden="false" customHeight="false" outlineLevel="0" collapsed="false">
      <c r="A1168" s="7" t="s">
        <v>87</v>
      </c>
      <c r="B1168" s="7" t="n">
        <v>4408096</v>
      </c>
      <c r="C1168" s="7" t="s">
        <v>669</v>
      </c>
      <c r="D1168" s="26" t="n">
        <v>3773.9</v>
      </c>
      <c r="E1168" s="26" t="n">
        <v>0</v>
      </c>
      <c r="F1168" s="26" t="n">
        <v>0</v>
      </c>
      <c r="G1168" s="26" t="n">
        <v>0</v>
      </c>
      <c r="H1168" s="26" t="n">
        <v>3246.9</v>
      </c>
      <c r="I1168" s="26" t="n">
        <v>0</v>
      </c>
      <c r="J1168" s="26" t="n">
        <v>0</v>
      </c>
      <c r="K1168" s="26" t="n">
        <v>0</v>
      </c>
      <c r="L1168" s="26" t="n">
        <v>0</v>
      </c>
      <c r="M1168" s="26" t="n">
        <v>0</v>
      </c>
    </row>
    <row r="1169" customFormat="false" ht="15" hidden="false" customHeight="false" outlineLevel="0" collapsed="false">
      <c r="A1169" s="7" t="s">
        <v>85</v>
      </c>
      <c r="B1169" s="7" t="n">
        <v>4408098</v>
      </c>
      <c r="C1169" s="7" t="s">
        <v>670</v>
      </c>
      <c r="D1169" s="26" t="n">
        <v>542</v>
      </c>
      <c r="E1169" s="26" t="n">
        <v>3</v>
      </c>
      <c r="F1169" s="26" t="n">
        <v>8</v>
      </c>
      <c r="G1169" s="26" t="n">
        <v>0</v>
      </c>
      <c r="H1169" s="26" t="n">
        <v>4392</v>
      </c>
      <c r="I1169" s="26" t="n">
        <v>386</v>
      </c>
      <c r="J1169" s="26" t="n">
        <v>1</v>
      </c>
      <c r="K1169" s="26" t="n">
        <v>0</v>
      </c>
      <c r="L1169" s="26" t="n">
        <v>0</v>
      </c>
      <c r="M1169" s="26" t="n">
        <v>0</v>
      </c>
    </row>
    <row r="1170" customFormat="false" ht="15" hidden="false" customHeight="false" outlineLevel="0" collapsed="false">
      <c r="A1170" s="7" t="s">
        <v>87</v>
      </c>
      <c r="B1170" s="7" t="n">
        <v>4408098</v>
      </c>
      <c r="C1170" s="7" t="s">
        <v>670</v>
      </c>
      <c r="D1170" s="26" t="n">
        <v>24107.4</v>
      </c>
      <c r="E1170" s="26" t="n">
        <v>140.5</v>
      </c>
      <c r="F1170" s="26" t="n">
        <v>391.9</v>
      </c>
      <c r="G1170" s="26" t="n">
        <v>0</v>
      </c>
      <c r="H1170" s="26" t="n">
        <v>161481.4</v>
      </c>
      <c r="I1170" s="26" t="n">
        <v>15339.9</v>
      </c>
      <c r="J1170" s="26" t="n">
        <v>43.7</v>
      </c>
      <c r="K1170" s="26" t="n">
        <v>0</v>
      </c>
      <c r="L1170" s="26" t="n">
        <v>0</v>
      </c>
      <c r="M1170" s="26" t="n">
        <v>0</v>
      </c>
    </row>
    <row r="1171" customFormat="false" ht="15" hidden="false" customHeight="false" outlineLevel="0" collapsed="false">
      <c r="A1171" s="7" t="s">
        <v>85</v>
      </c>
      <c r="B1171" s="7" t="n">
        <v>4408264</v>
      </c>
      <c r="C1171" s="7" t="s">
        <v>671</v>
      </c>
      <c r="D1171" s="26" t="n">
        <v>382</v>
      </c>
      <c r="E1171" s="26" t="n">
        <v>0</v>
      </c>
      <c r="F1171" s="26" t="n">
        <v>0</v>
      </c>
      <c r="G1171" s="26" t="n">
        <v>0</v>
      </c>
      <c r="H1171" s="26" t="n">
        <v>0</v>
      </c>
      <c r="I1171" s="26" t="n">
        <v>0</v>
      </c>
      <c r="J1171" s="26" t="n">
        <v>0</v>
      </c>
      <c r="K1171" s="26" t="n">
        <v>0</v>
      </c>
      <c r="L1171" s="26" t="n">
        <v>0</v>
      </c>
      <c r="M1171" s="26" t="n">
        <v>0</v>
      </c>
    </row>
    <row r="1172" customFormat="false" ht="15" hidden="false" customHeight="false" outlineLevel="0" collapsed="false">
      <c r="A1172" s="7" t="s">
        <v>87</v>
      </c>
      <c r="B1172" s="7" t="n">
        <v>4408264</v>
      </c>
      <c r="C1172" s="7" t="s">
        <v>671</v>
      </c>
      <c r="D1172" s="26" t="n">
        <v>15998.7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0</v>
      </c>
      <c r="J1172" s="26" t="n">
        <v>0</v>
      </c>
      <c r="K1172" s="26" t="n">
        <v>0</v>
      </c>
      <c r="L1172" s="26" t="n">
        <v>0</v>
      </c>
      <c r="M1172" s="26" t="n">
        <v>0</v>
      </c>
    </row>
    <row r="1173" customFormat="false" ht="15" hidden="false" customHeight="false" outlineLevel="0" collapsed="false">
      <c r="A1173" s="7" t="s">
        <v>85</v>
      </c>
      <c r="B1173" s="7" t="n">
        <v>4408099</v>
      </c>
      <c r="C1173" s="7" t="s">
        <v>672</v>
      </c>
      <c r="D1173" s="26" t="n">
        <v>469</v>
      </c>
      <c r="E1173" s="26" t="n">
        <v>7</v>
      </c>
      <c r="F1173" s="26" t="n">
        <v>2</v>
      </c>
      <c r="G1173" s="26" t="n">
        <v>0</v>
      </c>
      <c r="H1173" s="26" t="n">
        <v>5414</v>
      </c>
      <c r="I1173" s="26" t="n">
        <v>322</v>
      </c>
      <c r="J1173" s="26" t="n">
        <v>0</v>
      </c>
      <c r="K1173" s="26" t="n">
        <v>0</v>
      </c>
      <c r="L1173" s="26" t="n">
        <v>0</v>
      </c>
      <c r="M1173" s="26" t="n">
        <v>0</v>
      </c>
    </row>
    <row r="1174" customFormat="false" ht="15" hidden="false" customHeight="false" outlineLevel="0" collapsed="false">
      <c r="A1174" s="7" t="s">
        <v>87</v>
      </c>
      <c r="B1174" s="7" t="n">
        <v>4408099</v>
      </c>
      <c r="C1174" s="7" t="s">
        <v>672</v>
      </c>
      <c r="D1174" s="26" t="n">
        <v>20889.7</v>
      </c>
      <c r="E1174" s="26" t="n">
        <v>327.8</v>
      </c>
      <c r="F1174" s="26" t="n">
        <v>93.6</v>
      </c>
      <c r="G1174" s="26" t="n">
        <v>0</v>
      </c>
      <c r="H1174" s="26" t="n">
        <v>199054.3</v>
      </c>
      <c r="I1174" s="26" t="n">
        <v>12779</v>
      </c>
      <c r="J1174" s="26" t="n">
        <v>0</v>
      </c>
      <c r="K1174" s="26" t="n">
        <v>0</v>
      </c>
      <c r="L1174" s="26" t="n">
        <v>0</v>
      </c>
      <c r="M1174" s="26" t="n">
        <v>0</v>
      </c>
    </row>
    <row r="1175" customFormat="false" ht="15" hidden="false" customHeight="false" outlineLevel="0" collapsed="false">
      <c r="A1175" s="7" t="s">
        <v>85</v>
      </c>
      <c r="B1175" s="7" t="n">
        <v>4415111</v>
      </c>
      <c r="C1175" s="7" t="s">
        <v>673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0</v>
      </c>
      <c r="L1175" s="26" t="n">
        <v>0</v>
      </c>
      <c r="M1175" s="26" t="n">
        <v>0</v>
      </c>
    </row>
    <row r="1176" customFormat="false" ht="15" hidden="false" customHeight="false" outlineLevel="0" collapsed="false">
      <c r="A1176" s="7" t="s">
        <v>87</v>
      </c>
      <c r="B1176" s="7" t="n">
        <v>4415111</v>
      </c>
      <c r="C1176" s="7" t="s">
        <v>673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0</v>
      </c>
      <c r="L1176" s="26" t="n">
        <v>0</v>
      </c>
      <c r="M1176" s="26" t="n">
        <v>0</v>
      </c>
    </row>
    <row r="1177" customFormat="false" ht="15" hidden="false" customHeight="false" outlineLevel="0" collapsed="false">
      <c r="A1177" s="7" t="s">
        <v>85</v>
      </c>
      <c r="B1177" s="7" t="n">
        <v>4415110</v>
      </c>
      <c r="C1177" s="7" t="s">
        <v>674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0</v>
      </c>
      <c r="L1177" s="26" t="n">
        <v>0</v>
      </c>
      <c r="M1177" s="26" t="n">
        <v>0</v>
      </c>
    </row>
    <row r="1178" customFormat="false" ht="15" hidden="false" customHeight="false" outlineLevel="0" collapsed="false">
      <c r="A1178" s="7" t="s">
        <v>87</v>
      </c>
      <c r="B1178" s="7" t="n">
        <v>4415110</v>
      </c>
      <c r="C1178" s="7" t="s">
        <v>674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0</v>
      </c>
      <c r="J1178" s="26" t="n">
        <v>0</v>
      </c>
      <c r="K1178" s="26" t="n">
        <v>0</v>
      </c>
      <c r="L1178" s="26" t="n">
        <v>0</v>
      </c>
      <c r="M1178" s="26" t="n">
        <v>0</v>
      </c>
    </row>
    <row r="1179" customFormat="false" ht="15" hidden="false" customHeight="false" outlineLevel="0" collapsed="false">
      <c r="A1179" s="7" t="s">
        <v>85</v>
      </c>
      <c r="B1179" s="7" t="n">
        <v>4415109</v>
      </c>
      <c r="C1179" s="7" t="s">
        <v>675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0</v>
      </c>
      <c r="J1179" s="26" t="n">
        <v>0</v>
      </c>
      <c r="K1179" s="26" t="n">
        <v>0</v>
      </c>
      <c r="L1179" s="26" t="n">
        <v>0</v>
      </c>
      <c r="M1179" s="26" t="n">
        <v>0</v>
      </c>
    </row>
    <row r="1180" customFormat="false" ht="15" hidden="false" customHeight="false" outlineLevel="0" collapsed="false">
      <c r="A1180" s="7" t="s">
        <v>87</v>
      </c>
      <c r="B1180" s="7" t="n">
        <v>4415109</v>
      </c>
      <c r="C1180" s="7" t="s">
        <v>675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0</v>
      </c>
      <c r="J1180" s="26" t="n">
        <v>0</v>
      </c>
      <c r="K1180" s="26" t="n">
        <v>0</v>
      </c>
      <c r="L1180" s="26" t="n">
        <v>0</v>
      </c>
      <c r="M1180" s="26" t="n">
        <v>0</v>
      </c>
    </row>
    <row r="1181" customFormat="false" ht="15" hidden="false" customHeight="false" outlineLevel="0" collapsed="false">
      <c r="A1181" s="7" t="s">
        <v>85</v>
      </c>
      <c r="B1181" s="7" t="n">
        <v>4415112</v>
      </c>
      <c r="C1181" s="7" t="s">
        <v>676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0</v>
      </c>
      <c r="J1181" s="26" t="n">
        <v>0</v>
      </c>
      <c r="K1181" s="26" t="n">
        <v>0</v>
      </c>
      <c r="L1181" s="26" t="n">
        <v>0</v>
      </c>
      <c r="M1181" s="26" t="n">
        <v>0</v>
      </c>
    </row>
    <row r="1182" customFormat="false" ht="15" hidden="false" customHeight="false" outlineLevel="0" collapsed="false">
      <c r="A1182" s="7" t="s">
        <v>87</v>
      </c>
      <c r="B1182" s="7" t="n">
        <v>4415112</v>
      </c>
      <c r="C1182" s="7" t="s">
        <v>676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0</v>
      </c>
      <c r="J1182" s="26" t="n">
        <v>0</v>
      </c>
      <c r="K1182" s="26" t="n">
        <v>0</v>
      </c>
      <c r="L1182" s="26" t="n">
        <v>0</v>
      </c>
      <c r="M1182" s="26" t="n">
        <v>0</v>
      </c>
    </row>
    <row r="1183" customFormat="false" ht="15" hidden="false" customHeight="false" outlineLevel="0" collapsed="false">
      <c r="A1183" s="7" t="s">
        <v>85</v>
      </c>
      <c r="B1183" s="7" t="n">
        <v>4415130</v>
      </c>
      <c r="C1183" s="7" t="s">
        <v>677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0</v>
      </c>
      <c r="J1183" s="26" t="n">
        <v>0</v>
      </c>
      <c r="K1183" s="26" t="n">
        <v>0</v>
      </c>
      <c r="L1183" s="26" t="n">
        <v>0</v>
      </c>
      <c r="M1183" s="26" t="n">
        <v>0</v>
      </c>
    </row>
    <row r="1184" customFormat="false" ht="15" hidden="false" customHeight="false" outlineLevel="0" collapsed="false">
      <c r="A1184" s="7" t="s">
        <v>87</v>
      </c>
      <c r="B1184" s="7" t="n">
        <v>4415130</v>
      </c>
      <c r="C1184" s="7" t="s">
        <v>677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0</v>
      </c>
      <c r="L1184" s="26" t="n">
        <v>0</v>
      </c>
      <c r="M1184" s="26" t="n">
        <v>0</v>
      </c>
    </row>
    <row r="1185" customFormat="false" ht="15" hidden="false" customHeight="false" outlineLevel="0" collapsed="false">
      <c r="A1185" s="7" t="s">
        <v>85</v>
      </c>
      <c r="B1185" s="7" t="n">
        <v>4415131</v>
      </c>
      <c r="C1185" s="7" t="s">
        <v>678</v>
      </c>
      <c r="D1185" s="26" t="n">
        <v>1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  <c r="L1185" s="26" t="n">
        <v>0</v>
      </c>
      <c r="M1185" s="26" t="n">
        <v>0</v>
      </c>
    </row>
    <row r="1186" customFormat="false" ht="15" hidden="false" customHeight="false" outlineLevel="0" collapsed="false">
      <c r="A1186" s="7" t="s">
        <v>87</v>
      </c>
      <c r="B1186" s="7" t="n">
        <v>4415131</v>
      </c>
      <c r="C1186" s="7" t="s">
        <v>678</v>
      </c>
      <c r="D1186" s="26" t="n">
        <v>94.5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  <c r="L1186" s="26" t="n">
        <v>0</v>
      </c>
      <c r="M1186" s="26" t="n">
        <v>0</v>
      </c>
    </row>
    <row r="1187" customFormat="false" ht="15" hidden="false" customHeight="false" outlineLevel="0" collapsed="false">
      <c r="A1187" s="7" t="s">
        <v>85</v>
      </c>
      <c r="B1187" s="7" t="n">
        <v>4415132</v>
      </c>
      <c r="C1187" s="7" t="s">
        <v>679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0</v>
      </c>
      <c r="J1187" s="26" t="n">
        <v>0</v>
      </c>
      <c r="K1187" s="26" t="n">
        <v>0</v>
      </c>
      <c r="L1187" s="26" t="n">
        <v>0</v>
      </c>
      <c r="M1187" s="26" t="n">
        <v>0</v>
      </c>
    </row>
    <row r="1188" customFormat="false" ht="15" hidden="false" customHeight="false" outlineLevel="0" collapsed="false">
      <c r="A1188" s="7" t="s">
        <v>87</v>
      </c>
      <c r="B1188" s="7" t="n">
        <v>4415132</v>
      </c>
      <c r="C1188" s="7" t="s">
        <v>679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0</v>
      </c>
      <c r="J1188" s="26" t="n">
        <v>0</v>
      </c>
      <c r="K1188" s="26" t="n">
        <v>0</v>
      </c>
      <c r="L1188" s="26" t="n">
        <v>0</v>
      </c>
      <c r="M1188" s="26" t="n">
        <v>0</v>
      </c>
    </row>
    <row r="1189" customFormat="false" ht="15" hidden="false" customHeight="false" outlineLevel="0" collapsed="false">
      <c r="A1189" s="7" t="s">
        <v>85</v>
      </c>
      <c r="B1189" s="7" t="n">
        <v>4415133</v>
      </c>
      <c r="C1189" s="7" t="s">
        <v>680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0</v>
      </c>
      <c r="J1189" s="26" t="n">
        <v>0</v>
      </c>
      <c r="K1189" s="26" t="n">
        <v>0</v>
      </c>
      <c r="L1189" s="26" t="n">
        <v>0</v>
      </c>
      <c r="M1189" s="26" t="n">
        <v>0</v>
      </c>
    </row>
    <row r="1190" customFormat="false" ht="15" hidden="false" customHeight="false" outlineLevel="0" collapsed="false">
      <c r="A1190" s="7" t="s">
        <v>87</v>
      </c>
      <c r="B1190" s="7" t="n">
        <v>4415133</v>
      </c>
      <c r="C1190" s="7" t="s">
        <v>680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0</v>
      </c>
      <c r="J1190" s="26" t="n">
        <v>0</v>
      </c>
      <c r="K1190" s="26" t="n">
        <v>0</v>
      </c>
      <c r="L1190" s="26" t="n">
        <v>0</v>
      </c>
      <c r="M1190" s="26" t="n">
        <v>0</v>
      </c>
    </row>
    <row r="1191" customFormat="false" ht="15" hidden="false" customHeight="false" outlineLevel="0" collapsed="false">
      <c r="A1191" s="7" t="s">
        <v>85</v>
      </c>
      <c r="B1191" s="7" t="n">
        <v>4415137</v>
      </c>
      <c r="C1191" s="7" t="s">
        <v>681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0</v>
      </c>
      <c r="J1191" s="26" t="n">
        <v>0</v>
      </c>
      <c r="K1191" s="26" t="n">
        <v>0</v>
      </c>
      <c r="L1191" s="26" t="n">
        <v>0</v>
      </c>
      <c r="M1191" s="26" t="n">
        <v>0</v>
      </c>
    </row>
    <row r="1192" customFormat="false" ht="15" hidden="false" customHeight="false" outlineLevel="0" collapsed="false">
      <c r="A1192" s="7" t="s">
        <v>87</v>
      </c>
      <c r="B1192" s="7" t="n">
        <v>4415137</v>
      </c>
      <c r="C1192" s="7" t="s">
        <v>681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0</v>
      </c>
      <c r="J1192" s="26" t="n">
        <v>0</v>
      </c>
      <c r="K1192" s="26" t="n">
        <v>0</v>
      </c>
      <c r="L1192" s="26" t="n">
        <v>0</v>
      </c>
      <c r="M1192" s="26" t="n">
        <v>0</v>
      </c>
    </row>
    <row r="1193" customFormat="false" ht="15" hidden="false" customHeight="false" outlineLevel="0" collapsed="false">
      <c r="A1193" s="7" t="s">
        <v>85</v>
      </c>
      <c r="B1193" s="7" t="n">
        <v>4415138</v>
      </c>
      <c r="C1193" s="7" t="s">
        <v>682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0</v>
      </c>
      <c r="J1193" s="26" t="n">
        <v>0</v>
      </c>
      <c r="K1193" s="26" t="n">
        <v>0</v>
      </c>
      <c r="L1193" s="26" t="n">
        <v>0</v>
      </c>
      <c r="M1193" s="26" t="n">
        <v>0</v>
      </c>
    </row>
    <row r="1194" customFormat="false" ht="15" hidden="false" customHeight="false" outlineLevel="0" collapsed="false">
      <c r="A1194" s="7" t="s">
        <v>87</v>
      </c>
      <c r="B1194" s="7" t="n">
        <v>4415138</v>
      </c>
      <c r="C1194" s="7" t="s">
        <v>682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0</v>
      </c>
      <c r="J1194" s="26" t="n">
        <v>0</v>
      </c>
      <c r="K1194" s="26" t="n">
        <v>0</v>
      </c>
      <c r="L1194" s="26" t="n">
        <v>0</v>
      </c>
      <c r="M1194" s="26" t="n">
        <v>0</v>
      </c>
    </row>
    <row r="1195" customFormat="false" ht="15" hidden="false" customHeight="false" outlineLevel="0" collapsed="false">
      <c r="A1195" s="7" t="s">
        <v>85</v>
      </c>
      <c r="B1195" s="7" t="n">
        <v>4415139</v>
      </c>
      <c r="C1195" s="7" t="s">
        <v>683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0</v>
      </c>
      <c r="L1195" s="26" t="n">
        <v>0</v>
      </c>
      <c r="M1195" s="26" t="n">
        <v>0</v>
      </c>
    </row>
    <row r="1196" customFormat="false" ht="15" hidden="false" customHeight="false" outlineLevel="0" collapsed="false">
      <c r="A1196" s="7" t="s">
        <v>87</v>
      </c>
      <c r="B1196" s="7" t="n">
        <v>4415139</v>
      </c>
      <c r="C1196" s="7" t="s">
        <v>683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0</v>
      </c>
      <c r="L1196" s="26" t="n">
        <v>0</v>
      </c>
      <c r="M1196" s="26" t="n">
        <v>0</v>
      </c>
    </row>
    <row r="1197" customFormat="false" ht="15" hidden="false" customHeight="false" outlineLevel="0" collapsed="false">
      <c r="A1197" s="7" t="s">
        <v>85</v>
      </c>
      <c r="B1197" s="7" t="n">
        <v>4415065</v>
      </c>
      <c r="C1197" s="7" t="s">
        <v>684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0</v>
      </c>
      <c r="L1197" s="26" t="n">
        <v>0</v>
      </c>
      <c r="M1197" s="26" t="n">
        <v>0</v>
      </c>
    </row>
    <row r="1198" customFormat="false" ht="15" hidden="false" customHeight="false" outlineLevel="0" collapsed="false">
      <c r="A1198" s="7" t="s">
        <v>87</v>
      </c>
      <c r="B1198" s="7" t="n">
        <v>4415065</v>
      </c>
      <c r="C1198" s="7" t="s">
        <v>684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0</v>
      </c>
      <c r="L1198" s="26" t="n">
        <v>0</v>
      </c>
      <c r="M1198" s="26" t="n">
        <v>0</v>
      </c>
    </row>
    <row r="1199" customFormat="false" ht="15" hidden="false" customHeight="false" outlineLevel="0" collapsed="false">
      <c r="A1199" s="7" t="s">
        <v>85</v>
      </c>
      <c r="B1199" s="7" t="n">
        <v>4415066</v>
      </c>
      <c r="C1199" s="7" t="s">
        <v>685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0</v>
      </c>
      <c r="L1199" s="26" t="n">
        <v>0</v>
      </c>
      <c r="M1199" s="26" t="n">
        <v>0</v>
      </c>
    </row>
    <row r="1200" customFormat="false" ht="15" hidden="false" customHeight="false" outlineLevel="0" collapsed="false">
      <c r="A1200" s="7" t="s">
        <v>87</v>
      </c>
      <c r="B1200" s="7" t="n">
        <v>4415066</v>
      </c>
      <c r="C1200" s="7" t="s">
        <v>685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0</v>
      </c>
      <c r="L1200" s="26" t="n">
        <v>0</v>
      </c>
      <c r="M1200" s="26" t="n">
        <v>0</v>
      </c>
    </row>
    <row r="1201" customFormat="false" ht="15" hidden="false" customHeight="false" outlineLevel="0" collapsed="false">
      <c r="A1201" s="7" t="s">
        <v>85</v>
      </c>
      <c r="B1201" s="7" t="n">
        <v>4415064</v>
      </c>
      <c r="C1201" s="7" t="s">
        <v>686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2</v>
      </c>
      <c r="I1201" s="26" t="n">
        <v>0</v>
      </c>
      <c r="J1201" s="26" t="n">
        <v>0</v>
      </c>
      <c r="K1201" s="26" t="n">
        <v>0</v>
      </c>
      <c r="L1201" s="26" t="n">
        <v>0</v>
      </c>
      <c r="M1201" s="26" t="n">
        <v>0</v>
      </c>
    </row>
    <row r="1202" customFormat="false" ht="15" hidden="false" customHeight="false" outlineLevel="0" collapsed="false">
      <c r="A1202" s="7" t="s">
        <v>87</v>
      </c>
      <c r="B1202" s="7" t="n">
        <v>4415064</v>
      </c>
      <c r="C1202" s="7" t="s">
        <v>686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122.8</v>
      </c>
      <c r="I1202" s="26" t="n">
        <v>0</v>
      </c>
      <c r="J1202" s="26" t="n">
        <v>0</v>
      </c>
      <c r="K1202" s="26" t="n">
        <v>0</v>
      </c>
      <c r="L1202" s="26" t="n">
        <v>0</v>
      </c>
      <c r="M1202" s="26" t="n">
        <v>0</v>
      </c>
    </row>
    <row r="1203" customFormat="false" ht="15" hidden="false" customHeight="false" outlineLevel="0" collapsed="false">
      <c r="A1203" s="7" t="s">
        <v>85</v>
      </c>
      <c r="B1203" s="7" t="n">
        <v>4415067</v>
      </c>
      <c r="C1203" s="7" t="s">
        <v>687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-2</v>
      </c>
      <c r="J1203" s="26" t="n">
        <v>0</v>
      </c>
      <c r="K1203" s="26" t="n">
        <v>0</v>
      </c>
      <c r="L1203" s="26" t="n">
        <v>0</v>
      </c>
      <c r="M1203" s="26" t="n">
        <v>0</v>
      </c>
    </row>
    <row r="1204" customFormat="false" ht="15" hidden="false" customHeight="false" outlineLevel="0" collapsed="false">
      <c r="A1204" s="7" t="s">
        <v>87</v>
      </c>
      <c r="B1204" s="7" t="n">
        <v>4415067</v>
      </c>
      <c r="C1204" s="7" t="s">
        <v>687</v>
      </c>
      <c r="D1204" s="26" t="n">
        <v>-13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-132.3</v>
      </c>
      <c r="J1204" s="26" t="n">
        <v>0</v>
      </c>
      <c r="K1204" s="26" t="n">
        <v>0</v>
      </c>
      <c r="L1204" s="26" t="n">
        <v>0</v>
      </c>
      <c r="M1204" s="26" t="n">
        <v>0</v>
      </c>
    </row>
    <row r="1205" customFormat="false" ht="15" hidden="false" customHeight="false" outlineLevel="0" collapsed="false">
      <c r="A1205" s="7" t="s">
        <v>85</v>
      </c>
      <c r="B1205" s="7" t="n">
        <v>4415118</v>
      </c>
      <c r="C1205" s="7" t="s">
        <v>688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0</v>
      </c>
      <c r="L1205" s="26" t="n">
        <v>0</v>
      </c>
      <c r="M1205" s="26" t="n">
        <v>0</v>
      </c>
    </row>
    <row r="1206" customFormat="false" ht="15" hidden="false" customHeight="false" outlineLevel="0" collapsed="false">
      <c r="A1206" s="7" t="s">
        <v>87</v>
      </c>
      <c r="B1206" s="7" t="n">
        <v>4415118</v>
      </c>
      <c r="C1206" s="7" t="s">
        <v>688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0</v>
      </c>
      <c r="L1206" s="26" t="n">
        <v>0</v>
      </c>
      <c r="M1206" s="26" t="n">
        <v>0</v>
      </c>
    </row>
    <row r="1207" customFormat="false" ht="15" hidden="false" customHeight="false" outlineLevel="0" collapsed="false">
      <c r="A1207" s="7" t="s">
        <v>85</v>
      </c>
      <c r="B1207" s="7" t="n">
        <v>4415073</v>
      </c>
      <c r="C1207" s="7" t="s">
        <v>689</v>
      </c>
      <c r="D1207" s="26" t="n">
        <v>42</v>
      </c>
      <c r="E1207" s="26" t="n">
        <v>0</v>
      </c>
      <c r="F1207" s="26" t="n">
        <v>1</v>
      </c>
      <c r="G1207" s="26" t="n">
        <v>0</v>
      </c>
      <c r="H1207" s="26" t="n">
        <v>935</v>
      </c>
      <c r="I1207" s="26" t="n">
        <v>31</v>
      </c>
      <c r="J1207" s="26" t="n">
        <v>0</v>
      </c>
      <c r="K1207" s="26" t="n">
        <v>0</v>
      </c>
      <c r="L1207" s="26" t="n">
        <v>0</v>
      </c>
      <c r="M1207" s="26" t="n">
        <v>0</v>
      </c>
    </row>
    <row r="1208" customFormat="false" ht="15" hidden="false" customHeight="false" outlineLevel="0" collapsed="false">
      <c r="A1208" s="7" t="s">
        <v>87</v>
      </c>
      <c r="B1208" s="7" t="n">
        <v>4415073</v>
      </c>
      <c r="C1208" s="7" t="s">
        <v>689</v>
      </c>
      <c r="D1208" s="26" t="n">
        <v>2772</v>
      </c>
      <c r="E1208" s="26" t="n">
        <v>0</v>
      </c>
      <c r="F1208" s="26" t="n">
        <v>67.6</v>
      </c>
      <c r="G1208" s="26" t="n">
        <v>0</v>
      </c>
      <c r="H1208" s="26" t="n">
        <v>54679.2</v>
      </c>
      <c r="I1208" s="26" t="n">
        <v>1959.1</v>
      </c>
      <c r="J1208" s="26" t="n">
        <v>0</v>
      </c>
      <c r="K1208" s="26" t="n">
        <v>0</v>
      </c>
      <c r="L1208" s="26" t="n">
        <v>0</v>
      </c>
      <c r="M1208" s="26" t="n">
        <v>0</v>
      </c>
    </row>
    <row r="1209" customFormat="false" ht="15" hidden="false" customHeight="false" outlineLevel="0" collapsed="false">
      <c r="A1209" s="7" t="s">
        <v>85</v>
      </c>
      <c r="B1209" s="7" t="n">
        <v>4415072</v>
      </c>
      <c r="C1209" s="7" t="s">
        <v>690</v>
      </c>
      <c r="D1209" s="26" t="n">
        <v>47</v>
      </c>
      <c r="E1209" s="26" t="n">
        <v>0</v>
      </c>
      <c r="F1209" s="26" t="n">
        <v>0</v>
      </c>
      <c r="G1209" s="26" t="n">
        <v>0</v>
      </c>
      <c r="H1209" s="26" t="n">
        <v>1278</v>
      </c>
      <c r="I1209" s="26" t="n">
        <v>159</v>
      </c>
      <c r="J1209" s="26" t="n">
        <v>0</v>
      </c>
      <c r="K1209" s="26" t="n">
        <v>0</v>
      </c>
      <c r="L1209" s="26" t="n">
        <v>0</v>
      </c>
      <c r="M1209" s="26" t="n">
        <v>0</v>
      </c>
    </row>
    <row r="1210" customFormat="false" ht="15" hidden="false" customHeight="false" outlineLevel="0" collapsed="false">
      <c r="A1210" s="7" t="s">
        <v>87</v>
      </c>
      <c r="B1210" s="7" t="n">
        <v>4415072</v>
      </c>
      <c r="C1210" s="7" t="s">
        <v>690</v>
      </c>
      <c r="D1210" s="26" t="n">
        <v>3144.3</v>
      </c>
      <c r="E1210" s="26" t="n">
        <v>0</v>
      </c>
      <c r="F1210" s="26" t="n">
        <v>0</v>
      </c>
      <c r="G1210" s="26" t="n">
        <v>0</v>
      </c>
      <c r="H1210" s="26" t="n">
        <v>74753.7</v>
      </c>
      <c r="I1210" s="26" t="n">
        <v>10043</v>
      </c>
      <c r="J1210" s="26" t="n">
        <v>0</v>
      </c>
      <c r="K1210" s="26" t="n">
        <v>0</v>
      </c>
      <c r="L1210" s="26" t="n">
        <v>0</v>
      </c>
      <c r="M1210" s="26" t="n">
        <v>0</v>
      </c>
    </row>
    <row r="1211" customFormat="false" ht="15" hidden="false" customHeight="false" outlineLevel="0" collapsed="false">
      <c r="A1211" s="7" t="s">
        <v>85</v>
      </c>
      <c r="B1211" s="7" t="n">
        <v>4415176</v>
      </c>
      <c r="C1211" s="7" t="s">
        <v>691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0</v>
      </c>
      <c r="J1211" s="26" t="n">
        <v>0</v>
      </c>
      <c r="K1211" s="26" t="n">
        <v>0</v>
      </c>
      <c r="L1211" s="26" t="n">
        <v>0</v>
      </c>
      <c r="M1211" s="26" t="n">
        <v>0</v>
      </c>
    </row>
    <row r="1212" customFormat="false" ht="15" hidden="false" customHeight="false" outlineLevel="0" collapsed="false">
      <c r="A1212" s="7" t="s">
        <v>87</v>
      </c>
      <c r="B1212" s="7" t="n">
        <v>4415176</v>
      </c>
      <c r="C1212" s="7" t="s">
        <v>691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0</v>
      </c>
      <c r="J1212" s="26" t="n">
        <v>0</v>
      </c>
      <c r="K1212" s="26" t="n">
        <v>0</v>
      </c>
      <c r="L1212" s="26" t="n">
        <v>0</v>
      </c>
      <c r="M1212" s="26" t="n">
        <v>0</v>
      </c>
    </row>
    <row r="1213" customFormat="false" ht="15" hidden="false" customHeight="false" outlineLevel="0" collapsed="false">
      <c r="A1213" s="7" t="s">
        <v>85</v>
      </c>
      <c r="B1213" s="7" t="n">
        <v>4415075</v>
      </c>
      <c r="C1213" s="7" t="s">
        <v>692</v>
      </c>
      <c r="D1213" s="26" t="n">
        <v>47</v>
      </c>
      <c r="E1213" s="26" t="n">
        <v>0</v>
      </c>
      <c r="F1213" s="26" t="n">
        <v>0</v>
      </c>
      <c r="G1213" s="26" t="n">
        <v>0</v>
      </c>
      <c r="H1213" s="26" t="n">
        <v>187</v>
      </c>
      <c r="I1213" s="26" t="n">
        <v>0</v>
      </c>
      <c r="J1213" s="26" t="n">
        <v>0</v>
      </c>
      <c r="K1213" s="26" t="n">
        <v>0</v>
      </c>
      <c r="L1213" s="26" t="n">
        <v>0</v>
      </c>
      <c r="M1213" s="26" t="n">
        <v>0</v>
      </c>
    </row>
    <row r="1214" customFormat="false" ht="15" hidden="false" customHeight="false" outlineLevel="0" collapsed="false">
      <c r="A1214" s="7" t="s">
        <v>87</v>
      </c>
      <c r="B1214" s="7" t="n">
        <v>4415075</v>
      </c>
      <c r="C1214" s="7" t="s">
        <v>692</v>
      </c>
      <c r="D1214" s="26" t="n">
        <v>3181.8</v>
      </c>
      <c r="E1214" s="26" t="n">
        <v>0</v>
      </c>
      <c r="F1214" s="26" t="n">
        <v>0</v>
      </c>
      <c r="G1214" s="26" t="n">
        <v>0</v>
      </c>
      <c r="H1214" s="26" t="n">
        <v>10885.6</v>
      </c>
      <c r="I1214" s="26" t="n">
        <v>0</v>
      </c>
      <c r="J1214" s="26" t="n">
        <v>0</v>
      </c>
      <c r="K1214" s="26" t="n">
        <v>0</v>
      </c>
      <c r="L1214" s="26" t="n">
        <v>0</v>
      </c>
      <c r="M1214" s="26" t="n">
        <v>0</v>
      </c>
    </row>
    <row r="1215" customFormat="false" ht="15" hidden="false" customHeight="false" outlineLevel="0" collapsed="false">
      <c r="A1215" s="7" t="s">
        <v>85</v>
      </c>
      <c r="B1215" s="7" t="n">
        <v>4415074</v>
      </c>
      <c r="C1215" s="7" t="s">
        <v>693</v>
      </c>
      <c r="D1215" s="26" t="n">
        <v>87</v>
      </c>
      <c r="E1215" s="26" t="n">
        <v>0</v>
      </c>
      <c r="F1215" s="26" t="n">
        <v>1</v>
      </c>
      <c r="G1215" s="26" t="n">
        <v>0</v>
      </c>
      <c r="H1215" s="26" t="n">
        <v>297</v>
      </c>
      <c r="I1215" s="26" t="n">
        <v>0</v>
      </c>
      <c r="J1215" s="26" t="n">
        <v>0</v>
      </c>
      <c r="K1215" s="26" t="n">
        <v>0</v>
      </c>
      <c r="L1215" s="26" t="n">
        <v>0</v>
      </c>
      <c r="M1215" s="26" t="n">
        <v>0</v>
      </c>
    </row>
    <row r="1216" customFormat="false" ht="15" hidden="false" customHeight="false" outlineLevel="0" collapsed="false">
      <c r="A1216" s="7" t="s">
        <v>87</v>
      </c>
      <c r="B1216" s="7" t="n">
        <v>4415074</v>
      </c>
      <c r="C1216" s="7" t="s">
        <v>693</v>
      </c>
      <c r="D1216" s="26" t="n">
        <v>5855.2</v>
      </c>
      <c r="E1216" s="26" t="n">
        <v>0</v>
      </c>
      <c r="F1216" s="26" t="n">
        <v>67.6</v>
      </c>
      <c r="G1216" s="26" t="n">
        <v>0</v>
      </c>
      <c r="H1216" s="26" t="n">
        <v>17280.9</v>
      </c>
      <c r="I1216" s="26" t="n">
        <v>0</v>
      </c>
      <c r="J1216" s="26" t="n">
        <v>0</v>
      </c>
      <c r="K1216" s="26" t="n">
        <v>0</v>
      </c>
      <c r="L1216" s="26" t="n">
        <v>0</v>
      </c>
      <c r="M1216" s="26" t="n">
        <v>0</v>
      </c>
    </row>
    <row r="1217" customFormat="false" ht="15" hidden="false" customHeight="false" outlineLevel="0" collapsed="false">
      <c r="A1217" s="7" t="s">
        <v>85</v>
      </c>
      <c r="B1217" s="7" t="n">
        <v>4415071</v>
      </c>
      <c r="C1217" s="7" t="s">
        <v>694</v>
      </c>
      <c r="D1217" s="26" t="n">
        <v>4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0</v>
      </c>
      <c r="J1217" s="26" t="n">
        <v>0</v>
      </c>
      <c r="K1217" s="26" t="n">
        <v>0</v>
      </c>
      <c r="L1217" s="26" t="n">
        <v>0</v>
      </c>
      <c r="M1217" s="26" t="n">
        <v>0</v>
      </c>
    </row>
    <row r="1218" customFormat="false" ht="15" hidden="false" customHeight="false" outlineLevel="0" collapsed="false">
      <c r="A1218" s="7" t="s">
        <v>87</v>
      </c>
      <c r="B1218" s="7" t="n">
        <v>4415071</v>
      </c>
      <c r="C1218" s="7" t="s">
        <v>694</v>
      </c>
      <c r="D1218" s="26" t="n">
        <v>274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0</v>
      </c>
      <c r="J1218" s="26" t="n">
        <v>0</v>
      </c>
      <c r="K1218" s="26" t="n">
        <v>0</v>
      </c>
      <c r="L1218" s="26" t="n">
        <v>0</v>
      </c>
      <c r="M1218" s="26" t="n">
        <v>0</v>
      </c>
    </row>
    <row r="1219" customFormat="false" ht="15" hidden="false" customHeight="false" outlineLevel="0" collapsed="false">
      <c r="A1219" s="7" t="s">
        <v>85</v>
      </c>
      <c r="B1219" s="7" t="n">
        <v>4415069</v>
      </c>
      <c r="C1219" s="7" t="s">
        <v>695</v>
      </c>
      <c r="D1219" s="26" t="n">
        <v>7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0</v>
      </c>
      <c r="J1219" s="26" t="n">
        <v>0</v>
      </c>
      <c r="K1219" s="26" t="n">
        <v>0</v>
      </c>
      <c r="L1219" s="26" t="n">
        <v>0</v>
      </c>
      <c r="M1219" s="26" t="n">
        <v>0</v>
      </c>
    </row>
    <row r="1220" customFormat="false" ht="15" hidden="false" customHeight="false" outlineLevel="0" collapsed="false">
      <c r="A1220" s="7" t="s">
        <v>87</v>
      </c>
      <c r="B1220" s="7" t="n">
        <v>4415069</v>
      </c>
      <c r="C1220" s="7" t="s">
        <v>695</v>
      </c>
      <c r="D1220" s="26" t="n">
        <v>486.6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0</v>
      </c>
      <c r="L1220" s="26" t="n">
        <v>0</v>
      </c>
      <c r="M1220" s="26" t="n">
        <v>0</v>
      </c>
    </row>
    <row r="1221" customFormat="false" ht="15" hidden="false" customHeight="false" outlineLevel="0" collapsed="false">
      <c r="A1221" s="7" t="s">
        <v>85</v>
      </c>
      <c r="B1221" s="7" t="n">
        <v>4415070</v>
      </c>
      <c r="C1221" s="7" t="s">
        <v>696</v>
      </c>
      <c r="D1221" s="26" t="n">
        <v>1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0</v>
      </c>
      <c r="L1221" s="26" t="n">
        <v>0</v>
      </c>
      <c r="M1221" s="26" t="n">
        <v>0</v>
      </c>
    </row>
    <row r="1222" customFormat="false" ht="15" hidden="false" customHeight="false" outlineLevel="0" collapsed="false">
      <c r="A1222" s="7" t="s">
        <v>87</v>
      </c>
      <c r="B1222" s="7" t="n">
        <v>4415070</v>
      </c>
      <c r="C1222" s="7" t="s">
        <v>696</v>
      </c>
      <c r="D1222" s="26" t="n">
        <v>66.1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0</v>
      </c>
      <c r="L1222" s="26" t="n">
        <v>0</v>
      </c>
      <c r="M1222" s="26" t="n">
        <v>0</v>
      </c>
    </row>
    <row r="1223" customFormat="false" ht="15" hidden="false" customHeight="false" outlineLevel="0" collapsed="false">
      <c r="A1223" s="7" t="s">
        <v>85</v>
      </c>
      <c r="B1223" s="7" t="n">
        <v>4415068</v>
      </c>
      <c r="C1223" s="7" t="s">
        <v>697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0</v>
      </c>
      <c r="L1223" s="26" t="n">
        <v>0</v>
      </c>
      <c r="M1223" s="26" t="n">
        <v>0</v>
      </c>
    </row>
    <row r="1224" customFormat="false" ht="15" hidden="false" customHeight="false" outlineLevel="0" collapsed="false">
      <c r="A1224" s="7" t="s">
        <v>87</v>
      </c>
      <c r="B1224" s="7" t="n">
        <v>4415068</v>
      </c>
      <c r="C1224" s="7" t="s">
        <v>697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0</v>
      </c>
      <c r="L1224" s="26" t="n">
        <v>0</v>
      </c>
      <c r="M1224" s="26" t="n">
        <v>0</v>
      </c>
    </row>
    <row r="1225" customFormat="false" ht="15" hidden="false" customHeight="false" outlineLevel="0" collapsed="false">
      <c r="A1225" s="7" t="s">
        <v>85</v>
      </c>
      <c r="B1225" s="7" t="n">
        <v>4415029</v>
      </c>
      <c r="C1225" s="7" t="s">
        <v>698</v>
      </c>
      <c r="D1225" s="26" t="n">
        <v>44</v>
      </c>
      <c r="E1225" s="26" t="n">
        <v>0</v>
      </c>
      <c r="F1225" s="26" t="n">
        <v>0</v>
      </c>
      <c r="G1225" s="26" t="n">
        <v>0</v>
      </c>
      <c r="H1225" s="26" t="n">
        <v>217</v>
      </c>
      <c r="I1225" s="26" t="n">
        <v>13</v>
      </c>
      <c r="J1225" s="26" t="n">
        <v>0</v>
      </c>
      <c r="K1225" s="26" t="n">
        <v>0</v>
      </c>
      <c r="L1225" s="26" t="n">
        <v>0</v>
      </c>
      <c r="M1225" s="26" t="n">
        <v>0</v>
      </c>
    </row>
    <row r="1226" customFormat="false" ht="15" hidden="false" customHeight="false" outlineLevel="0" collapsed="false">
      <c r="A1226" s="7" t="s">
        <v>87</v>
      </c>
      <c r="B1226" s="7" t="n">
        <v>4415029</v>
      </c>
      <c r="C1226" s="7" t="s">
        <v>698</v>
      </c>
      <c r="D1226" s="26" t="n">
        <v>1297.9</v>
      </c>
      <c r="E1226" s="26" t="n">
        <v>0</v>
      </c>
      <c r="F1226" s="26" t="n">
        <v>0</v>
      </c>
      <c r="G1226" s="26" t="n">
        <v>0</v>
      </c>
      <c r="H1226" s="26" t="n">
        <v>5300.6</v>
      </c>
      <c r="I1226" s="26" t="n">
        <v>527.3</v>
      </c>
      <c r="J1226" s="26" t="n">
        <v>0</v>
      </c>
      <c r="K1226" s="26" t="n">
        <v>0</v>
      </c>
      <c r="L1226" s="26" t="n">
        <v>0</v>
      </c>
      <c r="M1226" s="26" t="n">
        <v>0</v>
      </c>
    </row>
    <row r="1227" customFormat="false" ht="15" hidden="false" customHeight="false" outlineLevel="0" collapsed="false">
      <c r="A1227" s="7" t="s">
        <v>85</v>
      </c>
      <c r="B1227" s="7" t="n">
        <v>4418014</v>
      </c>
      <c r="C1227" s="7" t="s">
        <v>699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0</v>
      </c>
      <c r="J1227" s="26" t="n">
        <v>0</v>
      </c>
      <c r="K1227" s="26" t="n">
        <v>0</v>
      </c>
      <c r="L1227" s="26" t="n">
        <v>0</v>
      </c>
      <c r="M1227" s="26" t="n">
        <v>0</v>
      </c>
    </row>
    <row r="1228" customFormat="false" ht="15" hidden="false" customHeight="false" outlineLevel="0" collapsed="false">
      <c r="A1228" s="7" t="s">
        <v>87</v>
      </c>
      <c r="B1228" s="7" t="n">
        <v>4418014</v>
      </c>
      <c r="C1228" s="7" t="s">
        <v>699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0</v>
      </c>
      <c r="J1228" s="26" t="n">
        <v>0</v>
      </c>
      <c r="K1228" s="26" t="n">
        <v>0</v>
      </c>
      <c r="L1228" s="26" t="n">
        <v>0</v>
      </c>
      <c r="M1228" s="26" t="n">
        <v>0</v>
      </c>
    </row>
    <row r="1229" customFormat="false" ht="15" hidden="false" customHeight="false" outlineLevel="0" collapsed="false">
      <c r="A1229" s="7" t="s">
        <v>85</v>
      </c>
      <c r="B1229" s="7" t="n">
        <v>4418000</v>
      </c>
      <c r="C1229" s="7" t="s">
        <v>700</v>
      </c>
      <c r="D1229" s="26" t="n">
        <v>188</v>
      </c>
      <c r="E1229" s="26" t="n">
        <v>0</v>
      </c>
      <c r="F1229" s="26" t="n">
        <v>4</v>
      </c>
      <c r="G1229" s="26" t="n">
        <v>0</v>
      </c>
      <c r="H1229" s="26" t="n">
        <v>596</v>
      </c>
      <c r="I1229" s="26" t="n">
        <v>120</v>
      </c>
      <c r="J1229" s="26" t="n">
        <v>0</v>
      </c>
      <c r="K1229" s="26" t="n">
        <v>0</v>
      </c>
      <c r="L1229" s="26" t="n">
        <v>0</v>
      </c>
      <c r="M1229" s="26" t="n">
        <v>0</v>
      </c>
    </row>
    <row r="1230" customFormat="false" ht="15" hidden="false" customHeight="false" outlineLevel="0" collapsed="false">
      <c r="A1230" s="7" t="s">
        <v>87</v>
      </c>
      <c r="B1230" s="7" t="n">
        <v>4418000</v>
      </c>
      <c r="C1230" s="7" t="s">
        <v>700</v>
      </c>
      <c r="D1230" s="26" t="n">
        <v>9084.2</v>
      </c>
      <c r="E1230" s="26" t="n">
        <v>0</v>
      </c>
      <c r="F1230" s="26" t="n">
        <v>198.4</v>
      </c>
      <c r="G1230" s="26" t="n">
        <v>0</v>
      </c>
      <c r="H1230" s="26" t="n">
        <v>17843.1</v>
      </c>
      <c r="I1230" s="26" t="n">
        <v>3782.7</v>
      </c>
      <c r="J1230" s="26" t="n">
        <v>0</v>
      </c>
      <c r="K1230" s="26" t="n">
        <v>0</v>
      </c>
      <c r="L1230" s="26" t="n">
        <v>0</v>
      </c>
      <c r="M1230" s="26" t="n">
        <v>0</v>
      </c>
    </row>
    <row r="1231" customFormat="false" ht="15" hidden="false" customHeight="false" outlineLevel="0" collapsed="false">
      <c r="A1231" s="7" t="s">
        <v>85</v>
      </c>
      <c r="B1231" s="7" t="n">
        <v>4418001</v>
      </c>
      <c r="C1231" s="7" t="s">
        <v>701</v>
      </c>
      <c r="D1231" s="26" t="n">
        <v>145</v>
      </c>
      <c r="E1231" s="26" t="n">
        <v>0</v>
      </c>
      <c r="F1231" s="26" t="n">
        <v>1</v>
      </c>
      <c r="G1231" s="26" t="n">
        <v>0</v>
      </c>
      <c r="H1231" s="26" t="n">
        <v>635</v>
      </c>
      <c r="I1231" s="26" t="n">
        <v>127</v>
      </c>
      <c r="J1231" s="26" t="n">
        <v>0</v>
      </c>
      <c r="K1231" s="26" t="n">
        <v>0</v>
      </c>
      <c r="L1231" s="26" t="n">
        <v>0</v>
      </c>
      <c r="M1231" s="26" t="n">
        <v>0</v>
      </c>
    </row>
    <row r="1232" customFormat="false" ht="15" hidden="false" customHeight="false" outlineLevel="0" collapsed="false">
      <c r="A1232" s="7" t="s">
        <v>87</v>
      </c>
      <c r="B1232" s="7" t="n">
        <v>4418001</v>
      </c>
      <c r="C1232" s="7" t="s">
        <v>701</v>
      </c>
      <c r="D1232" s="26" t="n">
        <v>7044.2</v>
      </c>
      <c r="E1232" s="26" t="n">
        <v>0</v>
      </c>
      <c r="F1232" s="26" t="n">
        <v>49.6</v>
      </c>
      <c r="G1232" s="26" t="n">
        <v>0</v>
      </c>
      <c r="H1232" s="26" t="n">
        <v>19003.5</v>
      </c>
      <c r="I1232" s="26" t="n">
        <v>4110.3</v>
      </c>
      <c r="J1232" s="26" t="n">
        <v>0</v>
      </c>
      <c r="K1232" s="26" t="n">
        <v>0</v>
      </c>
      <c r="L1232" s="26" t="n">
        <v>0</v>
      </c>
      <c r="M1232" s="26" t="n">
        <v>0</v>
      </c>
    </row>
    <row r="1233" customFormat="false" ht="15" hidden="false" customHeight="false" outlineLevel="0" collapsed="false">
      <c r="A1233" s="7" t="s">
        <v>85</v>
      </c>
      <c r="B1233" s="7" t="n">
        <v>4418002</v>
      </c>
      <c r="C1233" s="7" t="s">
        <v>702</v>
      </c>
      <c r="D1233" s="26" t="n">
        <v>71</v>
      </c>
      <c r="E1233" s="26" t="n">
        <v>0</v>
      </c>
      <c r="F1233" s="26" t="n">
        <v>0</v>
      </c>
      <c r="G1233" s="26" t="n">
        <v>0</v>
      </c>
      <c r="H1233" s="26" t="n">
        <v>371</v>
      </c>
      <c r="I1233" s="26" t="n">
        <v>52</v>
      </c>
      <c r="J1233" s="26" t="n">
        <v>0</v>
      </c>
      <c r="K1233" s="26" t="n">
        <v>0</v>
      </c>
      <c r="L1233" s="26" t="n">
        <v>0</v>
      </c>
      <c r="M1233" s="26" t="n">
        <v>0</v>
      </c>
    </row>
    <row r="1234" customFormat="false" ht="15" hidden="false" customHeight="false" outlineLevel="0" collapsed="false">
      <c r="A1234" s="7" t="s">
        <v>87</v>
      </c>
      <c r="B1234" s="7" t="n">
        <v>4418002</v>
      </c>
      <c r="C1234" s="7" t="s">
        <v>702</v>
      </c>
      <c r="D1234" s="26" t="n">
        <v>3406.8</v>
      </c>
      <c r="E1234" s="26" t="n">
        <v>0</v>
      </c>
      <c r="F1234" s="26" t="n">
        <v>0</v>
      </c>
      <c r="G1234" s="26" t="n">
        <v>0</v>
      </c>
      <c r="H1234" s="26" t="n">
        <v>11107.5</v>
      </c>
      <c r="I1234" s="26" t="n">
        <v>1680.1</v>
      </c>
      <c r="J1234" s="26" t="n">
        <v>0</v>
      </c>
      <c r="K1234" s="26" t="n">
        <v>0</v>
      </c>
      <c r="L1234" s="26" t="n">
        <v>0</v>
      </c>
      <c r="M1234" s="26" t="n">
        <v>0</v>
      </c>
    </row>
    <row r="1235" customFormat="false" ht="15" hidden="false" customHeight="false" outlineLevel="0" collapsed="false">
      <c r="A1235" s="7" t="s">
        <v>85</v>
      </c>
      <c r="B1235" s="7" t="n">
        <v>4418003</v>
      </c>
      <c r="C1235" s="7" t="s">
        <v>703</v>
      </c>
      <c r="D1235" s="26" t="n">
        <v>126</v>
      </c>
      <c r="E1235" s="26" t="n">
        <v>0</v>
      </c>
      <c r="F1235" s="26" t="n">
        <v>2</v>
      </c>
      <c r="G1235" s="26" t="n">
        <v>0</v>
      </c>
      <c r="H1235" s="26" t="n">
        <v>503</v>
      </c>
      <c r="I1235" s="26" t="n">
        <v>88</v>
      </c>
      <c r="J1235" s="26" t="n">
        <v>0</v>
      </c>
      <c r="K1235" s="26" t="n">
        <v>0</v>
      </c>
      <c r="L1235" s="26" t="n">
        <v>0</v>
      </c>
      <c r="M1235" s="26" t="n">
        <v>0</v>
      </c>
    </row>
    <row r="1236" customFormat="false" ht="15" hidden="false" customHeight="false" outlineLevel="0" collapsed="false">
      <c r="A1236" s="7" t="s">
        <v>87</v>
      </c>
      <c r="B1236" s="7" t="n">
        <v>4418003</v>
      </c>
      <c r="C1236" s="7" t="s">
        <v>703</v>
      </c>
      <c r="D1236" s="26" t="n">
        <v>6089.6</v>
      </c>
      <c r="E1236" s="26" t="n">
        <v>0</v>
      </c>
      <c r="F1236" s="26" t="n">
        <v>99.2</v>
      </c>
      <c r="G1236" s="26" t="n">
        <v>0</v>
      </c>
      <c r="H1236" s="26" t="n">
        <v>15063</v>
      </c>
      <c r="I1236" s="26" t="n">
        <v>2784.9</v>
      </c>
      <c r="J1236" s="26" t="n">
        <v>0</v>
      </c>
      <c r="K1236" s="26" t="n">
        <v>0</v>
      </c>
      <c r="L1236" s="26" t="n">
        <v>0</v>
      </c>
      <c r="M1236" s="26" t="n">
        <v>0</v>
      </c>
    </row>
    <row r="1237" customFormat="false" ht="15" hidden="false" customHeight="false" outlineLevel="0" collapsed="false">
      <c r="A1237" s="7" t="s">
        <v>85</v>
      </c>
      <c r="B1237" s="7" t="n">
        <v>4418004</v>
      </c>
      <c r="C1237" s="7" t="s">
        <v>704</v>
      </c>
      <c r="D1237" s="26" t="n">
        <v>2</v>
      </c>
      <c r="E1237" s="26" t="n">
        <v>0</v>
      </c>
      <c r="F1237" s="26" t="n">
        <v>0</v>
      </c>
      <c r="G1237" s="26" t="n">
        <v>0</v>
      </c>
      <c r="H1237" s="26" t="n">
        <v>1</v>
      </c>
      <c r="I1237" s="26" t="n">
        <v>0</v>
      </c>
      <c r="J1237" s="26" t="n">
        <v>0</v>
      </c>
      <c r="K1237" s="26" t="n">
        <v>0</v>
      </c>
      <c r="L1237" s="26" t="n">
        <v>0</v>
      </c>
      <c r="M1237" s="26" t="n">
        <v>0</v>
      </c>
    </row>
    <row r="1238" customFormat="false" ht="15" hidden="false" customHeight="false" outlineLevel="0" collapsed="false">
      <c r="A1238" s="7" t="s">
        <v>87</v>
      </c>
      <c r="B1238" s="7" t="n">
        <v>4418004</v>
      </c>
      <c r="C1238" s="7" t="s">
        <v>704</v>
      </c>
      <c r="D1238" s="26" t="n">
        <v>99.2</v>
      </c>
      <c r="E1238" s="26" t="n">
        <v>0</v>
      </c>
      <c r="F1238" s="26" t="n">
        <v>0</v>
      </c>
      <c r="G1238" s="26" t="n">
        <v>0</v>
      </c>
      <c r="H1238" s="26" t="n">
        <v>30</v>
      </c>
      <c r="I1238" s="26" t="n">
        <v>0</v>
      </c>
      <c r="J1238" s="26" t="n">
        <v>0</v>
      </c>
      <c r="K1238" s="26" t="n">
        <v>0</v>
      </c>
      <c r="L1238" s="26" t="n">
        <v>0</v>
      </c>
      <c r="M1238" s="26" t="n">
        <v>0</v>
      </c>
    </row>
    <row r="1239" customFormat="false" ht="15" hidden="false" customHeight="false" outlineLevel="0" collapsed="false">
      <c r="A1239" s="7" t="s">
        <v>85</v>
      </c>
      <c r="B1239" s="7" t="n">
        <v>4418016</v>
      </c>
      <c r="C1239" s="7" t="s">
        <v>705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-3</v>
      </c>
      <c r="I1239" s="26" t="n">
        <v>0</v>
      </c>
      <c r="J1239" s="26" t="n">
        <v>0</v>
      </c>
      <c r="K1239" s="26" t="n">
        <v>0</v>
      </c>
      <c r="L1239" s="26" t="n">
        <v>0</v>
      </c>
      <c r="M1239" s="26" t="n">
        <v>0</v>
      </c>
    </row>
    <row r="1240" customFormat="false" ht="15" hidden="false" customHeight="false" outlineLevel="0" collapsed="false">
      <c r="A1240" s="7" t="s">
        <v>87</v>
      </c>
      <c r="B1240" s="7" t="n">
        <v>4418016</v>
      </c>
      <c r="C1240" s="7" t="s">
        <v>705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-90</v>
      </c>
      <c r="I1240" s="26" t="n">
        <v>0</v>
      </c>
      <c r="J1240" s="26" t="n">
        <v>0</v>
      </c>
      <c r="K1240" s="26" t="n">
        <v>0</v>
      </c>
      <c r="L1240" s="26" t="n">
        <v>0</v>
      </c>
      <c r="M1240" s="26" t="n">
        <v>0</v>
      </c>
    </row>
    <row r="1241" customFormat="false" ht="15" hidden="false" customHeight="false" outlineLevel="0" collapsed="false">
      <c r="A1241" s="7" t="s">
        <v>85</v>
      </c>
      <c r="B1241" s="7" t="n">
        <v>4418013</v>
      </c>
      <c r="C1241" s="7" t="s">
        <v>706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0</v>
      </c>
      <c r="J1241" s="26" t="n">
        <v>0</v>
      </c>
      <c r="K1241" s="26" t="n">
        <v>0</v>
      </c>
      <c r="L1241" s="26" t="n">
        <v>0</v>
      </c>
      <c r="M1241" s="26" t="n">
        <v>0</v>
      </c>
    </row>
    <row r="1242" customFormat="false" ht="15" hidden="false" customHeight="false" outlineLevel="0" collapsed="false">
      <c r="A1242" s="7" t="s">
        <v>87</v>
      </c>
      <c r="B1242" s="7" t="n">
        <v>4418013</v>
      </c>
      <c r="C1242" s="7" t="s">
        <v>706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0</v>
      </c>
      <c r="J1242" s="26" t="n">
        <v>0</v>
      </c>
      <c r="K1242" s="26" t="n">
        <v>0</v>
      </c>
      <c r="L1242" s="26" t="n">
        <v>0</v>
      </c>
      <c r="M1242" s="26" t="n">
        <v>0</v>
      </c>
    </row>
    <row r="1243" customFormat="false" ht="15" hidden="false" customHeight="false" outlineLevel="0" collapsed="false">
      <c r="A1243" s="7" t="s">
        <v>85</v>
      </c>
      <c r="B1243" s="7" t="n">
        <v>4418012</v>
      </c>
      <c r="C1243" s="7" t="s">
        <v>707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0</v>
      </c>
      <c r="J1243" s="26" t="n">
        <v>0</v>
      </c>
      <c r="K1243" s="26" t="n">
        <v>0</v>
      </c>
      <c r="L1243" s="26" t="n">
        <v>0</v>
      </c>
      <c r="M1243" s="26" t="n">
        <v>0</v>
      </c>
    </row>
    <row r="1244" customFormat="false" ht="15" hidden="false" customHeight="false" outlineLevel="0" collapsed="false">
      <c r="A1244" s="7" t="s">
        <v>87</v>
      </c>
      <c r="B1244" s="7" t="n">
        <v>4418012</v>
      </c>
      <c r="C1244" s="7" t="s">
        <v>707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0</v>
      </c>
      <c r="L1244" s="26" t="n">
        <v>0</v>
      </c>
      <c r="M1244" s="26" t="n">
        <v>0</v>
      </c>
    </row>
    <row r="1245" customFormat="false" ht="15" hidden="false" customHeight="false" outlineLevel="0" collapsed="false">
      <c r="A1245" s="7" t="s">
        <v>85</v>
      </c>
      <c r="B1245" s="7" t="n">
        <v>4418015</v>
      </c>
      <c r="C1245" s="7" t="s">
        <v>708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0</v>
      </c>
      <c r="L1245" s="26" t="n">
        <v>0</v>
      </c>
      <c r="M1245" s="26" t="n">
        <v>0</v>
      </c>
    </row>
    <row r="1246" customFormat="false" ht="15" hidden="false" customHeight="false" outlineLevel="0" collapsed="false">
      <c r="A1246" s="7" t="s">
        <v>87</v>
      </c>
      <c r="B1246" s="7" t="n">
        <v>4418015</v>
      </c>
      <c r="C1246" s="7" t="s">
        <v>708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0</v>
      </c>
      <c r="L1246" s="26" t="n">
        <v>0</v>
      </c>
      <c r="M1246" s="26" t="n">
        <v>0</v>
      </c>
    </row>
    <row r="1247" customFormat="false" ht="15" hidden="false" customHeight="false" outlineLevel="0" collapsed="false">
      <c r="A1247" s="7" t="s">
        <v>85</v>
      </c>
      <c r="B1247" s="7" t="n">
        <v>4418007</v>
      </c>
      <c r="C1247" s="7" t="s">
        <v>709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0</v>
      </c>
      <c r="L1247" s="26" t="n">
        <v>0</v>
      </c>
      <c r="M1247" s="26" t="n">
        <v>0</v>
      </c>
    </row>
    <row r="1248" customFormat="false" ht="15" hidden="false" customHeight="false" outlineLevel="0" collapsed="false">
      <c r="A1248" s="7" t="s">
        <v>87</v>
      </c>
      <c r="B1248" s="7" t="n">
        <v>4418007</v>
      </c>
      <c r="C1248" s="7" t="s">
        <v>709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0</v>
      </c>
      <c r="L1248" s="26" t="n">
        <v>0</v>
      </c>
      <c r="M1248" s="26" t="n">
        <v>0</v>
      </c>
    </row>
    <row r="1249" customFormat="false" ht="15" hidden="false" customHeight="false" outlineLevel="0" collapsed="false">
      <c r="A1249" s="7" t="s">
        <v>85</v>
      </c>
      <c r="B1249" s="7" t="n">
        <v>4418006</v>
      </c>
      <c r="C1249" s="7" t="s">
        <v>710</v>
      </c>
      <c r="D1249" s="26" t="n">
        <v>1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0</v>
      </c>
      <c r="J1249" s="26" t="n">
        <v>0</v>
      </c>
      <c r="K1249" s="26" t="n">
        <v>0</v>
      </c>
      <c r="L1249" s="26" t="n">
        <v>0</v>
      </c>
      <c r="M1249" s="26" t="n">
        <v>0</v>
      </c>
    </row>
    <row r="1250" customFormat="false" ht="15" hidden="false" customHeight="false" outlineLevel="0" collapsed="false">
      <c r="A1250" s="7" t="s">
        <v>87</v>
      </c>
      <c r="B1250" s="7" t="n">
        <v>4418006</v>
      </c>
      <c r="C1250" s="7" t="s">
        <v>710</v>
      </c>
      <c r="D1250" s="26" t="n">
        <v>66.5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0</v>
      </c>
      <c r="J1250" s="26" t="n">
        <v>0</v>
      </c>
      <c r="K1250" s="26" t="n">
        <v>0</v>
      </c>
      <c r="L1250" s="26" t="n">
        <v>0</v>
      </c>
      <c r="M1250" s="26" t="n">
        <v>0</v>
      </c>
    </row>
    <row r="1251" customFormat="false" ht="15" hidden="false" customHeight="false" outlineLevel="0" collapsed="false">
      <c r="A1251" s="7" t="s">
        <v>85</v>
      </c>
      <c r="B1251" s="7" t="n">
        <v>4418005</v>
      </c>
      <c r="C1251" s="7" t="s">
        <v>711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0</v>
      </c>
      <c r="J1251" s="26" t="n">
        <v>0</v>
      </c>
      <c r="K1251" s="26" t="n">
        <v>0</v>
      </c>
      <c r="L1251" s="26" t="n">
        <v>0</v>
      </c>
      <c r="M1251" s="26" t="n">
        <v>0</v>
      </c>
    </row>
    <row r="1252" customFormat="false" ht="15" hidden="false" customHeight="false" outlineLevel="0" collapsed="false">
      <c r="A1252" s="7" t="s">
        <v>87</v>
      </c>
      <c r="B1252" s="7" t="n">
        <v>4418005</v>
      </c>
      <c r="C1252" s="7" t="s">
        <v>711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0</v>
      </c>
      <c r="J1252" s="26" t="n">
        <v>0</v>
      </c>
      <c r="K1252" s="26" t="n">
        <v>0</v>
      </c>
      <c r="L1252" s="26" t="n">
        <v>0</v>
      </c>
      <c r="M1252" s="26" t="n">
        <v>0</v>
      </c>
    </row>
    <row r="1253" customFormat="false" ht="15" hidden="false" customHeight="false" outlineLevel="0" collapsed="false">
      <c r="A1253" s="7" t="s">
        <v>85</v>
      </c>
      <c r="B1253" s="7" t="n">
        <v>4419003</v>
      </c>
      <c r="C1253" s="7" t="s">
        <v>712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0</v>
      </c>
      <c r="J1253" s="26" t="n">
        <v>0</v>
      </c>
      <c r="K1253" s="26" t="n">
        <v>0</v>
      </c>
      <c r="L1253" s="26" t="n">
        <v>0</v>
      </c>
      <c r="M1253" s="26" t="n">
        <v>-5</v>
      </c>
    </row>
    <row r="1254" customFormat="false" ht="15" hidden="false" customHeight="false" outlineLevel="0" collapsed="false">
      <c r="A1254" s="7" t="s">
        <v>87</v>
      </c>
      <c r="B1254" s="7" t="n">
        <v>4419003</v>
      </c>
      <c r="C1254" s="7" t="s">
        <v>712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0</v>
      </c>
      <c r="J1254" s="26" t="n">
        <v>0</v>
      </c>
      <c r="K1254" s="26" t="n">
        <v>0</v>
      </c>
      <c r="L1254" s="26" t="n">
        <v>0</v>
      </c>
      <c r="M1254" s="26" t="n">
        <v>-165.6</v>
      </c>
    </row>
    <row r="1255" customFormat="false" ht="15" hidden="false" customHeight="false" outlineLevel="0" collapsed="false">
      <c r="A1255" s="7" t="s">
        <v>85</v>
      </c>
      <c r="B1255" s="7" t="n">
        <v>4419002</v>
      </c>
      <c r="C1255" s="7" t="s">
        <v>713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0</v>
      </c>
      <c r="J1255" s="26" t="n">
        <v>0</v>
      </c>
      <c r="K1255" s="26" t="n">
        <v>0</v>
      </c>
      <c r="L1255" s="26" t="n">
        <v>0</v>
      </c>
      <c r="M1255" s="26" t="n">
        <v>-1</v>
      </c>
    </row>
    <row r="1256" customFormat="false" ht="15" hidden="false" customHeight="false" outlineLevel="0" collapsed="false">
      <c r="A1256" s="7" t="s">
        <v>87</v>
      </c>
      <c r="B1256" s="7" t="n">
        <v>4419002</v>
      </c>
      <c r="C1256" s="7" t="s">
        <v>713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0</v>
      </c>
      <c r="L1256" s="26" t="n">
        <v>0</v>
      </c>
      <c r="M1256" s="26" t="n">
        <v>-29.7</v>
      </c>
    </row>
    <row r="1257" customFormat="false" ht="15" hidden="false" customHeight="false" outlineLevel="0" collapsed="false">
      <c r="A1257" s="7" t="s">
        <v>85</v>
      </c>
      <c r="B1257" s="7" t="n">
        <v>4419004</v>
      </c>
      <c r="C1257" s="7" t="s">
        <v>714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0</v>
      </c>
      <c r="L1257" s="26" t="n">
        <v>0</v>
      </c>
      <c r="M1257" s="26" t="n">
        <v>-1</v>
      </c>
    </row>
    <row r="1258" customFormat="false" ht="15" hidden="false" customHeight="false" outlineLevel="0" collapsed="false">
      <c r="A1258" s="7" t="s">
        <v>87</v>
      </c>
      <c r="B1258" s="7" t="n">
        <v>4419004</v>
      </c>
      <c r="C1258" s="7" t="s">
        <v>714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  <c r="L1258" s="26" t="n">
        <v>0</v>
      </c>
      <c r="M1258" s="26" t="n">
        <v>-29.7</v>
      </c>
    </row>
    <row r="1259" customFormat="false" ht="15" hidden="false" customHeight="false" outlineLevel="0" collapsed="false">
      <c r="A1259" s="7" t="s">
        <v>85</v>
      </c>
      <c r="B1259" s="7" t="n">
        <v>4419005</v>
      </c>
      <c r="C1259" s="7" t="s">
        <v>715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0</v>
      </c>
      <c r="J1259" s="26" t="n">
        <v>0</v>
      </c>
      <c r="K1259" s="26" t="n">
        <v>0</v>
      </c>
      <c r="L1259" s="26" t="n">
        <v>0</v>
      </c>
      <c r="M1259" s="26" t="n">
        <v>0</v>
      </c>
    </row>
    <row r="1260" customFormat="false" ht="15" hidden="false" customHeight="false" outlineLevel="0" collapsed="false">
      <c r="A1260" s="7" t="s">
        <v>87</v>
      </c>
      <c r="B1260" s="7" t="n">
        <v>4419005</v>
      </c>
      <c r="C1260" s="7" t="s">
        <v>715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0</v>
      </c>
      <c r="J1260" s="26" t="n">
        <v>0</v>
      </c>
      <c r="K1260" s="26" t="n">
        <v>0</v>
      </c>
      <c r="L1260" s="26" t="n">
        <v>0</v>
      </c>
      <c r="M1260" s="26" t="n">
        <v>0</v>
      </c>
    </row>
    <row r="1261" customFormat="false" ht="15" hidden="false" customHeight="false" outlineLevel="0" collapsed="false">
      <c r="A1261" s="7" t="s">
        <v>85</v>
      </c>
      <c r="B1261" s="7" t="n">
        <v>4409003</v>
      </c>
      <c r="C1261" s="7" t="s">
        <v>716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-1</v>
      </c>
      <c r="J1261" s="26" t="n">
        <v>0</v>
      </c>
      <c r="K1261" s="26" t="n">
        <v>0</v>
      </c>
      <c r="L1261" s="26" t="n">
        <v>0</v>
      </c>
      <c r="M1261" s="26" t="n">
        <v>0</v>
      </c>
    </row>
    <row r="1262" customFormat="false" ht="15" hidden="false" customHeight="false" outlineLevel="0" collapsed="false">
      <c r="A1262" s="7" t="s">
        <v>87</v>
      </c>
      <c r="B1262" s="7" t="n">
        <v>4409003</v>
      </c>
      <c r="C1262" s="7" t="s">
        <v>716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-20.8</v>
      </c>
      <c r="J1262" s="26" t="n">
        <v>0</v>
      </c>
      <c r="K1262" s="26" t="n">
        <v>0</v>
      </c>
      <c r="L1262" s="26" t="n">
        <v>0</v>
      </c>
      <c r="M1262" s="26" t="n">
        <v>0</v>
      </c>
    </row>
    <row r="1263" customFormat="false" ht="15" hidden="false" customHeight="false" outlineLevel="0" collapsed="false">
      <c r="A1263" s="7" t="s">
        <v>85</v>
      </c>
      <c r="B1263" s="7" t="n">
        <v>4403009</v>
      </c>
      <c r="C1263" s="7" t="s">
        <v>717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0</v>
      </c>
      <c r="J1263" s="26" t="n">
        <v>0</v>
      </c>
      <c r="K1263" s="26" t="n">
        <v>0</v>
      </c>
      <c r="L1263" s="26" t="n">
        <v>0</v>
      </c>
      <c r="M1263" s="26" t="n">
        <v>0</v>
      </c>
    </row>
    <row r="1264" customFormat="false" ht="15" hidden="false" customHeight="false" outlineLevel="0" collapsed="false">
      <c r="A1264" s="7" t="s">
        <v>87</v>
      </c>
      <c r="B1264" s="7" t="n">
        <v>4403009</v>
      </c>
      <c r="C1264" s="7" t="s">
        <v>717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0</v>
      </c>
      <c r="J1264" s="26" t="n">
        <v>0</v>
      </c>
      <c r="K1264" s="26" t="n">
        <v>0</v>
      </c>
      <c r="L1264" s="26" t="n">
        <v>0</v>
      </c>
      <c r="M1264" s="26" t="n">
        <v>0</v>
      </c>
    </row>
    <row r="1265" customFormat="false" ht="15" hidden="false" customHeight="false" outlineLevel="0" collapsed="false">
      <c r="A1265" s="7" t="s">
        <v>85</v>
      </c>
      <c r="B1265" s="7" t="n">
        <v>4419010</v>
      </c>
      <c r="C1265" s="7" t="s">
        <v>718</v>
      </c>
      <c r="D1265" s="26" t="n">
        <v>-17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0</v>
      </c>
      <c r="J1265" s="26" t="n">
        <v>0</v>
      </c>
      <c r="K1265" s="26" t="n">
        <v>0</v>
      </c>
      <c r="L1265" s="26" t="n">
        <v>0</v>
      </c>
      <c r="M1265" s="26" t="n">
        <v>0</v>
      </c>
    </row>
    <row r="1266" customFormat="false" ht="15" hidden="false" customHeight="false" outlineLevel="0" collapsed="false">
      <c r="A1266" s="7" t="s">
        <v>87</v>
      </c>
      <c r="B1266" s="7" t="n">
        <v>4419010</v>
      </c>
      <c r="C1266" s="7" t="s">
        <v>718</v>
      </c>
      <c r="D1266" s="26" t="n">
        <v>-768.2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0</v>
      </c>
      <c r="J1266" s="26" t="n">
        <v>0</v>
      </c>
      <c r="K1266" s="26" t="n">
        <v>0</v>
      </c>
      <c r="L1266" s="26" t="n">
        <v>0</v>
      </c>
      <c r="M1266" s="26" t="n">
        <v>0</v>
      </c>
    </row>
    <row r="1267" customFormat="false" ht="15" hidden="false" customHeight="false" outlineLevel="0" collapsed="false">
      <c r="A1267" s="7" t="s">
        <v>85</v>
      </c>
      <c r="B1267" s="7" t="n">
        <v>4404000</v>
      </c>
      <c r="C1267" s="7" t="s">
        <v>719</v>
      </c>
      <c r="D1267" s="26" t="n">
        <v>-5</v>
      </c>
      <c r="E1267" s="26" t="n">
        <v>0</v>
      </c>
      <c r="F1267" s="26" t="n">
        <v>0</v>
      </c>
      <c r="G1267" s="26" t="n">
        <v>0</v>
      </c>
      <c r="H1267" s="26" t="n">
        <v>-2</v>
      </c>
      <c r="I1267" s="26" t="n">
        <v>3</v>
      </c>
      <c r="J1267" s="26" t="n">
        <v>0</v>
      </c>
      <c r="K1267" s="26" t="n">
        <v>0</v>
      </c>
      <c r="L1267" s="26" t="n">
        <v>0</v>
      </c>
      <c r="M1267" s="26" t="n">
        <v>-1</v>
      </c>
    </row>
    <row r="1268" customFormat="false" ht="15" hidden="false" customHeight="false" outlineLevel="0" collapsed="false">
      <c r="A1268" s="7" t="s">
        <v>87</v>
      </c>
      <c r="B1268" s="7" t="n">
        <v>4404000</v>
      </c>
      <c r="C1268" s="7" t="s">
        <v>719</v>
      </c>
      <c r="D1268" s="26" t="n">
        <v>-136.8</v>
      </c>
      <c r="E1268" s="26" t="n">
        <v>0</v>
      </c>
      <c r="F1268" s="26" t="n">
        <v>0</v>
      </c>
      <c r="G1268" s="26" t="n">
        <v>0</v>
      </c>
      <c r="H1268" s="26" t="n">
        <v>-47.1</v>
      </c>
      <c r="I1268" s="26" t="n">
        <v>76.1</v>
      </c>
      <c r="J1268" s="26" t="n">
        <v>0</v>
      </c>
      <c r="K1268" s="26" t="n">
        <v>0</v>
      </c>
      <c r="L1268" s="26" t="n">
        <v>0</v>
      </c>
      <c r="M1268" s="26" t="n">
        <v>-36.5</v>
      </c>
    </row>
    <row r="1269" customFormat="false" ht="15" hidden="false" customHeight="false" outlineLevel="0" collapsed="false">
      <c r="A1269" s="7" t="s">
        <v>85</v>
      </c>
      <c r="B1269" s="7" t="n">
        <v>4422003</v>
      </c>
      <c r="C1269" s="7" t="s">
        <v>720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-3</v>
      </c>
      <c r="I1269" s="26" t="n">
        <v>0</v>
      </c>
      <c r="J1269" s="26" t="n">
        <v>0</v>
      </c>
      <c r="K1269" s="26" t="n">
        <v>0</v>
      </c>
      <c r="L1269" s="26" t="n">
        <v>0</v>
      </c>
      <c r="M1269" s="26" t="n">
        <v>-1</v>
      </c>
    </row>
    <row r="1270" customFormat="false" ht="15" hidden="false" customHeight="false" outlineLevel="0" collapsed="false">
      <c r="A1270" s="7" t="s">
        <v>87</v>
      </c>
      <c r="B1270" s="7" t="n">
        <v>4422003</v>
      </c>
      <c r="C1270" s="7" t="s">
        <v>720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-70.7</v>
      </c>
      <c r="I1270" s="26" t="n">
        <v>0</v>
      </c>
      <c r="J1270" s="26" t="n">
        <v>0</v>
      </c>
      <c r="K1270" s="26" t="n">
        <v>0</v>
      </c>
      <c r="L1270" s="26" t="n">
        <v>0</v>
      </c>
      <c r="M1270" s="26" t="n">
        <v>-36.5</v>
      </c>
    </row>
    <row r="1271" customFormat="false" ht="15" hidden="false" customHeight="false" outlineLevel="0" collapsed="false">
      <c r="A1271" s="7" t="s">
        <v>85</v>
      </c>
      <c r="B1271" s="7" t="n">
        <v>4409002</v>
      </c>
      <c r="C1271" s="7" t="s">
        <v>721</v>
      </c>
      <c r="D1271" s="26" t="n">
        <v>-15</v>
      </c>
      <c r="E1271" s="26" t="n">
        <v>0</v>
      </c>
      <c r="F1271" s="26" t="n">
        <v>-2</v>
      </c>
      <c r="G1271" s="26" t="n">
        <v>-2</v>
      </c>
      <c r="H1271" s="26" t="n">
        <v>-8</v>
      </c>
      <c r="I1271" s="26" t="n">
        <v>-15</v>
      </c>
      <c r="J1271" s="26" t="n">
        <v>0</v>
      </c>
      <c r="K1271" s="26" t="n">
        <v>0</v>
      </c>
      <c r="L1271" s="26" t="n">
        <v>0</v>
      </c>
      <c r="M1271" s="26" t="n">
        <v>-2</v>
      </c>
    </row>
    <row r="1272" customFormat="false" ht="15" hidden="false" customHeight="false" outlineLevel="0" collapsed="false">
      <c r="A1272" s="7" t="s">
        <v>87</v>
      </c>
      <c r="B1272" s="7" t="n">
        <v>4409002</v>
      </c>
      <c r="C1272" s="7" t="s">
        <v>721</v>
      </c>
      <c r="D1272" s="26" t="n">
        <v>-513.4</v>
      </c>
      <c r="E1272" s="26" t="n">
        <v>0</v>
      </c>
      <c r="F1272" s="26" t="n">
        <v>-141.6</v>
      </c>
      <c r="G1272" s="26" t="n">
        <v>-61.4</v>
      </c>
      <c r="H1272" s="26" t="n">
        <v>-235.1</v>
      </c>
      <c r="I1272" s="26" t="n">
        <v>-508</v>
      </c>
      <c r="J1272" s="26" t="n">
        <v>0</v>
      </c>
      <c r="K1272" s="26" t="n">
        <v>0</v>
      </c>
      <c r="L1272" s="26" t="n">
        <v>0</v>
      </c>
      <c r="M1272" s="26" t="n">
        <v>-94.4</v>
      </c>
    </row>
    <row r="1273" customFormat="false" ht="15" hidden="false" customHeight="false" outlineLevel="0" collapsed="false">
      <c r="A1273" s="7" t="s">
        <v>85</v>
      </c>
      <c r="B1273" s="7" t="n">
        <v>4413002</v>
      </c>
      <c r="C1273" s="7" t="s">
        <v>722</v>
      </c>
      <c r="D1273" s="26" t="n">
        <v>14</v>
      </c>
      <c r="E1273" s="26" t="n">
        <v>0</v>
      </c>
      <c r="F1273" s="26" t="n">
        <v>0</v>
      </c>
      <c r="G1273" s="26" t="n">
        <v>0</v>
      </c>
      <c r="H1273" s="26" t="n">
        <v>30</v>
      </c>
      <c r="I1273" s="26" t="n">
        <v>3</v>
      </c>
      <c r="J1273" s="26" t="n">
        <v>0</v>
      </c>
      <c r="K1273" s="26" t="n">
        <v>0</v>
      </c>
      <c r="L1273" s="26" t="n">
        <v>0</v>
      </c>
      <c r="M1273" s="26" t="n">
        <v>0</v>
      </c>
    </row>
    <row r="1274" customFormat="false" ht="15" hidden="false" customHeight="false" outlineLevel="0" collapsed="false">
      <c r="A1274" s="7" t="s">
        <v>87</v>
      </c>
      <c r="B1274" s="7" t="n">
        <v>4413002</v>
      </c>
      <c r="C1274" s="7" t="s">
        <v>722</v>
      </c>
      <c r="D1274" s="26" t="n">
        <v>917</v>
      </c>
      <c r="E1274" s="26" t="n">
        <v>0</v>
      </c>
      <c r="F1274" s="26" t="n">
        <v>0</v>
      </c>
      <c r="G1274" s="26" t="n">
        <v>0</v>
      </c>
      <c r="H1274" s="26" t="n">
        <v>1755.2</v>
      </c>
      <c r="I1274" s="26" t="n">
        <v>185.2</v>
      </c>
      <c r="J1274" s="26" t="n">
        <v>0</v>
      </c>
      <c r="K1274" s="26" t="n">
        <v>0</v>
      </c>
      <c r="L1274" s="26" t="n">
        <v>0</v>
      </c>
      <c r="M1274" s="26" t="n">
        <v>0</v>
      </c>
    </row>
    <row r="1275" customFormat="false" ht="15" hidden="false" customHeight="false" outlineLevel="0" collapsed="false">
      <c r="A1275" s="7" t="s">
        <v>85</v>
      </c>
      <c r="B1275" s="7" t="n">
        <v>4413003</v>
      </c>
      <c r="C1275" s="7" t="s">
        <v>723</v>
      </c>
      <c r="D1275" s="26" t="n">
        <v>6</v>
      </c>
      <c r="E1275" s="26" t="n">
        <v>0</v>
      </c>
      <c r="F1275" s="26" t="n">
        <v>0</v>
      </c>
      <c r="G1275" s="26" t="n">
        <v>0</v>
      </c>
      <c r="H1275" s="26" t="n">
        <v>31</v>
      </c>
      <c r="I1275" s="26" t="n">
        <v>15</v>
      </c>
      <c r="J1275" s="26" t="n">
        <v>0</v>
      </c>
      <c r="K1275" s="26" t="n">
        <v>0</v>
      </c>
      <c r="L1275" s="26" t="n">
        <v>0</v>
      </c>
      <c r="M1275" s="26" t="n">
        <v>0</v>
      </c>
    </row>
    <row r="1276" customFormat="false" ht="15" hidden="false" customHeight="false" outlineLevel="0" collapsed="false">
      <c r="A1276" s="7" t="s">
        <v>87</v>
      </c>
      <c r="B1276" s="7" t="n">
        <v>4413003</v>
      </c>
      <c r="C1276" s="7" t="s">
        <v>723</v>
      </c>
      <c r="D1276" s="26" t="n">
        <v>373.1</v>
      </c>
      <c r="E1276" s="26" t="n">
        <v>0</v>
      </c>
      <c r="F1276" s="26" t="n">
        <v>0</v>
      </c>
      <c r="G1276" s="26" t="n">
        <v>0</v>
      </c>
      <c r="H1276" s="26" t="n">
        <v>1802.1</v>
      </c>
      <c r="I1276" s="26" t="n">
        <v>820.2</v>
      </c>
      <c r="J1276" s="26" t="n">
        <v>0</v>
      </c>
      <c r="K1276" s="26" t="n">
        <v>0</v>
      </c>
      <c r="L1276" s="26" t="n">
        <v>0</v>
      </c>
      <c r="M1276" s="26" t="n">
        <v>0</v>
      </c>
    </row>
    <row r="1277" customFormat="false" ht="15" hidden="false" customHeight="false" outlineLevel="0" collapsed="false">
      <c r="A1277" s="7" t="s">
        <v>85</v>
      </c>
      <c r="B1277" s="7" t="n">
        <v>4413000</v>
      </c>
      <c r="C1277" s="7" t="s">
        <v>724</v>
      </c>
      <c r="D1277" s="26" t="n">
        <v>6</v>
      </c>
      <c r="E1277" s="26" t="n">
        <v>0</v>
      </c>
      <c r="F1277" s="26" t="n">
        <v>0</v>
      </c>
      <c r="G1277" s="26" t="n">
        <v>0</v>
      </c>
      <c r="H1277" s="26" t="n">
        <v>26</v>
      </c>
      <c r="I1277" s="26" t="n">
        <v>9</v>
      </c>
      <c r="J1277" s="26" t="n">
        <v>0</v>
      </c>
      <c r="K1277" s="26" t="n">
        <v>0</v>
      </c>
      <c r="L1277" s="26" t="n">
        <v>0</v>
      </c>
      <c r="M1277" s="26" t="n">
        <v>0</v>
      </c>
    </row>
    <row r="1278" customFormat="false" ht="15" hidden="false" customHeight="false" outlineLevel="0" collapsed="false">
      <c r="A1278" s="7" t="s">
        <v>87</v>
      </c>
      <c r="B1278" s="7" t="n">
        <v>4413000</v>
      </c>
      <c r="C1278" s="7" t="s">
        <v>724</v>
      </c>
      <c r="D1278" s="26" t="n">
        <v>388.7</v>
      </c>
      <c r="E1278" s="26" t="n">
        <v>0</v>
      </c>
      <c r="F1278" s="26" t="n">
        <v>0</v>
      </c>
      <c r="G1278" s="26" t="n">
        <v>0</v>
      </c>
      <c r="H1278" s="26" t="n">
        <v>1507.5</v>
      </c>
      <c r="I1278" s="26" t="n">
        <v>555.6</v>
      </c>
      <c r="J1278" s="26" t="n">
        <v>0</v>
      </c>
      <c r="K1278" s="26" t="n">
        <v>0</v>
      </c>
      <c r="L1278" s="26" t="n">
        <v>0</v>
      </c>
      <c r="M1278" s="26" t="n">
        <v>0</v>
      </c>
    </row>
    <row r="1279" customFormat="false" ht="15" hidden="false" customHeight="false" outlineLevel="0" collapsed="false">
      <c r="A1279" s="7" t="s">
        <v>85</v>
      </c>
      <c r="B1279" s="7" t="n">
        <v>4413004</v>
      </c>
      <c r="C1279" s="7" t="s">
        <v>725</v>
      </c>
      <c r="D1279" s="26" t="n">
        <v>11</v>
      </c>
      <c r="E1279" s="26" t="n">
        <v>0</v>
      </c>
      <c r="F1279" s="26" t="n">
        <v>0</v>
      </c>
      <c r="G1279" s="26" t="n">
        <v>0</v>
      </c>
      <c r="H1279" s="26" t="n">
        <v>11</v>
      </c>
      <c r="I1279" s="26" t="n">
        <v>11</v>
      </c>
      <c r="J1279" s="26" t="n">
        <v>0</v>
      </c>
      <c r="K1279" s="26" t="n">
        <v>0</v>
      </c>
      <c r="L1279" s="26" t="n">
        <v>0</v>
      </c>
      <c r="M1279" s="26" t="n">
        <v>0</v>
      </c>
    </row>
    <row r="1280" customFormat="false" ht="15" hidden="false" customHeight="false" outlineLevel="0" collapsed="false">
      <c r="A1280" s="7" t="s">
        <v>87</v>
      </c>
      <c r="B1280" s="7" t="n">
        <v>4413004</v>
      </c>
      <c r="C1280" s="7" t="s">
        <v>725</v>
      </c>
      <c r="D1280" s="26" t="n">
        <v>711.5</v>
      </c>
      <c r="E1280" s="26" t="n">
        <v>0</v>
      </c>
      <c r="F1280" s="26" t="n">
        <v>0</v>
      </c>
      <c r="G1280" s="26" t="n">
        <v>0</v>
      </c>
      <c r="H1280" s="26" t="n">
        <v>659.2</v>
      </c>
      <c r="I1280" s="26" t="n">
        <v>683.4</v>
      </c>
      <c r="J1280" s="26" t="n">
        <v>0</v>
      </c>
      <c r="K1280" s="26" t="n">
        <v>0</v>
      </c>
      <c r="L1280" s="26" t="n">
        <v>0</v>
      </c>
      <c r="M1280" s="26" t="n">
        <v>0</v>
      </c>
    </row>
    <row r="1281" customFormat="false" ht="15" hidden="false" customHeight="false" outlineLevel="0" collapsed="false">
      <c r="A1281" s="7" t="s">
        <v>85</v>
      </c>
      <c r="B1281" s="7" t="n">
        <v>4413005</v>
      </c>
      <c r="C1281" s="7" t="s">
        <v>726</v>
      </c>
      <c r="D1281" s="26" t="n">
        <v>2</v>
      </c>
      <c r="E1281" s="26" t="n">
        <v>0</v>
      </c>
      <c r="F1281" s="26" t="n">
        <v>0</v>
      </c>
      <c r="G1281" s="26" t="n">
        <v>0</v>
      </c>
      <c r="H1281" s="26" t="n">
        <v>-1</v>
      </c>
      <c r="I1281" s="26" t="n">
        <v>1</v>
      </c>
      <c r="J1281" s="26" t="n">
        <v>0</v>
      </c>
      <c r="K1281" s="26" t="n">
        <v>0</v>
      </c>
      <c r="L1281" s="26" t="n">
        <v>0</v>
      </c>
      <c r="M1281" s="26" t="n">
        <v>0</v>
      </c>
    </row>
    <row r="1282" customFormat="false" ht="15" hidden="false" customHeight="false" outlineLevel="0" collapsed="false">
      <c r="A1282" s="7" t="s">
        <v>87</v>
      </c>
      <c r="B1282" s="7" t="n">
        <v>4413005</v>
      </c>
      <c r="C1282" s="7" t="s">
        <v>726</v>
      </c>
      <c r="D1282" s="26" t="n">
        <v>130.4</v>
      </c>
      <c r="E1282" s="26" t="n">
        <v>0</v>
      </c>
      <c r="F1282" s="26" t="n">
        <v>0</v>
      </c>
      <c r="G1282" s="26" t="n">
        <v>0</v>
      </c>
      <c r="H1282" s="26" t="n">
        <v>-54.5</v>
      </c>
      <c r="I1282" s="26" t="n">
        <v>61.7</v>
      </c>
      <c r="J1282" s="26" t="n">
        <v>0</v>
      </c>
      <c r="K1282" s="26" t="n">
        <v>0</v>
      </c>
      <c r="L1282" s="26" t="n">
        <v>0</v>
      </c>
      <c r="M1282" s="26" t="n">
        <v>0</v>
      </c>
    </row>
    <row r="1283" customFormat="false" ht="15" hidden="false" customHeight="false" outlineLevel="0" collapsed="false">
      <c r="A1283" s="7" t="s">
        <v>85</v>
      </c>
      <c r="B1283" s="7" t="n">
        <v>4415011</v>
      </c>
      <c r="C1283" s="7" t="s">
        <v>727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0</v>
      </c>
      <c r="J1283" s="26" t="n">
        <v>0</v>
      </c>
      <c r="K1283" s="26" t="n">
        <v>0</v>
      </c>
      <c r="L1283" s="26" t="n">
        <v>0</v>
      </c>
      <c r="M1283" s="26" t="n">
        <v>0</v>
      </c>
    </row>
    <row r="1284" customFormat="false" ht="15" hidden="false" customHeight="false" outlineLevel="0" collapsed="false">
      <c r="A1284" s="7" t="s">
        <v>87</v>
      </c>
      <c r="B1284" s="7" t="n">
        <v>4415011</v>
      </c>
      <c r="C1284" s="7" t="s">
        <v>727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0</v>
      </c>
      <c r="J1284" s="26" t="n">
        <v>0</v>
      </c>
      <c r="K1284" s="26" t="n">
        <v>0</v>
      </c>
      <c r="L1284" s="26" t="n">
        <v>0</v>
      </c>
      <c r="M1284" s="26" t="n">
        <v>0</v>
      </c>
    </row>
    <row r="1285" customFormat="false" ht="15" hidden="false" customHeight="false" outlineLevel="0" collapsed="false">
      <c r="A1285" s="7" t="s">
        <v>85</v>
      </c>
      <c r="B1285" s="7" t="n">
        <v>4415012</v>
      </c>
      <c r="C1285" s="7" t="s">
        <v>728</v>
      </c>
      <c r="D1285" s="26" t="n">
        <v>1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0</v>
      </c>
      <c r="J1285" s="26" t="n">
        <v>0</v>
      </c>
      <c r="K1285" s="26" t="n">
        <v>0</v>
      </c>
      <c r="L1285" s="26" t="n">
        <v>0</v>
      </c>
      <c r="M1285" s="26" t="n">
        <v>0</v>
      </c>
    </row>
    <row r="1286" customFormat="false" ht="15" hidden="false" customHeight="false" outlineLevel="0" collapsed="false">
      <c r="A1286" s="7" t="s">
        <v>87</v>
      </c>
      <c r="B1286" s="7" t="n">
        <v>4415012</v>
      </c>
      <c r="C1286" s="7" t="s">
        <v>728</v>
      </c>
      <c r="D1286" s="26" t="n">
        <v>198.6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0</v>
      </c>
      <c r="J1286" s="26" t="n">
        <v>0</v>
      </c>
      <c r="K1286" s="26" t="n">
        <v>0</v>
      </c>
      <c r="L1286" s="26" t="n">
        <v>0</v>
      </c>
      <c r="M1286" s="26" t="n">
        <v>0</v>
      </c>
    </row>
    <row r="1287" customFormat="false" ht="15" hidden="false" customHeight="false" outlineLevel="0" collapsed="false">
      <c r="A1287" s="7" t="s">
        <v>85</v>
      </c>
      <c r="B1287" s="7" t="n">
        <v>4415013</v>
      </c>
      <c r="C1287" s="7" t="s">
        <v>729</v>
      </c>
      <c r="D1287" s="26" t="n">
        <v>0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0</v>
      </c>
      <c r="J1287" s="26" t="n">
        <v>0</v>
      </c>
      <c r="K1287" s="26" t="n">
        <v>0</v>
      </c>
      <c r="L1287" s="26" t="n">
        <v>0</v>
      </c>
      <c r="M1287" s="26" t="n">
        <v>0</v>
      </c>
    </row>
    <row r="1288" customFormat="false" ht="15" hidden="false" customHeight="false" outlineLevel="0" collapsed="false">
      <c r="A1288" s="7" t="s">
        <v>87</v>
      </c>
      <c r="B1288" s="7" t="n">
        <v>4415013</v>
      </c>
      <c r="C1288" s="7" t="s">
        <v>729</v>
      </c>
      <c r="D1288" s="26" t="n">
        <v>0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0</v>
      </c>
      <c r="J1288" s="26" t="n">
        <v>0</v>
      </c>
      <c r="K1288" s="26" t="n">
        <v>0</v>
      </c>
      <c r="L1288" s="26" t="n">
        <v>0</v>
      </c>
      <c r="M1288" s="26" t="n">
        <v>0</v>
      </c>
    </row>
    <row r="1289" customFormat="false" ht="15" hidden="false" customHeight="false" outlineLevel="0" collapsed="false">
      <c r="A1289" s="7" t="s">
        <v>85</v>
      </c>
      <c r="B1289" s="7" t="n">
        <v>4413347</v>
      </c>
      <c r="C1289" s="7" t="s">
        <v>730</v>
      </c>
      <c r="D1289" s="26" t="n">
        <v>1</v>
      </c>
      <c r="E1289" s="26" t="n">
        <v>0</v>
      </c>
      <c r="F1289" s="26" t="n">
        <v>0</v>
      </c>
      <c r="G1289" s="26" t="n">
        <v>0</v>
      </c>
      <c r="H1289" s="26" t="n">
        <v>-1</v>
      </c>
      <c r="I1289" s="26" t="n">
        <v>0</v>
      </c>
      <c r="J1289" s="26" t="n">
        <v>0</v>
      </c>
      <c r="K1289" s="26" t="n">
        <v>0</v>
      </c>
      <c r="L1289" s="26" t="n">
        <v>0</v>
      </c>
      <c r="M1289" s="26" t="n">
        <v>0</v>
      </c>
    </row>
    <row r="1290" customFormat="false" ht="15" hidden="false" customHeight="false" outlineLevel="0" collapsed="false">
      <c r="A1290" s="7" t="s">
        <v>87</v>
      </c>
      <c r="B1290" s="7" t="n">
        <v>4413347</v>
      </c>
      <c r="C1290" s="7" t="s">
        <v>730</v>
      </c>
      <c r="D1290" s="26" t="n">
        <v>127.9</v>
      </c>
      <c r="E1290" s="26" t="n">
        <v>0</v>
      </c>
      <c r="F1290" s="26" t="n">
        <v>0</v>
      </c>
      <c r="G1290" s="26" t="n">
        <v>0</v>
      </c>
      <c r="H1290" s="26" t="n">
        <v>-131.1</v>
      </c>
      <c r="I1290" s="26" t="n">
        <v>0</v>
      </c>
      <c r="J1290" s="26" t="n">
        <v>0</v>
      </c>
      <c r="K1290" s="26" t="n">
        <v>0</v>
      </c>
      <c r="L1290" s="26" t="n">
        <v>0</v>
      </c>
      <c r="M1290" s="26" t="n">
        <v>0</v>
      </c>
    </row>
    <row r="1291" customFormat="false" ht="15" hidden="false" customHeight="false" outlineLevel="0" collapsed="false">
      <c r="A1291" s="7" t="s">
        <v>85</v>
      </c>
      <c r="B1291" s="7" t="n">
        <v>4413336</v>
      </c>
      <c r="C1291" s="7" t="s">
        <v>731</v>
      </c>
      <c r="D1291" s="26" t="n">
        <v>1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0</v>
      </c>
      <c r="J1291" s="26" t="n">
        <v>0</v>
      </c>
      <c r="K1291" s="26" t="n">
        <v>0</v>
      </c>
      <c r="L1291" s="26" t="n">
        <v>0</v>
      </c>
      <c r="M1291" s="26" t="n">
        <v>0</v>
      </c>
    </row>
    <row r="1292" customFormat="false" ht="15" hidden="false" customHeight="false" outlineLevel="0" collapsed="false">
      <c r="A1292" s="7" t="s">
        <v>87</v>
      </c>
      <c r="B1292" s="7" t="n">
        <v>4413336</v>
      </c>
      <c r="C1292" s="7" t="s">
        <v>731</v>
      </c>
      <c r="D1292" s="26" t="n">
        <v>127.9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0</v>
      </c>
      <c r="L1292" s="26" t="n">
        <v>0</v>
      </c>
      <c r="M1292" s="26" t="n">
        <v>0</v>
      </c>
    </row>
    <row r="1293" customFormat="false" ht="15" hidden="false" customHeight="false" outlineLevel="0" collapsed="false">
      <c r="A1293" s="7" t="s">
        <v>85</v>
      </c>
      <c r="B1293" s="7" t="n">
        <v>4413335</v>
      </c>
      <c r="C1293" s="7" t="s">
        <v>732</v>
      </c>
      <c r="D1293" s="26" t="n">
        <v>2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  <c r="L1293" s="26" t="n">
        <v>0</v>
      </c>
      <c r="M1293" s="26" t="n">
        <v>0</v>
      </c>
    </row>
    <row r="1294" customFormat="false" ht="15" hidden="false" customHeight="false" outlineLevel="0" collapsed="false">
      <c r="A1294" s="7" t="s">
        <v>87</v>
      </c>
      <c r="B1294" s="7" t="n">
        <v>4413335</v>
      </c>
      <c r="C1294" s="7" t="s">
        <v>732</v>
      </c>
      <c r="D1294" s="26" t="n">
        <v>255.5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  <c r="L1294" s="26" t="n">
        <v>0</v>
      </c>
      <c r="M1294" s="26" t="n">
        <v>0</v>
      </c>
    </row>
    <row r="1295" customFormat="false" ht="15" hidden="false" customHeight="false" outlineLevel="0" collapsed="false">
      <c r="A1295" s="7" t="s">
        <v>85</v>
      </c>
      <c r="B1295" s="7" t="n">
        <v>4413337</v>
      </c>
      <c r="C1295" s="7" t="s">
        <v>733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-1</v>
      </c>
      <c r="I1295" s="26" t="n">
        <v>0</v>
      </c>
      <c r="J1295" s="26" t="n">
        <v>0</v>
      </c>
      <c r="K1295" s="26" t="n">
        <v>0</v>
      </c>
      <c r="L1295" s="26" t="n">
        <v>0</v>
      </c>
      <c r="M1295" s="26" t="n">
        <v>0</v>
      </c>
    </row>
    <row r="1296" customFormat="false" ht="15" hidden="false" customHeight="false" outlineLevel="0" collapsed="false">
      <c r="A1296" s="7" t="s">
        <v>87</v>
      </c>
      <c r="B1296" s="7" t="n">
        <v>4413337</v>
      </c>
      <c r="C1296" s="7" t="s">
        <v>733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-131.1</v>
      </c>
      <c r="I1296" s="26" t="n">
        <v>0</v>
      </c>
      <c r="J1296" s="26" t="n">
        <v>0</v>
      </c>
      <c r="K1296" s="26" t="n">
        <v>0</v>
      </c>
      <c r="L1296" s="26" t="n">
        <v>0</v>
      </c>
      <c r="M1296" s="26" t="n">
        <v>0</v>
      </c>
    </row>
    <row r="1297" customFormat="false" ht="15" hidden="false" customHeight="false" outlineLevel="0" collapsed="false">
      <c r="A1297" s="7" t="s">
        <v>85</v>
      </c>
      <c r="B1297" s="7" t="n">
        <v>4413338</v>
      </c>
      <c r="C1297" s="7" t="s">
        <v>734</v>
      </c>
      <c r="D1297" s="26" t="n">
        <v>1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0</v>
      </c>
      <c r="L1297" s="26" t="n">
        <v>0</v>
      </c>
      <c r="M1297" s="26" t="n">
        <v>0</v>
      </c>
    </row>
    <row r="1298" customFormat="false" ht="15" hidden="false" customHeight="false" outlineLevel="0" collapsed="false">
      <c r="A1298" s="7" t="s">
        <v>87</v>
      </c>
      <c r="B1298" s="7" t="n">
        <v>4413338</v>
      </c>
      <c r="C1298" s="7" t="s">
        <v>734</v>
      </c>
      <c r="D1298" s="26" t="n">
        <v>127.6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0</v>
      </c>
      <c r="L1298" s="26" t="n">
        <v>0</v>
      </c>
      <c r="M1298" s="26" t="n">
        <v>0</v>
      </c>
    </row>
    <row r="1299" customFormat="false" ht="15" hidden="false" customHeight="false" outlineLevel="0" collapsed="false">
      <c r="A1299" s="7" t="s">
        <v>85</v>
      </c>
      <c r="B1299" s="7" t="n">
        <v>4415015</v>
      </c>
      <c r="C1299" s="7" t="s">
        <v>735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0</v>
      </c>
      <c r="L1299" s="26" t="n">
        <v>0</v>
      </c>
      <c r="M1299" s="26" t="n">
        <v>0</v>
      </c>
    </row>
    <row r="1300" customFormat="false" ht="15" hidden="false" customHeight="false" outlineLevel="0" collapsed="false">
      <c r="A1300" s="7" t="s">
        <v>87</v>
      </c>
      <c r="B1300" s="7" t="n">
        <v>4415015</v>
      </c>
      <c r="C1300" s="7" t="s">
        <v>735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0</v>
      </c>
      <c r="L1300" s="26" t="n">
        <v>0</v>
      </c>
      <c r="M1300" s="26" t="n">
        <v>0</v>
      </c>
    </row>
    <row r="1301" customFormat="false" ht="15" hidden="false" customHeight="false" outlineLevel="0" collapsed="false">
      <c r="A1301" s="7" t="s">
        <v>85</v>
      </c>
      <c r="B1301" s="7" t="n">
        <v>4415016</v>
      </c>
      <c r="C1301" s="7" t="s">
        <v>736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0</v>
      </c>
      <c r="L1301" s="26" t="n">
        <v>0</v>
      </c>
      <c r="M1301" s="26" t="n">
        <v>0</v>
      </c>
    </row>
    <row r="1302" customFormat="false" ht="15" hidden="false" customHeight="false" outlineLevel="0" collapsed="false">
      <c r="A1302" s="7" t="s">
        <v>87</v>
      </c>
      <c r="B1302" s="7" t="n">
        <v>4415016</v>
      </c>
      <c r="C1302" s="7" t="s">
        <v>736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0</v>
      </c>
      <c r="L1302" s="26" t="n">
        <v>0</v>
      </c>
      <c r="M1302" s="26" t="n">
        <v>0</v>
      </c>
    </row>
    <row r="1303" customFormat="false" ht="15" hidden="false" customHeight="false" outlineLevel="0" collapsed="false">
      <c r="A1303" s="7" t="s">
        <v>85</v>
      </c>
      <c r="B1303" s="7" t="n">
        <v>4415017</v>
      </c>
      <c r="C1303" s="7" t="s">
        <v>737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0</v>
      </c>
      <c r="L1303" s="26" t="n">
        <v>0</v>
      </c>
      <c r="M1303" s="26" t="n">
        <v>0</v>
      </c>
    </row>
    <row r="1304" customFormat="false" ht="15" hidden="false" customHeight="false" outlineLevel="0" collapsed="false">
      <c r="A1304" s="7" t="s">
        <v>87</v>
      </c>
      <c r="B1304" s="7" t="n">
        <v>4415017</v>
      </c>
      <c r="C1304" s="7" t="s">
        <v>737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  <c r="L1304" s="26" t="n">
        <v>0</v>
      </c>
      <c r="M1304" s="26" t="n">
        <v>0</v>
      </c>
    </row>
    <row r="1305" customFormat="false" ht="15" hidden="false" customHeight="false" outlineLevel="0" collapsed="false">
      <c r="A1305" s="7" t="s">
        <v>85</v>
      </c>
      <c r="B1305" s="7" t="n">
        <v>4415018</v>
      </c>
      <c r="C1305" s="7" t="s">
        <v>738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0</v>
      </c>
      <c r="J1305" s="26" t="n">
        <v>0</v>
      </c>
      <c r="K1305" s="26" t="n">
        <v>0</v>
      </c>
      <c r="L1305" s="26" t="n">
        <v>0</v>
      </c>
      <c r="M1305" s="26" t="n">
        <v>0</v>
      </c>
    </row>
    <row r="1306" customFormat="false" ht="15" hidden="false" customHeight="false" outlineLevel="0" collapsed="false">
      <c r="A1306" s="7" t="s">
        <v>87</v>
      </c>
      <c r="B1306" s="7" t="n">
        <v>4415018</v>
      </c>
      <c r="C1306" s="7" t="s">
        <v>738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0</v>
      </c>
      <c r="J1306" s="26" t="n">
        <v>0</v>
      </c>
      <c r="K1306" s="26" t="n">
        <v>0</v>
      </c>
      <c r="L1306" s="26" t="n">
        <v>0</v>
      </c>
      <c r="M1306" s="26" t="n">
        <v>0</v>
      </c>
    </row>
    <row r="1307" customFormat="false" ht="15" hidden="false" customHeight="false" outlineLevel="0" collapsed="false">
      <c r="A1307" s="7" t="s">
        <v>85</v>
      </c>
      <c r="B1307" s="7" t="n">
        <v>4413428</v>
      </c>
      <c r="C1307" s="7" t="s">
        <v>739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-2</v>
      </c>
      <c r="I1307" s="26" t="n">
        <v>0</v>
      </c>
      <c r="J1307" s="26" t="n">
        <v>0</v>
      </c>
      <c r="K1307" s="26" t="n">
        <v>0</v>
      </c>
      <c r="L1307" s="26" t="n">
        <v>0</v>
      </c>
      <c r="M1307" s="26" t="n">
        <v>0</v>
      </c>
    </row>
    <row r="1308" customFormat="false" ht="15" hidden="false" customHeight="false" outlineLevel="0" collapsed="false">
      <c r="A1308" s="7" t="s">
        <v>87</v>
      </c>
      <c r="B1308" s="7" t="n">
        <v>4413428</v>
      </c>
      <c r="C1308" s="7" t="s">
        <v>739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-213</v>
      </c>
      <c r="I1308" s="26" t="n">
        <v>0</v>
      </c>
      <c r="J1308" s="26" t="n">
        <v>0</v>
      </c>
      <c r="K1308" s="26" t="n">
        <v>0</v>
      </c>
      <c r="L1308" s="26" t="n">
        <v>0</v>
      </c>
      <c r="M1308" s="26" t="n">
        <v>0</v>
      </c>
    </row>
    <row r="1309" customFormat="false" ht="15" hidden="false" customHeight="false" outlineLevel="0" collapsed="false">
      <c r="A1309" s="7" t="s">
        <v>85</v>
      </c>
      <c r="B1309" s="7" t="n">
        <v>4413429</v>
      </c>
      <c r="C1309" s="7" t="s">
        <v>740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-1</v>
      </c>
      <c r="I1309" s="26" t="n">
        <v>0</v>
      </c>
      <c r="J1309" s="26" t="n">
        <v>0</v>
      </c>
      <c r="K1309" s="26" t="n">
        <v>0</v>
      </c>
      <c r="L1309" s="26" t="n">
        <v>0</v>
      </c>
      <c r="M1309" s="26" t="n">
        <v>0</v>
      </c>
    </row>
    <row r="1310" customFormat="false" ht="15" hidden="false" customHeight="false" outlineLevel="0" collapsed="false">
      <c r="A1310" s="7" t="s">
        <v>87</v>
      </c>
      <c r="B1310" s="7" t="n">
        <v>4413429</v>
      </c>
      <c r="C1310" s="7" t="s">
        <v>740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-106.5</v>
      </c>
      <c r="I1310" s="26" t="n">
        <v>0</v>
      </c>
      <c r="J1310" s="26" t="n">
        <v>0</v>
      </c>
      <c r="K1310" s="26" t="n">
        <v>0</v>
      </c>
      <c r="L1310" s="26" t="n">
        <v>0</v>
      </c>
      <c r="M1310" s="26" t="n">
        <v>0</v>
      </c>
    </row>
    <row r="1311" customFormat="false" ht="15" hidden="false" customHeight="false" outlineLevel="0" collapsed="false">
      <c r="A1311" s="7" t="s">
        <v>85</v>
      </c>
      <c r="B1311" s="7" t="n">
        <v>4413430</v>
      </c>
      <c r="C1311" s="7" t="s">
        <v>741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-1</v>
      </c>
      <c r="I1311" s="26" t="n">
        <v>0</v>
      </c>
      <c r="J1311" s="26" t="n">
        <v>0</v>
      </c>
      <c r="K1311" s="26" t="n">
        <v>0</v>
      </c>
      <c r="L1311" s="26" t="n">
        <v>0</v>
      </c>
      <c r="M1311" s="26" t="n">
        <v>0</v>
      </c>
    </row>
    <row r="1312" customFormat="false" ht="15" hidden="false" customHeight="false" outlineLevel="0" collapsed="false">
      <c r="A1312" s="7" t="s">
        <v>87</v>
      </c>
      <c r="B1312" s="7" t="n">
        <v>4413430</v>
      </c>
      <c r="C1312" s="7" t="s">
        <v>741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-106.5</v>
      </c>
      <c r="I1312" s="26" t="n">
        <v>0</v>
      </c>
      <c r="J1312" s="26" t="n">
        <v>0</v>
      </c>
      <c r="K1312" s="26" t="n">
        <v>0</v>
      </c>
      <c r="L1312" s="26" t="n">
        <v>0</v>
      </c>
      <c r="M1312" s="26" t="n">
        <v>0</v>
      </c>
    </row>
    <row r="1313" customFormat="false" ht="15" hidden="false" customHeight="false" outlineLevel="0" collapsed="false">
      <c r="A1313" s="7" t="s">
        <v>85</v>
      </c>
      <c r="B1313" s="7" t="n">
        <v>4413431</v>
      </c>
      <c r="C1313" s="7" t="s">
        <v>742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-1</v>
      </c>
      <c r="I1313" s="26" t="n">
        <v>0</v>
      </c>
      <c r="J1313" s="26" t="n">
        <v>0</v>
      </c>
      <c r="K1313" s="26" t="n">
        <v>0</v>
      </c>
      <c r="L1313" s="26" t="n">
        <v>0</v>
      </c>
      <c r="M1313" s="26" t="n">
        <v>0</v>
      </c>
    </row>
    <row r="1314" customFormat="false" ht="15" hidden="false" customHeight="false" outlineLevel="0" collapsed="false">
      <c r="A1314" s="7" t="s">
        <v>87</v>
      </c>
      <c r="B1314" s="7" t="n">
        <v>4413431</v>
      </c>
      <c r="C1314" s="7" t="s">
        <v>742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-106.5</v>
      </c>
      <c r="I1314" s="26" t="n">
        <v>0</v>
      </c>
      <c r="J1314" s="26" t="n">
        <v>0</v>
      </c>
      <c r="K1314" s="26" t="n">
        <v>0</v>
      </c>
      <c r="L1314" s="26" t="n">
        <v>0</v>
      </c>
      <c r="M1314" s="26" t="n">
        <v>0</v>
      </c>
    </row>
    <row r="1315" customFormat="false" ht="15" hidden="false" customHeight="false" outlineLevel="0" collapsed="false">
      <c r="A1315" s="7" t="s">
        <v>85</v>
      </c>
      <c r="B1315" s="7" t="n">
        <v>4413432</v>
      </c>
      <c r="C1315" s="7" t="s">
        <v>743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0</v>
      </c>
      <c r="J1315" s="26" t="n">
        <v>0</v>
      </c>
      <c r="K1315" s="26" t="n">
        <v>0</v>
      </c>
      <c r="L1315" s="26" t="n">
        <v>0</v>
      </c>
      <c r="M1315" s="26" t="n">
        <v>0</v>
      </c>
    </row>
    <row r="1316" customFormat="false" ht="15" hidden="false" customHeight="false" outlineLevel="0" collapsed="false">
      <c r="A1316" s="7" t="s">
        <v>87</v>
      </c>
      <c r="B1316" s="7" t="n">
        <v>4413432</v>
      </c>
      <c r="C1316" s="7" t="s">
        <v>743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0</v>
      </c>
      <c r="L1316" s="26" t="n">
        <v>0</v>
      </c>
      <c r="M1316" s="26" t="n">
        <v>0</v>
      </c>
    </row>
    <row r="1317" customFormat="false" ht="15" hidden="false" customHeight="false" outlineLevel="0" collapsed="false">
      <c r="A1317" s="7" t="s">
        <v>85</v>
      </c>
      <c r="B1317" s="7" t="n">
        <v>4415019</v>
      </c>
      <c r="C1317" s="7" t="s">
        <v>744</v>
      </c>
      <c r="D1317" s="26" t="n">
        <v>10</v>
      </c>
      <c r="E1317" s="26" t="n">
        <v>0</v>
      </c>
      <c r="F1317" s="26" t="n">
        <v>0</v>
      </c>
      <c r="G1317" s="26" t="n">
        <v>0</v>
      </c>
      <c r="H1317" s="26" t="n">
        <v>1</v>
      </c>
      <c r="I1317" s="26" t="n">
        <v>0</v>
      </c>
      <c r="J1317" s="26" t="n">
        <v>0</v>
      </c>
      <c r="K1317" s="26" t="n">
        <v>0</v>
      </c>
      <c r="L1317" s="26" t="n">
        <v>0</v>
      </c>
      <c r="M1317" s="26" t="n">
        <v>0</v>
      </c>
    </row>
    <row r="1318" customFormat="false" ht="15" hidden="false" customHeight="false" outlineLevel="0" collapsed="false">
      <c r="A1318" s="7" t="s">
        <v>87</v>
      </c>
      <c r="B1318" s="7" t="n">
        <v>4415019</v>
      </c>
      <c r="C1318" s="7" t="s">
        <v>744</v>
      </c>
      <c r="D1318" s="26" t="n">
        <v>1362.8</v>
      </c>
      <c r="E1318" s="26" t="n">
        <v>0</v>
      </c>
      <c r="F1318" s="26" t="n">
        <v>0</v>
      </c>
      <c r="G1318" s="26" t="n">
        <v>0</v>
      </c>
      <c r="H1318" s="26" t="n">
        <v>143.4</v>
      </c>
      <c r="I1318" s="26" t="n">
        <v>0</v>
      </c>
      <c r="J1318" s="26" t="n">
        <v>0</v>
      </c>
      <c r="K1318" s="26" t="n">
        <v>0</v>
      </c>
      <c r="L1318" s="26" t="n">
        <v>0</v>
      </c>
      <c r="M1318" s="26" t="n">
        <v>0</v>
      </c>
    </row>
    <row r="1319" customFormat="false" ht="15" hidden="false" customHeight="false" outlineLevel="0" collapsed="false">
      <c r="A1319" s="7" t="s">
        <v>85</v>
      </c>
      <c r="B1319" s="7" t="n">
        <v>4413043</v>
      </c>
      <c r="C1319" s="7" t="s">
        <v>745</v>
      </c>
      <c r="D1319" s="26" t="n">
        <v>173</v>
      </c>
      <c r="E1319" s="26" t="n">
        <v>0</v>
      </c>
      <c r="F1319" s="26" t="n">
        <v>2</v>
      </c>
      <c r="G1319" s="26" t="n">
        <v>4</v>
      </c>
      <c r="H1319" s="26" t="n">
        <v>1793</v>
      </c>
      <c r="I1319" s="26" t="n">
        <v>188</v>
      </c>
      <c r="J1319" s="26" t="n">
        <v>1</v>
      </c>
      <c r="K1319" s="26" t="n">
        <v>0</v>
      </c>
      <c r="L1319" s="26" t="n">
        <v>0</v>
      </c>
      <c r="M1319" s="26" t="n">
        <v>0</v>
      </c>
    </row>
    <row r="1320" customFormat="false" ht="15" hidden="false" customHeight="false" outlineLevel="0" collapsed="false">
      <c r="A1320" s="7" t="s">
        <v>87</v>
      </c>
      <c r="B1320" s="7" t="n">
        <v>4413043</v>
      </c>
      <c r="C1320" s="7" t="s">
        <v>745</v>
      </c>
      <c r="D1320" s="26" t="n">
        <v>7794.9</v>
      </c>
      <c r="E1320" s="26" t="n">
        <v>0</v>
      </c>
      <c r="F1320" s="26" t="n">
        <v>85</v>
      </c>
      <c r="G1320" s="26" t="n">
        <v>162.3</v>
      </c>
      <c r="H1320" s="26" t="n">
        <v>67283.3</v>
      </c>
      <c r="I1320" s="26" t="n">
        <v>7622.7</v>
      </c>
      <c r="J1320" s="26" t="n">
        <v>43.7</v>
      </c>
      <c r="K1320" s="26" t="n">
        <v>0</v>
      </c>
      <c r="L1320" s="26" t="n">
        <v>0</v>
      </c>
      <c r="M1320" s="26" t="n">
        <v>0</v>
      </c>
    </row>
    <row r="1321" customFormat="false" ht="15" hidden="false" customHeight="false" outlineLevel="0" collapsed="false">
      <c r="A1321" s="7" t="s">
        <v>85</v>
      </c>
      <c r="B1321" s="7" t="n">
        <v>4413041</v>
      </c>
      <c r="C1321" s="7" t="s">
        <v>746</v>
      </c>
      <c r="D1321" s="26" t="n">
        <v>192</v>
      </c>
      <c r="E1321" s="26" t="n">
        <v>0</v>
      </c>
      <c r="F1321" s="26" t="n">
        <v>2</v>
      </c>
      <c r="G1321" s="26" t="n">
        <v>9</v>
      </c>
      <c r="H1321" s="26" t="n">
        <v>1906</v>
      </c>
      <c r="I1321" s="26" t="n">
        <v>201</v>
      </c>
      <c r="J1321" s="26" t="n">
        <v>0</v>
      </c>
      <c r="K1321" s="26" t="n">
        <v>0</v>
      </c>
      <c r="L1321" s="26" t="n">
        <v>0</v>
      </c>
      <c r="M1321" s="26" t="n">
        <v>-1</v>
      </c>
    </row>
    <row r="1322" customFormat="false" ht="15" hidden="false" customHeight="false" outlineLevel="0" collapsed="false">
      <c r="A1322" s="7" t="s">
        <v>87</v>
      </c>
      <c r="B1322" s="7" t="n">
        <v>4413041</v>
      </c>
      <c r="C1322" s="7" t="s">
        <v>746</v>
      </c>
      <c r="D1322" s="26" t="n">
        <v>8539.1</v>
      </c>
      <c r="E1322" s="26" t="n">
        <v>0</v>
      </c>
      <c r="F1322" s="26" t="n">
        <v>85</v>
      </c>
      <c r="G1322" s="26" t="n">
        <v>365.2</v>
      </c>
      <c r="H1322" s="26" t="n">
        <v>71558.8</v>
      </c>
      <c r="I1322" s="26" t="n">
        <v>8140.5</v>
      </c>
      <c r="J1322" s="26" t="n">
        <v>0</v>
      </c>
      <c r="K1322" s="26" t="n">
        <v>0</v>
      </c>
      <c r="L1322" s="26" t="n">
        <v>0</v>
      </c>
      <c r="M1322" s="26" t="n">
        <v>-62.4</v>
      </c>
    </row>
    <row r="1323" customFormat="false" ht="15" hidden="false" customHeight="false" outlineLevel="0" collapsed="false">
      <c r="A1323" s="7" t="s">
        <v>85</v>
      </c>
      <c r="B1323" s="7" t="n">
        <v>4413042</v>
      </c>
      <c r="C1323" s="7" t="s">
        <v>747</v>
      </c>
      <c r="D1323" s="26" t="n">
        <v>79</v>
      </c>
      <c r="E1323" s="26" t="n">
        <v>0</v>
      </c>
      <c r="F1323" s="26" t="n">
        <v>2</v>
      </c>
      <c r="G1323" s="26" t="n">
        <v>0</v>
      </c>
      <c r="H1323" s="26" t="n">
        <v>1192</v>
      </c>
      <c r="I1323" s="26" t="n">
        <v>119</v>
      </c>
      <c r="J1323" s="26" t="n">
        <v>0</v>
      </c>
      <c r="K1323" s="26" t="n">
        <v>0</v>
      </c>
      <c r="L1323" s="26" t="n">
        <v>0</v>
      </c>
      <c r="M1323" s="26" t="n">
        <v>-2</v>
      </c>
    </row>
    <row r="1324" customFormat="false" ht="15" hidden="false" customHeight="false" outlineLevel="0" collapsed="false">
      <c r="A1324" s="7" t="s">
        <v>87</v>
      </c>
      <c r="B1324" s="7" t="n">
        <v>4413042</v>
      </c>
      <c r="C1324" s="7" t="s">
        <v>747</v>
      </c>
      <c r="D1324" s="26" t="n">
        <v>3496.1</v>
      </c>
      <c r="E1324" s="26" t="n">
        <v>0</v>
      </c>
      <c r="F1324" s="26" t="n">
        <v>85</v>
      </c>
      <c r="G1324" s="26" t="n">
        <v>0</v>
      </c>
      <c r="H1324" s="26" t="n">
        <v>44734.6</v>
      </c>
      <c r="I1324" s="26" t="n">
        <v>4819.5</v>
      </c>
      <c r="J1324" s="26" t="n">
        <v>0</v>
      </c>
      <c r="K1324" s="26" t="n">
        <v>0</v>
      </c>
      <c r="L1324" s="26" t="n">
        <v>0</v>
      </c>
      <c r="M1324" s="26" t="n">
        <v>-124.9</v>
      </c>
    </row>
    <row r="1325" customFormat="false" ht="15" hidden="false" customHeight="false" outlineLevel="0" collapsed="false">
      <c r="A1325" s="7" t="s">
        <v>85</v>
      </c>
      <c r="B1325" s="7" t="n">
        <v>4413044</v>
      </c>
      <c r="C1325" s="7" t="s">
        <v>748</v>
      </c>
      <c r="D1325" s="26" t="n">
        <v>114</v>
      </c>
      <c r="E1325" s="26" t="n">
        <v>0</v>
      </c>
      <c r="F1325" s="26" t="n">
        <v>0</v>
      </c>
      <c r="G1325" s="26" t="n">
        <v>0</v>
      </c>
      <c r="H1325" s="26" t="n">
        <v>1232</v>
      </c>
      <c r="I1325" s="26" t="n">
        <v>122</v>
      </c>
      <c r="J1325" s="26" t="n">
        <v>0</v>
      </c>
      <c r="K1325" s="26" t="n">
        <v>0</v>
      </c>
      <c r="L1325" s="26" t="n">
        <v>0</v>
      </c>
      <c r="M1325" s="26" t="n">
        <v>-1</v>
      </c>
    </row>
    <row r="1326" customFormat="false" ht="15" hidden="false" customHeight="false" outlineLevel="0" collapsed="false">
      <c r="A1326" s="7" t="s">
        <v>87</v>
      </c>
      <c r="B1326" s="7" t="n">
        <v>4413044</v>
      </c>
      <c r="C1326" s="7" t="s">
        <v>748</v>
      </c>
      <c r="D1326" s="26" t="n">
        <v>5107.4</v>
      </c>
      <c r="E1326" s="26" t="n">
        <v>0</v>
      </c>
      <c r="F1326" s="26" t="n">
        <v>0</v>
      </c>
      <c r="G1326" s="26" t="n">
        <v>0</v>
      </c>
      <c r="H1326" s="26" t="n">
        <v>46241.2</v>
      </c>
      <c r="I1326" s="26" t="n">
        <v>4943.9</v>
      </c>
      <c r="J1326" s="26" t="n">
        <v>0</v>
      </c>
      <c r="K1326" s="26" t="n">
        <v>0</v>
      </c>
      <c r="L1326" s="26" t="n">
        <v>0</v>
      </c>
      <c r="M1326" s="26" t="n">
        <v>-62.4</v>
      </c>
    </row>
    <row r="1327" customFormat="false" ht="15" hidden="false" customHeight="false" outlineLevel="0" collapsed="false">
      <c r="A1327" s="7" t="s">
        <v>85</v>
      </c>
      <c r="B1327" s="7" t="n">
        <v>4413045</v>
      </c>
      <c r="C1327" s="7" t="s">
        <v>749</v>
      </c>
      <c r="D1327" s="26" t="n">
        <v>10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0</v>
      </c>
      <c r="J1327" s="26" t="n">
        <v>0</v>
      </c>
      <c r="K1327" s="26" t="n">
        <v>0</v>
      </c>
      <c r="L1327" s="26" t="n">
        <v>0</v>
      </c>
      <c r="M1327" s="26" t="n">
        <v>0</v>
      </c>
    </row>
    <row r="1328" customFormat="false" ht="15" hidden="false" customHeight="false" outlineLevel="0" collapsed="false">
      <c r="A1328" s="7" t="s">
        <v>87</v>
      </c>
      <c r="B1328" s="7" t="n">
        <v>4413045</v>
      </c>
      <c r="C1328" s="7" t="s">
        <v>749</v>
      </c>
      <c r="D1328" s="26" t="n">
        <v>439.2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0</v>
      </c>
      <c r="J1328" s="26" t="n">
        <v>0</v>
      </c>
      <c r="K1328" s="26" t="n">
        <v>0</v>
      </c>
      <c r="L1328" s="26" t="n">
        <v>0</v>
      </c>
      <c r="M1328" s="26" t="n">
        <v>0</v>
      </c>
    </row>
    <row r="1329" customFormat="false" ht="15" hidden="false" customHeight="false" outlineLevel="0" collapsed="false">
      <c r="A1329" s="7" t="s">
        <v>85</v>
      </c>
      <c r="B1329" s="7" t="n">
        <v>4413046</v>
      </c>
      <c r="C1329" s="7" t="s">
        <v>750</v>
      </c>
      <c r="D1329" s="26" t="n">
        <v>24</v>
      </c>
      <c r="E1329" s="26" t="n">
        <v>0</v>
      </c>
      <c r="F1329" s="26" t="n">
        <v>0</v>
      </c>
      <c r="G1329" s="26" t="n">
        <v>0</v>
      </c>
      <c r="H1329" s="26" t="n">
        <v>54</v>
      </c>
      <c r="I1329" s="26" t="n">
        <v>59</v>
      </c>
      <c r="J1329" s="26" t="n">
        <v>0</v>
      </c>
      <c r="K1329" s="26" t="n">
        <v>0</v>
      </c>
      <c r="L1329" s="26" t="n">
        <v>0</v>
      </c>
      <c r="M1329" s="26" t="n">
        <v>0</v>
      </c>
    </row>
    <row r="1330" customFormat="false" ht="15" hidden="false" customHeight="false" outlineLevel="0" collapsed="false">
      <c r="A1330" s="7" t="s">
        <v>87</v>
      </c>
      <c r="B1330" s="7" t="n">
        <v>4413046</v>
      </c>
      <c r="C1330" s="7" t="s">
        <v>750</v>
      </c>
      <c r="D1330" s="26" t="n">
        <v>1092</v>
      </c>
      <c r="E1330" s="26" t="n">
        <v>0</v>
      </c>
      <c r="F1330" s="26" t="n">
        <v>0</v>
      </c>
      <c r="G1330" s="26" t="n">
        <v>0</v>
      </c>
      <c r="H1330" s="26" t="n">
        <v>2028.5</v>
      </c>
      <c r="I1330" s="26" t="n">
        <v>2389.5</v>
      </c>
      <c r="J1330" s="26" t="n">
        <v>0</v>
      </c>
      <c r="K1330" s="26" t="n">
        <v>0</v>
      </c>
      <c r="L1330" s="26" t="n">
        <v>0</v>
      </c>
      <c r="M1330" s="26" t="n">
        <v>0</v>
      </c>
    </row>
    <row r="1331" customFormat="false" ht="15" hidden="false" customHeight="false" outlineLevel="0" collapsed="false">
      <c r="A1331" s="7" t="s">
        <v>85</v>
      </c>
      <c r="B1331" s="7" t="n">
        <v>4413161</v>
      </c>
      <c r="C1331" s="7" t="s">
        <v>751</v>
      </c>
      <c r="D1331" s="26" t="n">
        <v>73</v>
      </c>
      <c r="E1331" s="26" t="n">
        <v>0</v>
      </c>
      <c r="F1331" s="26" t="n">
        <v>0</v>
      </c>
      <c r="G1331" s="26" t="n">
        <v>0</v>
      </c>
      <c r="H1331" s="26" t="n">
        <v>112</v>
      </c>
      <c r="I1331" s="26" t="n">
        <v>152</v>
      </c>
      <c r="J1331" s="26" t="n">
        <v>0</v>
      </c>
      <c r="K1331" s="26" t="n">
        <v>0</v>
      </c>
      <c r="L1331" s="26" t="n">
        <v>0</v>
      </c>
      <c r="M1331" s="26" t="n">
        <v>0</v>
      </c>
    </row>
    <row r="1332" customFormat="false" ht="15" hidden="false" customHeight="false" outlineLevel="0" collapsed="false">
      <c r="A1332" s="7" t="s">
        <v>87</v>
      </c>
      <c r="B1332" s="7" t="n">
        <v>4413161</v>
      </c>
      <c r="C1332" s="7" t="s">
        <v>751</v>
      </c>
      <c r="D1332" s="26" t="n">
        <v>4770.5</v>
      </c>
      <c r="E1332" s="26" t="n">
        <v>0</v>
      </c>
      <c r="F1332" s="26" t="n">
        <v>0</v>
      </c>
      <c r="G1332" s="26" t="n">
        <v>0</v>
      </c>
      <c r="H1332" s="26" t="n">
        <v>5934</v>
      </c>
      <c r="I1332" s="26" t="n">
        <v>8711.1</v>
      </c>
      <c r="J1332" s="26" t="n">
        <v>0</v>
      </c>
      <c r="K1332" s="26" t="n">
        <v>0</v>
      </c>
      <c r="L1332" s="26" t="n">
        <v>0</v>
      </c>
      <c r="M1332" s="26" t="n">
        <v>0</v>
      </c>
    </row>
    <row r="1333" customFormat="false" ht="15" hidden="false" customHeight="false" outlineLevel="0" collapsed="false">
      <c r="A1333" s="7" t="s">
        <v>85</v>
      </c>
      <c r="B1333" s="7" t="n">
        <v>4413160</v>
      </c>
      <c r="C1333" s="7" t="s">
        <v>752</v>
      </c>
      <c r="D1333" s="26" t="n">
        <v>62</v>
      </c>
      <c r="E1333" s="26" t="n">
        <v>0</v>
      </c>
      <c r="F1333" s="26" t="n">
        <v>0</v>
      </c>
      <c r="G1333" s="26" t="n">
        <v>0</v>
      </c>
      <c r="H1333" s="26" t="n">
        <v>123</v>
      </c>
      <c r="I1333" s="26" t="n">
        <v>151</v>
      </c>
      <c r="J1333" s="26" t="n">
        <v>0</v>
      </c>
      <c r="K1333" s="26" t="n">
        <v>0</v>
      </c>
      <c r="L1333" s="26" t="n">
        <v>0</v>
      </c>
      <c r="M1333" s="26" t="n">
        <v>0</v>
      </c>
    </row>
    <row r="1334" customFormat="false" ht="15" hidden="false" customHeight="false" outlineLevel="0" collapsed="false">
      <c r="A1334" s="7" t="s">
        <v>87</v>
      </c>
      <c r="B1334" s="7" t="n">
        <v>4413160</v>
      </c>
      <c r="C1334" s="7" t="s">
        <v>752</v>
      </c>
      <c r="D1334" s="26" t="n">
        <v>4069.3</v>
      </c>
      <c r="E1334" s="26" t="n">
        <v>0</v>
      </c>
      <c r="F1334" s="26" t="n">
        <v>0</v>
      </c>
      <c r="G1334" s="26" t="n">
        <v>0</v>
      </c>
      <c r="H1334" s="26" t="n">
        <v>6495.5</v>
      </c>
      <c r="I1334" s="26" t="n">
        <v>8653.8</v>
      </c>
      <c r="J1334" s="26" t="n">
        <v>0</v>
      </c>
      <c r="K1334" s="26" t="n">
        <v>0</v>
      </c>
      <c r="L1334" s="26" t="n">
        <v>0</v>
      </c>
      <c r="M1334" s="26" t="n">
        <v>0</v>
      </c>
    </row>
    <row r="1335" customFormat="false" ht="15" hidden="false" customHeight="false" outlineLevel="0" collapsed="false">
      <c r="A1335" s="7" t="s">
        <v>85</v>
      </c>
      <c r="B1335" s="7" t="n">
        <v>4413159</v>
      </c>
      <c r="C1335" s="7" t="s">
        <v>753</v>
      </c>
      <c r="D1335" s="26" t="n">
        <v>26</v>
      </c>
      <c r="E1335" s="26" t="n">
        <v>0</v>
      </c>
      <c r="F1335" s="26" t="n">
        <v>3</v>
      </c>
      <c r="G1335" s="26" t="n">
        <v>0</v>
      </c>
      <c r="H1335" s="26" t="n">
        <v>53</v>
      </c>
      <c r="I1335" s="26" t="n">
        <v>0</v>
      </c>
      <c r="J1335" s="26" t="n">
        <v>0</v>
      </c>
      <c r="K1335" s="26" t="n">
        <v>0</v>
      </c>
      <c r="L1335" s="26" t="n">
        <v>0</v>
      </c>
      <c r="M1335" s="26" t="n">
        <v>0</v>
      </c>
    </row>
    <row r="1336" customFormat="false" ht="15" hidden="false" customHeight="false" outlineLevel="0" collapsed="false">
      <c r="A1336" s="7" t="s">
        <v>87</v>
      </c>
      <c r="B1336" s="7" t="n">
        <v>4413159</v>
      </c>
      <c r="C1336" s="7" t="s">
        <v>753</v>
      </c>
      <c r="D1336" s="26" t="n">
        <v>1776.8</v>
      </c>
      <c r="E1336" s="26" t="n">
        <v>0</v>
      </c>
      <c r="F1336" s="26" t="n">
        <v>210.8</v>
      </c>
      <c r="G1336" s="26" t="n">
        <v>0</v>
      </c>
      <c r="H1336" s="26" t="n">
        <v>2791.4</v>
      </c>
      <c r="I1336" s="26" t="n">
        <v>0</v>
      </c>
      <c r="J1336" s="26" t="n">
        <v>0</v>
      </c>
      <c r="K1336" s="26" t="n">
        <v>0</v>
      </c>
      <c r="L1336" s="26" t="n">
        <v>0</v>
      </c>
      <c r="M1336" s="26" t="n">
        <v>0</v>
      </c>
    </row>
    <row r="1337" customFormat="false" ht="15" hidden="false" customHeight="false" outlineLevel="0" collapsed="false">
      <c r="A1337" s="7" t="s">
        <v>85</v>
      </c>
      <c r="B1337" s="7" t="n">
        <v>4413162</v>
      </c>
      <c r="C1337" s="7" t="s">
        <v>754</v>
      </c>
      <c r="D1337" s="26" t="n">
        <v>45</v>
      </c>
      <c r="E1337" s="26" t="n">
        <v>0</v>
      </c>
      <c r="F1337" s="26" t="n">
        <v>0</v>
      </c>
      <c r="G1337" s="26" t="n">
        <v>0</v>
      </c>
      <c r="H1337" s="26" t="n">
        <v>83</v>
      </c>
      <c r="I1337" s="26" t="n">
        <v>116</v>
      </c>
      <c r="J1337" s="26" t="n">
        <v>1</v>
      </c>
      <c r="K1337" s="26" t="n">
        <v>0</v>
      </c>
      <c r="L1337" s="26" t="n">
        <v>0</v>
      </c>
      <c r="M1337" s="26" t="n">
        <v>0</v>
      </c>
    </row>
    <row r="1338" customFormat="false" ht="15" hidden="false" customHeight="false" outlineLevel="0" collapsed="false">
      <c r="A1338" s="7" t="s">
        <v>87</v>
      </c>
      <c r="B1338" s="7" t="n">
        <v>4413162</v>
      </c>
      <c r="C1338" s="7" t="s">
        <v>754</v>
      </c>
      <c r="D1338" s="26" t="n">
        <v>3048.8</v>
      </c>
      <c r="E1338" s="26" t="n">
        <v>0</v>
      </c>
      <c r="F1338" s="26" t="n">
        <v>0</v>
      </c>
      <c r="G1338" s="26" t="n">
        <v>0</v>
      </c>
      <c r="H1338" s="26" t="n">
        <v>4401.3</v>
      </c>
      <c r="I1338" s="26" t="n">
        <v>6648</v>
      </c>
      <c r="J1338" s="26" t="n">
        <v>57.3</v>
      </c>
      <c r="K1338" s="26" t="n">
        <v>0</v>
      </c>
      <c r="L1338" s="26" t="n">
        <v>0</v>
      </c>
      <c r="M1338" s="26" t="n">
        <v>0</v>
      </c>
    </row>
    <row r="1339" customFormat="false" ht="15" hidden="false" customHeight="false" outlineLevel="0" collapsed="false">
      <c r="A1339" s="7" t="s">
        <v>85</v>
      </c>
      <c r="B1339" s="7" t="n">
        <v>4413303</v>
      </c>
      <c r="C1339" s="7" t="s">
        <v>755</v>
      </c>
      <c r="D1339" s="26" t="n">
        <v>5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0</v>
      </c>
      <c r="J1339" s="26" t="n">
        <v>0</v>
      </c>
      <c r="K1339" s="26" t="n">
        <v>0</v>
      </c>
      <c r="L1339" s="26" t="n">
        <v>0</v>
      </c>
      <c r="M1339" s="26" t="n">
        <v>0</v>
      </c>
    </row>
    <row r="1340" customFormat="false" ht="15" hidden="false" customHeight="false" outlineLevel="0" collapsed="false">
      <c r="A1340" s="7" t="s">
        <v>87</v>
      </c>
      <c r="B1340" s="7" t="n">
        <v>4413303</v>
      </c>
      <c r="C1340" s="7" t="s">
        <v>755</v>
      </c>
      <c r="D1340" s="26" t="n">
        <v>346.6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0</v>
      </c>
      <c r="L1340" s="26" t="n">
        <v>0</v>
      </c>
      <c r="M1340" s="26" t="n">
        <v>0</v>
      </c>
    </row>
    <row r="1341" customFormat="false" ht="15" hidden="false" customHeight="false" outlineLevel="0" collapsed="false">
      <c r="A1341" s="7" t="s">
        <v>85</v>
      </c>
      <c r="B1341" s="7" t="n">
        <v>4413048</v>
      </c>
      <c r="C1341" s="7" t="s">
        <v>756</v>
      </c>
      <c r="D1341" s="26" t="n">
        <v>207</v>
      </c>
      <c r="E1341" s="26" t="n">
        <v>0</v>
      </c>
      <c r="F1341" s="26" t="n">
        <v>0</v>
      </c>
      <c r="G1341" s="26" t="n">
        <v>0</v>
      </c>
      <c r="H1341" s="26" t="n">
        <v>1656</v>
      </c>
      <c r="I1341" s="26" t="n">
        <v>261</v>
      </c>
      <c r="J1341" s="26" t="n">
        <v>0</v>
      </c>
      <c r="K1341" s="26" t="n">
        <v>0</v>
      </c>
      <c r="L1341" s="26" t="n">
        <v>0</v>
      </c>
      <c r="M1341" s="26" t="n">
        <v>0</v>
      </c>
    </row>
    <row r="1342" customFormat="false" ht="15" hidden="false" customHeight="false" outlineLevel="0" collapsed="false">
      <c r="A1342" s="7" t="s">
        <v>87</v>
      </c>
      <c r="B1342" s="7" t="n">
        <v>4413048</v>
      </c>
      <c r="C1342" s="7" t="s">
        <v>756</v>
      </c>
      <c r="D1342" s="26" t="n">
        <v>6098.2</v>
      </c>
      <c r="E1342" s="26" t="n">
        <v>0</v>
      </c>
      <c r="F1342" s="26" t="n">
        <v>0</v>
      </c>
      <c r="G1342" s="26" t="n">
        <v>0</v>
      </c>
      <c r="H1342" s="26" t="n">
        <v>42561.6</v>
      </c>
      <c r="I1342" s="26" t="n">
        <v>7257.2</v>
      </c>
      <c r="J1342" s="26" t="n">
        <v>0</v>
      </c>
      <c r="K1342" s="26" t="n">
        <v>0</v>
      </c>
      <c r="L1342" s="26" t="n">
        <v>0</v>
      </c>
      <c r="M1342" s="26" t="n">
        <v>0</v>
      </c>
    </row>
    <row r="1343" customFormat="false" ht="15" hidden="false" customHeight="false" outlineLevel="0" collapsed="false">
      <c r="A1343" s="7" t="s">
        <v>85</v>
      </c>
      <c r="B1343" s="7" t="n">
        <v>4413049</v>
      </c>
      <c r="C1343" s="7" t="s">
        <v>757</v>
      </c>
      <c r="D1343" s="26" t="n">
        <v>220</v>
      </c>
      <c r="E1343" s="26" t="n">
        <v>0</v>
      </c>
      <c r="F1343" s="26" t="n">
        <v>0</v>
      </c>
      <c r="G1343" s="26" t="n">
        <v>2</v>
      </c>
      <c r="H1343" s="26" t="n">
        <v>1895</v>
      </c>
      <c r="I1343" s="26" t="n">
        <v>251</v>
      </c>
      <c r="J1343" s="26" t="n">
        <v>0</v>
      </c>
      <c r="K1343" s="26" t="n">
        <v>0</v>
      </c>
      <c r="L1343" s="26" t="n">
        <v>0</v>
      </c>
      <c r="M1343" s="26" t="n">
        <v>0</v>
      </c>
    </row>
    <row r="1344" customFormat="false" ht="15" hidden="false" customHeight="false" outlineLevel="0" collapsed="false">
      <c r="A1344" s="7" t="s">
        <v>87</v>
      </c>
      <c r="B1344" s="7" t="n">
        <v>4413049</v>
      </c>
      <c r="C1344" s="7" t="s">
        <v>757</v>
      </c>
      <c r="D1344" s="26" t="n">
        <v>6444.3</v>
      </c>
      <c r="E1344" s="26" t="n">
        <v>0</v>
      </c>
      <c r="F1344" s="26" t="n">
        <v>0</v>
      </c>
      <c r="G1344" s="26" t="n">
        <v>53.5</v>
      </c>
      <c r="H1344" s="26" t="n">
        <v>48710.8</v>
      </c>
      <c r="I1344" s="26" t="n">
        <v>6969.7</v>
      </c>
      <c r="J1344" s="26" t="n">
        <v>0</v>
      </c>
      <c r="K1344" s="26" t="n">
        <v>0</v>
      </c>
      <c r="L1344" s="26" t="n">
        <v>0</v>
      </c>
      <c r="M1344" s="26" t="n">
        <v>0</v>
      </c>
    </row>
    <row r="1345" customFormat="false" ht="15" hidden="false" customHeight="false" outlineLevel="0" collapsed="false">
      <c r="A1345" s="7" t="s">
        <v>85</v>
      </c>
      <c r="B1345" s="7" t="n">
        <v>4413047</v>
      </c>
      <c r="C1345" s="7" t="s">
        <v>758</v>
      </c>
      <c r="D1345" s="26" t="n">
        <v>109</v>
      </c>
      <c r="E1345" s="26" t="n">
        <v>0</v>
      </c>
      <c r="F1345" s="26" t="n">
        <v>3</v>
      </c>
      <c r="G1345" s="26" t="n">
        <v>0</v>
      </c>
      <c r="H1345" s="26" t="n">
        <v>1156</v>
      </c>
      <c r="I1345" s="26" t="n">
        <v>164</v>
      </c>
      <c r="J1345" s="26" t="n">
        <v>0</v>
      </c>
      <c r="K1345" s="26" t="n">
        <v>0</v>
      </c>
      <c r="L1345" s="26" t="n">
        <v>0</v>
      </c>
      <c r="M1345" s="26" t="n">
        <v>0</v>
      </c>
    </row>
    <row r="1346" customFormat="false" ht="15" hidden="false" customHeight="false" outlineLevel="0" collapsed="false">
      <c r="A1346" s="7" t="s">
        <v>87</v>
      </c>
      <c r="B1346" s="7" t="n">
        <v>4413047</v>
      </c>
      <c r="C1346" s="7" t="s">
        <v>758</v>
      </c>
      <c r="D1346" s="26" t="n">
        <v>3246</v>
      </c>
      <c r="E1346" s="26" t="n">
        <v>0</v>
      </c>
      <c r="F1346" s="26" t="n">
        <v>92.7</v>
      </c>
      <c r="G1346" s="26" t="n">
        <v>0</v>
      </c>
      <c r="H1346" s="26" t="n">
        <v>29720.7</v>
      </c>
      <c r="I1346" s="26" t="n">
        <v>4554.6</v>
      </c>
      <c r="J1346" s="26" t="n">
        <v>0</v>
      </c>
      <c r="K1346" s="26" t="n">
        <v>0</v>
      </c>
      <c r="L1346" s="26" t="n">
        <v>0</v>
      </c>
      <c r="M1346" s="26" t="n">
        <v>0</v>
      </c>
    </row>
    <row r="1347" customFormat="false" ht="15" hidden="false" customHeight="false" outlineLevel="0" collapsed="false">
      <c r="A1347" s="7" t="s">
        <v>85</v>
      </c>
      <c r="B1347" s="7" t="n">
        <v>4413050</v>
      </c>
      <c r="C1347" s="7" t="s">
        <v>759</v>
      </c>
      <c r="D1347" s="26" t="n">
        <v>154</v>
      </c>
      <c r="E1347" s="26" t="n">
        <v>0</v>
      </c>
      <c r="F1347" s="26" t="n">
        <v>0</v>
      </c>
      <c r="G1347" s="26" t="n">
        <v>0</v>
      </c>
      <c r="H1347" s="26" t="n">
        <v>1115</v>
      </c>
      <c r="I1347" s="26" t="n">
        <v>147</v>
      </c>
      <c r="J1347" s="26" t="n">
        <v>0</v>
      </c>
      <c r="K1347" s="26" t="n">
        <v>0</v>
      </c>
      <c r="L1347" s="26" t="n">
        <v>0</v>
      </c>
      <c r="M1347" s="26" t="n">
        <v>0</v>
      </c>
    </row>
    <row r="1348" customFormat="false" ht="15" hidden="false" customHeight="false" outlineLevel="0" collapsed="false">
      <c r="A1348" s="7" t="s">
        <v>87</v>
      </c>
      <c r="B1348" s="7" t="n">
        <v>4413050</v>
      </c>
      <c r="C1348" s="7" t="s">
        <v>759</v>
      </c>
      <c r="D1348" s="26" t="n">
        <v>4593.1</v>
      </c>
      <c r="E1348" s="26" t="n">
        <v>0</v>
      </c>
      <c r="F1348" s="26" t="n">
        <v>0</v>
      </c>
      <c r="G1348" s="26" t="n">
        <v>0</v>
      </c>
      <c r="H1348" s="26" t="n">
        <v>28674.2</v>
      </c>
      <c r="I1348" s="26" t="n">
        <v>4086.7</v>
      </c>
      <c r="J1348" s="26" t="n">
        <v>0</v>
      </c>
      <c r="K1348" s="26" t="n">
        <v>0</v>
      </c>
      <c r="L1348" s="26" t="n">
        <v>0</v>
      </c>
      <c r="M1348" s="26" t="n">
        <v>0</v>
      </c>
    </row>
    <row r="1349" customFormat="false" ht="15" hidden="false" customHeight="false" outlineLevel="0" collapsed="false">
      <c r="A1349" s="7" t="s">
        <v>85</v>
      </c>
      <c r="B1349" s="7" t="n">
        <v>4413324</v>
      </c>
      <c r="C1349" s="7" t="s">
        <v>760</v>
      </c>
      <c r="D1349" s="26" t="n">
        <v>8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0</v>
      </c>
      <c r="J1349" s="26" t="n">
        <v>0</v>
      </c>
      <c r="K1349" s="26" t="n">
        <v>0</v>
      </c>
      <c r="L1349" s="26" t="n">
        <v>0</v>
      </c>
      <c r="M1349" s="26" t="n">
        <v>0</v>
      </c>
    </row>
    <row r="1350" customFormat="false" ht="15" hidden="false" customHeight="false" outlineLevel="0" collapsed="false">
      <c r="A1350" s="7" t="s">
        <v>87</v>
      </c>
      <c r="B1350" s="7" t="n">
        <v>4413324</v>
      </c>
      <c r="C1350" s="7" t="s">
        <v>760</v>
      </c>
      <c r="D1350" s="26" t="n">
        <v>240.9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0</v>
      </c>
      <c r="J1350" s="26" t="n">
        <v>0</v>
      </c>
      <c r="K1350" s="26" t="n">
        <v>0</v>
      </c>
      <c r="L1350" s="26" t="n">
        <v>0</v>
      </c>
      <c r="M1350" s="26" t="n">
        <v>0</v>
      </c>
    </row>
    <row r="1351" customFormat="false" ht="15" hidden="false" customHeight="false" outlineLevel="0" collapsed="false">
      <c r="A1351" s="7" t="s">
        <v>85</v>
      </c>
      <c r="B1351" s="7" t="n">
        <v>4413051</v>
      </c>
      <c r="C1351" s="7" t="s">
        <v>761</v>
      </c>
      <c r="D1351" s="26" t="n">
        <v>81</v>
      </c>
      <c r="E1351" s="26" t="n">
        <v>0</v>
      </c>
      <c r="F1351" s="26" t="n">
        <v>0</v>
      </c>
      <c r="G1351" s="26" t="n">
        <v>2</v>
      </c>
      <c r="H1351" s="26" t="n">
        <v>88</v>
      </c>
      <c r="I1351" s="26" t="n">
        <v>77</v>
      </c>
      <c r="J1351" s="26" t="n">
        <v>0</v>
      </c>
      <c r="K1351" s="26" t="n">
        <v>0</v>
      </c>
      <c r="L1351" s="26" t="n">
        <v>0</v>
      </c>
      <c r="M1351" s="26" t="n">
        <v>0</v>
      </c>
    </row>
    <row r="1352" customFormat="false" ht="15" hidden="false" customHeight="false" outlineLevel="0" collapsed="false">
      <c r="A1352" s="7" t="s">
        <v>87</v>
      </c>
      <c r="B1352" s="7" t="n">
        <v>4413051</v>
      </c>
      <c r="C1352" s="7" t="s">
        <v>761</v>
      </c>
      <c r="D1352" s="26" t="n">
        <v>2392.6</v>
      </c>
      <c r="E1352" s="26" t="n">
        <v>0</v>
      </c>
      <c r="F1352" s="26" t="n">
        <v>0</v>
      </c>
      <c r="G1352" s="26" t="n">
        <v>53.5</v>
      </c>
      <c r="H1352" s="26" t="n">
        <v>2262.6</v>
      </c>
      <c r="I1352" s="26" t="n">
        <v>2137.5</v>
      </c>
      <c r="J1352" s="26" t="n">
        <v>0</v>
      </c>
      <c r="K1352" s="26" t="n">
        <v>0</v>
      </c>
      <c r="L1352" s="26" t="n">
        <v>0</v>
      </c>
      <c r="M1352" s="26" t="n">
        <v>0</v>
      </c>
    </row>
    <row r="1353" customFormat="false" ht="15" hidden="false" customHeight="false" outlineLevel="0" collapsed="false">
      <c r="A1353" s="7" t="s">
        <v>85</v>
      </c>
      <c r="B1353" s="7" t="n">
        <v>4413490</v>
      </c>
      <c r="C1353" s="7" t="s">
        <v>762</v>
      </c>
      <c r="D1353" s="26" t="n">
        <v>291</v>
      </c>
      <c r="E1353" s="26" t="n">
        <v>0</v>
      </c>
      <c r="F1353" s="26" t="n">
        <v>2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  <c r="L1353" s="26" t="n">
        <v>0</v>
      </c>
      <c r="M1353" s="26" t="n">
        <v>0</v>
      </c>
    </row>
    <row r="1354" customFormat="false" ht="15" hidden="false" customHeight="false" outlineLevel="0" collapsed="false">
      <c r="A1354" s="7" t="s">
        <v>87</v>
      </c>
      <c r="B1354" s="7" t="n">
        <v>4413490</v>
      </c>
      <c r="C1354" s="7" t="s">
        <v>762</v>
      </c>
      <c r="D1354" s="26" t="n">
        <v>8370</v>
      </c>
      <c r="E1354" s="26" t="n">
        <v>0</v>
      </c>
      <c r="F1354" s="26" t="n">
        <v>29.7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  <c r="L1354" s="26" t="n">
        <v>0</v>
      </c>
      <c r="M1354" s="26" t="n">
        <v>0</v>
      </c>
    </row>
    <row r="1355" customFormat="false" ht="15" hidden="false" customHeight="false" outlineLevel="0" collapsed="false">
      <c r="A1355" s="7" t="s">
        <v>85</v>
      </c>
      <c r="B1355" s="7" t="n">
        <v>4413492</v>
      </c>
      <c r="C1355" s="7" t="s">
        <v>763</v>
      </c>
      <c r="D1355" s="26" t="n">
        <v>264</v>
      </c>
      <c r="E1355" s="26" t="n">
        <v>0</v>
      </c>
      <c r="F1355" s="26" t="n">
        <v>1</v>
      </c>
      <c r="G1355" s="26" t="n">
        <v>0</v>
      </c>
      <c r="H1355" s="26" t="n">
        <v>0</v>
      </c>
      <c r="I1355" s="26" t="n">
        <v>0</v>
      </c>
      <c r="J1355" s="26" t="n">
        <v>0</v>
      </c>
      <c r="K1355" s="26" t="n">
        <v>0</v>
      </c>
      <c r="L1355" s="26" t="n">
        <v>0</v>
      </c>
      <c r="M1355" s="26" t="n">
        <v>0</v>
      </c>
    </row>
    <row r="1356" customFormat="false" ht="15" hidden="false" customHeight="false" outlineLevel="0" collapsed="false">
      <c r="A1356" s="7" t="s">
        <v>87</v>
      </c>
      <c r="B1356" s="7" t="n">
        <v>4413492</v>
      </c>
      <c r="C1356" s="7" t="s">
        <v>763</v>
      </c>
      <c r="D1356" s="26" t="n">
        <v>7783.2</v>
      </c>
      <c r="E1356" s="26" t="n">
        <v>0</v>
      </c>
      <c r="F1356" s="26" t="n">
        <v>29.7</v>
      </c>
      <c r="G1356" s="26" t="n">
        <v>0</v>
      </c>
      <c r="H1356" s="26" t="n">
        <v>0</v>
      </c>
      <c r="I1356" s="26" t="n">
        <v>0</v>
      </c>
      <c r="J1356" s="26" t="n">
        <v>0</v>
      </c>
      <c r="K1356" s="26" t="n">
        <v>0</v>
      </c>
      <c r="L1356" s="26" t="n">
        <v>0</v>
      </c>
      <c r="M1356" s="26" t="n">
        <v>0</v>
      </c>
    </row>
    <row r="1357" customFormat="false" ht="15" hidden="false" customHeight="false" outlineLevel="0" collapsed="false">
      <c r="A1357" s="7" t="s">
        <v>85</v>
      </c>
      <c r="B1357" s="7" t="n">
        <v>4413493</v>
      </c>
      <c r="C1357" s="7" t="s">
        <v>764</v>
      </c>
      <c r="D1357" s="26" t="n">
        <v>135</v>
      </c>
      <c r="E1357" s="26" t="n">
        <v>0</v>
      </c>
      <c r="F1357" s="26" t="n">
        <v>1</v>
      </c>
      <c r="G1357" s="26" t="n">
        <v>0</v>
      </c>
      <c r="H1357" s="26" t="n">
        <v>0</v>
      </c>
      <c r="I1357" s="26" t="n">
        <v>0</v>
      </c>
      <c r="J1357" s="26" t="n">
        <v>0</v>
      </c>
      <c r="K1357" s="26" t="n">
        <v>0</v>
      </c>
      <c r="L1357" s="26" t="n">
        <v>0</v>
      </c>
      <c r="M1357" s="26" t="n">
        <v>0</v>
      </c>
    </row>
    <row r="1358" customFormat="false" ht="15" hidden="false" customHeight="false" outlineLevel="0" collapsed="false">
      <c r="A1358" s="7" t="s">
        <v>87</v>
      </c>
      <c r="B1358" s="7" t="n">
        <v>4413493</v>
      </c>
      <c r="C1358" s="7" t="s">
        <v>764</v>
      </c>
      <c r="D1358" s="26" t="n">
        <v>4108.5</v>
      </c>
      <c r="E1358" s="26" t="n">
        <v>0</v>
      </c>
      <c r="F1358" s="26" t="n">
        <v>29.7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  <c r="L1358" s="26" t="n">
        <v>0</v>
      </c>
      <c r="M1358" s="26" t="n">
        <v>0</v>
      </c>
    </row>
    <row r="1359" customFormat="false" ht="15" hidden="false" customHeight="false" outlineLevel="0" collapsed="false">
      <c r="A1359" s="7" t="s">
        <v>85</v>
      </c>
      <c r="B1359" s="7" t="n">
        <v>4413491</v>
      </c>
      <c r="C1359" s="7" t="s">
        <v>765</v>
      </c>
      <c r="D1359" s="26" t="n">
        <v>183</v>
      </c>
      <c r="E1359" s="26" t="n">
        <v>0</v>
      </c>
      <c r="F1359" s="26" t="n">
        <v>2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  <c r="L1359" s="26" t="n">
        <v>0</v>
      </c>
      <c r="M1359" s="26" t="n">
        <v>0</v>
      </c>
    </row>
    <row r="1360" customFormat="false" ht="15" hidden="false" customHeight="false" outlineLevel="0" collapsed="false">
      <c r="A1360" s="7" t="s">
        <v>87</v>
      </c>
      <c r="B1360" s="7" t="n">
        <v>4413491</v>
      </c>
      <c r="C1360" s="7" t="s">
        <v>765</v>
      </c>
      <c r="D1360" s="26" t="n">
        <v>5494.6</v>
      </c>
      <c r="E1360" s="26" t="n">
        <v>0</v>
      </c>
      <c r="F1360" s="26" t="n">
        <v>59.5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  <c r="L1360" s="26" t="n">
        <v>0</v>
      </c>
      <c r="M1360" s="26" t="n">
        <v>0</v>
      </c>
    </row>
    <row r="1361" customFormat="false" ht="15" hidden="false" customHeight="false" outlineLevel="0" collapsed="false">
      <c r="A1361" s="7" t="s">
        <v>85</v>
      </c>
      <c r="B1361" s="7" t="n">
        <v>4413494</v>
      </c>
      <c r="C1361" s="7" t="s">
        <v>766</v>
      </c>
      <c r="D1361" s="26" t="n">
        <v>47</v>
      </c>
      <c r="E1361" s="26" t="n">
        <v>0</v>
      </c>
      <c r="F1361" s="26" t="n">
        <v>0</v>
      </c>
      <c r="G1361" s="26" t="n">
        <v>0</v>
      </c>
      <c r="H1361" s="26" t="n">
        <v>0</v>
      </c>
      <c r="I1361" s="26" t="n">
        <v>0</v>
      </c>
      <c r="J1361" s="26" t="n">
        <v>0</v>
      </c>
      <c r="K1361" s="26" t="n">
        <v>0</v>
      </c>
      <c r="L1361" s="26" t="n">
        <v>0</v>
      </c>
      <c r="M1361" s="26" t="n">
        <v>0</v>
      </c>
    </row>
    <row r="1362" customFormat="false" ht="15" hidden="false" customHeight="false" outlineLevel="0" collapsed="false">
      <c r="A1362" s="7" t="s">
        <v>87</v>
      </c>
      <c r="B1362" s="7" t="n">
        <v>4413494</v>
      </c>
      <c r="C1362" s="7" t="s">
        <v>766</v>
      </c>
      <c r="D1362" s="26" t="n">
        <v>1423</v>
      </c>
      <c r="E1362" s="26" t="n">
        <v>0</v>
      </c>
      <c r="F1362" s="26" t="n">
        <v>0</v>
      </c>
      <c r="G1362" s="26" t="n">
        <v>0</v>
      </c>
      <c r="H1362" s="26" t="n">
        <v>0</v>
      </c>
      <c r="I1362" s="26" t="n">
        <v>0</v>
      </c>
      <c r="J1362" s="26" t="n">
        <v>0</v>
      </c>
      <c r="K1362" s="26" t="n">
        <v>0</v>
      </c>
      <c r="L1362" s="26" t="n">
        <v>0</v>
      </c>
      <c r="M1362" s="26" t="n">
        <v>0</v>
      </c>
    </row>
    <row r="1363" customFormat="false" ht="15" hidden="false" customHeight="false" outlineLevel="0" collapsed="false">
      <c r="A1363" s="7" t="s">
        <v>85</v>
      </c>
      <c r="B1363" s="7" t="n">
        <v>4413053</v>
      </c>
      <c r="C1363" s="7" t="s">
        <v>767</v>
      </c>
      <c r="D1363" s="26" t="n">
        <v>404</v>
      </c>
      <c r="E1363" s="26" t="n">
        <v>0</v>
      </c>
      <c r="F1363" s="26" t="n">
        <v>0</v>
      </c>
      <c r="G1363" s="26" t="n">
        <v>0</v>
      </c>
      <c r="H1363" s="26" t="n">
        <v>3121</v>
      </c>
      <c r="I1363" s="26" t="n">
        <v>260</v>
      </c>
      <c r="J1363" s="26" t="n">
        <v>0</v>
      </c>
      <c r="K1363" s="26" t="n">
        <v>0</v>
      </c>
      <c r="L1363" s="26" t="n">
        <v>0</v>
      </c>
      <c r="M1363" s="26" t="n">
        <v>0</v>
      </c>
    </row>
    <row r="1364" customFormat="false" ht="15" hidden="false" customHeight="false" outlineLevel="0" collapsed="false">
      <c r="A1364" s="7" t="s">
        <v>87</v>
      </c>
      <c r="B1364" s="7" t="n">
        <v>4413053</v>
      </c>
      <c r="C1364" s="7" t="s">
        <v>767</v>
      </c>
      <c r="D1364" s="26" t="n">
        <v>12092.6</v>
      </c>
      <c r="E1364" s="26" t="n">
        <v>0</v>
      </c>
      <c r="F1364" s="26" t="n">
        <v>0</v>
      </c>
      <c r="G1364" s="26" t="n">
        <v>0</v>
      </c>
      <c r="H1364" s="26" t="n">
        <v>80301.8</v>
      </c>
      <c r="I1364" s="26" t="n">
        <v>7223.5</v>
      </c>
      <c r="J1364" s="26" t="n">
        <v>0</v>
      </c>
      <c r="K1364" s="26" t="n">
        <v>0</v>
      </c>
      <c r="L1364" s="26" t="n">
        <v>0</v>
      </c>
      <c r="M1364" s="26" t="n">
        <v>0</v>
      </c>
    </row>
    <row r="1365" customFormat="false" ht="15" hidden="false" customHeight="false" outlineLevel="0" collapsed="false">
      <c r="A1365" s="7" t="s">
        <v>85</v>
      </c>
      <c r="B1365" s="7" t="n">
        <v>4413054</v>
      </c>
      <c r="C1365" s="7" t="s">
        <v>768</v>
      </c>
      <c r="D1365" s="26" t="n">
        <v>376</v>
      </c>
      <c r="E1365" s="26" t="n">
        <v>0</v>
      </c>
      <c r="F1365" s="26" t="n">
        <v>0</v>
      </c>
      <c r="G1365" s="26" t="n">
        <v>0</v>
      </c>
      <c r="H1365" s="26" t="n">
        <v>3288</v>
      </c>
      <c r="I1365" s="26" t="n">
        <v>327</v>
      </c>
      <c r="J1365" s="26" t="n">
        <v>0</v>
      </c>
      <c r="K1365" s="26" t="n">
        <v>0</v>
      </c>
      <c r="L1365" s="26" t="n">
        <v>0</v>
      </c>
      <c r="M1365" s="26" t="n">
        <v>0</v>
      </c>
    </row>
    <row r="1366" customFormat="false" ht="15" hidden="false" customHeight="false" outlineLevel="0" collapsed="false">
      <c r="A1366" s="7" t="s">
        <v>87</v>
      </c>
      <c r="B1366" s="7" t="n">
        <v>4413054</v>
      </c>
      <c r="C1366" s="7" t="s">
        <v>768</v>
      </c>
      <c r="D1366" s="26" t="n">
        <v>11213</v>
      </c>
      <c r="E1366" s="26" t="n">
        <v>0</v>
      </c>
      <c r="F1366" s="26" t="n">
        <v>0</v>
      </c>
      <c r="G1366" s="26" t="n">
        <v>0</v>
      </c>
      <c r="H1366" s="26" t="n">
        <v>84599.4</v>
      </c>
      <c r="I1366" s="26" t="n">
        <v>9089.4</v>
      </c>
      <c r="J1366" s="26" t="n">
        <v>0</v>
      </c>
      <c r="K1366" s="26" t="n">
        <v>0</v>
      </c>
      <c r="L1366" s="26" t="n">
        <v>0</v>
      </c>
      <c r="M1366" s="26" t="n">
        <v>0</v>
      </c>
    </row>
    <row r="1367" customFormat="false" ht="15" hidden="false" customHeight="false" outlineLevel="0" collapsed="false">
      <c r="A1367" s="7" t="s">
        <v>85</v>
      </c>
      <c r="B1367" s="7" t="n">
        <v>4413052</v>
      </c>
      <c r="C1367" s="7" t="s">
        <v>769</v>
      </c>
      <c r="D1367" s="26" t="n">
        <v>223</v>
      </c>
      <c r="E1367" s="26" t="n">
        <v>0</v>
      </c>
      <c r="F1367" s="26" t="n">
        <v>7</v>
      </c>
      <c r="G1367" s="26" t="n">
        <v>0</v>
      </c>
      <c r="H1367" s="26" t="n">
        <v>2476</v>
      </c>
      <c r="I1367" s="26" t="n">
        <v>180</v>
      </c>
      <c r="J1367" s="26" t="n">
        <v>0</v>
      </c>
      <c r="K1367" s="26" t="n">
        <v>0</v>
      </c>
      <c r="L1367" s="26" t="n">
        <v>0</v>
      </c>
      <c r="M1367" s="26" t="n">
        <v>-1</v>
      </c>
    </row>
    <row r="1368" customFormat="false" ht="15" hidden="false" customHeight="false" outlineLevel="0" collapsed="false">
      <c r="A1368" s="7" t="s">
        <v>87</v>
      </c>
      <c r="B1368" s="7" t="n">
        <v>4413052</v>
      </c>
      <c r="C1368" s="7" t="s">
        <v>769</v>
      </c>
      <c r="D1368" s="26" t="n">
        <v>6630.6</v>
      </c>
      <c r="E1368" s="26" t="n">
        <v>0</v>
      </c>
      <c r="F1368" s="26" t="n">
        <v>216.2</v>
      </c>
      <c r="G1368" s="26" t="n">
        <v>0</v>
      </c>
      <c r="H1368" s="26" t="n">
        <v>63730.9</v>
      </c>
      <c r="I1368" s="26" t="n">
        <v>5004.7</v>
      </c>
      <c r="J1368" s="26" t="n">
        <v>0</v>
      </c>
      <c r="K1368" s="26" t="n">
        <v>0</v>
      </c>
      <c r="L1368" s="26" t="n">
        <v>0</v>
      </c>
      <c r="M1368" s="26" t="n">
        <v>-41.2</v>
      </c>
    </row>
    <row r="1369" customFormat="false" ht="15" hidden="false" customHeight="false" outlineLevel="0" collapsed="false">
      <c r="A1369" s="7" t="s">
        <v>85</v>
      </c>
      <c r="B1369" s="7" t="n">
        <v>4413055</v>
      </c>
      <c r="C1369" s="7" t="s">
        <v>770</v>
      </c>
      <c r="D1369" s="26" t="n">
        <v>243</v>
      </c>
      <c r="E1369" s="26" t="n">
        <v>0</v>
      </c>
      <c r="F1369" s="26" t="n">
        <v>0</v>
      </c>
      <c r="G1369" s="26" t="n">
        <v>0</v>
      </c>
      <c r="H1369" s="26" t="n">
        <v>1866</v>
      </c>
      <c r="I1369" s="26" t="n">
        <v>157</v>
      </c>
      <c r="J1369" s="26" t="n">
        <v>0</v>
      </c>
      <c r="K1369" s="26" t="n">
        <v>0</v>
      </c>
      <c r="L1369" s="26" t="n">
        <v>0</v>
      </c>
      <c r="M1369" s="26" t="n">
        <v>-1</v>
      </c>
    </row>
    <row r="1370" customFormat="false" ht="15" hidden="false" customHeight="false" outlineLevel="0" collapsed="false">
      <c r="A1370" s="7" t="s">
        <v>87</v>
      </c>
      <c r="B1370" s="7" t="n">
        <v>4413055</v>
      </c>
      <c r="C1370" s="7" t="s">
        <v>770</v>
      </c>
      <c r="D1370" s="26" t="n">
        <v>7271.8</v>
      </c>
      <c r="E1370" s="26" t="n">
        <v>0</v>
      </c>
      <c r="F1370" s="26" t="n">
        <v>0</v>
      </c>
      <c r="G1370" s="26" t="n">
        <v>0</v>
      </c>
      <c r="H1370" s="26" t="n">
        <v>47984.9</v>
      </c>
      <c r="I1370" s="26" t="n">
        <v>4368.2</v>
      </c>
      <c r="J1370" s="26" t="n">
        <v>0</v>
      </c>
      <c r="K1370" s="26" t="n">
        <v>0</v>
      </c>
      <c r="L1370" s="26" t="n">
        <v>0</v>
      </c>
      <c r="M1370" s="26" t="n">
        <v>-41.2</v>
      </c>
    </row>
    <row r="1371" customFormat="false" ht="15" hidden="false" customHeight="false" outlineLevel="0" collapsed="false">
      <c r="A1371" s="7" t="s">
        <v>85</v>
      </c>
      <c r="B1371" s="7" t="n">
        <v>4413530</v>
      </c>
      <c r="C1371" s="7" t="s">
        <v>771</v>
      </c>
      <c r="D1371" s="26" t="n">
        <v>1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0</v>
      </c>
      <c r="J1371" s="26" t="n">
        <v>0</v>
      </c>
      <c r="K1371" s="26" t="n">
        <v>0</v>
      </c>
      <c r="L1371" s="26" t="n">
        <v>0</v>
      </c>
      <c r="M1371" s="26" t="n">
        <v>0</v>
      </c>
    </row>
    <row r="1372" customFormat="false" ht="15" hidden="false" customHeight="false" outlineLevel="0" collapsed="false">
      <c r="A1372" s="7" t="s">
        <v>87</v>
      </c>
      <c r="B1372" s="7" t="n">
        <v>4413530</v>
      </c>
      <c r="C1372" s="7" t="s">
        <v>771</v>
      </c>
      <c r="D1372" s="26" t="n">
        <v>28.8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0</v>
      </c>
      <c r="J1372" s="26" t="n">
        <v>0</v>
      </c>
      <c r="K1372" s="26" t="n">
        <v>0</v>
      </c>
      <c r="L1372" s="26" t="n">
        <v>0</v>
      </c>
      <c r="M1372" s="26" t="n">
        <v>0</v>
      </c>
    </row>
    <row r="1373" customFormat="false" ht="15" hidden="false" customHeight="false" outlineLevel="0" collapsed="false">
      <c r="A1373" s="7" t="s">
        <v>85</v>
      </c>
      <c r="B1373" s="7" t="n">
        <v>4413326</v>
      </c>
      <c r="C1373" s="7" t="s">
        <v>772</v>
      </c>
      <c r="D1373" s="26" t="n">
        <v>363</v>
      </c>
      <c r="E1373" s="26" t="n">
        <v>9</v>
      </c>
      <c r="F1373" s="26" t="n">
        <v>2</v>
      </c>
      <c r="G1373" s="26" t="n">
        <v>0</v>
      </c>
      <c r="H1373" s="26" t="n">
        <v>0</v>
      </c>
      <c r="I1373" s="26" t="n">
        <v>0</v>
      </c>
      <c r="J1373" s="26" t="n">
        <v>0</v>
      </c>
      <c r="K1373" s="26" t="n">
        <v>0</v>
      </c>
      <c r="L1373" s="26" t="n">
        <v>0</v>
      </c>
      <c r="M1373" s="26" t="n">
        <v>0</v>
      </c>
    </row>
    <row r="1374" customFormat="false" ht="15" hidden="false" customHeight="false" outlineLevel="0" collapsed="false">
      <c r="A1374" s="7" t="s">
        <v>87</v>
      </c>
      <c r="B1374" s="7" t="n">
        <v>4413326</v>
      </c>
      <c r="C1374" s="7" t="s">
        <v>772</v>
      </c>
      <c r="D1374" s="26" t="n">
        <v>11419.5</v>
      </c>
      <c r="E1374" s="26" t="n">
        <v>321.7</v>
      </c>
      <c r="F1374" s="26" t="n">
        <v>59.5</v>
      </c>
      <c r="G1374" s="26" t="n">
        <v>0</v>
      </c>
      <c r="H1374" s="26" t="n">
        <v>0</v>
      </c>
      <c r="I1374" s="26" t="n">
        <v>0</v>
      </c>
      <c r="J1374" s="26" t="n">
        <v>0</v>
      </c>
      <c r="K1374" s="26" t="n">
        <v>0</v>
      </c>
      <c r="L1374" s="26" t="n">
        <v>0</v>
      </c>
      <c r="M1374" s="26" t="n">
        <v>0</v>
      </c>
    </row>
    <row r="1375" customFormat="false" ht="15" hidden="false" customHeight="false" outlineLevel="0" collapsed="false">
      <c r="A1375" s="7" t="s">
        <v>85</v>
      </c>
      <c r="B1375" s="7" t="n">
        <v>4413534</v>
      </c>
      <c r="C1375" s="7" t="s">
        <v>773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0</v>
      </c>
      <c r="J1375" s="26" t="n">
        <v>0</v>
      </c>
      <c r="K1375" s="26" t="n">
        <v>0</v>
      </c>
      <c r="L1375" s="26" t="n">
        <v>0</v>
      </c>
      <c r="M1375" s="26" t="n">
        <v>0</v>
      </c>
    </row>
    <row r="1376" customFormat="false" ht="15" hidden="false" customHeight="false" outlineLevel="0" collapsed="false">
      <c r="A1376" s="7" t="s">
        <v>87</v>
      </c>
      <c r="B1376" s="7" t="n">
        <v>4413534</v>
      </c>
      <c r="C1376" s="7" t="s">
        <v>773</v>
      </c>
      <c r="D1376" s="26" t="n">
        <v>0</v>
      </c>
      <c r="E1376" s="26" t="n">
        <v>0</v>
      </c>
      <c r="F1376" s="26" t="n">
        <v>0</v>
      </c>
      <c r="G1376" s="26" t="n">
        <v>0</v>
      </c>
      <c r="H1376" s="26" t="n">
        <v>0</v>
      </c>
      <c r="I1376" s="26" t="n">
        <v>0</v>
      </c>
      <c r="J1376" s="26" t="n">
        <v>0</v>
      </c>
      <c r="K1376" s="26" t="n">
        <v>0</v>
      </c>
      <c r="L1376" s="26" t="n">
        <v>0</v>
      </c>
      <c r="M1376" s="26" t="n">
        <v>0</v>
      </c>
    </row>
    <row r="1377" customFormat="false" ht="15" hidden="false" customHeight="false" outlineLevel="0" collapsed="false">
      <c r="A1377" s="7" t="s">
        <v>85</v>
      </c>
      <c r="B1377" s="7" t="n">
        <v>4408269</v>
      </c>
      <c r="C1377" s="7" t="s">
        <v>774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  <c r="L1377" s="26" t="n">
        <v>0</v>
      </c>
      <c r="M1377" s="26" t="n">
        <v>0</v>
      </c>
    </row>
    <row r="1378" customFormat="false" ht="15" hidden="false" customHeight="false" outlineLevel="0" collapsed="false">
      <c r="A1378" s="7" t="s">
        <v>87</v>
      </c>
      <c r="B1378" s="7" t="n">
        <v>4408269</v>
      </c>
      <c r="C1378" s="7" t="s">
        <v>774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  <c r="L1378" s="26" t="n">
        <v>0</v>
      </c>
      <c r="M1378" s="26" t="n">
        <v>0</v>
      </c>
    </row>
    <row r="1379" customFormat="false" ht="15" hidden="false" customHeight="false" outlineLevel="0" collapsed="false">
      <c r="A1379" s="7" t="s">
        <v>85</v>
      </c>
      <c r="B1379" s="7" t="n">
        <v>4415105</v>
      </c>
      <c r="C1379" s="7" t="s">
        <v>775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0</v>
      </c>
      <c r="J1379" s="26" t="n">
        <v>0</v>
      </c>
      <c r="K1379" s="26" t="n">
        <v>0</v>
      </c>
      <c r="L1379" s="26" t="n">
        <v>0</v>
      </c>
      <c r="M1379" s="26" t="n">
        <v>0</v>
      </c>
    </row>
    <row r="1380" customFormat="false" ht="15" hidden="false" customHeight="false" outlineLevel="0" collapsed="false">
      <c r="A1380" s="7" t="s">
        <v>87</v>
      </c>
      <c r="B1380" s="7" t="n">
        <v>4415105</v>
      </c>
      <c r="C1380" s="7" t="s">
        <v>775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0</v>
      </c>
      <c r="J1380" s="26" t="n">
        <v>0</v>
      </c>
      <c r="K1380" s="26" t="n">
        <v>0</v>
      </c>
      <c r="L1380" s="26" t="n">
        <v>0</v>
      </c>
      <c r="M1380" s="26" t="n">
        <v>0</v>
      </c>
    </row>
    <row r="1381" customFormat="false" ht="15" hidden="false" customHeight="false" outlineLevel="0" collapsed="false">
      <c r="A1381" s="7" t="s">
        <v>85</v>
      </c>
      <c r="B1381" s="7" t="n">
        <v>4415084</v>
      </c>
      <c r="C1381" s="7" t="s">
        <v>776</v>
      </c>
      <c r="D1381" s="26" t="n">
        <v>4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0</v>
      </c>
      <c r="J1381" s="26" t="n">
        <v>0</v>
      </c>
      <c r="K1381" s="26" t="n">
        <v>0</v>
      </c>
      <c r="L1381" s="26" t="n">
        <v>0</v>
      </c>
      <c r="M1381" s="26" t="n">
        <v>0</v>
      </c>
    </row>
    <row r="1382" customFormat="false" ht="15" hidden="false" customHeight="false" outlineLevel="0" collapsed="false">
      <c r="A1382" s="7" t="s">
        <v>87</v>
      </c>
      <c r="B1382" s="7" t="n">
        <v>4415084</v>
      </c>
      <c r="C1382" s="7" t="s">
        <v>776</v>
      </c>
      <c r="D1382" s="26" t="n">
        <v>449.8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0</v>
      </c>
      <c r="J1382" s="26" t="n">
        <v>0</v>
      </c>
      <c r="K1382" s="26" t="n">
        <v>0</v>
      </c>
      <c r="L1382" s="26" t="n">
        <v>0</v>
      </c>
      <c r="M1382" s="26" t="n">
        <v>0</v>
      </c>
    </row>
    <row r="1383" customFormat="false" ht="15" hidden="false" customHeight="false" outlineLevel="0" collapsed="false">
      <c r="A1383" s="7" t="s">
        <v>85</v>
      </c>
      <c r="B1383" s="7" t="n">
        <v>4415083</v>
      </c>
      <c r="C1383" s="7" t="s">
        <v>777</v>
      </c>
      <c r="D1383" s="26" t="n">
        <v>4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0</v>
      </c>
      <c r="J1383" s="26" t="n">
        <v>0</v>
      </c>
      <c r="K1383" s="26" t="n">
        <v>0</v>
      </c>
      <c r="L1383" s="26" t="n">
        <v>0</v>
      </c>
      <c r="M1383" s="26" t="n">
        <v>0</v>
      </c>
    </row>
    <row r="1384" customFormat="false" ht="15" hidden="false" customHeight="false" outlineLevel="0" collapsed="false">
      <c r="A1384" s="7" t="s">
        <v>87</v>
      </c>
      <c r="B1384" s="7" t="n">
        <v>4415083</v>
      </c>
      <c r="C1384" s="7" t="s">
        <v>777</v>
      </c>
      <c r="D1384" s="26" t="n">
        <v>438.5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0</v>
      </c>
      <c r="J1384" s="26" t="n">
        <v>0</v>
      </c>
      <c r="K1384" s="26" t="n">
        <v>0</v>
      </c>
      <c r="L1384" s="26" t="n">
        <v>0</v>
      </c>
      <c r="M1384" s="26" t="n">
        <v>0</v>
      </c>
    </row>
    <row r="1385" customFormat="false" ht="15" hidden="false" customHeight="false" outlineLevel="0" collapsed="false">
      <c r="A1385" s="7" t="s">
        <v>85</v>
      </c>
      <c r="B1385" s="7" t="n">
        <v>4415120</v>
      </c>
      <c r="C1385" s="7" t="s">
        <v>778</v>
      </c>
      <c r="D1385" s="26" t="n">
        <v>1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0</v>
      </c>
      <c r="J1385" s="26" t="n">
        <v>0</v>
      </c>
      <c r="K1385" s="26" t="n">
        <v>0</v>
      </c>
      <c r="L1385" s="26" t="n">
        <v>0</v>
      </c>
      <c r="M1385" s="26" t="n">
        <v>0</v>
      </c>
    </row>
    <row r="1386" customFormat="false" ht="15" hidden="false" customHeight="false" outlineLevel="0" collapsed="false">
      <c r="A1386" s="7" t="s">
        <v>87</v>
      </c>
      <c r="B1386" s="7" t="n">
        <v>4415120</v>
      </c>
      <c r="C1386" s="7" t="s">
        <v>778</v>
      </c>
      <c r="D1386" s="26" t="n">
        <v>137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0</v>
      </c>
      <c r="J1386" s="26" t="n">
        <v>0</v>
      </c>
      <c r="K1386" s="26" t="n">
        <v>0</v>
      </c>
      <c r="L1386" s="26" t="n">
        <v>0</v>
      </c>
      <c r="M1386" s="26" t="n">
        <v>0</v>
      </c>
    </row>
    <row r="1387" customFormat="false" ht="15" hidden="false" customHeight="false" outlineLevel="0" collapsed="false">
      <c r="A1387" s="7" t="s">
        <v>85</v>
      </c>
      <c r="B1387" s="7" t="n">
        <v>4413217</v>
      </c>
      <c r="C1387" s="7" t="s">
        <v>779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-4</v>
      </c>
      <c r="J1387" s="26" t="n">
        <v>0</v>
      </c>
      <c r="K1387" s="26" t="n">
        <v>0</v>
      </c>
      <c r="L1387" s="26" t="n">
        <v>0</v>
      </c>
      <c r="M1387" s="26" t="n">
        <v>0</v>
      </c>
    </row>
    <row r="1388" customFormat="false" ht="15" hidden="false" customHeight="false" outlineLevel="0" collapsed="false">
      <c r="A1388" s="7" t="s">
        <v>87</v>
      </c>
      <c r="B1388" s="7" t="n">
        <v>4413217</v>
      </c>
      <c r="C1388" s="7" t="s">
        <v>779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-246.9</v>
      </c>
      <c r="J1388" s="26" t="n">
        <v>0</v>
      </c>
      <c r="K1388" s="26" t="n">
        <v>0</v>
      </c>
      <c r="L1388" s="26" t="n">
        <v>0</v>
      </c>
      <c r="M1388" s="26" t="n">
        <v>0</v>
      </c>
    </row>
    <row r="1389" customFormat="false" ht="15" hidden="false" customHeight="false" outlineLevel="0" collapsed="false">
      <c r="A1389" s="7" t="s">
        <v>85</v>
      </c>
      <c r="B1389" s="7" t="n">
        <v>4413216</v>
      </c>
      <c r="C1389" s="7" t="s">
        <v>780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-1</v>
      </c>
      <c r="J1389" s="26" t="n">
        <v>0</v>
      </c>
      <c r="K1389" s="26" t="n">
        <v>0</v>
      </c>
      <c r="L1389" s="26" t="n">
        <v>0</v>
      </c>
      <c r="M1389" s="26" t="n">
        <v>0</v>
      </c>
    </row>
    <row r="1390" customFormat="false" ht="15" hidden="false" customHeight="false" outlineLevel="0" collapsed="false">
      <c r="A1390" s="7" t="s">
        <v>87</v>
      </c>
      <c r="B1390" s="7" t="n">
        <v>4413216</v>
      </c>
      <c r="C1390" s="7" t="s">
        <v>780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-69.7</v>
      </c>
      <c r="J1390" s="26" t="n">
        <v>0</v>
      </c>
      <c r="K1390" s="26" t="n">
        <v>0</v>
      </c>
      <c r="L1390" s="26" t="n">
        <v>0</v>
      </c>
      <c r="M1390" s="26" t="n">
        <v>0</v>
      </c>
    </row>
    <row r="1391" customFormat="false" ht="15" hidden="false" customHeight="false" outlineLevel="0" collapsed="false">
      <c r="A1391" s="7" t="s">
        <v>85</v>
      </c>
      <c r="B1391" s="7" t="n">
        <v>4413215</v>
      </c>
      <c r="C1391" s="7" t="s">
        <v>781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0</v>
      </c>
      <c r="L1391" s="26" t="n">
        <v>0</v>
      </c>
      <c r="M1391" s="26" t="n">
        <v>0</v>
      </c>
    </row>
    <row r="1392" customFormat="false" ht="15" hidden="false" customHeight="false" outlineLevel="0" collapsed="false">
      <c r="A1392" s="7" t="s">
        <v>87</v>
      </c>
      <c r="B1392" s="7" t="n">
        <v>4413215</v>
      </c>
      <c r="C1392" s="7" t="s">
        <v>781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0</v>
      </c>
      <c r="L1392" s="26" t="n">
        <v>0</v>
      </c>
      <c r="M1392" s="26" t="n">
        <v>0</v>
      </c>
    </row>
    <row r="1393" customFormat="false" ht="15" hidden="false" customHeight="false" outlineLevel="0" collapsed="false">
      <c r="A1393" s="7" t="s">
        <v>85</v>
      </c>
      <c r="B1393" s="7" t="n">
        <v>4413218</v>
      </c>
      <c r="C1393" s="7" t="s">
        <v>782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-2</v>
      </c>
      <c r="J1393" s="26" t="n">
        <v>0</v>
      </c>
      <c r="K1393" s="26" t="n">
        <v>0</v>
      </c>
      <c r="L1393" s="26" t="n">
        <v>0</v>
      </c>
      <c r="M1393" s="26" t="n">
        <v>0</v>
      </c>
    </row>
    <row r="1394" customFormat="false" ht="15" hidden="false" customHeight="false" outlineLevel="0" collapsed="false">
      <c r="A1394" s="7" t="s">
        <v>87</v>
      </c>
      <c r="B1394" s="7" t="n">
        <v>4413218</v>
      </c>
      <c r="C1394" s="7" t="s">
        <v>782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-131.5</v>
      </c>
      <c r="J1394" s="26" t="n">
        <v>0</v>
      </c>
      <c r="K1394" s="26" t="n">
        <v>0</v>
      </c>
      <c r="L1394" s="26" t="n">
        <v>0</v>
      </c>
      <c r="M1394" s="26" t="n">
        <v>0</v>
      </c>
    </row>
    <row r="1395" customFormat="false" ht="15" hidden="false" customHeight="false" outlineLevel="0" collapsed="false">
      <c r="A1395" s="7" t="s">
        <v>85</v>
      </c>
      <c r="B1395" s="7" t="n">
        <v>4420036</v>
      </c>
      <c r="C1395" s="7" t="s">
        <v>783</v>
      </c>
      <c r="D1395" s="26" t="n">
        <v>28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0</v>
      </c>
      <c r="J1395" s="26" t="n">
        <v>0</v>
      </c>
      <c r="K1395" s="26" t="n">
        <v>0</v>
      </c>
      <c r="L1395" s="26" t="n">
        <v>0</v>
      </c>
      <c r="M1395" s="26" t="n">
        <v>0</v>
      </c>
    </row>
    <row r="1396" customFormat="false" ht="15" hidden="false" customHeight="false" outlineLevel="0" collapsed="false">
      <c r="A1396" s="7" t="s">
        <v>87</v>
      </c>
      <c r="B1396" s="7" t="n">
        <v>4420036</v>
      </c>
      <c r="C1396" s="7" t="s">
        <v>783</v>
      </c>
      <c r="D1396" s="26" t="n">
        <v>1431.1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0</v>
      </c>
      <c r="J1396" s="26" t="n">
        <v>0</v>
      </c>
      <c r="K1396" s="26" t="n">
        <v>0</v>
      </c>
      <c r="L1396" s="26" t="n">
        <v>0</v>
      </c>
      <c r="M1396" s="26" t="n">
        <v>0</v>
      </c>
    </row>
    <row r="1397" customFormat="false" ht="15" hidden="false" customHeight="false" outlineLevel="0" collapsed="false">
      <c r="A1397" s="7" t="s">
        <v>85</v>
      </c>
      <c r="B1397" s="7" t="n">
        <v>4420035</v>
      </c>
      <c r="C1397" s="7" t="s">
        <v>784</v>
      </c>
      <c r="D1397" s="26" t="n">
        <v>8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0</v>
      </c>
      <c r="J1397" s="26" t="n">
        <v>0</v>
      </c>
      <c r="K1397" s="26" t="n">
        <v>0</v>
      </c>
      <c r="L1397" s="26" t="n">
        <v>0</v>
      </c>
      <c r="M1397" s="26" t="n">
        <v>0</v>
      </c>
    </row>
    <row r="1398" customFormat="false" ht="15" hidden="false" customHeight="false" outlineLevel="0" collapsed="false">
      <c r="A1398" s="7" t="s">
        <v>87</v>
      </c>
      <c r="B1398" s="7" t="n">
        <v>4420035</v>
      </c>
      <c r="C1398" s="7" t="s">
        <v>784</v>
      </c>
      <c r="D1398" s="26" t="n">
        <v>401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0</v>
      </c>
      <c r="J1398" s="26" t="n">
        <v>0</v>
      </c>
      <c r="K1398" s="26" t="n">
        <v>0</v>
      </c>
      <c r="L1398" s="26" t="n">
        <v>0</v>
      </c>
      <c r="M1398" s="26" t="n">
        <v>0</v>
      </c>
    </row>
    <row r="1399" customFormat="false" ht="15" hidden="false" customHeight="false" outlineLevel="0" collapsed="false">
      <c r="A1399" s="7" t="s">
        <v>85</v>
      </c>
      <c r="B1399" s="7" t="n">
        <v>4420038</v>
      </c>
      <c r="C1399" s="7" t="s">
        <v>785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0</v>
      </c>
      <c r="J1399" s="26" t="n">
        <v>0</v>
      </c>
      <c r="K1399" s="26" t="n">
        <v>0</v>
      </c>
      <c r="L1399" s="26" t="n">
        <v>0</v>
      </c>
      <c r="M1399" s="26" t="n">
        <v>0</v>
      </c>
    </row>
    <row r="1400" customFormat="false" ht="15" hidden="false" customHeight="false" outlineLevel="0" collapsed="false">
      <c r="A1400" s="7" t="s">
        <v>87</v>
      </c>
      <c r="B1400" s="7" t="n">
        <v>4420038</v>
      </c>
      <c r="C1400" s="7" t="s">
        <v>785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0</v>
      </c>
      <c r="J1400" s="26" t="n">
        <v>0</v>
      </c>
      <c r="K1400" s="26" t="n">
        <v>0</v>
      </c>
      <c r="L1400" s="26" t="n">
        <v>0</v>
      </c>
      <c r="M1400" s="26" t="n">
        <v>0</v>
      </c>
    </row>
    <row r="1401" customFormat="false" ht="15" hidden="false" customHeight="false" outlineLevel="0" collapsed="false">
      <c r="A1401" s="7" t="s">
        <v>85</v>
      </c>
      <c r="B1401" s="7" t="n">
        <v>4420037</v>
      </c>
      <c r="C1401" s="7" t="s">
        <v>786</v>
      </c>
      <c r="D1401" s="26" t="n">
        <v>-2</v>
      </c>
      <c r="E1401" s="26" t="n">
        <v>0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0</v>
      </c>
      <c r="L1401" s="26" t="n">
        <v>0</v>
      </c>
      <c r="M1401" s="26" t="n">
        <v>0</v>
      </c>
    </row>
    <row r="1402" customFormat="false" ht="15" hidden="false" customHeight="false" outlineLevel="0" collapsed="false">
      <c r="A1402" s="7" t="s">
        <v>87</v>
      </c>
      <c r="B1402" s="7" t="n">
        <v>4420037</v>
      </c>
      <c r="C1402" s="7" t="s">
        <v>786</v>
      </c>
      <c r="D1402" s="26" t="n">
        <v>-100</v>
      </c>
      <c r="E1402" s="26" t="n">
        <v>-7.2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0</v>
      </c>
      <c r="L1402" s="26" t="n">
        <v>0</v>
      </c>
      <c r="M1402" s="26" t="n">
        <v>0</v>
      </c>
    </row>
    <row r="1403" customFormat="false" ht="15" hidden="false" customHeight="false" outlineLevel="0" collapsed="false">
      <c r="A1403" s="7" t="s">
        <v>85</v>
      </c>
      <c r="B1403" s="7" t="n">
        <v>4420028</v>
      </c>
      <c r="C1403" s="7" t="s">
        <v>787</v>
      </c>
      <c r="D1403" s="26" t="n">
        <v>-1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  <c r="L1403" s="26" t="n">
        <v>0</v>
      </c>
      <c r="M1403" s="26" t="n">
        <v>0</v>
      </c>
    </row>
    <row r="1404" customFormat="false" ht="15" hidden="false" customHeight="false" outlineLevel="0" collapsed="false">
      <c r="A1404" s="7" t="s">
        <v>87</v>
      </c>
      <c r="B1404" s="7" t="n">
        <v>4420028</v>
      </c>
      <c r="C1404" s="7" t="s">
        <v>787</v>
      </c>
      <c r="D1404" s="26" t="n">
        <v>-43.2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0</v>
      </c>
      <c r="J1404" s="26" t="n">
        <v>0</v>
      </c>
      <c r="K1404" s="26" t="n">
        <v>0</v>
      </c>
      <c r="L1404" s="26" t="n">
        <v>0</v>
      </c>
      <c r="M1404" s="26" t="n">
        <v>0</v>
      </c>
    </row>
    <row r="1405" customFormat="false" ht="15" hidden="false" customHeight="false" outlineLevel="0" collapsed="false">
      <c r="A1405" s="7" t="s">
        <v>85</v>
      </c>
      <c r="B1405" s="7" t="n">
        <v>4420000</v>
      </c>
      <c r="C1405" s="7" t="s">
        <v>788</v>
      </c>
      <c r="D1405" s="26" t="n">
        <v>410</v>
      </c>
      <c r="E1405" s="26" t="n">
        <v>6</v>
      </c>
      <c r="F1405" s="26" t="n">
        <v>12</v>
      </c>
      <c r="G1405" s="26" t="n">
        <v>0</v>
      </c>
      <c r="H1405" s="26" t="n">
        <v>0</v>
      </c>
      <c r="I1405" s="26" t="n">
        <v>330</v>
      </c>
      <c r="J1405" s="26" t="n">
        <v>0</v>
      </c>
      <c r="K1405" s="26" t="n">
        <v>0</v>
      </c>
      <c r="L1405" s="26" t="n">
        <v>0</v>
      </c>
      <c r="M1405" s="26" t="n">
        <v>0</v>
      </c>
    </row>
    <row r="1406" customFormat="false" ht="15" hidden="false" customHeight="false" outlineLevel="0" collapsed="false">
      <c r="A1406" s="7" t="s">
        <v>87</v>
      </c>
      <c r="B1406" s="7" t="n">
        <v>4420000</v>
      </c>
      <c r="C1406" s="7" t="s">
        <v>788</v>
      </c>
      <c r="D1406" s="26" t="n">
        <v>4895.4</v>
      </c>
      <c r="E1406" s="26" t="n">
        <v>78.5</v>
      </c>
      <c r="F1406" s="26" t="n">
        <v>45.8</v>
      </c>
      <c r="G1406" s="26" t="n">
        <v>0</v>
      </c>
      <c r="H1406" s="26" t="n">
        <v>0</v>
      </c>
      <c r="I1406" s="26" t="n">
        <v>3524.3</v>
      </c>
      <c r="J1406" s="26" t="n">
        <v>0</v>
      </c>
      <c r="K1406" s="26" t="n">
        <v>0</v>
      </c>
      <c r="L1406" s="26" t="n">
        <v>0</v>
      </c>
      <c r="M1406" s="26" t="n">
        <v>0</v>
      </c>
    </row>
    <row r="1407" customFormat="false" ht="15" hidden="false" customHeight="false" outlineLevel="0" collapsed="false">
      <c r="A1407" s="7" t="s">
        <v>85</v>
      </c>
      <c r="B1407" s="7" t="n">
        <v>4420027</v>
      </c>
      <c r="C1407" s="7" t="s">
        <v>789</v>
      </c>
      <c r="D1407" s="26" t="n">
        <v>40</v>
      </c>
      <c r="E1407" s="26" t="n">
        <v>0</v>
      </c>
      <c r="F1407" s="26" t="n">
        <v>6</v>
      </c>
      <c r="G1407" s="26" t="n">
        <v>12</v>
      </c>
      <c r="H1407" s="26" t="n">
        <v>140</v>
      </c>
      <c r="I1407" s="26" t="n">
        <v>0</v>
      </c>
      <c r="J1407" s="26" t="n">
        <v>0</v>
      </c>
      <c r="K1407" s="26" t="n">
        <v>0</v>
      </c>
      <c r="L1407" s="26" t="n">
        <v>0</v>
      </c>
      <c r="M1407" s="26" t="n">
        <v>0</v>
      </c>
    </row>
    <row r="1408" customFormat="false" ht="15" hidden="false" customHeight="false" outlineLevel="0" collapsed="false">
      <c r="A1408" s="7" t="s">
        <v>87</v>
      </c>
      <c r="B1408" s="7" t="n">
        <v>4420027</v>
      </c>
      <c r="C1408" s="7" t="s">
        <v>789</v>
      </c>
      <c r="D1408" s="26" t="n">
        <v>472.3</v>
      </c>
      <c r="E1408" s="26" t="n">
        <v>0</v>
      </c>
      <c r="F1408" s="26" t="n">
        <v>70.6</v>
      </c>
      <c r="G1408" s="26" t="n">
        <v>136</v>
      </c>
      <c r="H1408" s="26" t="n">
        <v>1434.1</v>
      </c>
      <c r="I1408" s="26" t="n">
        <v>0</v>
      </c>
      <c r="J1408" s="26" t="n">
        <v>0</v>
      </c>
      <c r="K1408" s="26" t="n">
        <v>0</v>
      </c>
      <c r="L1408" s="26" t="n">
        <v>0</v>
      </c>
      <c r="M1408" s="26" t="n">
        <v>0</v>
      </c>
    </row>
    <row r="1409" customFormat="false" ht="15" hidden="false" customHeight="false" outlineLevel="0" collapsed="false">
      <c r="A1409" s="7" t="s">
        <v>85</v>
      </c>
      <c r="B1409" s="7" t="n">
        <v>4420001</v>
      </c>
      <c r="C1409" s="7" t="s">
        <v>790</v>
      </c>
      <c r="D1409" s="26" t="n">
        <v>136</v>
      </c>
      <c r="E1409" s="26" t="n">
        <v>0</v>
      </c>
      <c r="F1409" s="26" t="n">
        <v>12</v>
      </c>
      <c r="G1409" s="26" t="n">
        <v>0</v>
      </c>
      <c r="H1409" s="26" t="n">
        <v>34</v>
      </c>
      <c r="I1409" s="26" t="n">
        <v>54</v>
      </c>
      <c r="J1409" s="26" t="n">
        <v>0</v>
      </c>
      <c r="K1409" s="26" t="n">
        <v>0</v>
      </c>
      <c r="L1409" s="26" t="n">
        <v>0</v>
      </c>
      <c r="M1409" s="26" t="n">
        <v>0</v>
      </c>
    </row>
    <row r="1410" customFormat="false" ht="15" hidden="false" customHeight="false" outlineLevel="0" collapsed="false">
      <c r="A1410" s="7" t="s">
        <v>87</v>
      </c>
      <c r="B1410" s="7" t="n">
        <v>4420001</v>
      </c>
      <c r="C1410" s="7" t="s">
        <v>790</v>
      </c>
      <c r="D1410" s="26" t="n">
        <v>1504.7</v>
      </c>
      <c r="E1410" s="26" t="n">
        <v>0</v>
      </c>
      <c r="F1410" s="26" t="n">
        <v>114.4</v>
      </c>
      <c r="G1410" s="26" t="n">
        <v>0</v>
      </c>
      <c r="H1410" s="26" t="n">
        <v>336.9</v>
      </c>
      <c r="I1410" s="26" t="n">
        <v>576.7</v>
      </c>
      <c r="J1410" s="26" t="n">
        <v>0</v>
      </c>
      <c r="K1410" s="26" t="n">
        <v>0</v>
      </c>
      <c r="L1410" s="26" t="n">
        <v>0</v>
      </c>
      <c r="M1410" s="26" t="n">
        <v>0</v>
      </c>
    </row>
    <row r="1411" customFormat="false" ht="15" hidden="false" customHeight="false" outlineLevel="0" collapsed="false">
      <c r="A1411" s="7" t="s">
        <v>85</v>
      </c>
      <c r="B1411" s="7" t="n">
        <v>4420002</v>
      </c>
      <c r="C1411" s="7" t="s">
        <v>791</v>
      </c>
      <c r="D1411" s="26" t="n">
        <v>547</v>
      </c>
      <c r="E1411" s="26" t="n">
        <v>6</v>
      </c>
      <c r="F1411" s="26" t="n">
        <v>6</v>
      </c>
      <c r="G1411" s="26" t="n">
        <v>70</v>
      </c>
      <c r="H1411" s="26" t="n">
        <v>0</v>
      </c>
      <c r="I1411" s="26" t="n">
        <v>234</v>
      </c>
      <c r="J1411" s="26" t="n">
        <v>0</v>
      </c>
      <c r="K1411" s="26" t="n">
        <v>0</v>
      </c>
      <c r="L1411" s="26" t="n">
        <v>0</v>
      </c>
      <c r="M1411" s="26" t="n">
        <v>0</v>
      </c>
    </row>
    <row r="1412" customFormat="false" ht="15" hidden="false" customHeight="false" outlineLevel="0" collapsed="false">
      <c r="A1412" s="7" t="s">
        <v>87</v>
      </c>
      <c r="B1412" s="7" t="n">
        <v>4420002</v>
      </c>
      <c r="C1412" s="7" t="s">
        <v>791</v>
      </c>
      <c r="D1412" s="26" t="n">
        <v>7908</v>
      </c>
      <c r="E1412" s="26" t="n">
        <v>92.5</v>
      </c>
      <c r="F1412" s="26" t="n">
        <v>28.7</v>
      </c>
      <c r="G1412" s="26" t="n">
        <v>935.5</v>
      </c>
      <c r="H1412" s="26" t="n">
        <v>0</v>
      </c>
      <c r="I1412" s="26" t="n">
        <v>3171.7</v>
      </c>
      <c r="J1412" s="26" t="n">
        <v>0</v>
      </c>
      <c r="K1412" s="26" t="n">
        <v>0</v>
      </c>
      <c r="L1412" s="26" t="n">
        <v>0</v>
      </c>
      <c r="M1412" s="26" t="n">
        <v>0</v>
      </c>
    </row>
    <row r="1413" customFormat="false" ht="15" hidden="false" customHeight="false" outlineLevel="0" collapsed="false">
      <c r="A1413" s="7" t="s">
        <v>85</v>
      </c>
      <c r="B1413" s="7" t="n">
        <v>4420003</v>
      </c>
      <c r="C1413" s="7" t="s">
        <v>792</v>
      </c>
      <c r="D1413" s="26" t="n">
        <v>286</v>
      </c>
      <c r="E1413" s="26" t="n">
        <v>6</v>
      </c>
      <c r="F1413" s="26" t="n">
        <v>12</v>
      </c>
      <c r="G1413" s="26" t="n">
        <v>0</v>
      </c>
      <c r="H1413" s="26" t="n">
        <v>0</v>
      </c>
      <c r="I1413" s="26" t="n">
        <v>168</v>
      </c>
      <c r="J1413" s="26" t="n">
        <v>0</v>
      </c>
      <c r="K1413" s="26" t="n">
        <v>0</v>
      </c>
      <c r="L1413" s="26" t="n">
        <v>0</v>
      </c>
      <c r="M1413" s="26" t="n">
        <v>0</v>
      </c>
    </row>
    <row r="1414" customFormat="false" ht="15" hidden="false" customHeight="false" outlineLevel="0" collapsed="false">
      <c r="A1414" s="7" t="s">
        <v>87</v>
      </c>
      <c r="B1414" s="7" t="n">
        <v>4420003</v>
      </c>
      <c r="C1414" s="7" t="s">
        <v>792</v>
      </c>
      <c r="D1414" s="26" t="n">
        <v>4003.4</v>
      </c>
      <c r="E1414" s="26" t="n">
        <v>92.5</v>
      </c>
      <c r="F1414" s="26" t="n">
        <v>57.3</v>
      </c>
      <c r="G1414" s="26" t="n">
        <v>0</v>
      </c>
      <c r="H1414" s="26" t="n">
        <v>0</v>
      </c>
      <c r="I1414" s="26" t="n">
        <v>2246.9</v>
      </c>
      <c r="J1414" s="26" t="n">
        <v>0</v>
      </c>
      <c r="K1414" s="26" t="n">
        <v>0</v>
      </c>
      <c r="L1414" s="26" t="n">
        <v>0</v>
      </c>
      <c r="M1414" s="26" t="n">
        <v>0</v>
      </c>
    </row>
    <row r="1415" customFormat="false" ht="15" hidden="false" customHeight="false" outlineLevel="0" collapsed="false">
      <c r="A1415" s="7" t="s">
        <v>85</v>
      </c>
      <c r="B1415" s="7" t="n">
        <v>4420007</v>
      </c>
      <c r="C1415" s="7" t="s">
        <v>793</v>
      </c>
      <c r="D1415" s="26" t="n">
        <v>2</v>
      </c>
      <c r="E1415" s="26" t="n">
        <v>0</v>
      </c>
      <c r="F1415" s="26" t="n">
        <v>0</v>
      </c>
      <c r="G1415" s="26" t="n">
        <v>0</v>
      </c>
      <c r="H1415" s="26" t="n">
        <v>6</v>
      </c>
      <c r="I1415" s="26" t="n">
        <v>-1</v>
      </c>
      <c r="J1415" s="26" t="n">
        <v>0</v>
      </c>
      <c r="K1415" s="26" t="n">
        <v>0</v>
      </c>
      <c r="L1415" s="26" t="n">
        <v>0</v>
      </c>
      <c r="M1415" s="26" t="n">
        <v>0</v>
      </c>
    </row>
    <row r="1416" customFormat="false" ht="15" hidden="false" customHeight="false" outlineLevel="0" collapsed="false">
      <c r="A1416" s="7" t="s">
        <v>87</v>
      </c>
      <c r="B1416" s="7" t="n">
        <v>4420007</v>
      </c>
      <c r="C1416" s="7" t="s">
        <v>793</v>
      </c>
      <c r="D1416" s="26" t="n">
        <v>81.5</v>
      </c>
      <c r="E1416" s="26" t="n">
        <v>0</v>
      </c>
      <c r="F1416" s="26" t="n">
        <v>0</v>
      </c>
      <c r="G1416" s="26" t="n">
        <v>0</v>
      </c>
      <c r="H1416" s="26" t="n">
        <v>219.1</v>
      </c>
      <c r="I1416" s="26" t="n">
        <v>-47.3</v>
      </c>
      <c r="J1416" s="26" t="n">
        <v>0</v>
      </c>
      <c r="K1416" s="26" t="n">
        <v>0</v>
      </c>
      <c r="L1416" s="26" t="n">
        <v>0</v>
      </c>
      <c r="M1416" s="26" t="n">
        <v>0</v>
      </c>
    </row>
    <row r="1417" customFormat="false" ht="15" hidden="false" customHeight="false" outlineLevel="0" collapsed="false">
      <c r="A1417" s="7" t="s">
        <v>85</v>
      </c>
      <c r="B1417" s="7" t="n">
        <v>4420012</v>
      </c>
      <c r="C1417" s="7" t="s">
        <v>794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3</v>
      </c>
      <c r="I1417" s="26" t="n">
        <v>-1</v>
      </c>
      <c r="J1417" s="26" t="n">
        <v>0</v>
      </c>
      <c r="K1417" s="26" t="n">
        <v>0</v>
      </c>
      <c r="L1417" s="26" t="n">
        <v>0</v>
      </c>
      <c r="M1417" s="26" t="n">
        <v>0</v>
      </c>
    </row>
    <row r="1418" customFormat="false" ht="15" hidden="false" customHeight="false" outlineLevel="0" collapsed="false">
      <c r="A1418" s="7" t="s">
        <v>87</v>
      </c>
      <c r="B1418" s="7" t="n">
        <v>4420012</v>
      </c>
      <c r="C1418" s="7" t="s">
        <v>794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109.6</v>
      </c>
      <c r="I1418" s="26" t="n">
        <v>-55.2</v>
      </c>
      <c r="J1418" s="26" t="n">
        <v>0</v>
      </c>
      <c r="K1418" s="26" t="n">
        <v>0</v>
      </c>
      <c r="L1418" s="26" t="n">
        <v>0</v>
      </c>
      <c r="M1418" s="26" t="n">
        <v>0</v>
      </c>
    </row>
    <row r="1419" customFormat="false" ht="15" hidden="false" customHeight="false" outlineLevel="0" collapsed="false">
      <c r="A1419" s="7" t="s">
        <v>85</v>
      </c>
      <c r="B1419" s="7" t="n">
        <v>4420004</v>
      </c>
      <c r="C1419" s="7" t="s">
        <v>795</v>
      </c>
      <c r="D1419" s="26" t="n">
        <v>3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4</v>
      </c>
      <c r="J1419" s="26" t="n">
        <v>0</v>
      </c>
      <c r="K1419" s="26" t="n">
        <v>0</v>
      </c>
      <c r="L1419" s="26" t="n">
        <v>0</v>
      </c>
      <c r="M1419" s="26" t="n">
        <v>0</v>
      </c>
    </row>
    <row r="1420" customFormat="false" ht="15" hidden="false" customHeight="false" outlineLevel="0" collapsed="false">
      <c r="A1420" s="7" t="s">
        <v>87</v>
      </c>
      <c r="B1420" s="7" t="n">
        <v>4420004</v>
      </c>
      <c r="C1420" s="7" t="s">
        <v>795</v>
      </c>
      <c r="D1420" s="26" t="n">
        <v>126.9</v>
      </c>
      <c r="E1420" s="26" t="n">
        <v>0</v>
      </c>
      <c r="F1420" s="26" t="n">
        <v>-84.2</v>
      </c>
      <c r="G1420" s="26" t="n">
        <v>0</v>
      </c>
      <c r="H1420" s="26" t="n">
        <v>0</v>
      </c>
      <c r="I1420" s="26" t="n">
        <v>157.3</v>
      </c>
      <c r="J1420" s="26" t="n">
        <v>0</v>
      </c>
      <c r="K1420" s="26" t="n">
        <v>0</v>
      </c>
      <c r="L1420" s="26" t="n">
        <v>0</v>
      </c>
      <c r="M1420" s="26" t="n">
        <v>0</v>
      </c>
    </row>
    <row r="1421" customFormat="false" ht="15" hidden="false" customHeight="false" outlineLevel="0" collapsed="false">
      <c r="A1421" s="7" t="s">
        <v>85</v>
      </c>
      <c r="B1421" s="7" t="n">
        <v>4420006</v>
      </c>
      <c r="C1421" s="7" t="s">
        <v>796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1</v>
      </c>
      <c r="J1421" s="26" t="n">
        <v>0</v>
      </c>
      <c r="K1421" s="26" t="n">
        <v>0</v>
      </c>
      <c r="L1421" s="26" t="n">
        <v>0</v>
      </c>
      <c r="M1421" s="26" t="n">
        <v>0</v>
      </c>
    </row>
    <row r="1422" customFormat="false" ht="15" hidden="false" customHeight="false" outlineLevel="0" collapsed="false">
      <c r="A1422" s="7" t="s">
        <v>87</v>
      </c>
      <c r="B1422" s="7" t="n">
        <v>4420006</v>
      </c>
      <c r="C1422" s="7" t="s">
        <v>796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39.3</v>
      </c>
      <c r="J1422" s="26" t="n">
        <v>0</v>
      </c>
      <c r="K1422" s="26" t="n">
        <v>0</v>
      </c>
      <c r="L1422" s="26" t="n">
        <v>0</v>
      </c>
      <c r="M1422" s="26" t="n">
        <v>0</v>
      </c>
    </row>
    <row r="1423" customFormat="false" ht="15" hidden="false" customHeight="false" outlineLevel="0" collapsed="false">
      <c r="A1423" s="7" t="s">
        <v>85</v>
      </c>
      <c r="B1423" s="7" t="n">
        <v>4420008</v>
      </c>
      <c r="C1423" s="7" t="s">
        <v>797</v>
      </c>
      <c r="D1423" s="26" t="n">
        <v>2</v>
      </c>
      <c r="E1423" s="26" t="n">
        <v>0</v>
      </c>
      <c r="F1423" s="26" t="n">
        <v>0</v>
      </c>
      <c r="G1423" s="26" t="n">
        <v>0</v>
      </c>
      <c r="H1423" s="26" t="n">
        <v>3</v>
      </c>
      <c r="I1423" s="26" t="n">
        <v>4</v>
      </c>
      <c r="J1423" s="26" t="n">
        <v>0</v>
      </c>
      <c r="K1423" s="26" t="n">
        <v>0</v>
      </c>
      <c r="L1423" s="26" t="n">
        <v>0</v>
      </c>
      <c r="M1423" s="26" t="n">
        <v>0</v>
      </c>
    </row>
    <row r="1424" customFormat="false" ht="15" hidden="false" customHeight="false" outlineLevel="0" collapsed="false">
      <c r="A1424" s="7" t="s">
        <v>87</v>
      </c>
      <c r="B1424" s="7" t="n">
        <v>4420008</v>
      </c>
      <c r="C1424" s="7" t="s">
        <v>797</v>
      </c>
      <c r="D1424" s="26" t="n">
        <v>84.3</v>
      </c>
      <c r="E1424" s="26" t="n">
        <v>0</v>
      </c>
      <c r="F1424" s="26" t="n">
        <v>0</v>
      </c>
      <c r="G1424" s="26" t="n">
        <v>0</v>
      </c>
      <c r="H1424" s="26" t="n">
        <v>109.6</v>
      </c>
      <c r="I1424" s="26" t="n">
        <v>157.3</v>
      </c>
      <c r="J1424" s="26" t="n">
        <v>0</v>
      </c>
      <c r="K1424" s="26" t="n">
        <v>0</v>
      </c>
      <c r="L1424" s="26" t="n">
        <v>0</v>
      </c>
      <c r="M1424" s="26" t="n">
        <v>0</v>
      </c>
    </row>
    <row r="1425" customFormat="false" ht="15" hidden="false" customHeight="false" outlineLevel="0" collapsed="false">
      <c r="A1425" s="7" t="s">
        <v>85</v>
      </c>
      <c r="B1425" s="7" t="n">
        <v>4420009</v>
      </c>
      <c r="C1425" s="7" t="s">
        <v>798</v>
      </c>
      <c r="D1425" s="26" t="n">
        <v>0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  <c r="L1425" s="26" t="n">
        <v>0</v>
      </c>
      <c r="M1425" s="26" t="n">
        <v>0</v>
      </c>
    </row>
    <row r="1426" customFormat="false" ht="15" hidden="false" customHeight="false" outlineLevel="0" collapsed="false">
      <c r="A1426" s="7" t="s">
        <v>87</v>
      </c>
      <c r="B1426" s="7" t="n">
        <v>4420009</v>
      </c>
      <c r="C1426" s="7" t="s">
        <v>798</v>
      </c>
      <c r="D1426" s="26" t="n">
        <v>0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  <c r="L1426" s="26" t="n">
        <v>0</v>
      </c>
      <c r="M1426" s="26" t="n">
        <v>0</v>
      </c>
    </row>
    <row r="1427" customFormat="false" ht="15" hidden="false" customHeight="false" outlineLevel="0" collapsed="false">
      <c r="A1427" s="7" t="s">
        <v>85</v>
      </c>
      <c r="B1427" s="7" t="n">
        <v>4420015</v>
      </c>
      <c r="C1427" s="7" t="s">
        <v>799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-3</v>
      </c>
      <c r="I1427" s="26" t="n">
        <v>0</v>
      </c>
      <c r="J1427" s="26" t="n">
        <v>0</v>
      </c>
      <c r="K1427" s="26" t="n">
        <v>0</v>
      </c>
      <c r="L1427" s="26" t="n">
        <v>0</v>
      </c>
      <c r="M1427" s="26" t="n">
        <v>0</v>
      </c>
    </row>
    <row r="1428" customFormat="false" ht="15" hidden="false" customHeight="false" outlineLevel="0" collapsed="false">
      <c r="A1428" s="7" t="s">
        <v>87</v>
      </c>
      <c r="B1428" s="7" t="n">
        <v>4420015</v>
      </c>
      <c r="C1428" s="7" t="s">
        <v>799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-109.6</v>
      </c>
      <c r="I1428" s="26" t="n">
        <v>0</v>
      </c>
      <c r="J1428" s="26" t="n">
        <v>0</v>
      </c>
      <c r="K1428" s="26" t="n">
        <v>0</v>
      </c>
      <c r="L1428" s="26" t="n">
        <v>0</v>
      </c>
      <c r="M1428" s="26" t="n">
        <v>0</v>
      </c>
    </row>
    <row r="1429" customFormat="false" ht="15" hidden="false" customHeight="false" outlineLevel="0" collapsed="false">
      <c r="A1429" s="7" t="s">
        <v>85</v>
      </c>
      <c r="B1429" s="7" t="n">
        <v>4420013</v>
      </c>
      <c r="C1429" s="7" t="s">
        <v>800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1</v>
      </c>
      <c r="J1429" s="26" t="n">
        <v>0</v>
      </c>
      <c r="K1429" s="26" t="n">
        <v>0</v>
      </c>
      <c r="L1429" s="26" t="n">
        <v>0</v>
      </c>
      <c r="M1429" s="26" t="n">
        <v>0</v>
      </c>
    </row>
    <row r="1430" customFormat="false" ht="15" hidden="false" customHeight="false" outlineLevel="0" collapsed="false">
      <c r="A1430" s="7" t="s">
        <v>87</v>
      </c>
      <c r="B1430" s="7" t="n">
        <v>4420013</v>
      </c>
      <c r="C1430" s="7" t="s">
        <v>800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3.7</v>
      </c>
      <c r="I1430" s="26" t="n">
        <v>39.3</v>
      </c>
      <c r="J1430" s="26" t="n">
        <v>0</v>
      </c>
      <c r="K1430" s="26" t="n">
        <v>0</v>
      </c>
      <c r="L1430" s="26" t="n">
        <v>0</v>
      </c>
      <c r="M1430" s="26" t="n">
        <v>0</v>
      </c>
    </row>
    <row r="1431" customFormat="false" ht="15" hidden="false" customHeight="false" outlineLevel="0" collapsed="false">
      <c r="A1431" s="7" t="s">
        <v>85</v>
      </c>
      <c r="B1431" s="7" t="n">
        <v>4420010</v>
      </c>
      <c r="C1431" s="7" t="s">
        <v>801</v>
      </c>
      <c r="D1431" s="26" t="n">
        <v>6</v>
      </c>
      <c r="E1431" s="26" t="n">
        <v>0</v>
      </c>
      <c r="F1431" s="26" t="n">
        <v>0</v>
      </c>
      <c r="G1431" s="26" t="n">
        <v>0</v>
      </c>
      <c r="H1431" s="26" t="n">
        <v>1</v>
      </c>
      <c r="I1431" s="26" t="n">
        <v>2</v>
      </c>
      <c r="J1431" s="26" t="n">
        <v>0</v>
      </c>
      <c r="K1431" s="26" t="n">
        <v>0</v>
      </c>
      <c r="L1431" s="26" t="n">
        <v>0</v>
      </c>
      <c r="M1431" s="26" t="n">
        <v>0</v>
      </c>
    </row>
    <row r="1432" customFormat="false" ht="15" hidden="false" customHeight="false" outlineLevel="0" collapsed="false">
      <c r="A1432" s="7" t="s">
        <v>87</v>
      </c>
      <c r="B1432" s="7" t="n">
        <v>4420010</v>
      </c>
      <c r="C1432" s="7" t="s">
        <v>801</v>
      </c>
      <c r="D1432" s="26" t="n">
        <v>247.1</v>
      </c>
      <c r="E1432" s="26" t="n">
        <v>0</v>
      </c>
      <c r="F1432" s="26" t="n">
        <v>0</v>
      </c>
      <c r="G1432" s="26" t="n">
        <v>0</v>
      </c>
      <c r="H1432" s="26" t="n">
        <v>36.5</v>
      </c>
      <c r="I1432" s="26" t="n">
        <v>78.7</v>
      </c>
      <c r="J1432" s="26" t="n">
        <v>0</v>
      </c>
      <c r="K1432" s="26" t="n">
        <v>0</v>
      </c>
      <c r="L1432" s="26" t="n">
        <v>0</v>
      </c>
      <c r="M1432" s="26" t="n">
        <v>0</v>
      </c>
    </row>
    <row r="1433" customFormat="false" ht="15" hidden="false" customHeight="false" outlineLevel="0" collapsed="false">
      <c r="A1433" s="7" t="s">
        <v>85</v>
      </c>
      <c r="B1433" s="7" t="n">
        <v>4420005</v>
      </c>
      <c r="C1433" s="7" t="s">
        <v>802</v>
      </c>
      <c r="D1433" s="26" t="n">
        <v>3</v>
      </c>
      <c r="E1433" s="26" t="n">
        <v>0</v>
      </c>
      <c r="F1433" s="26" t="n">
        <v>0</v>
      </c>
      <c r="G1433" s="26" t="n">
        <v>0</v>
      </c>
      <c r="H1433" s="26" t="n">
        <v>0</v>
      </c>
      <c r="I1433" s="26" t="n">
        <v>4</v>
      </c>
      <c r="J1433" s="26" t="n">
        <v>0</v>
      </c>
      <c r="K1433" s="26" t="n">
        <v>0</v>
      </c>
      <c r="L1433" s="26" t="n">
        <v>0</v>
      </c>
      <c r="M1433" s="26" t="n">
        <v>0</v>
      </c>
    </row>
    <row r="1434" customFormat="false" ht="15" hidden="false" customHeight="false" outlineLevel="0" collapsed="false">
      <c r="A1434" s="7" t="s">
        <v>87</v>
      </c>
      <c r="B1434" s="7" t="n">
        <v>4420005</v>
      </c>
      <c r="C1434" s="7" t="s">
        <v>802</v>
      </c>
      <c r="D1434" s="26" t="n">
        <v>125</v>
      </c>
      <c r="E1434" s="26" t="n">
        <v>0</v>
      </c>
      <c r="F1434" s="26" t="n">
        <v>0</v>
      </c>
      <c r="G1434" s="26" t="n">
        <v>0</v>
      </c>
      <c r="H1434" s="26" t="n">
        <v>7.7</v>
      </c>
      <c r="I1434" s="26" t="n">
        <v>157.3</v>
      </c>
      <c r="J1434" s="26" t="n">
        <v>0</v>
      </c>
      <c r="K1434" s="26" t="n">
        <v>0</v>
      </c>
      <c r="L1434" s="26" t="n">
        <v>0</v>
      </c>
      <c r="M1434" s="26" t="n">
        <v>0</v>
      </c>
    </row>
    <row r="1435" customFormat="false" ht="15" hidden="false" customHeight="false" outlineLevel="0" collapsed="false">
      <c r="A1435" s="7" t="s">
        <v>85</v>
      </c>
      <c r="B1435" s="7" t="n">
        <v>4420014</v>
      </c>
      <c r="C1435" s="7" t="s">
        <v>803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-5</v>
      </c>
      <c r="I1435" s="26" t="n">
        <v>0</v>
      </c>
      <c r="J1435" s="26" t="n">
        <v>0</v>
      </c>
      <c r="K1435" s="26" t="n">
        <v>0</v>
      </c>
      <c r="L1435" s="26" t="n">
        <v>0</v>
      </c>
      <c r="M1435" s="26" t="n">
        <v>0</v>
      </c>
    </row>
    <row r="1436" customFormat="false" ht="15" hidden="false" customHeight="false" outlineLevel="0" collapsed="false">
      <c r="A1436" s="7" t="s">
        <v>87</v>
      </c>
      <c r="B1436" s="7" t="n">
        <v>4420014</v>
      </c>
      <c r="C1436" s="7" t="s">
        <v>803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-182.6</v>
      </c>
      <c r="I1436" s="26" t="n">
        <v>0</v>
      </c>
      <c r="J1436" s="26" t="n">
        <v>0</v>
      </c>
      <c r="K1436" s="26" t="n">
        <v>0</v>
      </c>
      <c r="L1436" s="26" t="n">
        <v>0</v>
      </c>
      <c r="M1436" s="26" t="n">
        <v>0</v>
      </c>
    </row>
    <row r="1437" customFormat="false" ht="15" hidden="false" customHeight="false" outlineLevel="0" collapsed="false">
      <c r="A1437" s="7" t="s">
        <v>85</v>
      </c>
      <c r="B1437" s="7" t="n">
        <v>4420011</v>
      </c>
      <c r="C1437" s="7" t="s">
        <v>804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-2</v>
      </c>
      <c r="I1437" s="26" t="n">
        <v>2</v>
      </c>
      <c r="J1437" s="26" t="n">
        <v>0</v>
      </c>
      <c r="K1437" s="26" t="n">
        <v>0</v>
      </c>
      <c r="L1437" s="26" t="n">
        <v>0</v>
      </c>
      <c r="M1437" s="26" t="n">
        <v>0</v>
      </c>
    </row>
    <row r="1438" customFormat="false" ht="15" hidden="false" customHeight="false" outlineLevel="0" collapsed="false">
      <c r="A1438" s="7" t="s">
        <v>87</v>
      </c>
      <c r="B1438" s="7" t="n">
        <v>4420011</v>
      </c>
      <c r="C1438" s="7" t="s">
        <v>804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-73</v>
      </c>
      <c r="I1438" s="26" t="n">
        <v>78.7</v>
      </c>
      <c r="J1438" s="26" t="n">
        <v>0</v>
      </c>
      <c r="K1438" s="26" t="n">
        <v>0</v>
      </c>
      <c r="L1438" s="26" t="n">
        <v>0</v>
      </c>
      <c r="M1438" s="26" t="n">
        <v>0</v>
      </c>
    </row>
    <row r="1439" customFormat="false" ht="15" hidden="false" customHeight="false" outlineLevel="0" collapsed="false">
      <c r="A1439" s="7" t="s">
        <v>85</v>
      </c>
      <c r="B1439" s="7" t="n">
        <v>4420029</v>
      </c>
      <c r="C1439" s="7" t="s">
        <v>805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0</v>
      </c>
      <c r="L1439" s="26" t="n">
        <v>0</v>
      </c>
      <c r="M1439" s="26" t="n">
        <v>0</v>
      </c>
    </row>
    <row r="1440" customFormat="false" ht="15" hidden="false" customHeight="false" outlineLevel="0" collapsed="false">
      <c r="A1440" s="7" t="s">
        <v>87</v>
      </c>
      <c r="B1440" s="7" t="n">
        <v>4420029</v>
      </c>
      <c r="C1440" s="7" t="s">
        <v>805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0</v>
      </c>
      <c r="L1440" s="26" t="n">
        <v>0</v>
      </c>
      <c r="M1440" s="26" t="n">
        <v>0</v>
      </c>
    </row>
    <row r="1441" customFormat="false" ht="15" hidden="false" customHeight="false" outlineLevel="0" collapsed="false">
      <c r="A1441" s="7" t="s">
        <v>85</v>
      </c>
      <c r="B1441" s="7" t="n">
        <v>4420030</v>
      </c>
      <c r="C1441" s="7" t="s">
        <v>806</v>
      </c>
      <c r="D1441" s="26" t="n">
        <v>1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0</v>
      </c>
      <c r="J1441" s="26" t="n">
        <v>0</v>
      </c>
      <c r="K1441" s="26" t="n">
        <v>0</v>
      </c>
      <c r="L1441" s="26" t="n">
        <v>0</v>
      </c>
      <c r="M1441" s="26" t="n">
        <v>0</v>
      </c>
    </row>
    <row r="1442" customFormat="false" ht="15" hidden="false" customHeight="false" outlineLevel="0" collapsed="false">
      <c r="A1442" s="7" t="s">
        <v>87</v>
      </c>
      <c r="B1442" s="7" t="n">
        <v>4420030</v>
      </c>
      <c r="C1442" s="7" t="s">
        <v>806</v>
      </c>
      <c r="D1442" s="26" t="n">
        <v>33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0</v>
      </c>
      <c r="J1442" s="26" t="n">
        <v>0</v>
      </c>
      <c r="K1442" s="26" t="n">
        <v>0</v>
      </c>
      <c r="L1442" s="26" t="n">
        <v>0</v>
      </c>
      <c r="M1442" s="26" t="n">
        <v>0</v>
      </c>
    </row>
    <row r="1443" customFormat="false" ht="15" hidden="false" customHeight="false" outlineLevel="0" collapsed="false">
      <c r="A1443" s="7" t="s">
        <v>85</v>
      </c>
      <c r="B1443" s="7" t="n">
        <v>4420031</v>
      </c>
      <c r="C1443" s="7" t="s">
        <v>807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0</v>
      </c>
      <c r="J1443" s="26" t="n">
        <v>0</v>
      </c>
      <c r="K1443" s="26" t="n">
        <v>0</v>
      </c>
      <c r="L1443" s="26" t="n">
        <v>0</v>
      </c>
      <c r="M1443" s="26" t="n">
        <v>0</v>
      </c>
    </row>
    <row r="1444" customFormat="false" ht="15" hidden="false" customHeight="false" outlineLevel="0" collapsed="false">
      <c r="A1444" s="7" t="s">
        <v>87</v>
      </c>
      <c r="B1444" s="7" t="n">
        <v>4420031</v>
      </c>
      <c r="C1444" s="7" t="s">
        <v>807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0</v>
      </c>
      <c r="J1444" s="26" t="n">
        <v>0</v>
      </c>
      <c r="K1444" s="26" t="n">
        <v>0</v>
      </c>
      <c r="L1444" s="26" t="n">
        <v>0</v>
      </c>
      <c r="M1444" s="26" t="n">
        <v>0</v>
      </c>
    </row>
    <row r="1445" customFormat="false" ht="15" hidden="false" customHeight="false" outlineLevel="0" collapsed="false">
      <c r="A1445" s="7" t="s">
        <v>85</v>
      </c>
      <c r="B1445" s="7" t="n">
        <v>4420032</v>
      </c>
      <c r="C1445" s="7" t="s">
        <v>808</v>
      </c>
      <c r="D1445" s="26" t="n">
        <v>4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0</v>
      </c>
      <c r="J1445" s="26" t="n">
        <v>0</v>
      </c>
      <c r="K1445" s="26" t="n">
        <v>0</v>
      </c>
      <c r="L1445" s="26" t="n">
        <v>0</v>
      </c>
      <c r="M1445" s="26" t="n">
        <v>0</v>
      </c>
    </row>
    <row r="1446" customFormat="false" ht="15" hidden="false" customHeight="false" outlineLevel="0" collapsed="false">
      <c r="A1446" s="7" t="s">
        <v>87</v>
      </c>
      <c r="B1446" s="7" t="n">
        <v>4420032</v>
      </c>
      <c r="C1446" s="7" t="s">
        <v>808</v>
      </c>
      <c r="D1446" s="26" t="n">
        <v>133.6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0</v>
      </c>
      <c r="L1446" s="26" t="n">
        <v>0</v>
      </c>
      <c r="M1446" s="26" t="n">
        <v>0</v>
      </c>
    </row>
    <row r="1447" customFormat="false" ht="15" hidden="false" customHeight="false" outlineLevel="0" collapsed="false">
      <c r="A1447" s="7" t="s">
        <v>85</v>
      </c>
      <c r="B1447" s="7" t="n">
        <v>4420033</v>
      </c>
      <c r="C1447" s="7" t="s">
        <v>809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0</v>
      </c>
      <c r="L1447" s="26" t="n">
        <v>0</v>
      </c>
      <c r="M1447" s="26" t="n">
        <v>0</v>
      </c>
    </row>
    <row r="1448" customFormat="false" ht="15" hidden="false" customHeight="false" outlineLevel="0" collapsed="false">
      <c r="A1448" s="7" t="s">
        <v>87</v>
      </c>
      <c r="B1448" s="7" t="n">
        <v>4420033</v>
      </c>
      <c r="C1448" s="7" t="s">
        <v>809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0</v>
      </c>
      <c r="L1448" s="26" t="n">
        <v>0</v>
      </c>
      <c r="M1448" s="26" t="n">
        <v>0</v>
      </c>
    </row>
    <row r="1449" customFormat="false" ht="15" hidden="false" customHeight="false" outlineLevel="0" collapsed="false">
      <c r="A1449" s="7" t="s">
        <v>85</v>
      </c>
      <c r="B1449" s="7" t="n">
        <v>4413112</v>
      </c>
      <c r="C1449" s="7" t="s">
        <v>810</v>
      </c>
      <c r="D1449" s="26" t="n">
        <v>33</v>
      </c>
      <c r="E1449" s="26" t="n">
        <v>0</v>
      </c>
      <c r="F1449" s="26" t="n">
        <v>0</v>
      </c>
      <c r="G1449" s="26" t="n">
        <v>2</v>
      </c>
      <c r="H1449" s="26" t="n">
        <v>82</v>
      </c>
      <c r="I1449" s="26" t="n">
        <v>25</v>
      </c>
      <c r="J1449" s="26" t="n">
        <v>0</v>
      </c>
      <c r="K1449" s="26" t="n">
        <v>0</v>
      </c>
      <c r="L1449" s="26" t="n">
        <v>0</v>
      </c>
      <c r="M1449" s="26" t="n">
        <v>0</v>
      </c>
    </row>
    <row r="1450" customFormat="false" ht="15" hidden="false" customHeight="false" outlineLevel="0" collapsed="false">
      <c r="A1450" s="7" t="s">
        <v>87</v>
      </c>
      <c r="B1450" s="7" t="n">
        <v>4413112</v>
      </c>
      <c r="C1450" s="7" t="s">
        <v>810</v>
      </c>
      <c r="D1450" s="26" t="n">
        <v>1068.4</v>
      </c>
      <c r="E1450" s="26" t="n">
        <v>0</v>
      </c>
      <c r="F1450" s="26" t="n">
        <v>0</v>
      </c>
      <c r="G1450" s="26" t="n">
        <v>60.9</v>
      </c>
      <c r="H1450" s="26" t="n">
        <v>2334.2</v>
      </c>
      <c r="I1450" s="26" t="n">
        <v>760</v>
      </c>
      <c r="J1450" s="26" t="n">
        <v>0</v>
      </c>
      <c r="K1450" s="26" t="n">
        <v>0</v>
      </c>
      <c r="L1450" s="26" t="n">
        <v>0</v>
      </c>
      <c r="M1450" s="26" t="n">
        <v>0</v>
      </c>
    </row>
    <row r="1451" customFormat="false" ht="15" hidden="false" customHeight="false" outlineLevel="0" collapsed="false">
      <c r="A1451" s="7" t="s">
        <v>85</v>
      </c>
      <c r="B1451" s="7" t="n">
        <v>4413113</v>
      </c>
      <c r="C1451" s="7" t="s">
        <v>811</v>
      </c>
      <c r="D1451" s="26" t="n">
        <v>25</v>
      </c>
      <c r="E1451" s="26" t="n">
        <v>0</v>
      </c>
      <c r="F1451" s="26" t="n">
        <v>0</v>
      </c>
      <c r="G1451" s="26" t="n">
        <v>0</v>
      </c>
      <c r="H1451" s="26" t="n">
        <v>54</v>
      </c>
      <c r="I1451" s="26" t="n">
        <v>20</v>
      </c>
      <c r="J1451" s="26" t="n">
        <v>0</v>
      </c>
      <c r="K1451" s="26" t="n">
        <v>0</v>
      </c>
      <c r="L1451" s="26" t="n">
        <v>0</v>
      </c>
      <c r="M1451" s="26" t="n">
        <v>0</v>
      </c>
    </row>
    <row r="1452" customFormat="false" ht="15" hidden="false" customHeight="false" outlineLevel="0" collapsed="false">
      <c r="A1452" s="7" t="s">
        <v>87</v>
      </c>
      <c r="B1452" s="7" t="n">
        <v>4413113</v>
      </c>
      <c r="C1452" s="7" t="s">
        <v>811</v>
      </c>
      <c r="D1452" s="26" t="n">
        <v>826.3</v>
      </c>
      <c r="E1452" s="26" t="n">
        <v>0</v>
      </c>
      <c r="F1452" s="26" t="n">
        <v>0</v>
      </c>
      <c r="G1452" s="26" t="n">
        <v>0</v>
      </c>
      <c r="H1452" s="26" t="n">
        <v>1553.7</v>
      </c>
      <c r="I1452" s="26" t="n">
        <v>610</v>
      </c>
      <c r="J1452" s="26" t="n">
        <v>0</v>
      </c>
      <c r="K1452" s="26" t="n">
        <v>0</v>
      </c>
      <c r="L1452" s="26" t="n">
        <v>0</v>
      </c>
      <c r="M1452" s="26" t="n">
        <v>0</v>
      </c>
    </row>
    <row r="1453" customFormat="false" ht="15" hidden="false" customHeight="false" outlineLevel="0" collapsed="false">
      <c r="A1453" s="7" t="s">
        <v>85</v>
      </c>
      <c r="B1453" s="7" t="n">
        <v>4413111</v>
      </c>
      <c r="C1453" s="7" t="s">
        <v>812</v>
      </c>
      <c r="D1453" s="26" t="n">
        <v>19</v>
      </c>
      <c r="E1453" s="26" t="n">
        <v>0</v>
      </c>
      <c r="F1453" s="26" t="n">
        <v>3</v>
      </c>
      <c r="G1453" s="26" t="n">
        <v>0</v>
      </c>
      <c r="H1453" s="26" t="n">
        <v>28</v>
      </c>
      <c r="I1453" s="26" t="n">
        <v>0</v>
      </c>
      <c r="J1453" s="26" t="n">
        <v>0</v>
      </c>
      <c r="K1453" s="26" t="n">
        <v>0</v>
      </c>
      <c r="L1453" s="26" t="n">
        <v>0</v>
      </c>
      <c r="M1453" s="26" t="n">
        <v>0</v>
      </c>
    </row>
    <row r="1454" customFormat="false" ht="15" hidden="false" customHeight="false" outlineLevel="0" collapsed="false">
      <c r="A1454" s="7" t="s">
        <v>87</v>
      </c>
      <c r="B1454" s="7" t="n">
        <v>4413111</v>
      </c>
      <c r="C1454" s="7" t="s">
        <v>812</v>
      </c>
      <c r="D1454" s="26" t="n">
        <v>644.1</v>
      </c>
      <c r="E1454" s="26" t="n">
        <v>0</v>
      </c>
      <c r="F1454" s="26" t="n">
        <v>105.3</v>
      </c>
      <c r="G1454" s="26" t="n">
        <v>0</v>
      </c>
      <c r="H1454" s="26" t="n">
        <v>799.1</v>
      </c>
      <c r="I1454" s="26" t="n">
        <v>0</v>
      </c>
      <c r="J1454" s="26" t="n">
        <v>0</v>
      </c>
      <c r="K1454" s="26" t="n">
        <v>0</v>
      </c>
      <c r="L1454" s="26" t="n">
        <v>0</v>
      </c>
      <c r="M1454" s="26" t="n">
        <v>0</v>
      </c>
    </row>
    <row r="1455" customFormat="false" ht="15" hidden="false" customHeight="false" outlineLevel="0" collapsed="false">
      <c r="A1455" s="7" t="s">
        <v>85</v>
      </c>
      <c r="B1455" s="7" t="n">
        <v>4413114</v>
      </c>
      <c r="C1455" s="7" t="s">
        <v>813</v>
      </c>
      <c r="D1455" s="26" t="n">
        <v>32</v>
      </c>
      <c r="E1455" s="26" t="n">
        <v>0</v>
      </c>
      <c r="F1455" s="26" t="n">
        <v>0</v>
      </c>
      <c r="G1455" s="26" t="n">
        <v>4</v>
      </c>
      <c r="H1455" s="26" t="n">
        <v>53</v>
      </c>
      <c r="I1455" s="26" t="n">
        <v>17</v>
      </c>
      <c r="J1455" s="26" t="n">
        <v>0</v>
      </c>
      <c r="K1455" s="26" t="n">
        <v>0</v>
      </c>
      <c r="L1455" s="26" t="n">
        <v>0</v>
      </c>
      <c r="M1455" s="26" t="n">
        <v>0</v>
      </c>
    </row>
    <row r="1456" customFormat="false" ht="15" hidden="false" customHeight="false" outlineLevel="0" collapsed="false">
      <c r="A1456" s="7" t="s">
        <v>87</v>
      </c>
      <c r="B1456" s="7" t="n">
        <v>4413114</v>
      </c>
      <c r="C1456" s="7" t="s">
        <v>813</v>
      </c>
      <c r="D1456" s="26" t="n">
        <v>1073.6</v>
      </c>
      <c r="E1456" s="26" t="n">
        <v>0</v>
      </c>
      <c r="F1456" s="26" t="n">
        <v>0</v>
      </c>
      <c r="G1456" s="26" t="n">
        <v>121.7</v>
      </c>
      <c r="H1456" s="26" t="n">
        <v>1513.6</v>
      </c>
      <c r="I1456" s="26" t="n">
        <v>518.5</v>
      </c>
      <c r="J1456" s="26" t="n">
        <v>0</v>
      </c>
      <c r="K1456" s="26" t="n">
        <v>0</v>
      </c>
      <c r="L1456" s="26" t="n">
        <v>0</v>
      </c>
      <c r="M1456" s="26" t="n">
        <v>0</v>
      </c>
    </row>
    <row r="1457" customFormat="false" ht="15" hidden="false" customHeight="false" outlineLevel="0" collapsed="false">
      <c r="A1457" s="7" t="s">
        <v>85</v>
      </c>
      <c r="B1457" s="7" t="n">
        <v>4413115</v>
      </c>
      <c r="C1457" s="7" t="s">
        <v>814</v>
      </c>
      <c r="D1457" s="26" t="n">
        <v>4</v>
      </c>
      <c r="E1457" s="26" t="n">
        <v>0</v>
      </c>
      <c r="F1457" s="26" t="n">
        <v>0</v>
      </c>
      <c r="G1457" s="26" t="n">
        <v>0</v>
      </c>
      <c r="H1457" s="26" t="n">
        <v>1</v>
      </c>
      <c r="I1457" s="26" t="n">
        <v>0</v>
      </c>
      <c r="J1457" s="26" t="n">
        <v>0</v>
      </c>
      <c r="K1457" s="26" t="n">
        <v>0</v>
      </c>
      <c r="L1457" s="26" t="n">
        <v>0</v>
      </c>
      <c r="M1457" s="26" t="n">
        <v>0</v>
      </c>
    </row>
    <row r="1458" customFormat="false" ht="15" hidden="false" customHeight="false" outlineLevel="0" collapsed="false">
      <c r="A1458" s="7" t="s">
        <v>87</v>
      </c>
      <c r="B1458" s="7" t="n">
        <v>4413115</v>
      </c>
      <c r="C1458" s="7" t="s">
        <v>814</v>
      </c>
      <c r="D1458" s="26" t="n">
        <v>138.3</v>
      </c>
      <c r="E1458" s="26" t="n">
        <v>0</v>
      </c>
      <c r="F1458" s="26" t="n">
        <v>0</v>
      </c>
      <c r="G1458" s="26" t="n">
        <v>0</v>
      </c>
      <c r="H1458" s="26" t="n">
        <v>28.6</v>
      </c>
      <c r="I1458" s="26" t="n">
        <v>0</v>
      </c>
      <c r="J1458" s="26" t="n">
        <v>0</v>
      </c>
      <c r="K1458" s="26" t="n">
        <v>0</v>
      </c>
      <c r="L1458" s="26" t="n">
        <v>0</v>
      </c>
      <c r="M1458" s="26" t="n">
        <v>0</v>
      </c>
    </row>
    <row r="1459" customFormat="false" ht="15" hidden="false" customHeight="false" outlineLevel="0" collapsed="false">
      <c r="A1459" s="7" t="s">
        <v>85</v>
      </c>
      <c r="B1459" s="7" t="n">
        <v>4413330</v>
      </c>
      <c r="C1459" s="7" t="s">
        <v>815</v>
      </c>
      <c r="D1459" s="26" t="n">
        <v>16</v>
      </c>
      <c r="E1459" s="26" t="n">
        <v>0</v>
      </c>
      <c r="F1459" s="26" t="n">
        <v>5</v>
      </c>
      <c r="G1459" s="26" t="n">
        <v>0</v>
      </c>
      <c r="H1459" s="26" t="n">
        <v>0</v>
      </c>
      <c r="I1459" s="26" t="n">
        <v>0</v>
      </c>
      <c r="J1459" s="26" t="n">
        <v>0</v>
      </c>
      <c r="K1459" s="26" t="n">
        <v>0</v>
      </c>
      <c r="L1459" s="26" t="n">
        <v>0</v>
      </c>
      <c r="M1459" s="26" t="n">
        <v>0</v>
      </c>
    </row>
    <row r="1460" customFormat="false" ht="15" hidden="false" customHeight="false" outlineLevel="0" collapsed="false">
      <c r="A1460" s="7" t="s">
        <v>87</v>
      </c>
      <c r="B1460" s="7" t="n">
        <v>4413330</v>
      </c>
      <c r="C1460" s="7" t="s">
        <v>815</v>
      </c>
      <c r="D1460" s="26" t="n">
        <v>955.8</v>
      </c>
      <c r="E1460" s="26" t="n">
        <v>0</v>
      </c>
      <c r="F1460" s="26" t="n">
        <v>245.6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0</v>
      </c>
      <c r="L1460" s="26" t="n">
        <v>0</v>
      </c>
      <c r="M1460" s="26" t="n">
        <v>0</v>
      </c>
    </row>
    <row r="1461" customFormat="false" ht="15" hidden="false" customHeight="false" outlineLevel="0" collapsed="false">
      <c r="A1461" s="7" t="s">
        <v>85</v>
      </c>
      <c r="B1461" s="7" t="n">
        <v>4413533</v>
      </c>
      <c r="C1461" s="7" t="s">
        <v>816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0</v>
      </c>
      <c r="L1461" s="26" t="n">
        <v>0</v>
      </c>
      <c r="M1461" s="26" t="n">
        <v>0</v>
      </c>
    </row>
    <row r="1462" customFormat="false" ht="15" hidden="false" customHeight="false" outlineLevel="0" collapsed="false">
      <c r="A1462" s="7" t="s">
        <v>87</v>
      </c>
      <c r="B1462" s="7" t="n">
        <v>4413533</v>
      </c>
      <c r="C1462" s="7" t="s">
        <v>816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0</v>
      </c>
      <c r="L1462" s="26" t="n">
        <v>0</v>
      </c>
      <c r="M1462" s="26" t="n">
        <v>0</v>
      </c>
    </row>
    <row r="1463" customFormat="false" ht="15" hidden="false" customHeight="false" outlineLevel="0" collapsed="false">
      <c r="A1463" s="7" t="s">
        <v>85</v>
      </c>
      <c r="B1463" s="7" t="n">
        <v>4413179</v>
      </c>
      <c r="C1463" s="7" t="s">
        <v>817</v>
      </c>
      <c r="D1463" s="26" t="n">
        <v>4</v>
      </c>
      <c r="E1463" s="26" t="n">
        <v>0</v>
      </c>
      <c r="F1463" s="26" t="n">
        <v>0</v>
      </c>
      <c r="G1463" s="26" t="n">
        <v>0</v>
      </c>
      <c r="H1463" s="26" t="n">
        <v>-4</v>
      </c>
      <c r="I1463" s="26" t="n">
        <v>0</v>
      </c>
      <c r="J1463" s="26" t="n">
        <v>0</v>
      </c>
      <c r="K1463" s="26" t="n">
        <v>0</v>
      </c>
      <c r="L1463" s="26" t="n">
        <v>0</v>
      </c>
      <c r="M1463" s="26" t="n">
        <v>0</v>
      </c>
    </row>
    <row r="1464" customFormat="false" ht="15" hidden="false" customHeight="false" outlineLevel="0" collapsed="false">
      <c r="A1464" s="7" t="s">
        <v>87</v>
      </c>
      <c r="B1464" s="7" t="n">
        <v>4413179</v>
      </c>
      <c r="C1464" s="7" t="s">
        <v>817</v>
      </c>
      <c r="D1464" s="26" t="n">
        <v>402.3</v>
      </c>
      <c r="E1464" s="26" t="n">
        <v>0</v>
      </c>
      <c r="F1464" s="26" t="n">
        <v>0</v>
      </c>
      <c r="G1464" s="26" t="n">
        <v>0</v>
      </c>
      <c r="H1464" s="26" t="n">
        <v>-360.4</v>
      </c>
      <c r="I1464" s="26" t="n">
        <v>0</v>
      </c>
      <c r="J1464" s="26" t="n">
        <v>0</v>
      </c>
      <c r="K1464" s="26" t="n">
        <v>0</v>
      </c>
      <c r="L1464" s="26" t="n">
        <v>0</v>
      </c>
      <c r="M1464" s="26" t="n">
        <v>0</v>
      </c>
    </row>
    <row r="1465" customFormat="false" ht="15" hidden="false" customHeight="false" outlineLevel="0" collapsed="false">
      <c r="A1465" s="7" t="s">
        <v>85</v>
      </c>
      <c r="B1465" s="7" t="n">
        <v>4413180</v>
      </c>
      <c r="C1465" s="7" t="s">
        <v>818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2</v>
      </c>
      <c r="J1465" s="26" t="n">
        <v>0</v>
      </c>
      <c r="K1465" s="26" t="n">
        <v>0</v>
      </c>
      <c r="L1465" s="26" t="n">
        <v>0</v>
      </c>
      <c r="M1465" s="26" t="n">
        <v>0</v>
      </c>
    </row>
    <row r="1466" customFormat="false" ht="15" hidden="false" customHeight="false" outlineLevel="0" collapsed="false">
      <c r="A1466" s="7" t="s">
        <v>87</v>
      </c>
      <c r="B1466" s="7" t="n">
        <v>4413180</v>
      </c>
      <c r="C1466" s="7" t="s">
        <v>818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194.1</v>
      </c>
      <c r="J1466" s="26" t="n">
        <v>0</v>
      </c>
      <c r="K1466" s="26" t="n">
        <v>0</v>
      </c>
      <c r="L1466" s="26" t="n">
        <v>0</v>
      </c>
      <c r="M1466" s="26" t="n">
        <v>0</v>
      </c>
    </row>
    <row r="1467" customFormat="false" ht="15" hidden="false" customHeight="false" outlineLevel="0" collapsed="false">
      <c r="A1467" s="7" t="s">
        <v>85</v>
      </c>
      <c r="B1467" s="7" t="n">
        <v>4413178</v>
      </c>
      <c r="C1467" s="7" t="s">
        <v>819</v>
      </c>
      <c r="D1467" s="26" t="n">
        <v>1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-2</v>
      </c>
      <c r="J1467" s="26" t="n">
        <v>0</v>
      </c>
      <c r="K1467" s="26" t="n">
        <v>0</v>
      </c>
      <c r="L1467" s="26" t="n">
        <v>0</v>
      </c>
      <c r="M1467" s="26" t="n">
        <v>0</v>
      </c>
    </row>
    <row r="1468" customFormat="false" ht="15" hidden="false" customHeight="false" outlineLevel="0" collapsed="false">
      <c r="A1468" s="7" t="s">
        <v>87</v>
      </c>
      <c r="B1468" s="7" t="n">
        <v>4413178</v>
      </c>
      <c r="C1468" s="7" t="s">
        <v>819</v>
      </c>
      <c r="D1468" s="26" t="n">
        <v>93.4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-194.1</v>
      </c>
      <c r="J1468" s="26" t="n">
        <v>0</v>
      </c>
      <c r="K1468" s="26" t="n">
        <v>0</v>
      </c>
      <c r="L1468" s="26" t="n">
        <v>0</v>
      </c>
      <c r="M1468" s="26" t="n">
        <v>0</v>
      </c>
    </row>
    <row r="1469" customFormat="false" ht="15" hidden="false" customHeight="false" outlineLevel="0" collapsed="false">
      <c r="A1469" s="7" t="s">
        <v>85</v>
      </c>
      <c r="B1469" s="7" t="n">
        <v>4413234</v>
      </c>
      <c r="C1469" s="7" t="s">
        <v>820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0</v>
      </c>
      <c r="L1469" s="26" t="n">
        <v>0</v>
      </c>
      <c r="M1469" s="26" t="n">
        <v>0</v>
      </c>
    </row>
    <row r="1470" customFormat="false" ht="15" hidden="false" customHeight="false" outlineLevel="0" collapsed="false">
      <c r="A1470" s="7" t="s">
        <v>87</v>
      </c>
      <c r="B1470" s="7" t="n">
        <v>4413234</v>
      </c>
      <c r="C1470" s="7" t="s">
        <v>820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0</v>
      </c>
      <c r="L1470" s="26" t="n">
        <v>0</v>
      </c>
      <c r="M1470" s="26" t="n">
        <v>0</v>
      </c>
    </row>
    <row r="1471" customFormat="false" ht="15" hidden="false" customHeight="false" outlineLevel="0" collapsed="false">
      <c r="A1471" s="7" t="s">
        <v>85</v>
      </c>
      <c r="B1471" s="7" t="n">
        <v>4413402</v>
      </c>
      <c r="C1471" s="7" t="s">
        <v>821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0</v>
      </c>
      <c r="L1471" s="26" t="n">
        <v>0</v>
      </c>
      <c r="M1471" s="26" t="n">
        <v>0</v>
      </c>
    </row>
    <row r="1472" customFormat="false" ht="15" hidden="false" customHeight="false" outlineLevel="0" collapsed="false">
      <c r="A1472" s="7" t="s">
        <v>87</v>
      </c>
      <c r="B1472" s="7" t="n">
        <v>4413402</v>
      </c>
      <c r="C1472" s="7" t="s">
        <v>821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0</v>
      </c>
      <c r="L1472" s="26" t="n">
        <v>0</v>
      </c>
      <c r="M1472" s="26" t="n">
        <v>0</v>
      </c>
    </row>
    <row r="1473" customFormat="false" ht="15" hidden="false" customHeight="false" outlineLevel="0" collapsed="false">
      <c r="A1473" s="7" t="s">
        <v>85</v>
      </c>
      <c r="B1473" s="7" t="n">
        <v>4408207</v>
      </c>
      <c r="C1473" s="7" t="s">
        <v>822</v>
      </c>
      <c r="D1473" s="26" t="n">
        <v>1130</v>
      </c>
      <c r="E1473" s="26" t="n">
        <v>11</v>
      </c>
      <c r="F1473" s="26" t="n">
        <v>2</v>
      </c>
      <c r="G1473" s="26" t="n">
        <v>0</v>
      </c>
      <c r="H1473" s="26" t="n">
        <v>0</v>
      </c>
      <c r="I1473" s="26" t="n">
        <v>60</v>
      </c>
      <c r="J1473" s="26" t="n">
        <v>0</v>
      </c>
      <c r="K1473" s="26" t="n">
        <v>0</v>
      </c>
      <c r="L1473" s="26" t="n">
        <v>0</v>
      </c>
      <c r="M1473" s="26" t="n">
        <v>0</v>
      </c>
    </row>
    <row r="1474" customFormat="false" ht="15" hidden="false" customHeight="false" outlineLevel="0" collapsed="false">
      <c r="A1474" s="7" t="s">
        <v>87</v>
      </c>
      <c r="B1474" s="7" t="n">
        <v>4408207</v>
      </c>
      <c r="C1474" s="7" t="s">
        <v>822</v>
      </c>
      <c r="D1474" s="26" t="n">
        <v>36118.4</v>
      </c>
      <c r="E1474" s="26" t="n">
        <v>306.8</v>
      </c>
      <c r="F1474" s="26" t="n">
        <v>61.4</v>
      </c>
      <c r="G1474" s="26" t="n">
        <v>0</v>
      </c>
      <c r="H1474" s="26" t="n">
        <v>0</v>
      </c>
      <c r="I1474" s="26" t="n">
        <v>1495.8</v>
      </c>
      <c r="J1474" s="26" t="n">
        <v>0</v>
      </c>
      <c r="K1474" s="26" t="n">
        <v>0</v>
      </c>
      <c r="L1474" s="26" t="n">
        <v>0</v>
      </c>
      <c r="M1474" s="26" t="n">
        <v>0</v>
      </c>
    </row>
    <row r="1475" customFormat="false" ht="15" hidden="false" customHeight="false" outlineLevel="0" collapsed="false">
      <c r="A1475" s="7" t="s">
        <v>85</v>
      </c>
      <c r="B1475" s="7" t="n">
        <v>4415026</v>
      </c>
      <c r="C1475" s="7" t="s">
        <v>823</v>
      </c>
      <c r="D1475" s="26" t="n">
        <v>362</v>
      </c>
      <c r="E1475" s="26" t="n">
        <v>0</v>
      </c>
      <c r="F1475" s="26" t="n">
        <v>2</v>
      </c>
      <c r="G1475" s="26" t="n">
        <v>0</v>
      </c>
      <c r="H1475" s="26" t="n">
        <v>0</v>
      </c>
      <c r="I1475" s="26" t="n">
        <v>23</v>
      </c>
      <c r="J1475" s="26" t="n">
        <v>0</v>
      </c>
      <c r="K1475" s="26" t="n">
        <v>0</v>
      </c>
      <c r="L1475" s="26" t="n">
        <v>0</v>
      </c>
      <c r="M1475" s="26" t="n">
        <v>0</v>
      </c>
    </row>
    <row r="1476" customFormat="false" ht="15" hidden="false" customHeight="false" outlineLevel="0" collapsed="false">
      <c r="A1476" s="7" t="s">
        <v>87</v>
      </c>
      <c r="B1476" s="7" t="n">
        <v>4415026</v>
      </c>
      <c r="C1476" s="7" t="s">
        <v>823</v>
      </c>
      <c r="D1476" s="26" t="n">
        <v>14941.3</v>
      </c>
      <c r="E1476" s="26" t="n">
        <v>0</v>
      </c>
      <c r="F1476" s="26" t="n">
        <v>80.3</v>
      </c>
      <c r="G1476" s="26" t="n">
        <v>0</v>
      </c>
      <c r="H1476" s="26" t="n">
        <v>0</v>
      </c>
      <c r="I1476" s="26" t="n">
        <v>788.2</v>
      </c>
      <c r="J1476" s="26" t="n">
        <v>0</v>
      </c>
      <c r="K1476" s="26" t="n">
        <v>0</v>
      </c>
      <c r="L1476" s="26" t="n">
        <v>0</v>
      </c>
      <c r="M1476" s="26" t="n">
        <v>0</v>
      </c>
    </row>
    <row r="1477" customFormat="false" ht="15" hidden="false" customHeight="false" outlineLevel="0" collapsed="false">
      <c r="A1477" s="7" t="s">
        <v>85</v>
      </c>
      <c r="B1477" s="7" t="n">
        <v>4415027</v>
      </c>
      <c r="C1477" s="7" t="s">
        <v>824</v>
      </c>
      <c r="D1477" s="26" t="n">
        <v>408</v>
      </c>
      <c r="E1477" s="26" t="n">
        <v>2</v>
      </c>
      <c r="F1477" s="26" t="n">
        <v>3</v>
      </c>
      <c r="G1477" s="26" t="n">
        <v>0</v>
      </c>
      <c r="H1477" s="26" t="n">
        <v>0</v>
      </c>
      <c r="I1477" s="26" t="n">
        <v>24</v>
      </c>
      <c r="J1477" s="26" t="n">
        <v>0</v>
      </c>
      <c r="K1477" s="26" t="n">
        <v>0</v>
      </c>
      <c r="L1477" s="26" t="n">
        <v>0</v>
      </c>
      <c r="M1477" s="26" t="n">
        <v>0</v>
      </c>
    </row>
    <row r="1478" customFormat="false" ht="15" hidden="false" customHeight="false" outlineLevel="0" collapsed="false">
      <c r="A1478" s="7" t="s">
        <v>87</v>
      </c>
      <c r="B1478" s="7" t="n">
        <v>4415027</v>
      </c>
      <c r="C1478" s="7" t="s">
        <v>824</v>
      </c>
      <c r="D1478" s="26" t="n">
        <v>16341.4</v>
      </c>
      <c r="E1478" s="26" t="n">
        <v>66.9</v>
      </c>
      <c r="F1478" s="26" t="n">
        <v>120.4</v>
      </c>
      <c r="G1478" s="26" t="n">
        <v>0</v>
      </c>
      <c r="H1478" s="26" t="n">
        <v>0</v>
      </c>
      <c r="I1478" s="26" t="n">
        <v>822.5</v>
      </c>
      <c r="J1478" s="26" t="n">
        <v>0</v>
      </c>
      <c r="K1478" s="26" t="n">
        <v>0</v>
      </c>
      <c r="L1478" s="26" t="n">
        <v>0</v>
      </c>
      <c r="M1478" s="26" t="n">
        <v>0</v>
      </c>
    </row>
    <row r="1479" customFormat="false" ht="15" hidden="false" customHeight="false" outlineLevel="0" collapsed="false">
      <c r="A1479" s="7" t="s">
        <v>85</v>
      </c>
      <c r="B1479" s="7" t="n">
        <v>4408249</v>
      </c>
      <c r="C1479" s="7" t="s">
        <v>825</v>
      </c>
      <c r="D1479" s="26" t="n">
        <v>10</v>
      </c>
      <c r="E1479" s="26" t="n">
        <v>0</v>
      </c>
      <c r="F1479" s="26" t="n">
        <v>0</v>
      </c>
      <c r="G1479" s="26" t="n">
        <v>0</v>
      </c>
      <c r="H1479" s="26" t="n">
        <v>6</v>
      </c>
      <c r="I1479" s="26" t="n">
        <v>1</v>
      </c>
      <c r="J1479" s="26" t="n">
        <v>0</v>
      </c>
      <c r="K1479" s="26" t="n">
        <v>0</v>
      </c>
      <c r="L1479" s="26" t="n">
        <v>0</v>
      </c>
      <c r="M1479" s="26" t="n">
        <v>0</v>
      </c>
    </row>
    <row r="1480" customFormat="false" ht="15" hidden="false" customHeight="false" outlineLevel="0" collapsed="false">
      <c r="A1480" s="7" t="s">
        <v>87</v>
      </c>
      <c r="B1480" s="7" t="n">
        <v>4408249</v>
      </c>
      <c r="C1480" s="7" t="s">
        <v>825</v>
      </c>
      <c r="D1480" s="26" t="n">
        <v>806</v>
      </c>
      <c r="E1480" s="26" t="n">
        <v>0</v>
      </c>
      <c r="F1480" s="26" t="n">
        <v>0</v>
      </c>
      <c r="G1480" s="26" t="n">
        <v>0</v>
      </c>
      <c r="H1480" s="26" t="n">
        <v>452.2</v>
      </c>
      <c r="I1480" s="26" t="n">
        <v>-30.7</v>
      </c>
      <c r="J1480" s="26" t="n">
        <v>0</v>
      </c>
      <c r="K1480" s="26" t="n">
        <v>0</v>
      </c>
      <c r="L1480" s="26" t="n">
        <v>0</v>
      </c>
      <c r="M1480" s="26" t="n">
        <v>0</v>
      </c>
    </row>
    <row r="1481" customFormat="false" ht="15" hidden="false" customHeight="false" outlineLevel="0" collapsed="false">
      <c r="A1481" s="7" t="s">
        <v>85</v>
      </c>
      <c r="B1481" s="7" t="n">
        <v>4408248</v>
      </c>
      <c r="C1481" s="7" t="s">
        <v>826</v>
      </c>
      <c r="D1481" s="26" t="n">
        <v>13</v>
      </c>
      <c r="E1481" s="26" t="n">
        <v>0</v>
      </c>
      <c r="F1481" s="26" t="n">
        <v>0</v>
      </c>
      <c r="G1481" s="26" t="n">
        <v>0</v>
      </c>
      <c r="H1481" s="26" t="n">
        <v>13</v>
      </c>
      <c r="I1481" s="26" t="n">
        <v>3</v>
      </c>
      <c r="J1481" s="26" t="n">
        <v>0</v>
      </c>
      <c r="K1481" s="26" t="n">
        <v>0</v>
      </c>
      <c r="L1481" s="26" t="n">
        <v>0</v>
      </c>
      <c r="M1481" s="26" t="n">
        <v>0</v>
      </c>
    </row>
    <row r="1482" customFormat="false" ht="15" hidden="false" customHeight="false" outlineLevel="0" collapsed="false">
      <c r="A1482" s="7" t="s">
        <v>87</v>
      </c>
      <c r="B1482" s="7" t="n">
        <v>4408248</v>
      </c>
      <c r="C1482" s="7" t="s">
        <v>826</v>
      </c>
      <c r="D1482" s="26" t="n">
        <v>1102.3</v>
      </c>
      <c r="E1482" s="26" t="n">
        <v>0</v>
      </c>
      <c r="F1482" s="26" t="n">
        <v>0</v>
      </c>
      <c r="G1482" s="26" t="n">
        <v>0</v>
      </c>
      <c r="H1482" s="26" t="n">
        <v>964.7</v>
      </c>
      <c r="I1482" s="26" t="n">
        <v>197.2</v>
      </c>
      <c r="J1482" s="26" t="n">
        <v>0</v>
      </c>
      <c r="K1482" s="26" t="n">
        <v>0</v>
      </c>
      <c r="L1482" s="26" t="n">
        <v>0</v>
      </c>
      <c r="M1482" s="26" t="n">
        <v>0</v>
      </c>
    </row>
    <row r="1483" customFormat="false" ht="15" hidden="false" customHeight="false" outlineLevel="0" collapsed="false">
      <c r="A1483" s="7" t="s">
        <v>85</v>
      </c>
      <c r="B1483" s="7" t="n">
        <v>4408247</v>
      </c>
      <c r="C1483" s="7" t="s">
        <v>827</v>
      </c>
      <c r="D1483" s="26" t="n">
        <v>3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1</v>
      </c>
      <c r="J1483" s="26" t="n">
        <v>0</v>
      </c>
      <c r="K1483" s="26" t="n">
        <v>0</v>
      </c>
      <c r="L1483" s="26" t="n">
        <v>0</v>
      </c>
      <c r="M1483" s="26" t="n">
        <v>0</v>
      </c>
    </row>
    <row r="1484" customFormat="false" ht="15" hidden="false" customHeight="false" outlineLevel="0" collapsed="false">
      <c r="A1484" s="7" t="s">
        <v>87</v>
      </c>
      <c r="B1484" s="7" t="n">
        <v>4408247</v>
      </c>
      <c r="C1484" s="7" t="s">
        <v>827</v>
      </c>
      <c r="D1484" s="26" t="n">
        <v>248.3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70.6</v>
      </c>
      <c r="J1484" s="26" t="n">
        <v>0</v>
      </c>
      <c r="K1484" s="26" t="n">
        <v>0</v>
      </c>
      <c r="L1484" s="26" t="n">
        <v>0</v>
      </c>
      <c r="M1484" s="26" t="n">
        <v>0</v>
      </c>
    </row>
    <row r="1485" customFormat="false" ht="15" hidden="false" customHeight="false" outlineLevel="0" collapsed="false">
      <c r="A1485" s="7" t="s">
        <v>85</v>
      </c>
      <c r="B1485" s="7" t="n">
        <v>4408250</v>
      </c>
      <c r="C1485" s="7" t="s">
        <v>828</v>
      </c>
      <c r="D1485" s="26" t="n">
        <v>9</v>
      </c>
      <c r="E1485" s="26" t="n">
        <v>0</v>
      </c>
      <c r="F1485" s="26" t="n">
        <v>0</v>
      </c>
      <c r="G1485" s="26" t="n">
        <v>0</v>
      </c>
      <c r="H1485" s="26" t="n">
        <v>15</v>
      </c>
      <c r="I1485" s="26" t="n">
        <v>0</v>
      </c>
      <c r="J1485" s="26" t="n">
        <v>0</v>
      </c>
      <c r="K1485" s="26" t="n">
        <v>0</v>
      </c>
      <c r="L1485" s="26" t="n">
        <v>0</v>
      </c>
      <c r="M1485" s="26" t="n">
        <v>0</v>
      </c>
    </row>
    <row r="1486" customFormat="false" ht="15" hidden="false" customHeight="false" outlineLevel="0" collapsed="false">
      <c r="A1486" s="7" t="s">
        <v>87</v>
      </c>
      <c r="B1486" s="7" t="n">
        <v>4408250</v>
      </c>
      <c r="C1486" s="7" t="s">
        <v>828</v>
      </c>
      <c r="D1486" s="26" t="n">
        <v>718.1</v>
      </c>
      <c r="E1486" s="26" t="n">
        <v>0</v>
      </c>
      <c r="F1486" s="26" t="n">
        <v>0</v>
      </c>
      <c r="G1486" s="26" t="n">
        <v>0</v>
      </c>
      <c r="H1486" s="26" t="n">
        <v>1117.4</v>
      </c>
      <c r="I1486" s="26" t="n">
        <v>-52.6</v>
      </c>
      <c r="J1486" s="26" t="n">
        <v>0</v>
      </c>
      <c r="K1486" s="26" t="n">
        <v>0</v>
      </c>
      <c r="L1486" s="26" t="n">
        <v>0</v>
      </c>
      <c r="M1486" s="26" t="n">
        <v>0</v>
      </c>
    </row>
    <row r="1487" customFormat="false" ht="15" hidden="false" customHeight="false" outlineLevel="0" collapsed="false">
      <c r="A1487" s="7" t="s">
        <v>85</v>
      </c>
      <c r="B1487" s="7" t="n">
        <v>4413422</v>
      </c>
      <c r="C1487" s="7" t="s">
        <v>829</v>
      </c>
      <c r="D1487" s="26" t="n">
        <v>3</v>
      </c>
      <c r="E1487" s="26" t="n">
        <v>0</v>
      </c>
      <c r="F1487" s="26" t="n">
        <v>0</v>
      </c>
      <c r="G1487" s="26" t="n">
        <v>0</v>
      </c>
      <c r="H1487" s="26" t="n">
        <v>22</v>
      </c>
      <c r="I1487" s="26" t="n">
        <v>9</v>
      </c>
      <c r="J1487" s="26" t="n">
        <v>0</v>
      </c>
      <c r="K1487" s="26" t="n">
        <v>0</v>
      </c>
      <c r="L1487" s="26" t="n">
        <v>0</v>
      </c>
      <c r="M1487" s="26" t="n">
        <v>0</v>
      </c>
    </row>
    <row r="1488" customFormat="false" ht="15" hidden="false" customHeight="false" outlineLevel="0" collapsed="false">
      <c r="A1488" s="7" t="s">
        <v>87</v>
      </c>
      <c r="B1488" s="7" t="n">
        <v>4413422</v>
      </c>
      <c r="C1488" s="7" t="s">
        <v>829</v>
      </c>
      <c r="D1488" s="26" t="n">
        <v>231.9</v>
      </c>
      <c r="E1488" s="26" t="n">
        <v>0</v>
      </c>
      <c r="F1488" s="26" t="n">
        <v>0</v>
      </c>
      <c r="G1488" s="26" t="n">
        <v>0</v>
      </c>
      <c r="H1488" s="26" t="n">
        <v>1638.8</v>
      </c>
      <c r="I1488" s="26" t="n">
        <v>644.1</v>
      </c>
      <c r="J1488" s="26" t="n">
        <v>0</v>
      </c>
      <c r="K1488" s="26" t="n">
        <v>0</v>
      </c>
      <c r="L1488" s="26" t="n">
        <v>0</v>
      </c>
      <c r="M1488" s="26" t="n">
        <v>0</v>
      </c>
    </row>
    <row r="1489" customFormat="false" ht="15" hidden="false" customHeight="false" outlineLevel="0" collapsed="false">
      <c r="A1489" s="7" t="s">
        <v>85</v>
      </c>
      <c r="B1489" s="7" t="n">
        <v>4413421</v>
      </c>
      <c r="C1489" s="7" t="s">
        <v>830</v>
      </c>
      <c r="D1489" s="26" t="n">
        <v>6</v>
      </c>
      <c r="E1489" s="26" t="n">
        <v>0</v>
      </c>
      <c r="F1489" s="26" t="n">
        <v>0</v>
      </c>
      <c r="G1489" s="26" t="n">
        <v>0</v>
      </c>
      <c r="H1489" s="26" t="n">
        <v>26</v>
      </c>
      <c r="I1489" s="26" t="n">
        <v>7</v>
      </c>
      <c r="J1489" s="26" t="n">
        <v>0</v>
      </c>
      <c r="K1489" s="26" t="n">
        <v>0</v>
      </c>
      <c r="L1489" s="26" t="n">
        <v>0</v>
      </c>
      <c r="M1489" s="26" t="n">
        <v>0</v>
      </c>
    </row>
    <row r="1490" customFormat="false" ht="15" hidden="false" customHeight="false" outlineLevel="0" collapsed="false">
      <c r="A1490" s="7" t="s">
        <v>87</v>
      </c>
      <c r="B1490" s="7" t="n">
        <v>4413421</v>
      </c>
      <c r="C1490" s="7" t="s">
        <v>830</v>
      </c>
      <c r="D1490" s="26" t="n">
        <v>490.3</v>
      </c>
      <c r="E1490" s="26" t="n">
        <v>0</v>
      </c>
      <c r="F1490" s="26" t="n">
        <v>0</v>
      </c>
      <c r="G1490" s="26" t="n">
        <v>0</v>
      </c>
      <c r="H1490" s="26" t="n">
        <v>1918.1</v>
      </c>
      <c r="I1490" s="26" t="n">
        <v>495.1</v>
      </c>
      <c r="J1490" s="26" t="n">
        <v>0</v>
      </c>
      <c r="K1490" s="26" t="n">
        <v>0</v>
      </c>
      <c r="L1490" s="26" t="n">
        <v>0</v>
      </c>
      <c r="M1490" s="26" t="n">
        <v>0</v>
      </c>
    </row>
    <row r="1491" customFormat="false" ht="15" hidden="false" customHeight="false" outlineLevel="0" collapsed="false">
      <c r="A1491" s="7" t="s">
        <v>85</v>
      </c>
      <c r="B1491" s="7" t="n">
        <v>4413420</v>
      </c>
      <c r="C1491" s="7" t="s">
        <v>831</v>
      </c>
      <c r="D1491" s="26" t="n">
        <v>2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0</v>
      </c>
      <c r="J1491" s="26" t="n">
        <v>0</v>
      </c>
      <c r="K1491" s="26" t="n">
        <v>0</v>
      </c>
      <c r="L1491" s="26" t="n">
        <v>0</v>
      </c>
      <c r="M1491" s="26" t="n">
        <v>0</v>
      </c>
    </row>
    <row r="1492" customFormat="false" ht="15" hidden="false" customHeight="false" outlineLevel="0" collapsed="false">
      <c r="A1492" s="7" t="s">
        <v>87</v>
      </c>
      <c r="B1492" s="7" t="n">
        <v>4413420</v>
      </c>
      <c r="C1492" s="7" t="s">
        <v>831</v>
      </c>
      <c r="D1492" s="26" t="n">
        <v>154.6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0</v>
      </c>
      <c r="J1492" s="26" t="n">
        <v>0</v>
      </c>
      <c r="K1492" s="26" t="n">
        <v>0</v>
      </c>
      <c r="L1492" s="26" t="n">
        <v>0</v>
      </c>
      <c r="M1492" s="26" t="n">
        <v>0</v>
      </c>
    </row>
    <row r="1493" customFormat="false" ht="15" hidden="false" customHeight="false" outlineLevel="0" collapsed="false">
      <c r="A1493" s="7" t="s">
        <v>85</v>
      </c>
      <c r="B1493" s="7" t="n">
        <v>4413423</v>
      </c>
      <c r="C1493" s="7" t="s">
        <v>832</v>
      </c>
      <c r="D1493" s="26" t="n">
        <v>1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4</v>
      </c>
      <c r="J1493" s="26" t="n">
        <v>0</v>
      </c>
      <c r="K1493" s="26" t="n">
        <v>0</v>
      </c>
      <c r="L1493" s="26" t="n">
        <v>0</v>
      </c>
      <c r="M1493" s="26" t="n">
        <v>0</v>
      </c>
    </row>
    <row r="1494" customFormat="false" ht="15" hidden="false" customHeight="false" outlineLevel="0" collapsed="false">
      <c r="A1494" s="7" t="s">
        <v>87</v>
      </c>
      <c r="B1494" s="7" t="n">
        <v>4413423</v>
      </c>
      <c r="C1494" s="7" t="s">
        <v>832</v>
      </c>
      <c r="D1494" s="26" t="n">
        <v>72.1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245.4</v>
      </c>
      <c r="J1494" s="26" t="n">
        <v>0</v>
      </c>
      <c r="K1494" s="26" t="n">
        <v>0</v>
      </c>
      <c r="L1494" s="26" t="n">
        <v>0</v>
      </c>
      <c r="M1494" s="26" t="n">
        <v>0</v>
      </c>
    </row>
    <row r="1495" customFormat="false" ht="15" hidden="false" customHeight="false" outlineLevel="0" collapsed="false">
      <c r="A1495" s="7" t="s">
        <v>85</v>
      </c>
      <c r="B1495" s="7" t="n">
        <v>4413426</v>
      </c>
      <c r="C1495" s="7" t="s">
        <v>833</v>
      </c>
      <c r="D1495" s="26" t="n">
        <v>4</v>
      </c>
      <c r="E1495" s="26" t="n">
        <v>0</v>
      </c>
      <c r="F1495" s="26" t="n">
        <v>0</v>
      </c>
      <c r="G1495" s="26" t="n">
        <v>0</v>
      </c>
      <c r="H1495" s="26" t="n">
        <v>21</v>
      </c>
      <c r="I1495" s="26" t="n">
        <v>-3</v>
      </c>
      <c r="J1495" s="26" t="n">
        <v>0</v>
      </c>
      <c r="K1495" s="26" t="n">
        <v>0</v>
      </c>
      <c r="L1495" s="26" t="n">
        <v>0</v>
      </c>
      <c r="M1495" s="26" t="n">
        <v>0</v>
      </c>
    </row>
    <row r="1496" customFormat="false" ht="15" hidden="false" customHeight="false" outlineLevel="0" collapsed="false">
      <c r="A1496" s="7" t="s">
        <v>87</v>
      </c>
      <c r="B1496" s="7" t="n">
        <v>4413426</v>
      </c>
      <c r="C1496" s="7" t="s">
        <v>833</v>
      </c>
      <c r="D1496" s="26" t="n">
        <v>309.2</v>
      </c>
      <c r="E1496" s="26" t="n">
        <v>0</v>
      </c>
      <c r="F1496" s="26" t="n">
        <v>0</v>
      </c>
      <c r="G1496" s="26" t="n">
        <v>0</v>
      </c>
      <c r="H1496" s="26" t="n">
        <v>1549.4</v>
      </c>
      <c r="I1496" s="26" t="n">
        <v>-276.1</v>
      </c>
      <c r="J1496" s="26" t="n">
        <v>0</v>
      </c>
      <c r="K1496" s="26" t="n">
        <v>0</v>
      </c>
      <c r="L1496" s="26" t="n">
        <v>0</v>
      </c>
      <c r="M1496" s="26" t="n">
        <v>0</v>
      </c>
    </row>
    <row r="1497" customFormat="false" ht="15" hidden="false" customHeight="false" outlineLevel="0" collapsed="false">
      <c r="A1497" s="7" t="s">
        <v>85</v>
      </c>
      <c r="B1497" s="7" t="n">
        <v>4413425</v>
      </c>
      <c r="C1497" s="7" t="s">
        <v>834</v>
      </c>
      <c r="D1497" s="26" t="n">
        <v>9</v>
      </c>
      <c r="E1497" s="26" t="n">
        <v>0</v>
      </c>
      <c r="F1497" s="26" t="n">
        <v>0</v>
      </c>
      <c r="G1497" s="26" t="n">
        <v>0</v>
      </c>
      <c r="H1497" s="26" t="n">
        <v>24</v>
      </c>
      <c r="I1497" s="26" t="n">
        <v>0</v>
      </c>
      <c r="J1497" s="26" t="n">
        <v>0</v>
      </c>
      <c r="K1497" s="26" t="n">
        <v>0</v>
      </c>
      <c r="L1497" s="26" t="n">
        <v>0</v>
      </c>
      <c r="M1497" s="26" t="n">
        <v>0</v>
      </c>
    </row>
    <row r="1498" customFormat="false" ht="15" hidden="false" customHeight="false" outlineLevel="0" collapsed="false">
      <c r="A1498" s="7" t="s">
        <v>87</v>
      </c>
      <c r="B1498" s="7" t="n">
        <v>4413425</v>
      </c>
      <c r="C1498" s="7" t="s">
        <v>834</v>
      </c>
      <c r="D1498" s="26" t="n">
        <v>724.8</v>
      </c>
      <c r="E1498" s="26" t="n">
        <v>0</v>
      </c>
      <c r="F1498" s="26" t="n">
        <v>0</v>
      </c>
      <c r="G1498" s="26" t="n">
        <v>0</v>
      </c>
      <c r="H1498" s="26" t="n">
        <v>1772.9</v>
      </c>
      <c r="I1498" s="26" t="n">
        <v>-26.3</v>
      </c>
      <c r="J1498" s="26" t="n">
        <v>0</v>
      </c>
      <c r="K1498" s="26" t="n">
        <v>0</v>
      </c>
      <c r="L1498" s="26" t="n">
        <v>0</v>
      </c>
      <c r="M1498" s="26" t="n">
        <v>0</v>
      </c>
    </row>
    <row r="1499" customFormat="false" ht="15" hidden="false" customHeight="false" outlineLevel="0" collapsed="false">
      <c r="A1499" s="7" t="s">
        <v>85</v>
      </c>
      <c r="B1499" s="7" t="n">
        <v>4413424</v>
      </c>
      <c r="C1499" s="7" t="s">
        <v>835</v>
      </c>
      <c r="D1499" s="26" t="n">
        <v>3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  <c r="L1499" s="26" t="n">
        <v>0</v>
      </c>
      <c r="M1499" s="26" t="n">
        <v>0</v>
      </c>
    </row>
    <row r="1500" customFormat="false" ht="15" hidden="false" customHeight="false" outlineLevel="0" collapsed="false">
      <c r="A1500" s="7" t="s">
        <v>87</v>
      </c>
      <c r="B1500" s="7" t="n">
        <v>4413424</v>
      </c>
      <c r="C1500" s="7" t="s">
        <v>835</v>
      </c>
      <c r="D1500" s="26" t="n">
        <v>231.9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  <c r="L1500" s="26" t="n">
        <v>0</v>
      </c>
      <c r="M1500" s="26" t="n">
        <v>0</v>
      </c>
    </row>
    <row r="1501" customFormat="false" ht="15" hidden="false" customHeight="false" outlineLevel="0" collapsed="false">
      <c r="A1501" s="7" t="s">
        <v>85</v>
      </c>
      <c r="B1501" s="7" t="n">
        <v>4413427</v>
      </c>
      <c r="C1501" s="7" t="s">
        <v>836</v>
      </c>
      <c r="D1501" s="26" t="n">
        <v>1</v>
      </c>
      <c r="E1501" s="26" t="n">
        <v>0</v>
      </c>
      <c r="F1501" s="26" t="n">
        <v>0</v>
      </c>
      <c r="G1501" s="26" t="n">
        <v>0</v>
      </c>
      <c r="H1501" s="26" t="n">
        <v>11</v>
      </c>
      <c r="I1501" s="26" t="n">
        <v>-1</v>
      </c>
      <c r="J1501" s="26" t="n">
        <v>0</v>
      </c>
      <c r="K1501" s="26" t="n">
        <v>0</v>
      </c>
      <c r="L1501" s="26" t="n">
        <v>0</v>
      </c>
      <c r="M1501" s="26" t="n">
        <v>0</v>
      </c>
    </row>
    <row r="1502" customFormat="false" ht="15" hidden="false" customHeight="false" outlineLevel="0" collapsed="false">
      <c r="A1502" s="7" t="s">
        <v>87</v>
      </c>
      <c r="B1502" s="7" t="n">
        <v>4413427</v>
      </c>
      <c r="C1502" s="7" t="s">
        <v>836</v>
      </c>
      <c r="D1502" s="26" t="n">
        <v>77.3</v>
      </c>
      <c r="E1502" s="26" t="n">
        <v>0</v>
      </c>
      <c r="F1502" s="26" t="n">
        <v>0</v>
      </c>
      <c r="G1502" s="26" t="n">
        <v>0</v>
      </c>
      <c r="H1502" s="26" t="n">
        <v>815.7</v>
      </c>
      <c r="I1502" s="26" t="n">
        <v>-127.1</v>
      </c>
      <c r="J1502" s="26" t="n">
        <v>0</v>
      </c>
      <c r="K1502" s="26" t="n">
        <v>0</v>
      </c>
      <c r="L1502" s="26" t="n">
        <v>0</v>
      </c>
      <c r="M1502" s="26" t="n">
        <v>0</v>
      </c>
    </row>
    <row r="1503" customFormat="false" ht="15" hidden="false" customHeight="false" outlineLevel="0" collapsed="false">
      <c r="A1503" s="7" t="s">
        <v>85</v>
      </c>
      <c r="B1503" s="7" t="n">
        <v>4413417</v>
      </c>
      <c r="C1503" s="7" t="s">
        <v>837</v>
      </c>
      <c r="D1503" s="26" t="n">
        <v>2</v>
      </c>
      <c r="E1503" s="26" t="n">
        <v>0</v>
      </c>
      <c r="F1503" s="26" t="n">
        <v>0</v>
      </c>
      <c r="G1503" s="26" t="n">
        <v>0</v>
      </c>
      <c r="H1503" s="26" t="n">
        <v>3</v>
      </c>
      <c r="I1503" s="26" t="n">
        <v>9</v>
      </c>
      <c r="J1503" s="26" t="n">
        <v>0</v>
      </c>
      <c r="K1503" s="26" t="n">
        <v>0</v>
      </c>
      <c r="L1503" s="26" t="n">
        <v>0</v>
      </c>
      <c r="M1503" s="26" t="n">
        <v>0</v>
      </c>
    </row>
    <row r="1504" customFormat="false" ht="15" hidden="false" customHeight="false" outlineLevel="0" collapsed="false">
      <c r="A1504" s="7" t="s">
        <v>87</v>
      </c>
      <c r="B1504" s="7" t="n">
        <v>4413417</v>
      </c>
      <c r="C1504" s="7" t="s">
        <v>837</v>
      </c>
      <c r="D1504" s="26" t="n">
        <v>290.5</v>
      </c>
      <c r="E1504" s="26" t="n">
        <v>0</v>
      </c>
      <c r="F1504" s="26" t="n">
        <v>0</v>
      </c>
      <c r="G1504" s="26" t="n">
        <v>0</v>
      </c>
      <c r="H1504" s="26" t="n">
        <v>407.3</v>
      </c>
      <c r="I1504" s="26" t="n">
        <v>1168.6</v>
      </c>
      <c r="J1504" s="26" t="n">
        <v>0</v>
      </c>
      <c r="K1504" s="26" t="n">
        <v>0</v>
      </c>
      <c r="L1504" s="26" t="n">
        <v>0</v>
      </c>
      <c r="M1504" s="26" t="n">
        <v>0</v>
      </c>
    </row>
    <row r="1505" customFormat="false" ht="15" hidden="false" customHeight="false" outlineLevel="0" collapsed="false">
      <c r="A1505" s="7" t="s">
        <v>85</v>
      </c>
      <c r="B1505" s="7" t="n">
        <v>4413416</v>
      </c>
      <c r="C1505" s="7" t="s">
        <v>838</v>
      </c>
      <c r="D1505" s="26" t="n">
        <v>1</v>
      </c>
      <c r="E1505" s="26" t="n">
        <v>0</v>
      </c>
      <c r="F1505" s="26" t="n">
        <v>0</v>
      </c>
      <c r="G1505" s="26" t="n">
        <v>0</v>
      </c>
      <c r="H1505" s="26" t="n">
        <v>11</v>
      </c>
      <c r="I1505" s="26" t="n">
        <v>7</v>
      </c>
      <c r="J1505" s="26" t="n">
        <v>0</v>
      </c>
      <c r="K1505" s="26" t="n">
        <v>0</v>
      </c>
      <c r="L1505" s="26" t="n">
        <v>0</v>
      </c>
      <c r="M1505" s="26" t="n">
        <v>0</v>
      </c>
    </row>
    <row r="1506" customFormat="false" ht="15" hidden="false" customHeight="false" outlineLevel="0" collapsed="false">
      <c r="A1506" s="7" t="s">
        <v>87</v>
      </c>
      <c r="B1506" s="7" t="n">
        <v>4413416</v>
      </c>
      <c r="C1506" s="7" t="s">
        <v>838</v>
      </c>
      <c r="D1506" s="26" t="n">
        <v>145.3</v>
      </c>
      <c r="E1506" s="26" t="n">
        <v>0</v>
      </c>
      <c r="F1506" s="26" t="n">
        <v>0</v>
      </c>
      <c r="G1506" s="26" t="n">
        <v>0</v>
      </c>
      <c r="H1506" s="26" t="n">
        <v>1479.8</v>
      </c>
      <c r="I1506" s="26" t="n">
        <v>843.8</v>
      </c>
      <c r="J1506" s="26" t="n">
        <v>0</v>
      </c>
      <c r="K1506" s="26" t="n">
        <v>0</v>
      </c>
      <c r="L1506" s="26" t="n">
        <v>0</v>
      </c>
      <c r="M1506" s="26" t="n">
        <v>0</v>
      </c>
    </row>
    <row r="1507" customFormat="false" ht="15" hidden="false" customHeight="false" outlineLevel="0" collapsed="false">
      <c r="A1507" s="7" t="s">
        <v>85</v>
      </c>
      <c r="B1507" s="7" t="n">
        <v>4413415</v>
      </c>
      <c r="C1507" s="7" t="s">
        <v>839</v>
      </c>
      <c r="D1507" s="26" t="n">
        <v>3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2</v>
      </c>
      <c r="J1507" s="26" t="n">
        <v>0</v>
      </c>
      <c r="K1507" s="26" t="n">
        <v>0</v>
      </c>
      <c r="L1507" s="26" t="n">
        <v>0</v>
      </c>
      <c r="M1507" s="26" t="n">
        <v>0</v>
      </c>
    </row>
    <row r="1508" customFormat="false" ht="15" hidden="false" customHeight="false" outlineLevel="0" collapsed="false">
      <c r="A1508" s="7" t="s">
        <v>87</v>
      </c>
      <c r="B1508" s="7" t="n">
        <v>4413415</v>
      </c>
      <c r="C1508" s="7" t="s">
        <v>839</v>
      </c>
      <c r="D1508" s="26" t="n">
        <v>413.3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256</v>
      </c>
      <c r="J1508" s="26" t="n">
        <v>0</v>
      </c>
      <c r="K1508" s="26" t="n">
        <v>0</v>
      </c>
      <c r="L1508" s="26" t="n">
        <v>0</v>
      </c>
      <c r="M1508" s="26" t="n">
        <v>0</v>
      </c>
    </row>
    <row r="1509" customFormat="false" ht="15" hidden="false" customHeight="false" outlineLevel="0" collapsed="false">
      <c r="A1509" s="7" t="s">
        <v>85</v>
      </c>
      <c r="B1509" s="7" t="n">
        <v>4413418</v>
      </c>
      <c r="C1509" s="7" t="s">
        <v>840</v>
      </c>
      <c r="D1509" s="26" t="n">
        <v>1</v>
      </c>
      <c r="E1509" s="26" t="n">
        <v>0</v>
      </c>
      <c r="F1509" s="26" t="n">
        <v>0</v>
      </c>
      <c r="G1509" s="26" t="n">
        <v>0</v>
      </c>
      <c r="H1509" s="26" t="n">
        <v>2</v>
      </c>
      <c r="I1509" s="26" t="n">
        <v>-1</v>
      </c>
      <c r="J1509" s="26" t="n">
        <v>0</v>
      </c>
      <c r="K1509" s="26" t="n">
        <v>0</v>
      </c>
      <c r="L1509" s="26" t="n">
        <v>0</v>
      </c>
      <c r="M1509" s="26" t="n">
        <v>0</v>
      </c>
    </row>
    <row r="1510" customFormat="false" ht="15" hidden="false" customHeight="false" outlineLevel="0" collapsed="false">
      <c r="A1510" s="7" t="s">
        <v>87</v>
      </c>
      <c r="B1510" s="7" t="n">
        <v>4413418</v>
      </c>
      <c r="C1510" s="7" t="s">
        <v>840</v>
      </c>
      <c r="D1510" s="26" t="n">
        <v>153.1</v>
      </c>
      <c r="E1510" s="26" t="n">
        <v>0</v>
      </c>
      <c r="F1510" s="26" t="n">
        <v>0</v>
      </c>
      <c r="G1510" s="26" t="n">
        <v>0</v>
      </c>
      <c r="H1510" s="26" t="n">
        <v>285.1</v>
      </c>
      <c r="I1510" s="26" t="n">
        <v>-189</v>
      </c>
      <c r="J1510" s="26" t="n">
        <v>0</v>
      </c>
      <c r="K1510" s="26" t="n">
        <v>0</v>
      </c>
      <c r="L1510" s="26" t="n">
        <v>0</v>
      </c>
      <c r="M1510" s="26" t="n">
        <v>0</v>
      </c>
    </row>
    <row r="1511" customFormat="false" ht="15" hidden="false" customHeight="false" outlineLevel="0" collapsed="false">
      <c r="A1511" s="7" t="s">
        <v>85</v>
      </c>
      <c r="B1511" s="7" t="n">
        <v>4413419</v>
      </c>
      <c r="C1511" s="7" t="s">
        <v>841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-4</v>
      </c>
      <c r="J1511" s="26" t="n">
        <v>0</v>
      </c>
      <c r="K1511" s="26" t="n">
        <v>0</v>
      </c>
      <c r="L1511" s="26" t="n">
        <v>0</v>
      </c>
      <c r="M1511" s="26" t="n">
        <v>0</v>
      </c>
    </row>
    <row r="1512" customFormat="false" ht="15" hidden="false" customHeight="false" outlineLevel="0" collapsed="false">
      <c r="A1512" s="7" t="s">
        <v>87</v>
      </c>
      <c r="B1512" s="7" t="n">
        <v>4413419</v>
      </c>
      <c r="C1512" s="7" t="s">
        <v>841</v>
      </c>
      <c r="D1512" s="26" t="n">
        <v>22.4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-596.3</v>
      </c>
      <c r="J1512" s="26" t="n">
        <v>0</v>
      </c>
      <c r="K1512" s="26" t="n">
        <v>0</v>
      </c>
      <c r="L1512" s="26" t="n">
        <v>0</v>
      </c>
      <c r="M1512" s="26" t="n">
        <v>0</v>
      </c>
    </row>
    <row r="1513" customFormat="false" ht="15" hidden="false" customHeight="false" outlineLevel="0" collapsed="false">
      <c r="A1513" s="7" t="s">
        <v>85</v>
      </c>
      <c r="B1513" s="7" t="n">
        <v>4413440</v>
      </c>
      <c r="C1513" s="7" t="s">
        <v>842</v>
      </c>
      <c r="D1513" s="26" t="n">
        <v>19</v>
      </c>
      <c r="E1513" s="26" t="n">
        <v>0</v>
      </c>
      <c r="F1513" s="26" t="n">
        <v>0</v>
      </c>
      <c r="G1513" s="26" t="n">
        <v>0</v>
      </c>
      <c r="H1513" s="26" t="n">
        <v>31</v>
      </c>
      <c r="I1513" s="26" t="n">
        <v>8</v>
      </c>
      <c r="J1513" s="26" t="n">
        <v>0</v>
      </c>
      <c r="K1513" s="26" t="n">
        <v>0</v>
      </c>
      <c r="L1513" s="26" t="n">
        <v>0</v>
      </c>
      <c r="M1513" s="26" t="n">
        <v>0</v>
      </c>
    </row>
    <row r="1514" customFormat="false" ht="15" hidden="false" customHeight="false" outlineLevel="0" collapsed="false">
      <c r="A1514" s="7" t="s">
        <v>87</v>
      </c>
      <c r="B1514" s="7" t="n">
        <v>4413440</v>
      </c>
      <c r="C1514" s="7" t="s">
        <v>842</v>
      </c>
      <c r="D1514" s="26" t="n">
        <v>2570.5</v>
      </c>
      <c r="E1514" s="26" t="n">
        <v>0</v>
      </c>
      <c r="F1514" s="26" t="n">
        <v>0</v>
      </c>
      <c r="G1514" s="26" t="n">
        <v>0</v>
      </c>
      <c r="H1514" s="26" t="n">
        <v>4167.8</v>
      </c>
      <c r="I1514" s="26" t="n">
        <v>992.1</v>
      </c>
      <c r="J1514" s="26" t="n">
        <v>0</v>
      </c>
      <c r="K1514" s="26" t="n">
        <v>0</v>
      </c>
      <c r="L1514" s="26" t="n">
        <v>0</v>
      </c>
      <c r="M1514" s="26" t="n">
        <v>0</v>
      </c>
    </row>
    <row r="1515" customFormat="false" ht="15" hidden="false" customHeight="false" outlineLevel="0" collapsed="false">
      <c r="A1515" s="7" t="s">
        <v>85</v>
      </c>
      <c r="B1515" s="7" t="n">
        <v>4413439</v>
      </c>
      <c r="C1515" s="7" t="s">
        <v>843</v>
      </c>
      <c r="D1515" s="26" t="n">
        <v>11</v>
      </c>
      <c r="E1515" s="26" t="n">
        <v>0</v>
      </c>
      <c r="F1515" s="26" t="n">
        <v>0</v>
      </c>
      <c r="G1515" s="26" t="n">
        <v>0</v>
      </c>
      <c r="H1515" s="26" t="n">
        <v>20</v>
      </c>
      <c r="I1515" s="26" t="n">
        <v>5</v>
      </c>
      <c r="J1515" s="26" t="n">
        <v>0</v>
      </c>
      <c r="K1515" s="26" t="n">
        <v>0</v>
      </c>
      <c r="L1515" s="26" t="n">
        <v>0</v>
      </c>
      <c r="M1515" s="26" t="n">
        <v>0</v>
      </c>
    </row>
    <row r="1516" customFormat="false" ht="15" hidden="false" customHeight="false" outlineLevel="0" collapsed="false">
      <c r="A1516" s="7" t="s">
        <v>87</v>
      </c>
      <c r="B1516" s="7" t="n">
        <v>4413439</v>
      </c>
      <c r="C1516" s="7" t="s">
        <v>843</v>
      </c>
      <c r="D1516" s="26" t="n">
        <v>1474.1</v>
      </c>
      <c r="E1516" s="26" t="n">
        <v>0</v>
      </c>
      <c r="F1516" s="26" t="n">
        <v>0</v>
      </c>
      <c r="G1516" s="26" t="n">
        <v>0</v>
      </c>
      <c r="H1516" s="26" t="n">
        <v>2674.5</v>
      </c>
      <c r="I1516" s="26" t="n">
        <v>537.9</v>
      </c>
      <c r="J1516" s="26" t="n">
        <v>0</v>
      </c>
      <c r="K1516" s="26" t="n">
        <v>0</v>
      </c>
      <c r="L1516" s="26" t="n">
        <v>0</v>
      </c>
      <c r="M1516" s="26" t="n">
        <v>0</v>
      </c>
    </row>
    <row r="1517" customFormat="false" ht="15" hidden="false" customHeight="false" outlineLevel="0" collapsed="false">
      <c r="A1517" s="7" t="s">
        <v>85</v>
      </c>
      <c r="B1517" s="7" t="n">
        <v>4413441</v>
      </c>
      <c r="C1517" s="7" t="s">
        <v>844</v>
      </c>
      <c r="D1517" s="26" t="n">
        <v>11</v>
      </c>
      <c r="E1517" s="26" t="n">
        <v>0</v>
      </c>
      <c r="F1517" s="26" t="n">
        <v>0</v>
      </c>
      <c r="G1517" s="26" t="n">
        <v>0</v>
      </c>
      <c r="H1517" s="26" t="n">
        <v>13</v>
      </c>
      <c r="I1517" s="26" t="n">
        <v>1</v>
      </c>
      <c r="J1517" s="26" t="n">
        <v>0</v>
      </c>
      <c r="K1517" s="26" t="n">
        <v>0</v>
      </c>
      <c r="L1517" s="26" t="n">
        <v>0</v>
      </c>
      <c r="M1517" s="26" t="n">
        <v>0</v>
      </c>
    </row>
    <row r="1518" customFormat="false" ht="15" hidden="false" customHeight="false" outlineLevel="0" collapsed="false">
      <c r="A1518" s="7" t="s">
        <v>87</v>
      </c>
      <c r="B1518" s="7" t="n">
        <v>4413441</v>
      </c>
      <c r="C1518" s="7" t="s">
        <v>844</v>
      </c>
      <c r="D1518" s="26" t="n">
        <v>1455.4</v>
      </c>
      <c r="E1518" s="26" t="n">
        <v>0</v>
      </c>
      <c r="F1518" s="26" t="n">
        <v>0</v>
      </c>
      <c r="G1518" s="26" t="n">
        <v>0</v>
      </c>
      <c r="H1518" s="26" t="n">
        <v>1751.3</v>
      </c>
      <c r="I1518" s="26" t="n">
        <v>135.8</v>
      </c>
      <c r="J1518" s="26" t="n">
        <v>0</v>
      </c>
      <c r="K1518" s="26" t="n">
        <v>0</v>
      </c>
      <c r="L1518" s="26" t="n">
        <v>0</v>
      </c>
      <c r="M1518" s="26" t="n">
        <v>0</v>
      </c>
    </row>
    <row r="1519" customFormat="false" ht="15" hidden="false" customHeight="false" outlineLevel="0" collapsed="false">
      <c r="A1519" s="7" t="s">
        <v>85</v>
      </c>
      <c r="B1519" s="7" t="n">
        <v>4413407</v>
      </c>
      <c r="C1519" s="7" t="s">
        <v>845</v>
      </c>
      <c r="D1519" s="26" t="n">
        <v>7</v>
      </c>
      <c r="E1519" s="26" t="n">
        <v>0</v>
      </c>
      <c r="F1519" s="26" t="n">
        <v>0</v>
      </c>
      <c r="G1519" s="26" t="n">
        <v>0</v>
      </c>
      <c r="H1519" s="26" t="n">
        <v>26</v>
      </c>
      <c r="I1519" s="26" t="n">
        <v>4</v>
      </c>
      <c r="J1519" s="26" t="n">
        <v>0</v>
      </c>
      <c r="K1519" s="26" t="n">
        <v>0</v>
      </c>
      <c r="L1519" s="26" t="n">
        <v>0</v>
      </c>
      <c r="M1519" s="26" t="n">
        <v>0</v>
      </c>
    </row>
    <row r="1520" customFormat="false" ht="15" hidden="false" customHeight="false" outlineLevel="0" collapsed="false">
      <c r="A1520" s="7" t="s">
        <v>87</v>
      </c>
      <c r="B1520" s="7" t="n">
        <v>4413407</v>
      </c>
      <c r="C1520" s="7" t="s">
        <v>845</v>
      </c>
      <c r="D1520" s="26" t="n">
        <v>548.9</v>
      </c>
      <c r="E1520" s="26" t="n">
        <v>0</v>
      </c>
      <c r="F1520" s="26" t="n">
        <v>0</v>
      </c>
      <c r="G1520" s="26" t="n">
        <v>0</v>
      </c>
      <c r="H1520" s="26" t="n">
        <v>1933</v>
      </c>
      <c r="I1520" s="26" t="n">
        <v>245.4</v>
      </c>
      <c r="J1520" s="26" t="n">
        <v>0</v>
      </c>
      <c r="K1520" s="26" t="n">
        <v>0</v>
      </c>
      <c r="L1520" s="26" t="n">
        <v>0</v>
      </c>
      <c r="M1520" s="26" t="n">
        <v>0</v>
      </c>
    </row>
    <row r="1521" customFormat="false" ht="15" hidden="false" customHeight="false" outlineLevel="0" collapsed="false">
      <c r="A1521" s="7" t="s">
        <v>85</v>
      </c>
      <c r="B1521" s="7" t="n">
        <v>4413406</v>
      </c>
      <c r="C1521" s="7" t="s">
        <v>846</v>
      </c>
      <c r="D1521" s="26" t="n">
        <v>6</v>
      </c>
      <c r="E1521" s="26" t="n">
        <v>0</v>
      </c>
      <c r="F1521" s="26" t="n">
        <v>0</v>
      </c>
      <c r="G1521" s="26" t="n">
        <v>0</v>
      </c>
      <c r="H1521" s="26" t="n">
        <v>8</v>
      </c>
      <c r="I1521" s="26" t="n">
        <v>2</v>
      </c>
      <c r="J1521" s="26" t="n">
        <v>0</v>
      </c>
      <c r="K1521" s="26" t="n">
        <v>0</v>
      </c>
      <c r="L1521" s="26" t="n">
        <v>0</v>
      </c>
      <c r="M1521" s="26" t="n">
        <v>0</v>
      </c>
    </row>
    <row r="1522" customFormat="false" ht="15" hidden="false" customHeight="false" outlineLevel="0" collapsed="false">
      <c r="A1522" s="7" t="s">
        <v>87</v>
      </c>
      <c r="B1522" s="7" t="n">
        <v>4413406</v>
      </c>
      <c r="C1522" s="7" t="s">
        <v>846</v>
      </c>
      <c r="D1522" s="26" t="n">
        <v>507.7</v>
      </c>
      <c r="E1522" s="26" t="n">
        <v>0</v>
      </c>
      <c r="F1522" s="26" t="n">
        <v>0</v>
      </c>
      <c r="G1522" s="26" t="n">
        <v>0</v>
      </c>
      <c r="H1522" s="26" t="n">
        <v>607.1</v>
      </c>
      <c r="I1522" s="26" t="n">
        <v>122.7</v>
      </c>
      <c r="J1522" s="26" t="n">
        <v>0</v>
      </c>
      <c r="K1522" s="26" t="n">
        <v>0</v>
      </c>
      <c r="L1522" s="26" t="n">
        <v>0</v>
      </c>
      <c r="M1522" s="26" t="n">
        <v>0</v>
      </c>
    </row>
    <row r="1523" customFormat="false" ht="15" hidden="false" customHeight="false" outlineLevel="0" collapsed="false">
      <c r="A1523" s="7" t="s">
        <v>85</v>
      </c>
      <c r="B1523" s="7" t="n">
        <v>4413408</v>
      </c>
      <c r="C1523" s="7" t="s">
        <v>847</v>
      </c>
      <c r="D1523" s="26" t="n">
        <v>5</v>
      </c>
      <c r="E1523" s="26" t="n">
        <v>0</v>
      </c>
      <c r="F1523" s="26" t="n">
        <v>0</v>
      </c>
      <c r="G1523" s="26" t="n">
        <v>0</v>
      </c>
      <c r="H1523" s="26" t="n">
        <v>13</v>
      </c>
      <c r="I1523" s="26" t="n">
        <v>6</v>
      </c>
      <c r="J1523" s="26" t="n">
        <v>0</v>
      </c>
      <c r="K1523" s="26" t="n">
        <v>0</v>
      </c>
      <c r="L1523" s="26" t="n">
        <v>0</v>
      </c>
      <c r="M1523" s="26" t="n">
        <v>0</v>
      </c>
    </row>
    <row r="1524" customFormat="false" ht="15" hidden="false" customHeight="false" outlineLevel="0" collapsed="false">
      <c r="A1524" s="7" t="s">
        <v>87</v>
      </c>
      <c r="B1524" s="7" t="n">
        <v>4413408</v>
      </c>
      <c r="C1524" s="7" t="s">
        <v>847</v>
      </c>
      <c r="D1524" s="26" t="n">
        <v>377.3</v>
      </c>
      <c r="E1524" s="26" t="n">
        <v>0</v>
      </c>
      <c r="F1524" s="26" t="n">
        <v>0</v>
      </c>
      <c r="G1524" s="26" t="n">
        <v>0</v>
      </c>
      <c r="H1524" s="26" t="n">
        <v>964.7</v>
      </c>
      <c r="I1524" s="26" t="n">
        <v>420.6</v>
      </c>
      <c r="J1524" s="26" t="n">
        <v>0</v>
      </c>
      <c r="K1524" s="26" t="n">
        <v>0</v>
      </c>
      <c r="L1524" s="26" t="n">
        <v>0</v>
      </c>
      <c r="M1524" s="26" t="n">
        <v>0</v>
      </c>
    </row>
    <row r="1525" customFormat="false" ht="15" hidden="false" customHeight="false" outlineLevel="0" collapsed="false">
      <c r="A1525" s="7" t="s">
        <v>85</v>
      </c>
      <c r="B1525" s="7" t="n">
        <v>4413181</v>
      </c>
      <c r="C1525" s="7" t="s">
        <v>848</v>
      </c>
      <c r="D1525" s="26" t="n">
        <v>3</v>
      </c>
      <c r="E1525" s="26" t="n">
        <v>0</v>
      </c>
      <c r="F1525" s="26" t="n">
        <v>0</v>
      </c>
      <c r="G1525" s="26" t="n">
        <v>0</v>
      </c>
      <c r="H1525" s="26" t="n">
        <v>-1</v>
      </c>
      <c r="I1525" s="26" t="n">
        <v>0</v>
      </c>
      <c r="J1525" s="26" t="n">
        <v>0</v>
      </c>
      <c r="K1525" s="26" t="n">
        <v>0</v>
      </c>
      <c r="L1525" s="26" t="n">
        <v>0</v>
      </c>
      <c r="M1525" s="26" t="n">
        <v>0</v>
      </c>
    </row>
    <row r="1526" customFormat="false" ht="15" hidden="false" customHeight="false" outlineLevel="0" collapsed="false">
      <c r="A1526" s="7" t="s">
        <v>87</v>
      </c>
      <c r="B1526" s="7" t="n">
        <v>4413181</v>
      </c>
      <c r="C1526" s="7" t="s">
        <v>848</v>
      </c>
      <c r="D1526" s="26" t="n">
        <v>308.9</v>
      </c>
      <c r="E1526" s="26" t="n">
        <v>0</v>
      </c>
      <c r="F1526" s="26" t="n">
        <v>0</v>
      </c>
      <c r="G1526" s="26" t="n">
        <v>0</v>
      </c>
      <c r="H1526" s="26" t="n">
        <v>-90.1</v>
      </c>
      <c r="I1526" s="26" t="n">
        <v>0</v>
      </c>
      <c r="J1526" s="26" t="n">
        <v>0</v>
      </c>
      <c r="K1526" s="26" t="n">
        <v>0</v>
      </c>
      <c r="L1526" s="26" t="n">
        <v>0</v>
      </c>
      <c r="M1526" s="26" t="n">
        <v>0</v>
      </c>
    </row>
    <row r="1527" customFormat="false" ht="15" hidden="false" customHeight="false" outlineLevel="0" collapsed="false">
      <c r="A1527" s="7" t="s">
        <v>85</v>
      </c>
      <c r="B1527" s="7" t="n">
        <v>4420034</v>
      </c>
      <c r="C1527" s="7" t="s">
        <v>849</v>
      </c>
      <c r="D1527" s="26" t="n">
        <v>2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  <c r="L1527" s="26" t="n">
        <v>0</v>
      </c>
      <c r="M1527" s="26" t="n">
        <v>0</v>
      </c>
    </row>
    <row r="1528" customFormat="false" ht="15" hidden="false" customHeight="false" outlineLevel="0" collapsed="false">
      <c r="A1528" s="7" t="s">
        <v>87</v>
      </c>
      <c r="B1528" s="7" t="n">
        <v>4420034</v>
      </c>
      <c r="C1528" s="7" t="s">
        <v>849</v>
      </c>
      <c r="D1528" s="26" t="n">
        <v>75.5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  <c r="L1528" s="26" t="n">
        <v>0</v>
      </c>
      <c r="M1528" s="26" t="n">
        <v>0</v>
      </c>
    </row>
    <row r="1529" customFormat="false" ht="15" hidden="false" customHeight="false" outlineLevel="0" collapsed="false">
      <c r="A1529" s="7" t="s">
        <v>85</v>
      </c>
      <c r="B1529" s="7" t="n">
        <v>4415299</v>
      </c>
      <c r="C1529" s="7" t="s">
        <v>850</v>
      </c>
      <c r="D1529" s="26" t="n">
        <v>55</v>
      </c>
      <c r="E1529" s="26" t="n">
        <v>0</v>
      </c>
      <c r="F1529" s="26" t="n">
        <v>0</v>
      </c>
      <c r="G1529" s="26" t="n">
        <v>4</v>
      </c>
      <c r="H1529" s="26" t="n">
        <v>47</v>
      </c>
      <c r="I1529" s="26" t="n">
        <v>0</v>
      </c>
      <c r="J1529" s="26" t="n">
        <v>0</v>
      </c>
      <c r="K1529" s="26" t="n">
        <v>0</v>
      </c>
      <c r="L1529" s="26" t="n">
        <v>0</v>
      </c>
      <c r="M1529" s="26" t="n">
        <v>0</v>
      </c>
    </row>
    <row r="1530" customFormat="false" ht="15" hidden="false" customHeight="false" outlineLevel="0" collapsed="false">
      <c r="A1530" s="7" t="s">
        <v>87</v>
      </c>
      <c r="B1530" s="7" t="n">
        <v>4415299</v>
      </c>
      <c r="C1530" s="7" t="s">
        <v>850</v>
      </c>
      <c r="D1530" s="26" t="n">
        <v>3826.8</v>
      </c>
      <c r="E1530" s="26" t="n">
        <v>0</v>
      </c>
      <c r="F1530" s="26" t="n">
        <v>0</v>
      </c>
      <c r="G1530" s="26" t="n">
        <v>254.7</v>
      </c>
      <c r="H1530" s="26" t="n">
        <v>2786.5</v>
      </c>
      <c r="I1530" s="26" t="n">
        <v>0</v>
      </c>
      <c r="J1530" s="26" t="n">
        <v>0</v>
      </c>
      <c r="K1530" s="26" t="n">
        <v>0</v>
      </c>
      <c r="L1530" s="26" t="n">
        <v>0</v>
      </c>
      <c r="M1530" s="26" t="n">
        <v>0</v>
      </c>
    </row>
    <row r="1531" customFormat="false" ht="15" hidden="false" customHeight="false" outlineLevel="0" collapsed="false">
      <c r="A1531" s="7" t="s">
        <v>85</v>
      </c>
      <c r="B1531" s="7" t="n">
        <v>4415298</v>
      </c>
      <c r="C1531" s="7" t="s">
        <v>851</v>
      </c>
      <c r="D1531" s="26" t="n">
        <v>43</v>
      </c>
      <c r="E1531" s="26" t="n">
        <v>0</v>
      </c>
      <c r="F1531" s="26" t="n">
        <v>0</v>
      </c>
      <c r="G1531" s="26" t="n">
        <v>0</v>
      </c>
      <c r="H1531" s="26" t="n">
        <v>40</v>
      </c>
      <c r="I1531" s="26" t="n">
        <v>0</v>
      </c>
      <c r="J1531" s="26" t="n">
        <v>0</v>
      </c>
      <c r="K1531" s="26" t="n">
        <v>0</v>
      </c>
      <c r="L1531" s="26" t="n">
        <v>0</v>
      </c>
      <c r="M1531" s="26" t="n">
        <v>0</v>
      </c>
    </row>
    <row r="1532" customFormat="false" ht="15" hidden="false" customHeight="false" outlineLevel="0" collapsed="false">
      <c r="A1532" s="7" t="s">
        <v>87</v>
      </c>
      <c r="B1532" s="7" t="n">
        <v>4415298</v>
      </c>
      <c r="C1532" s="7" t="s">
        <v>851</v>
      </c>
      <c r="D1532" s="26" t="n">
        <v>2988.8</v>
      </c>
      <c r="E1532" s="26" t="n">
        <v>0</v>
      </c>
      <c r="F1532" s="26" t="n">
        <v>0</v>
      </c>
      <c r="G1532" s="26" t="n">
        <v>0</v>
      </c>
      <c r="H1532" s="26" t="n">
        <v>2362.3</v>
      </c>
      <c r="I1532" s="26" t="n">
        <v>0</v>
      </c>
      <c r="J1532" s="26" t="n">
        <v>0</v>
      </c>
      <c r="K1532" s="26" t="n">
        <v>0</v>
      </c>
      <c r="L1532" s="26" t="n">
        <v>0</v>
      </c>
      <c r="M1532" s="26" t="n">
        <v>0</v>
      </c>
    </row>
    <row r="1533" customFormat="false" ht="15" hidden="false" customHeight="false" outlineLevel="0" collapsed="false">
      <c r="A1533" s="7" t="s">
        <v>85</v>
      </c>
      <c r="B1533" s="7" t="n">
        <v>4422000</v>
      </c>
      <c r="C1533" s="7" t="s">
        <v>852</v>
      </c>
      <c r="D1533" s="26" t="n">
        <v>121</v>
      </c>
      <c r="E1533" s="26" t="n">
        <v>2</v>
      </c>
      <c r="F1533" s="26" t="n">
        <v>6</v>
      </c>
      <c r="G1533" s="26" t="n">
        <v>0</v>
      </c>
      <c r="H1533" s="26" t="n">
        <v>283</v>
      </c>
      <c r="I1533" s="26" t="n">
        <v>134</v>
      </c>
      <c r="J1533" s="26" t="n">
        <v>0</v>
      </c>
      <c r="K1533" s="26" t="n">
        <v>0</v>
      </c>
      <c r="L1533" s="26" t="n">
        <v>0</v>
      </c>
      <c r="M1533" s="26" t="n">
        <v>0</v>
      </c>
    </row>
    <row r="1534" customFormat="false" ht="15" hidden="false" customHeight="false" outlineLevel="0" collapsed="false">
      <c r="A1534" s="7" t="s">
        <v>87</v>
      </c>
      <c r="B1534" s="7" t="n">
        <v>4422000</v>
      </c>
      <c r="C1534" s="7" t="s">
        <v>852</v>
      </c>
      <c r="D1534" s="26" t="n">
        <v>2530.7</v>
      </c>
      <c r="E1534" s="26" t="n">
        <v>40</v>
      </c>
      <c r="F1534" s="26" t="n">
        <v>103.7</v>
      </c>
      <c r="G1534" s="26" t="n">
        <v>0</v>
      </c>
      <c r="H1534" s="26" t="n">
        <v>4566.7</v>
      </c>
      <c r="I1534" s="26" t="n">
        <v>2363.6</v>
      </c>
      <c r="J1534" s="26" t="n">
        <v>0</v>
      </c>
      <c r="K1534" s="26" t="n">
        <v>0</v>
      </c>
      <c r="L1534" s="26" t="n">
        <v>0</v>
      </c>
      <c r="M1534" s="26" t="n">
        <v>0</v>
      </c>
    </row>
    <row r="1535" customFormat="false" ht="15" hidden="false" customHeight="false" outlineLevel="0" collapsed="false">
      <c r="A1535" s="7" t="s">
        <v>85</v>
      </c>
      <c r="B1535" s="7" t="n">
        <v>4422023</v>
      </c>
      <c r="C1535" s="7" t="s">
        <v>853</v>
      </c>
      <c r="D1535" s="26" t="n">
        <v>1500</v>
      </c>
      <c r="E1535" s="26" t="n">
        <v>0</v>
      </c>
      <c r="F1535" s="26" t="n">
        <v>0</v>
      </c>
      <c r="G1535" s="26" t="n">
        <v>0</v>
      </c>
      <c r="H1535" s="26" t="n">
        <v>3203</v>
      </c>
      <c r="I1535" s="26" t="n">
        <v>797</v>
      </c>
      <c r="J1535" s="26" t="n">
        <v>0</v>
      </c>
      <c r="K1535" s="26" t="n">
        <v>0</v>
      </c>
      <c r="L1535" s="26" t="n">
        <v>0</v>
      </c>
      <c r="M1535" s="26" t="n">
        <v>0</v>
      </c>
    </row>
    <row r="1536" customFormat="false" ht="15" hidden="false" customHeight="false" outlineLevel="0" collapsed="false">
      <c r="A1536" s="7" t="s">
        <v>87</v>
      </c>
      <c r="B1536" s="7" t="n">
        <v>4422023</v>
      </c>
      <c r="C1536" s="7" t="s">
        <v>853</v>
      </c>
      <c r="D1536" s="26" t="n">
        <v>14703.8</v>
      </c>
      <c r="E1536" s="26" t="n">
        <v>0</v>
      </c>
      <c r="F1536" s="26" t="n">
        <v>0</v>
      </c>
      <c r="G1536" s="26" t="n">
        <v>0</v>
      </c>
      <c r="H1536" s="26" t="n">
        <v>32526.4</v>
      </c>
      <c r="I1536" s="26" t="n">
        <v>8758.2</v>
      </c>
      <c r="J1536" s="26" t="n">
        <v>0</v>
      </c>
      <c r="K1536" s="26" t="n">
        <v>0</v>
      </c>
      <c r="L1536" s="26" t="n">
        <v>0</v>
      </c>
      <c r="M1536" s="26" t="n">
        <v>0</v>
      </c>
    </row>
    <row r="1537" customFormat="false" ht="15" hidden="false" customHeight="false" outlineLevel="0" collapsed="false">
      <c r="A1537" s="7" t="s">
        <v>85</v>
      </c>
      <c r="B1537" s="7" t="n">
        <v>4422024</v>
      </c>
      <c r="C1537" s="7" t="s">
        <v>854</v>
      </c>
      <c r="D1537" s="26" t="n">
        <v>931</v>
      </c>
      <c r="E1537" s="26" t="n">
        <v>0</v>
      </c>
      <c r="F1537" s="26" t="n">
        <v>-3</v>
      </c>
      <c r="G1537" s="26" t="n">
        <v>0</v>
      </c>
      <c r="H1537" s="26" t="n">
        <v>2756</v>
      </c>
      <c r="I1537" s="26" t="n">
        <v>602</v>
      </c>
      <c r="J1537" s="26" t="n">
        <v>0</v>
      </c>
      <c r="K1537" s="26" t="n">
        <v>0</v>
      </c>
      <c r="L1537" s="26" t="n">
        <v>0</v>
      </c>
      <c r="M1537" s="26" t="n">
        <v>0</v>
      </c>
    </row>
    <row r="1538" customFormat="false" ht="15" hidden="false" customHeight="false" outlineLevel="0" collapsed="false">
      <c r="A1538" s="7" t="s">
        <v>87</v>
      </c>
      <c r="B1538" s="7" t="n">
        <v>4422024</v>
      </c>
      <c r="C1538" s="7" t="s">
        <v>854</v>
      </c>
      <c r="D1538" s="26" t="n">
        <v>9335.6</v>
      </c>
      <c r="E1538" s="26" t="n">
        <v>0</v>
      </c>
      <c r="F1538" s="26" t="n">
        <v>-22.5</v>
      </c>
      <c r="G1538" s="26" t="n">
        <v>0</v>
      </c>
      <c r="H1538" s="26" t="n">
        <v>28005.4</v>
      </c>
      <c r="I1538" s="26" t="n">
        <v>6613.9</v>
      </c>
      <c r="J1538" s="26" t="n">
        <v>0</v>
      </c>
      <c r="K1538" s="26" t="n">
        <v>0</v>
      </c>
      <c r="L1538" s="26" t="n">
        <v>0</v>
      </c>
      <c r="M1538" s="26" t="n">
        <v>0</v>
      </c>
    </row>
    <row r="1539" customFormat="false" ht="15" hidden="false" customHeight="false" outlineLevel="0" collapsed="false">
      <c r="A1539" s="7" t="s">
        <v>85</v>
      </c>
      <c r="B1539" s="7" t="n">
        <v>4422025</v>
      </c>
      <c r="C1539" s="7" t="s">
        <v>855</v>
      </c>
      <c r="D1539" s="26" t="n">
        <v>462</v>
      </c>
      <c r="E1539" s="26" t="n">
        <v>0</v>
      </c>
      <c r="F1539" s="26" t="n">
        <v>14</v>
      </c>
      <c r="G1539" s="26" t="n">
        <v>0</v>
      </c>
      <c r="H1539" s="26" t="n">
        <v>1749</v>
      </c>
      <c r="I1539" s="26" t="n">
        <v>273</v>
      </c>
      <c r="J1539" s="26" t="n">
        <v>0</v>
      </c>
      <c r="K1539" s="26" t="n">
        <v>0</v>
      </c>
      <c r="L1539" s="26" t="n">
        <v>0</v>
      </c>
      <c r="M1539" s="26" t="n">
        <v>0</v>
      </c>
    </row>
    <row r="1540" customFormat="false" ht="15" hidden="false" customHeight="false" outlineLevel="0" collapsed="false">
      <c r="A1540" s="7" t="s">
        <v>87</v>
      </c>
      <c r="B1540" s="7" t="n">
        <v>4422025</v>
      </c>
      <c r="C1540" s="7" t="s">
        <v>855</v>
      </c>
      <c r="D1540" s="26" t="n">
        <v>4364.1</v>
      </c>
      <c r="E1540" s="26" t="n">
        <v>0</v>
      </c>
      <c r="F1540" s="26" t="n">
        <v>176.5</v>
      </c>
      <c r="G1540" s="26" t="n">
        <v>0</v>
      </c>
      <c r="H1540" s="26" t="n">
        <v>17832.6</v>
      </c>
      <c r="I1540" s="26" t="n">
        <v>2997.5</v>
      </c>
      <c r="J1540" s="26" t="n">
        <v>0</v>
      </c>
      <c r="K1540" s="26" t="n">
        <v>0</v>
      </c>
      <c r="L1540" s="26" t="n">
        <v>0</v>
      </c>
      <c r="M1540" s="26" t="n">
        <v>0</v>
      </c>
    </row>
    <row r="1541" customFormat="false" ht="15" hidden="false" customHeight="false" outlineLevel="0" collapsed="false">
      <c r="A1541" s="7" t="s">
        <v>85</v>
      </c>
      <c r="B1541" s="7" t="n">
        <v>4422026</v>
      </c>
      <c r="C1541" s="7" t="s">
        <v>856</v>
      </c>
      <c r="D1541" s="26" t="n">
        <v>471</v>
      </c>
      <c r="E1541" s="26" t="n">
        <v>0</v>
      </c>
      <c r="F1541" s="26" t="n">
        <v>0</v>
      </c>
      <c r="G1541" s="26" t="n">
        <v>0</v>
      </c>
      <c r="H1541" s="26" t="n">
        <v>980</v>
      </c>
      <c r="I1541" s="26" t="n">
        <v>355</v>
      </c>
      <c r="J1541" s="26" t="n">
        <v>0</v>
      </c>
      <c r="K1541" s="26" t="n">
        <v>0</v>
      </c>
      <c r="L1541" s="26" t="n">
        <v>0</v>
      </c>
      <c r="M1541" s="26" t="n">
        <v>0</v>
      </c>
    </row>
    <row r="1542" customFormat="false" ht="15" hidden="false" customHeight="false" outlineLevel="0" collapsed="false">
      <c r="A1542" s="7" t="s">
        <v>87</v>
      </c>
      <c r="B1542" s="7" t="n">
        <v>4422026</v>
      </c>
      <c r="C1542" s="7" t="s">
        <v>856</v>
      </c>
      <c r="D1542" s="26" t="n">
        <v>4693.4</v>
      </c>
      <c r="E1542" s="26" t="n">
        <v>0</v>
      </c>
      <c r="F1542" s="26" t="n">
        <v>0</v>
      </c>
      <c r="G1542" s="26" t="n">
        <v>0</v>
      </c>
      <c r="H1542" s="26" t="n">
        <v>9936.3</v>
      </c>
      <c r="I1542" s="26" t="n">
        <v>3897.9</v>
      </c>
      <c r="J1542" s="26" t="n">
        <v>0</v>
      </c>
      <c r="K1542" s="26" t="n">
        <v>0</v>
      </c>
      <c r="L1542" s="26" t="n">
        <v>0</v>
      </c>
      <c r="M1542" s="26" t="n">
        <v>0</v>
      </c>
    </row>
    <row r="1543" customFormat="false" ht="15" hidden="false" customHeight="false" outlineLevel="0" collapsed="false">
      <c r="A1543" s="7" t="s">
        <v>85</v>
      </c>
      <c r="B1543" s="7" t="n">
        <v>4422032</v>
      </c>
      <c r="C1543" s="7" t="s">
        <v>857</v>
      </c>
      <c r="D1543" s="26" t="n">
        <v>482</v>
      </c>
      <c r="E1543" s="26" t="n">
        <v>0</v>
      </c>
      <c r="F1543" s="26" t="n">
        <v>0</v>
      </c>
      <c r="G1543" s="26" t="n">
        <v>0</v>
      </c>
      <c r="H1543" s="26" t="n">
        <v>1790</v>
      </c>
      <c r="I1543" s="26" t="n">
        <v>0</v>
      </c>
      <c r="J1543" s="26" t="n">
        <v>0</v>
      </c>
      <c r="K1543" s="26" t="n">
        <v>0</v>
      </c>
      <c r="L1543" s="26" t="n">
        <v>0</v>
      </c>
      <c r="M1543" s="26" t="n">
        <v>0</v>
      </c>
    </row>
    <row r="1544" customFormat="false" ht="15" hidden="false" customHeight="false" outlineLevel="0" collapsed="false">
      <c r="A1544" s="7" t="s">
        <v>87</v>
      </c>
      <c r="B1544" s="7" t="n">
        <v>4422032</v>
      </c>
      <c r="C1544" s="7" t="s">
        <v>857</v>
      </c>
      <c r="D1544" s="26" t="n">
        <v>4463.1</v>
      </c>
      <c r="E1544" s="26" t="n">
        <v>0</v>
      </c>
      <c r="F1544" s="26" t="n">
        <v>0</v>
      </c>
      <c r="G1544" s="26" t="n">
        <v>0</v>
      </c>
      <c r="H1544" s="26" t="n">
        <v>18164.7</v>
      </c>
      <c r="I1544" s="26" t="n">
        <v>0</v>
      </c>
      <c r="J1544" s="26" t="n">
        <v>0</v>
      </c>
      <c r="K1544" s="26" t="n">
        <v>0</v>
      </c>
      <c r="L1544" s="26" t="n">
        <v>0</v>
      </c>
      <c r="M1544" s="26" t="n">
        <v>0</v>
      </c>
    </row>
    <row r="1545" customFormat="false" ht="15" hidden="false" customHeight="false" outlineLevel="0" collapsed="false">
      <c r="A1545" s="7" t="s">
        <v>85</v>
      </c>
      <c r="B1545" s="7" t="n">
        <v>4422033</v>
      </c>
      <c r="C1545" s="7" t="s">
        <v>858</v>
      </c>
      <c r="D1545" s="26" t="n">
        <v>400</v>
      </c>
      <c r="E1545" s="26" t="n">
        <v>0</v>
      </c>
      <c r="F1545" s="26" t="n">
        <v>0</v>
      </c>
      <c r="G1545" s="26" t="n">
        <v>0</v>
      </c>
      <c r="H1545" s="26" t="n">
        <v>1556</v>
      </c>
      <c r="I1545" s="26" t="n">
        <v>0</v>
      </c>
      <c r="J1545" s="26" t="n">
        <v>0</v>
      </c>
      <c r="K1545" s="26" t="n">
        <v>0</v>
      </c>
      <c r="L1545" s="26" t="n">
        <v>0</v>
      </c>
      <c r="M1545" s="26" t="n">
        <v>0</v>
      </c>
    </row>
    <row r="1546" customFormat="false" ht="15" hidden="false" customHeight="false" outlineLevel="0" collapsed="false">
      <c r="A1546" s="7" t="s">
        <v>87</v>
      </c>
      <c r="B1546" s="7" t="n">
        <v>4422033</v>
      </c>
      <c r="C1546" s="7" t="s">
        <v>858</v>
      </c>
      <c r="D1546" s="26" t="n">
        <v>3741.1</v>
      </c>
      <c r="E1546" s="26" t="n">
        <v>0</v>
      </c>
      <c r="F1546" s="26" t="n">
        <v>0</v>
      </c>
      <c r="G1546" s="26" t="n">
        <v>0</v>
      </c>
      <c r="H1546" s="26" t="n">
        <v>15795.7</v>
      </c>
      <c r="I1546" s="26" t="n">
        <v>0</v>
      </c>
      <c r="J1546" s="26" t="n">
        <v>0</v>
      </c>
      <c r="K1546" s="26" t="n">
        <v>0</v>
      </c>
      <c r="L1546" s="26" t="n">
        <v>0</v>
      </c>
      <c r="M1546" s="26" t="n">
        <v>0</v>
      </c>
    </row>
    <row r="1547" customFormat="false" ht="15" hidden="false" customHeight="false" outlineLevel="0" collapsed="false">
      <c r="A1547" s="7" t="s">
        <v>85</v>
      </c>
      <c r="B1547" s="7" t="n">
        <v>4422031</v>
      </c>
      <c r="C1547" s="7" t="s">
        <v>859</v>
      </c>
      <c r="D1547" s="26" t="n">
        <v>702</v>
      </c>
      <c r="E1547" s="26" t="n">
        <v>0</v>
      </c>
      <c r="F1547" s="26" t="n">
        <v>0</v>
      </c>
      <c r="G1547" s="26" t="n">
        <v>0</v>
      </c>
      <c r="H1547" s="26" t="n">
        <v>1235</v>
      </c>
      <c r="I1547" s="26" t="n">
        <v>0</v>
      </c>
      <c r="J1547" s="26" t="n">
        <v>0</v>
      </c>
      <c r="K1547" s="26" t="n">
        <v>0</v>
      </c>
      <c r="L1547" s="26" t="n">
        <v>0</v>
      </c>
      <c r="M1547" s="26" t="n">
        <v>0</v>
      </c>
    </row>
    <row r="1548" customFormat="false" ht="15" hidden="false" customHeight="false" outlineLevel="0" collapsed="false">
      <c r="A1548" s="7" t="s">
        <v>87</v>
      </c>
      <c r="B1548" s="7" t="n">
        <v>4422031</v>
      </c>
      <c r="C1548" s="7" t="s">
        <v>859</v>
      </c>
      <c r="D1548" s="26" t="n">
        <v>7071.1</v>
      </c>
      <c r="E1548" s="26" t="n">
        <v>0</v>
      </c>
      <c r="F1548" s="26" t="n">
        <v>0</v>
      </c>
      <c r="G1548" s="26" t="n">
        <v>0</v>
      </c>
      <c r="H1548" s="26" t="n">
        <v>12532.2</v>
      </c>
      <c r="I1548" s="26" t="n">
        <v>0</v>
      </c>
      <c r="J1548" s="26" t="n">
        <v>0</v>
      </c>
      <c r="K1548" s="26" t="n">
        <v>0</v>
      </c>
      <c r="L1548" s="26" t="n">
        <v>0</v>
      </c>
      <c r="M1548" s="26" t="n">
        <v>0</v>
      </c>
    </row>
    <row r="1549" customFormat="false" ht="15" hidden="false" customHeight="false" outlineLevel="0" collapsed="false">
      <c r="A1549" s="7" t="s">
        <v>85</v>
      </c>
      <c r="B1549" s="7" t="n">
        <v>4422034</v>
      </c>
      <c r="C1549" s="7" t="s">
        <v>860</v>
      </c>
      <c r="D1549" s="26" t="n">
        <v>201</v>
      </c>
      <c r="E1549" s="26" t="n">
        <v>0</v>
      </c>
      <c r="F1549" s="26" t="n">
        <v>0</v>
      </c>
      <c r="G1549" s="26" t="n">
        <v>0</v>
      </c>
      <c r="H1549" s="26" t="n">
        <v>1134</v>
      </c>
      <c r="I1549" s="26" t="n">
        <v>0</v>
      </c>
      <c r="J1549" s="26" t="n">
        <v>0</v>
      </c>
      <c r="K1549" s="26" t="n">
        <v>0</v>
      </c>
      <c r="L1549" s="26" t="n">
        <v>0</v>
      </c>
      <c r="M1549" s="26" t="n">
        <v>0</v>
      </c>
    </row>
    <row r="1550" customFormat="false" ht="15" hidden="false" customHeight="false" outlineLevel="0" collapsed="false">
      <c r="A1550" s="7" t="s">
        <v>87</v>
      </c>
      <c r="B1550" s="7" t="n">
        <v>4422034</v>
      </c>
      <c r="C1550" s="7" t="s">
        <v>860</v>
      </c>
      <c r="D1550" s="26" t="n">
        <v>1926.5</v>
      </c>
      <c r="E1550" s="26" t="n">
        <v>0</v>
      </c>
      <c r="F1550" s="26" t="n">
        <v>0</v>
      </c>
      <c r="G1550" s="26" t="n">
        <v>0</v>
      </c>
      <c r="H1550" s="26" t="n">
        <v>11512.2</v>
      </c>
      <c r="I1550" s="26" t="n">
        <v>0</v>
      </c>
      <c r="J1550" s="26" t="n">
        <v>0</v>
      </c>
      <c r="K1550" s="26" t="n">
        <v>0</v>
      </c>
      <c r="L1550" s="26" t="n">
        <v>0</v>
      </c>
      <c r="M1550" s="26" t="n">
        <v>0</v>
      </c>
    </row>
    <row r="1551" customFormat="false" ht="15" hidden="false" customHeight="false" outlineLevel="0" collapsed="false">
      <c r="A1551" s="7" t="s">
        <v>85</v>
      </c>
      <c r="B1551" s="7" t="n">
        <v>4422027</v>
      </c>
      <c r="C1551" s="7" t="s">
        <v>861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0</v>
      </c>
      <c r="J1551" s="26" t="n">
        <v>0</v>
      </c>
      <c r="K1551" s="26" t="n">
        <v>0</v>
      </c>
      <c r="L1551" s="26" t="n">
        <v>0</v>
      </c>
      <c r="M1551" s="26" t="n">
        <v>0</v>
      </c>
    </row>
    <row r="1552" customFormat="false" ht="15" hidden="false" customHeight="false" outlineLevel="0" collapsed="false">
      <c r="A1552" s="7" t="s">
        <v>87</v>
      </c>
      <c r="B1552" s="7" t="n">
        <v>4422027</v>
      </c>
      <c r="C1552" s="7" t="s">
        <v>861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0</v>
      </c>
      <c r="J1552" s="26" t="n">
        <v>0</v>
      </c>
      <c r="K1552" s="26" t="n">
        <v>0</v>
      </c>
      <c r="L1552" s="26" t="n">
        <v>0</v>
      </c>
      <c r="M1552" s="26" t="n">
        <v>0</v>
      </c>
    </row>
    <row r="1553" customFormat="false" ht="15" hidden="false" customHeight="false" outlineLevel="0" collapsed="false">
      <c r="A1553" s="7" t="s">
        <v>85</v>
      </c>
      <c r="B1553" s="7" t="n">
        <v>4422028</v>
      </c>
      <c r="C1553" s="7" t="s">
        <v>862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  <c r="L1553" s="26" t="n">
        <v>0</v>
      </c>
      <c r="M1553" s="26" t="n">
        <v>0</v>
      </c>
    </row>
    <row r="1554" customFormat="false" ht="15" hidden="false" customHeight="false" outlineLevel="0" collapsed="false">
      <c r="A1554" s="7" t="s">
        <v>87</v>
      </c>
      <c r="B1554" s="7" t="n">
        <v>4422028</v>
      </c>
      <c r="C1554" s="7" t="s">
        <v>862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0</v>
      </c>
      <c r="J1554" s="26" t="n">
        <v>0</v>
      </c>
      <c r="K1554" s="26" t="n">
        <v>0</v>
      </c>
      <c r="L1554" s="26" t="n">
        <v>0</v>
      </c>
      <c r="M1554" s="26" t="n">
        <v>0</v>
      </c>
    </row>
    <row r="1555" customFormat="false" ht="15" hidden="false" customHeight="false" outlineLevel="0" collapsed="false">
      <c r="A1555" s="7" t="s">
        <v>85</v>
      </c>
      <c r="B1555" s="7" t="n">
        <v>4422029</v>
      </c>
      <c r="C1555" s="7" t="s">
        <v>863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0</v>
      </c>
      <c r="J1555" s="26" t="n">
        <v>0</v>
      </c>
      <c r="K1555" s="26" t="n">
        <v>0</v>
      </c>
      <c r="L1555" s="26" t="n">
        <v>0</v>
      </c>
      <c r="M1555" s="26" t="n">
        <v>0</v>
      </c>
    </row>
    <row r="1556" customFormat="false" ht="15" hidden="false" customHeight="false" outlineLevel="0" collapsed="false">
      <c r="A1556" s="7" t="s">
        <v>87</v>
      </c>
      <c r="B1556" s="7" t="n">
        <v>4422029</v>
      </c>
      <c r="C1556" s="7" t="s">
        <v>863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0</v>
      </c>
      <c r="L1556" s="26" t="n">
        <v>0</v>
      </c>
      <c r="M1556" s="26" t="n"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13" min="4" style="0" width="13"/>
  </cols>
  <sheetData>
    <row r="1" customFormat="false" ht="14.15" hidden="false" customHeight="false" outlineLevel="0" collapsed="false">
      <c r="A1" s="10" t="s">
        <v>864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25" t="s">
        <v>82</v>
      </c>
      <c r="B2" s="25" t="s">
        <v>83</v>
      </c>
      <c r="C2" s="25" t="s">
        <v>84</v>
      </c>
      <c r="D2" s="25" t="s">
        <v>36</v>
      </c>
      <c r="E2" s="25" t="s">
        <v>38</v>
      </c>
      <c r="F2" s="25" t="s">
        <v>39</v>
      </c>
      <c r="G2" s="25" t="s">
        <v>40</v>
      </c>
      <c r="H2" s="25" t="s">
        <v>44</v>
      </c>
      <c r="I2" s="25" t="s">
        <v>26</v>
      </c>
      <c r="J2" s="25" t="s">
        <v>41</v>
      </c>
      <c r="K2" s="25" t="s">
        <v>45</v>
      </c>
      <c r="L2" s="25" t="s">
        <v>46</v>
      </c>
      <c r="M2" s="25" t="s">
        <v>42</v>
      </c>
    </row>
    <row r="3" customFormat="false" ht="15" hidden="false" customHeight="false" outlineLevel="0" collapsed="false">
      <c r="A3" s="7" t="s">
        <v>85</v>
      </c>
      <c r="B3" s="7" t="n">
        <v>4402014</v>
      </c>
      <c r="C3" s="7" t="s">
        <v>86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0</v>
      </c>
      <c r="L3" s="26" t="n">
        <v>0</v>
      </c>
      <c r="M3" s="26" t="n">
        <v>0</v>
      </c>
    </row>
    <row r="4" customFormat="false" ht="15" hidden="false" customHeight="false" outlineLevel="0" collapsed="false">
      <c r="A4" s="7" t="s">
        <v>87</v>
      </c>
      <c r="B4" s="7" t="n">
        <v>4402014</v>
      </c>
      <c r="C4" s="7" t="s">
        <v>86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0</v>
      </c>
      <c r="M4" s="26" t="n">
        <v>0</v>
      </c>
    </row>
    <row r="5" customFormat="false" ht="15" hidden="false" customHeight="false" outlineLevel="0" collapsed="false">
      <c r="A5" s="7" t="s">
        <v>85</v>
      </c>
      <c r="B5" s="7" t="n">
        <v>4402012</v>
      </c>
      <c r="C5" s="7" t="s">
        <v>88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6" t="n">
        <v>0</v>
      </c>
    </row>
    <row r="6" customFormat="false" ht="15" hidden="false" customHeight="false" outlineLevel="0" collapsed="false">
      <c r="A6" s="7" t="s">
        <v>87</v>
      </c>
      <c r="B6" s="7" t="n">
        <v>4402012</v>
      </c>
      <c r="C6" s="7" t="s">
        <v>88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</row>
    <row r="7" customFormat="false" ht="15" hidden="false" customHeight="false" outlineLevel="0" collapsed="false">
      <c r="A7" s="7" t="s">
        <v>85</v>
      </c>
      <c r="B7" s="7" t="n">
        <v>4402013</v>
      </c>
      <c r="C7" s="7" t="s">
        <v>89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</row>
    <row r="8" customFormat="false" ht="15" hidden="false" customHeight="false" outlineLevel="0" collapsed="false">
      <c r="A8" s="7" t="s">
        <v>87</v>
      </c>
      <c r="B8" s="7" t="n">
        <v>4402013</v>
      </c>
      <c r="C8" s="7" t="s">
        <v>89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</row>
    <row r="9" customFormat="false" ht="15" hidden="false" customHeight="false" outlineLevel="0" collapsed="false">
      <c r="A9" s="7" t="s">
        <v>85</v>
      </c>
      <c r="B9" s="7" t="n">
        <v>4402015</v>
      </c>
      <c r="C9" s="7" t="s">
        <v>90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</row>
    <row r="10" customFormat="false" ht="15" hidden="false" customHeight="false" outlineLevel="0" collapsed="false">
      <c r="A10" s="7" t="s">
        <v>87</v>
      </c>
      <c r="B10" s="7" t="n">
        <v>4402015</v>
      </c>
      <c r="C10" s="7" t="s">
        <v>90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</row>
    <row r="11" customFormat="false" ht="15" hidden="false" customHeight="false" outlineLevel="0" collapsed="false">
      <c r="A11" s="7" t="s">
        <v>85</v>
      </c>
      <c r="B11" s="7" t="n">
        <v>4402016</v>
      </c>
      <c r="C11" s="7" t="s">
        <v>91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</row>
    <row r="12" customFormat="false" ht="15" hidden="false" customHeight="false" outlineLevel="0" collapsed="false">
      <c r="A12" s="7" t="s">
        <v>87</v>
      </c>
      <c r="B12" s="7" t="n">
        <v>4402016</v>
      </c>
      <c r="C12" s="7" t="s">
        <v>91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</row>
    <row r="13" customFormat="false" ht="15" hidden="false" customHeight="false" outlineLevel="0" collapsed="false">
      <c r="A13" s="7" t="s">
        <v>85</v>
      </c>
      <c r="B13" s="7" t="n">
        <v>4402017</v>
      </c>
      <c r="C13" s="7" t="s">
        <v>92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</row>
    <row r="14" customFormat="false" ht="15" hidden="false" customHeight="false" outlineLevel="0" collapsed="false">
      <c r="A14" s="7" t="s">
        <v>87</v>
      </c>
      <c r="B14" s="7" t="n">
        <v>4402017</v>
      </c>
      <c r="C14" s="7" t="s">
        <v>92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</row>
    <row r="15" customFormat="false" ht="15" hidden="false" customHeight="false" outlineLevel="0" collapsed="false">
      <c r="A15" s="7" t="s">
        <v>85</v>
      </c>
      <c r="B15" s="7" t="n">
        <v>4402018</v>
      </c>
      <c r="C15" s="7" t="s">
        <v>93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</row>
    <row r="16" customFormat="false" ht="15" hidden="false" customHeight="false" outlineLevel="0" collapsed="false">
      <c r="A16" s="7" t="s">
        <v>87</v>
      </c>
      <c r="B16" s="7" t="n">
        <v>4402018</v>
      </c>
      <c r="C16" s="7" t="s">
        <v>93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</row>
    <row r="17" customFormat="false" ht="15" hidden="false" customHeight="false" outlineLevel="0" collapsed="false">
      <c r="A17" s="7" t="s">
        <v>85</v>
      </c>
      <c r="B17" s="7" t="n">
        <v>4402019</v>
      </c>
      <c r="C17" s="7" t="s">
        <v>94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</row>
    <row r="18" customFormat="false" ht="15" hidden="false" customHeight="false" outlineLevel="0" collapsed="false">
      <c r="A18" s="7" t="s">
        <v>87</v>
      </c>
      <c r="B18" s="7" t="n">
        <v>4402019</v>
      </c>
      <c r="C18" s="7" t="s">
        <v>94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</row>
    <row r="19" customFormat="false" ht="15" hidden="false" customHeight="false" outlineLevel="0" collapsed="false">
      <c r="A19" s="7" t="s">
        <v>85</v>
      </c>
      <c r="B19" s="7" t="n">
        <v>4402020</v>
      </c>
      <c r="C19" s="7" t="s">
        <v>95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</row>
    <row r="20" customFormat="false" ht="15" hidden="false" customHeight="false" outlineLevel="0" collapsed="false">
      <c r="A20" s="7" t="s">
        <v>87</v>
      </c>
      <c r="B20" s="7" t="n">
        <v>4402020</v>
      </c>
      <c r="C20" s="7" t="s">
        <v>95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</row>
    <row r="21" customFormat="false" ht="15" hidden="false" customHeight="false" outlineLevel="0" collapsed="false">
      <c r="A21" s="7" t="s">
        <v>85</v>
      </c>
      <c r="B21" s="7" t="n">
        <v>4402021</v>
      </c>
      <c r="C21" s="7" t="s">
        <v>96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</row>
    <row r="22" customFormat="false" ht="15" hidden="false" customHeight="false" outlineLevel="0" collapsed="false">
      <c r="A22" s="7" t="s">
        <v>87</v>
      </c>
      <c r="B22" s="7" t="n">
        <v>4402021</v>
      </c>
      <c r="C22" s="7" t="s">
        <v>96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0</v>
      </c>
      <c r="L22" s="26" t="n">
        <v>0</v>
      </c>
      <c r="M22" s="26" t="n">
        <v>0</v>
      </c>
    </row>
    <row r="23" customFormat="false" ht="15" hidden="false" customHeight="false" outlineLevel="0" collapsed="false">
      <c r="A23" s="7" t="s">
        <v>85</v>
      </c>
      <c r="B23" s="7" t="n">
        <v>4402022</v>
      </c>
      <c r="C23" s="7" t="s">
        <v>97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</row>
    <row r="24" customFormat="false" ht="15" hidden="false" customHeight="false" outlineLevel="0" collapsed="false">
      <c r="A24" s="7" t="s">
        <v>87</v>
      </c>
      <c r="B24" s="7" t="n">
        <v>4402022</v>
      </c>
      <c r="C24" s="7" t="s">
        <v>97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0</v>
      </c>
      <c r="L24" s="26" t="n">
        <v>0</v>
      </c>
      <c r="M24" s="26" t="n">
        <v>0</v>
      </c>
    </row>
    <row r="25" customFormat="false" ht="15" hidden="false" customHeight="false" outlineLevel="0" collapsed="false">
      <c r="A25" s="7" t="s">
        <v>85</v>
      </c>
      <c r="B25" s="7" t="n">
        <v>4420016</v>
      </c>
      <c r="C25" s="7" t="s">
        <v>98</v>
      </c>
      <c r="D25" s="26" t="n">
        <v>41</v>
      </c>
      <c r="E25" s="26" t="n">
        <v>0</v>
      </c>
      <c r="F25" s="26" t="n">
        <v>0</v>
      </c>
      <c r="G25" s="26" t="n">
        <v>0</v>
      </c>
      <c r="H25" s="26" t="n">
        <v>461</v>
      </c>
      <c r="I25" s="26" t="n">
        <v>33</v>
      </c>
      <c r="J25" s="26" t="n">
        <v>0</v>
      </c>
      <c r="K25" s="26" t="n">
        <v>21</v>
      </c>
      <c r="L25" s="26" t="n">
        <v>0</v>
      </c>
      <c r="M25" s="26" t="n">
        <v>0</v>
      </c>
    </row>
    <row r="26" customFormat="false" ht="15" hidden="false" customHeight="false" outlineLevel="0" collapsed="false">
      <c r="A26" s="7" t="s">
        <v>87</v>
      </c>
      <c r="B26" s="7" t="n">
        <v>4420016</v>
      </c>
      <c r="C26" s="7" t="s">
        <v>98</v>
      </c>
      <c r="D26" s="26" t="n">
        <v>2103.5</v>
      </c>
      <c r="E26" s="26" t="n">
        <v>0</v>
      </c>
      <c r="F26" s="26" t="n">
        <v>0</v>
      </c>
      <c r="G26" s="26" t="n">
        <v>0</v>
      </c>
      <c r="H26" s="26" t="n">
        <v>20707.1</v>
      </c>
      <c r="I26" s="26" t="n">
        <v>1600.2</v>
      </c>
      <c r="J26" s="26" t="n">
        <v>0</v>
      </c>
      <c r="K26" s="26" t="n">
        <v>749.1</v>
      </c>
      <c r="L26" s="26" t="n">
        <v>0</v>
      </c>
      <c r="M26" s="26" t="n">
        <v>0</v>
      </c>
    </row>
    <row r="27" customFormat="false" ht="15" hidden="false" customHeight="false" outlineLevel="0" collapsed="false">
      <c r="A27" s="7" t="s">
        <v>85</v>
      </c>
      <c r="B27" s="7" t="n">
        <v>4420017</v>
      </c>
      <c r="C27" s="7" t="s">
        <v>99</v>
      </c>
      <c r="D27" s="26" t="n">
        <v>23</v>
      </c>
      <c r="E27" s="26" t="n">
        <v>0</v>
      </c>
      <c r="F27" s="26" t="n">
        <v>0</v>
      </c>
      <c r="G27" s="26" t="n">
        <v>0</v>
      </c>
      <c r="H27" s="26" t="n">
        <v>12</v>
      </c>
      <c r="I27" s="26" t="n">
        <v>0</v>
      </c>
      <c r="J27" s="26" t="n">
        <v>0</v>
      </c>
      <c r="K27" s="26" t="n">
        <v>16</v>
      </c>
      <c r="L27" s="26" t="n">
        <v>0</v>
      </c>
      <c r="M27" s="26" t="n">
        <v>0</v>
      </c>
    </row>
    <row r="28" customFormat="false" ht="15" hidden="false" customHeight="false" outlineLevel="0" collapsed="false">
      <c r="A28" s="7" t="s">
        <v>87</v>
      </c>
      <c r="B28" s="7" t="n">
        <v>4420017</v>
      </c>
      <c r="C28" s="7" t="s">
        <v>99</v>
      </c>
      <c r="D28" s="26" t="n">
        <v>2107.1</v>
      </c>
      <c r="E28" s="26" t="n">
        <v>0</v>
      </c>
      <c r="F28" s="26" t="n">
        <v>0</v>
      </c>
      <c r="G28" s="26" t="n">
        <v>0</v>
      </c>
      <c r="H28" s="26" t="n">
        <v>1185.3</v>
      </c>
      <c r="I28" s="26" t="n">
        <v>0</v>
      </c>
      <c r="J28" s="26" t="n">
        <v>0</v>
      </c>
      <c r="K28" s="26" t="n">
        <v>957.1</v>
      </c>
      <c r="L28" s="26" t="n">
        <v>0</v>
      </c>
      <c r="M28" s="26" t="n">
        <v>0</v>
      </c>
    </row>
    <row r="29" customFormat="false" ht="15" hidden="false" customHeight="false" outlineLevel="0" collapsed="false">
      <c r="A29" s="7" t="s">
        <v>85</v>
      </c>
      <c r="B29" s="7" t="n">
        <v>4413074</v>
      </c>
      <c r="C29" s="7" t="s">
        <v>100</v>
      </c>
      <c r="D29" s="26" t="n">
        <v>6</v>
      </c>
      <c r="E29" s="26" t="n">
        <v>0</v>
      </c>
      <c r="F29" s="26" t="n">
        <v>0</v>
      </c>
      <c r="G29" s="26" t="n">
        <v>0</v>
      </c>
      <c r="H29" s="26" t="n">
        <v>-1</v>
      </c>
      <c r="I29" s="26" t="n">
        <v>2</v>
      </c>
      <c r="J29" s="26" t="n">
        <v>0</v>
      </c>
      <c r="K29" s="26" t="n">
        <v>0</v>
      </c>
      <c r="L29" s="26" t="n">
        <v>0</v>
      </c>
      <c r="M29" s="26" t="n">
        <v>0</v>
      </c>
    </row>
    <row r="30" customFormat="false" ht="15" hidden="false" customHeight="false" outlineLevel="0" collapsed="false">
      <c r="A30" s="7" t="s">
        <v>87</v>
      </c>
      <c r="B30" s="7" t="n">
        <v>4413074</v>
      </c>
      <c r="C30" s="7" t="s">
        <v>100</v>
      </c>
      <c r="D30" s="26" t="n">
        <v>649.4</v>
      </c>
      <c r="E30" s="26" t="n">
        <v>0</v>
      </c>
      <c r="F30" s="26" t="n">
        <v>0</v>
      </c>
      <c r="G30" s="26" t="n">
        <v>0</v>
      </c>
      <c r="H30" s="26" t="n">
        <v>-106.5</v>
      </c>
      <c r="I30" s="26" t="n">
        <v>229.3</v>
      </c>
      <c r="J30" s="26" t="n">
        <v>0</v>
      </c>
      <c r="K30" s="26" t="n">
        <v>0</v>
      </c>
      <c r="L30" s="26" t="n">
        <v>0</v>
      </c>
      <c r="M30" s="26" t="n">
        <v>0</v>
      </c>
    </row>
    <row r="31" customFormat="false" ht="15" hidden="false" customHeight="false" outlineLevel="0" collapsed="false">
      <c r="A31" s="7" t="s">
        <v>85</v>
      </c>
      <c r="B31" s="7" t="n">
        <v>4413072</v>
      </c>
      <c r="C31" s="7" t="s">
        <v>101</v>
      </c>
      <c r="D31" s="26" t="n">
        <v>7</v>
      </c>
      <c r="E31" s="26" t="n">
        <v>0</v>
      </c>
      <c r="F31" s="26" t="n">
        <v>0</v>
      </c>
      <c r="G31" s="26" t="n">
        <v>0</v>
      </c>
      <c r="H31" s="26" t="n">
        <v>2</v>
      </c>
      <c r="I31" s="26" t="n">
        <v>1</v>
      </c>
      <c r="J31" s="26" t="n">
        <v>0</v>
      </c>
      <c r="K31" s="26" t="n">
        <v>0</v>
      </c>
      <c r="L31" s="26" t="n">
        <v>0</v>
      </c>
      <c r="M31" s="26" t="n">
        <v>0</v>
      </c>
    </row>
    <row r="32" customFormat="false" ht="15" hidden="false" customHeight="false" outlineLevel="0" collapsed="false">
      <c r="A32" s="7" t="s">
        <v>87</v>
      </c>
      <c r="B32" s="7" t="n">
        <v>4413072</v>
      </c>
      <c r="C32" s="7" t="s">
        <v>101</v>
      </c>
      <c r="D32" s="26" t="n">
        <v>834.9</v>
      </c>
      <c r="E32" s="26" t="n">
        <v>0</v>
      </c>
      <c r="F32" s="26" t="n">
        <v>0</v>
      </c>
      <c r="G32" s="26" t="n">
        <v>0</v>
      </c>
      <c r="H32" s="26" t="n">
        <v>216.1</v>
      </c>
      <c r="I32" s="26" t="n">
        <v>114.7</v>
      </c>
      <c r="J32" s="26" t="n">
        <v>0</v>
      </c>
      <c r="K32" s="26" t="n">
        <v>0</v>
      </c>
      <c r="L32" s="26" t="n">
        <v>0</v>
      </c>
      <c r="M32" s="26" t="n">
        <v>0</v>
      </c>
    </row>
    <row r="33" customFormat="false" ht="15" hidden="false" customHeight="false" outlineLevel="0" collapsed="false">
      <c r="A33" s="7" t="s">
        <v>85</v>
      </c>
      <c r="B33" s="7" t="n">
        <v>4413073</v>
      </c>
      <c r="C33" s="7" t="s">
        <v>102</v>
      </c>
      <c r="D33" s="26" t="n">
        <v>6</v>
      </c>
      <c r="E33" s="26" t="n">
        <v>0</v>
      </c>
      <c r="F33" s="26" t="n">
        <v>0</v>
      </c>
      <c r="G33" s="26" t="n">
        <v>0</v>
      </c>
      <c r="H33" s="26" t="n">
        <v>2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</row>
    <row r="34" customFormat="false" ht="15" hidden="false" customHeight="false" outlineLevel="0" collapsed="false">
      <c r="A34" s="7" t="s">
        <v>87</v>
      </c>
      <c r="B34" s="7" t="n">
        <v>4413073</v>
      </c>
      <c r="C34" s="7" t="s">
        <v>102</v>
      </c>
      <c r="D34" s="26" t="n">
        <v>742.2</v>
      </c>
      <c r="E34" s="26" t="n">
        <v>0</v>
      </c>
      <c r="F34" s="26" t="n">
        <v>0</v>
      </c>
      <c r="G34" s="26" t="n">
        <v>0</v>
      </c>
      <c r="H34" s="26" t="n">
        <v>213</v>
      </c>
      <c r="I34" s="26" t="n">
        <v>-108</v>
      </c>
      <c r="J34" s="26" t="n">
        <v>0</v>
      </c>
      <c r="K34" s="26" t="n">
        <v>0</v>
      </c>
      <c r="L34" s="26" t="n">
        <v>0</v>
      </c>
      <c r="M34" s="26" t="n">
        <v>0</v>
      </c>
    </row>
    <row r="35" customFormat="false" ht="15" hidden="false" customHeight="false" outlineLevel="0" collapsed="false">
      <c r="A35" s="7" t="s">
        <v>85</v>
      </c>
      <c r="B35" s="7" t="n">
        <v>4413071</v>
      </c>
      <c r="C35" s="7" t="s">
        <v>103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>
        <v>0</v>
      </c>
      <c r="I35" s="26" t="n">
        <v>4</v>
      </c>
      <c r="J35" s="26" t="n">
        <v>0</v>
      </c>
      <c r="K35" s="26" t="n">
        <v>4</v>
      </c>
      <c r="L35" s="26" t="n">
        <v>0</v>
      </c>
      <c r="M35" s="26" t="n">
        <v>0</v>
      </c>
    </row>
    <row r="36" customFormat="false" ht="15" hidden="false" customHeight="false" outlineLevel="0" collapsed="false">
      <c r="A36" s="7" t="s">
        <v>87</v>
      </c>
      <c r="B36" s="7" t="n">
        <v>4413071</v>
      </c>
      <c r="C36" s="7" t="s">
        <v>103</v>
      </c>
      <c r="D36" s="26" t="n">
        <v>0</v>
      </c>
      <c r="E36" s="26" t="n">
        <v>0</v>
      </c>
      <c r="F36" s="26" t="n">
        <v>0</v>
      </c>
      <c r="G36" s="26" t="n">
        <v>0</v>
      </c>
      <c r="H36" s="26" t="n">
        <v>0</v>
      </c>
      <c r="I36" s="26" t="n">
        <v>458.7</v>
      </c>
      <c r="J36" s="26" t="n">
        <v>0</v>
      </c>
      <c r="K36" s="26" t="n">
        <v>309</v>
      </c>
      <c r="L36" s="26" t="n">
        <v>0</v>
      </c>
      <c r="M36" s="26" t="n">
        <v>0</v>
      </c>
    </row>
    <row r="37" customFormat="false" ht="15" hidden="false" customHeight="false" outlineLevel="0" collapsed="false">
      <c r="A37" s="7" t="s">
        <v>85</v>
      </c>
      <c r="B37" s="7" t="n">
        <v>4413275</v>
      </c>
      <c r="C37" s="7" t="s">
        <v>104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  <c r="L37" s="26" t="n">
        <v>0</v>
      </c>
      <c r="M37" s="26" t="n">
        <v>0</v>
      </c>
    </row>
    <row r="38" customFormat="false" ht="15" hidden="false" customHeight="false" outlineLevel="0" collapsed="false">
      <c r="A38" s="7" t="s">
        <v>87</v>
      </c>
      <c r="B38" s="7" t="n">
        <v>4413275</v>
      </c>
      <c r="C38" s="7" t="s">
        <v>104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0</v>
      </c>
      <c r="K38" s="26" t="n">
        <v>0</v>
      </c>
      <c r="L38" s="26" t="n">
        <v>0</v>
      </c>
      <c r="M38" s="26" t="n">
        <v>0</v>
      </c>
    </row>
    <row r="39" customFormat="false" ht="15" hidden="false" customHeight="false" outlineLevel="0" collapsed="false">
      <c r="A39" s="7" t="s">
        <v>85</v>
      </c>
      <c r="B39" s="7" t="n">
        <v>4413075</v>
      </c>
      <c r="C39" s="7" t="s">
        <v>105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  <c r="L39" s="26" t="n">
        <v>0</v>
      </c>
      <c r="M39" s="26" t="n">
        <v>0</v>
      </c>
    </row>
    <row r="40" customFormat="false" ht="15" hidden="false" customHeight="false" outlineLevel="0" collapsed="false">
      <c r="A40" s="7" t="s">
        <v>87</v>
      </c>
      <c r="B40" s="7" t="n">
        <v>4413075</v>
      </c>
      <c r="C40" s="7" t="s">
        <v>105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</row>
    <row r="41" customFormat="false" ht="15" hidden="false" customHeight="false" outlineLevel="0" collapsed="false">
      <c r="A41" s="7" t="s">
        <v>85</v>
      </c>
      <c r="B41" s="7" t="n">
        <v>4413076</v>
      </c>
      <c r="C41" s="7" t="s">
        <v>106</v>
      </c>
      <c r="D41" s="26" t="n">
        <v>3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-1</v>
      </c>
      <c r="J41" s="26" t="n">
        <v>0</v>
      </c>
      <c r="K41" s="26" t="n">
        <v>0</v>
      </c>
      <c r="L41" s="26" t="n">
        <v>0</v>
      </c>
      <c r="M41" s="26" t="n">
        <v>0</v>
      </c>
    </row>
    <row r="42" customFormat="false" ht="15" hidden="false" customHeight="false" outlineLevel="0" collapsed="false">
      <c r="A42" s="7" t="s">
        <v>87</v>
      </c>
      <c r="B42" s="7" t="n">
        <v>4413076</v>
      </c>
      <c r="C42" s="7" t="s">
        <v>106</v>
      </c>
      <c r="D42" s="26" t="n">
        <v>398.6</v>
      </c>
      <c r="E42" s="26" t="n">
        <v>0</v>
      </c>
      <c r="F42" s="26" t="n">
        <v>0</v>
      </c>
      <c r="G42" s="26" t="n">
        <v>0</v>
      </c>
      <c r="H42" s="26" t="n">
        <v>0</v>
      </c>
      <c r="I42" s="26" t="n">
        <v>-181.2</v>
      </c>
      <c r="J42" s="26" t="n">
        <v>0</v>
      </c>
      <c r="K42" s="26" t="n">
        <v>0</v>
      </c>
      <c r="L42" s="26" t="n">
        <v>0</v>
      </c>
      <c r="M42" s="26" t="n">
        <v>0</v>
      </c>
    </row>
    <row r="43" customFormat="false" ht="15" hidden="false" customHeight="false" outlineLevel="0" collapsed="false">
      <c r="A43" s="7" t="s">
        <v>85</v>
      </c>
      <c r="B43" s="7" t="n">
        <v>4413077</v>
      </c>
      <c r="C43" s="7" t="s">
        <v>107</v>
      </c>
      <c r="D43" s="26" t="n">
        <v>1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-2</v>
      </c>
      <c r="J43" s="26" t="n">
        <v>0</v>
      </c>
      <c r="K43" s="26" t="n">
        <v>0</v>
      </c>
      <c r="L43" s="26" t="n">
        <v>0</v>
      </c>
      <c r="M43" s="26" t="n">
        <v>0</v>
      </c>
    </row>
    <row r="44" customFormat="false" ht="15" hidden="false" customHeight="false" outlineLevel="0" collapsed="false">
      <c r="A44" s="7" t="s">
        <v>87</v>
      </c>
      <c r="B44" s="7" t="n">
        <v>4413077</v>
      </c>
      <c r="C44" s="7" t="s">
        <v>107</v>
      </c>
      <c r="D44" s="26" t="n">
        <v>135.9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-255.9</v>
      </c>
      <c r="J44" s="26" t="n">
        <v>0</v>
      </c>
      <c r="K44" s="26" t="n">
        <v>0</v>
      </c>
      <c r="L44" s="26" t="n">
        <v>0</v>
      </c>
      <c r="M44" s="26" t="n">
        <v>0</v>
      </c>
    </row>
    <row r="45" customFormat="false" ht="15" hidden="false" customHeight="false" outlineLevel="0" collapsed="false">
      <c r="A45" s="7" t="s">
        <v>85</v>
      </c>
      <c r="B45" s="7" t="n">
        <v>4413078</v>
      </c>
      <c r="C45" s="7" t="s">
        <v>108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-1</v>
      </c>
      <c r="I45" s="26" t="n">
        <v>0</v>
      </c>
      <c r="J45" s="26" t="n">
        <v>0</v>
      </c>
      <c r="K45" s="26" t="n">
        <v>0</v>
      </c>
      <c r="L45" s="26" t="n">
        <v>0</v>
      </c>
      <c r="M45" s="26" t="n">
        <v>0</v>
      </c>
    </row>
    <row r="46" customFormat="false" ht="15" hidden="false" customHeight="false" outlineLevel="0" collapsed="false">
      <c r="A46" s="7" t="s">
        <v>87</v>
      </c>
      <c r="B46" s="7" t="n">
        <v>4413078</v>
      </c>
      <c r="C46" s="7" t="s">
        <v>108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-116.7</v>
      </c>
      <c r="I46" s="26" t="n">
        <v>0</v>
      </c>
      <c r="J46" s="26" t="n">
        <v>0</v>
      </c>
      <c r="K46" s="26" t="n">
        <v>0</v>
      </c>
      <c r="L46" s="26" t="n">
        <v>0</v>
      </c>
      <c r="M46" s="26" t="n">
        <v>0</v>
      </c>
    </row>
    <row r="47" customFormat="false" ht="15" hidden="false" customHeight="false" outlineLevel="0" collapsed="false">
      <c r="A47" s="7" t="s">
        <v>85</v>
      </c>
      <c r="B47" s="7" t="n">
        <v>4413079</v>
      </c>
      <c r="C47" s="7" t="s">
        <v>109</v>
      </c>
      <c r="D47" s="26" t="n">
        <v>2</v>
      </c>
      <c r="E47" s="26" t="n">
        <v>0</v>
      </c>
      <c r="F47" s="26" t="n">
        <v>0</v>
      </c>
      <c r="G47" s="26" t="n">
        <v>0</v>
      </c>
      <c r="H47" s="26" t="n">
        <v>-1</v>
      </c>
      <c r="I47" s="26" t="n">
        <v>0</v>
      </c>
      <c r="J47" s="26" t="n">
        <v>0</v>
      </c>
      <c r="K47" s="26" t="n">
        <v>0</v>
      </c>
      <c r="L47" s="26" t="n">
        <v>0</v>
      </c>
      <c r="M47" s="26" t="n">
        <v>0</v>
      </c>
    </row>
    <row r="48" customFormat="false" ht="15" hidden="false" customHeight="false" outlineLevel="0" collapsed="false">
      <c r="A48" s="7" t="s">
        <v>87</v>
      </c>
      <c r="B48" s="7" t="n">
        <v>4413079</v>
      </c>
      <c r="C48" s="7" t="s">
        <v>109</v>
      </c>
      <c r="D48" s="26" t="n">
        <v>262.7</v>
      </c>
      <c r="E48" s="26" t="n">
        <v>0</v>
      </c>
      <c r="F48" s="26" t="n">
        <v>0</v>
      </c>
      <c r="G48" s="26" t="n">
        <v>0</v>
      </c>
      <c r="H48" s="26" t="n">
        <v>-116.7</v>
      </c>
      <c r="I48" s="26" t="n">
        <v>0</v>
      </c>
      <c r="J48" s="26" t="n">
        <v>0</v>
      </c>
      <c r="K48" s="26" t="n">
        <v>0</v>
      </c>
      <c r="L48" s="26" t="n">
        <v>0</v>
      </c>
      <c r="M48" s="26" t="n">
        <v>0</v>
      </c>
    </row>
    <row r="49" customFormat="false" ht="15" hidden="false" customHeight="false" outlineLevel="0" collapsed="false">
      <c r="A49" s="7" t="s">
        <v>85</v>
      </c>
      <c r="B49" s="7" t="n">
        <v>4413080</v>
      </c>
      <c r="C49" s="7" t="s">
        <v>110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0</v>
      </c>
      <c r="L49" s="26" t="n">
        <v>0</v>
      </c>
      <c r="M49" s="26" t="n">
        <v>0</v>
      </c>
    </row>
    <row r="50" customFormat="false" ht="15" hidden="false" customHeight="false" outlineLevel="0" collapsed="false">
      <c r="A50" s="7" t="s">
        <v>87</v>
      </c>
      <c r="B50" s="7" t="n">
        <v>4413080</v>
      </c>
      <c r="C50" s="7" t="s">
        <v>110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</row>
    <row r="51" customFormat="false" ht="15" hidden="false" customHeight="false" outlineLevel="0" collapsed="false">
      <c r="A51" s="7" t="s">
        <v>85</v>
      </c>
      <c r="B51" s="7" t="n">
        <v>4413081</v>
      </c>
      <c r="C51" s="7" t="s">
        <v>111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</row>
    <row r="52" customFormat="false" ht="15" hidden="false" customHeight="false" outlineLevel="0" collapsed="false">
      <c r="A52" s="7" t="s">
        <v>87</v>
      </c>
      <c r="B52" s="7" t="n">
        <v>4413081</v>
      </c>
      <c r="C52" s="7" t="s">
        <v>111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0</v>
      </c>
      <c r="J52" s="26" t="n">
        <v>0</v>
      </c>
      <c r="K52" s="26" t="n">
        <v>0</v>
      </c>
      <c r="L52" s="26" t="n">
        <v>0</v>
      </c>
      <c r="M52" s="26" t="n">
        <v>0</v>
      </c>
    </row>
    <row r="53" customFormat="false" ht="15" hidden="false" customHeight="false" outlineLevel="0" collapsed="false">
      <c r="A53" s="7" t="s">
        <v>85</v>
      </c>
      <c r="B53" s="7" t="n">
        <v>4413087</v>
      </c>
      <c r="C53" s="7" t="s">
        <v>112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-2</v>
      </c>
      <c r="I53" s="26" t="n">
        <v>0</v>
      </c>
      <c r="J53" s="26" t="n">
        <v>0</v>
      </c>
      <c r="K53" s="26" t="n">
        <v>0</v>
      </c>
      <c r="L53" s="26" t="n">
        <v>0</v>
      </c>
      <c r="M53" s="26" t="n">
        <v>0</v>
      </c>
    </row>
    <row r="54" customFormat="false" ht="15" hidden="false" customHeight="false" outlineLevel="0" collapsed="false">
      <c r="A54" s="7" t="s">
        <v>87</v>
      </c>
      <c r="B54" s="7" t="n">
        <v>4413087</v>
      </c>
      <c r="C54" s="7" t="s">
        <v>112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-295.5</v>
      </c>
      <c r="I54" s="26" t="n">
        <v>0</v>
      </c>
      <c r="J54" s="26" t="n">
        <v>0</v>
      </c>
      <c r="K54" s="26" t="n">
        <v>0</v>
      </c>
      <c r="L54" s="26" t="n">
        <v>0</v>
      </c>
      <c r="M54" s="26" t="n">
        <v>0</v>
      </c>
    </row>
    <row r="55" customFormat="false" ht="15" hidden="false" customHeight="false" outlineLevel="0" collapsed="false">
      <c r="A55" s="7" t="s">
        <v>85</v>
      </c>
      <c r="B55" s="7" t="n">
        <v>4413088</v>
      </c>
      <c r="C55" s="7" t="s">
        <v>113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-3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</row>
    <row r="56" customFormat="false" ht="15" hidden="false" customHeight="false" outlineLevel="0" collapsed="false">
      <c r="A56" s="7" t="s">
        <v>87</v>
      </c>
      <c r="B56" s="7" t="n">
        <v>4413088</v>
      </c>
      <c r="C56" s="7" t="s">
        <v>113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-439.5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</row>
    <row r="57" customFormat="false" ht="15" hidden="false" customHeight="false" outlineLevel="0" collapsed="false">
      <c r="A57" s="7" t="s">
        <v>85</v>
      </c>
      <c r="B57" s="7" t="n">
        <v>4413089</v>
      </c>
      <c r="C57" s="7" t="s">
        <v>114</v>
      </c>
      <c r="D57" s="26" t="n">
        <v>2</v>
      </c>
      <c r="E57" s="26" t="n">
        <v>0</v>
      </c>
      <c r="F57" s="26" t="n">
        <v>0</v>
      </c>
      <c r="G57" s="26" t="n">
        <v>0</v>
      </c>
      <c r="H57" s="26" t="n">
        <v>-2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</row>
    <row r="58" customFormat="false" ht="15" hidden="false" customHeight="false" outlineLevel="0" collapsed="false">
      <c r="A58" s="7" t="s">
        <v>87</v>
      </c>
      <c r="B58" s="7" t="n">
        <v>4413089</v>
      </c>
      <c r="C58" s="7" t="s">
        <v>114</v>
      </c>
      <c r="D58" s="26" t="n">
        <v>349.9</v>
      </c>
      <c r="E58" s="26" t="n">
        <v>0</v>
      </c>
      <c r="F58" s="26" t="n">
        <v>0</v>
      </c>
      <c r="G58" s="26" t="n">
        <v>0</v>
      </c>
      <c r="H58" s="26" t="n">
        <v>-177.3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</row>
    <row r="59" customFormat="false" ht="15" hidden="false" customHeight="false" outlineLevel="0" collapsed="false">
      <c r="A59" s="7" t="s">
        <v>85</v>
      </c>
      <c r="B59" s="7" t="n">
        <v>4413090</v>
      </c>
      <c r="C59" s="7" t="s">
        <v>115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-1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</row>
    <row r="60" customFormat="false" ht="15" hidden="false" customHeight="false" outlineLevel="0" collapsed="false">
      <c r="A60" s="7" t="s">
        <v>87</v>
      </c>
      <c r="B60" s="7" t="n">
        <v>4413090</v>
      </c>
      <c r="C60" s="7" t="s">
        <v>115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-151.6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</row>
    <row r="61" customFormat="false" ht="15" hidden="false" customHeight="false" outlineLevel="0" collapsed="false">
      <c r="A61" s="7" t="s">
        <v>85</v>
      </c>
      <c r="B61" s="7" t="n">
        <v>4413091</v>
      </c>
      <c r="C61" s="7" t="s">
        <v>116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-1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</row>
    <row r="62" customFormat="false" ht="15" hidden="false" customHeight="false" outlineLevel="0" collapsed="false">
      <c r="A62" s="7" t="s">
        <v>87</v>
      </c>
      <c r="B62" s="7" t="n">
        <v>4413091</v>
      </c>
      <c r="C62" s="7" t="s">
        <v>116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-144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</row>
    <row r="63" customFormat="false" ht="15" hidden="false" customHeight="false" outlineLevel="0" collapsed="false">
      <c r="A63" s="7" t="s">
        <v>85</v>
      </c>
      <c r="B63" s="7" t="n">
        <v>4413083</v>
      </c>
      <c r="C63" s="7" t="s">
        <v>117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26" t="n">
        <v>0</v>
      </c>
      <c r="M63" s="26" t="n">
        <v>0</v>
      </c>
    </row>
    <row r="64" customFormat="false" ht="15" hidden="false" customHeight="false" outlineLevel="0" collapsed="false">
      <c r="A64" s="7" t="s">
        <v>87</v>
      </c>
      <c r="B64" s="7" t="n">
        <v>4413083</v>
      </c>
      <c r="C64" s="7" t="s">
        <v>117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26" t="n">
        <v>0</v>
      </c>
      <c r="M64" s="26" t="n">
        <v>0</v>
      </c>
    </row>
    <row r="65" customFormat="false" ht="15" hidden="false" customHeight="false" outlineLevel="0" collapsed="false">
      <c r="A65" s="7" t="s">
        <v>85</v>
      </c>
      <c r="B65" s="7" t="n">
        <v>4413084</v>
      </c>
      <c r="C65" s="7" t="s">
        <v>118</v>
      </c>
      <c r="D65" s="26" t="n">
        <v>0</v>
      </c>
      <c r="E65" s="26" t="n">
        <v>0</v>
      </c>
      <c r="F65" s="26" t="n">
        <v>0</v>
      </c>
      <c r="G65" s="26" t="n">
        <v>0</v>
      </c>
      <c r="H65" s="26" t="n">
        <v>0</v>
      </c>
      <c r="I65" s="26" t="n">
        <v>0</v>
      </c>
      <c r="J65" s="26" t="n">
        <v>0</v>
      </c>
      <c r="K65" s="26" t="n">
        <v>0</v>
      </c>
      <c r="L65" s="26" t="n">
        <v>0</v>
      </c>
      <c r="M65" s="26" t="n">
        <v>0</v>
      </c>
    </row>
    <row r="66" customFormat="false" ht="15" hidden="false" customHeight="false" outlineLevel="0" collapsed="false">
      <c r="A66" s="7" t="s">
        <v>87</v>
      </c>
      <c r="B66" s="7" t="n">
        <v>4413084</v>
      </c>
      <c r="C66" s="7" t="s">
        <v>118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26" t="n">
        <v>0</v>
      </c>
      <c r="M66" s="26" t="n">
        <v>0</v>
      </c>
    </row>
    <row r="67" customFormat="false" ht="15" hidden="false" customHeight="false" outlineLevel="0" collapsed="false">
      <c r="A67" s="7" t="s">
        <v>85</v>
      </c>
      <c r="B67" s="7" t="n">
        <v>4413085</v>
      </c>
      <c r="C67" s="7" t="s">
        <v>119</v>
      </c>
      <c r="D67" s="26" t="n">
        <v>0</v>
      </c>
      <c r="E67" s="26" t="n">
        <v>0</v>
      </c>
      <c r="F67" s="26" t="n">
        <v>0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26" t="n">
        <v>0</v>
      </c>
      <c r="M67" s="26" t="n">
        <v>0</v>
      </c>
    </row>
    <row r="68" customFormat="false" ht="15" hidden="false" customHeight="false" outlineLevel="0" collapsed="false">
      <c r="A68" s="7" t="s">
        <v>87</v>
      </c>
      <c r="B68" s="7" t="n">
        <v>4413085</v>
      </c>
      <c r="C68" s="7" t="s">
        <v>119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0</v>
      </c>
      <c r="L68" s="26" t="n">
        <v>0</v>
      </c>
      <c r="M68" s="26" t="n">
        <v>0</v>
      </c>
    </row>
    <row r="69" customFormat="false" ht="15" hidden="false" customHeight="false" outlineLevel="0" collapsed="false">
      <c r="A69" s="7" t="s">
        <v>85</v>
      </c>
      <c r="B69" s="7" t="n">
        <v>4413086</v>
      </c>
      <c r="C69" s="7" t="s">
        <v>120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26" t="n">
        <v>0</v>
      </c>
      <c r="M69" s="26" t="n">
        <v>0</v>
      </c>
    </row>
    <row r="70" customFormat="false" ht="15" hidden="false" customHeight="false" outlineLevel="0" collapsed="false">
      <c r="A70" s="7" t="s">
        <v>87</v>
      </c>
      <c r="B70" s="7" t="n">
        <v>4413086</v>
      </c>
      <c r="C70" s="7" t="s">
        <v>120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26" t="n">
        <v>0</v>
      </c>
      <c r="M70" s="26" t="n">
        <v>0</v>
      </c>
    </row>
    <row r="71" customFormat="false" ht="15" hidden="false" customHeight="false" outlineLevel="0" collapsed="false">
      <c r="A71" s="7" t="s">
        <v>85</v>
      </c>
      <c r="B71" s="7" t="n">
        <v>4413279</v>
      </c>
      <c r="C71" s="7" t="s">
        <v>121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0</v>
      </c>
      <c r="L71" s="26" t="n">
        <v>0</v>
      </c>
      <c r="M71" s="26" t="n">
        <v>0</v>
      </c>
    </row>
    <row r="72" customFormat="false" ht="15" hidden="false" customHeight="false" outlineLevel="0" collapsed="false">
      <c r="A72" s="7" t="s">
        <v>87</v>
      </c>
      <c r="B72" s="7" t="n">
        <v>4413279</v>
      </c>
      <c r="C72" s="7" t="s">
        <v>121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0</v>
      </c>
      <c r="L72" s="26" t="n">
        <v>0</v>
      </c>
      <c r="M72" s="26" t="n">
        <v>0</v>
      </c>
    </row>
    <row r="73" customFormat="false" ht="15" hidden="false" customHeight="false" outlineLevel="0" collapsed="false">
      <c r="A73" s="7" t="s">
        <v>85</v>
      </c>
      <c r="B73" s="7" t="n">
        <v>4413280</v>
      </c>
      <c r="C73" s="7" t="s">
        <v>122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0</v>
      </c>
      <c r="J73" s="26" t="n">
        <v>0</v>
      </c>
      <c r="K73" s="26" t="n">
        <v>0</v>
      </c>
      <c r="L73" s="26" t="n">
        <v>0</v>
      </c>
      <c r="M73" s="26" t="n">
        <v>0</v>
      </c>
    </row>
    <row r="74" customFormat="false" ht="15" hidden="false" customHeight="false" outlineLevel="0" collapsed="false">
      <c r="A74" s="7" t="s">
        <v>87</v>
      </c>
      <c r="B74" s="7" t="n">
        <v>4413280</v>
      </c>
      <c r="C74" s="7" t="s">
        <v>122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26" t="n">
        <v>0</v>
      </c>
      <c r="M74" s="26" t="n">
        <v>0</v>
      </c>
    </row>
    <row r="75" customFormat="false" ht="15" hidden="false" customHeight="false" outlineLevel="0" collapsed="false">
      <c r="A75" s="7" t="s">
        <v>85</v>
      </c>
      <c r="B75" s="7" t="n">
        <v>4413281</v>
      </c>
      <c r="C75" s="7" t="s">
        <v>123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26" t="n">
        <v>0</v>
      </c>
      <c r="M75" s="26" t="n">
        <v>0</v>
      </c>
    </row>
    <row r="76" customFormat="false" ht="15" hidden="false" customHeight="false" outlineLevel="0" collapsed="false">
      <c r="A76" s="7" t="s">
        <v>87</v>
      </c>
      <c r="B76" s="7" t="n">
        <v>4413281</v>
      </c>
      <c r="C76" s="7" t="s">
        <v>123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26" t="n">
        <v>0</v>
      </c>
      <c r="M76" s="26" t="n">
        <v>0</v>
      </c>
    </row>
    <row r="77" customFormat="false" ht="15" hidden="false" customHeight="false" outlineLevel="0" collapsed="false">
      <c r="A77" s="7" t="s">
        <v>85</v>
      </c>
      <c r="B77" s="7" t="n">
        <v>4413282</v>
      </c>
      <c r="C77" s="7" t="s">
        <v>124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26" t="n">
        <v>0</v>
      </c>
      <c r="M77" s="26" t="n">
        <v>0</v>
      </c>
    </row>
    <row r="78" customFormat="false" ht="15" hidden="false" customHeight="false" outlineLevel="0" collapsed="false">
      <c r="A78" s="7" t="s">
        <v>87</v>
      </c>
      <c r="B78" s="7" t="n">
        <v>4413282</v>
      </c>
      <c r="C78" s="7" t="s">
        <v>124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26" t="n">
        <v>0</v>
      </c>
      <c r="M78" s="26" t="n">
        <v>0</v>
      </c>
    </row>
    <row r="79" customFormat="false" ht="15" hidden="false" customHeight="false" outlineLevel="0" collapsed="false">
      <c r="A79" s="7" t="s">
        <v>85</v>
      </c>
      <c r="B79" s="7" t="n">
        <v>4413283</v>
      </c>
      <c r="C79" s="7" t="s">
        <v>125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-3</v>
      </c>
      <c r="J79" s="26" t="n">
        <v>0</v>
      </c>
      <c r="K79" s="26" t="n">
        <v>0</v>
      </c>
      <c r="L79" s="26" t="n">
        <v>0</v>
      </c>
      <c r="M79" s="26" t="n">
        <v>0</v>
      </c>
    </row>
    <row r="80" customFormat="false" ht="15" hidden="false" customHeight="false" outlineLevel="0" collapsed="false">
      <c r="A80" s="7" t="s">
        <v>87</v>
      </c>
      <c r="B80" s="7" t="n">
        <v>4413283</v>
      </c>
      <c r="C80" s="7" t="s">
        <v>125</v>
      </c>
      <c r="D80" s="26" t="n">
        <v>0</v>
      </c>
      <c r="E80" s="26" t="n">
        <v>0</v>
      </c>
      <c r="F80" s="26" t="n">
        <v>0</v>
      </c>
      <c r="G80" s="26" t="n">
        <v>0</v>
      </c>
      <c r="H80" s="26" t="n">
        <v>0</v>
      </c>
      <c r="I80" s="26" t="n">
        <v>-590.2</v>
      </c>
      <c r="J80" s="26" t="n">
        <v>0</v>
      </c>
      <c r="K80" s="26" t="n">
        <v>0</v>
      </c>
      <c r="L80" s="26" t="n">
        <v>0</v>
      </c>
      <c r="M80" s="26" t="n">
        <v>0</v>
      </c>
    </row>
    <row r="81" customFormat="false" ht="15" hidden="false" customHeight="false" outlineLevel="0" collapsed="false">
      <c r="A81" s="7" t="s">
        <v>85</v>
      </c>
      <c r="B81" s="7" t="n">
        <v>4413284</v>
      </c>
      <c r="C81" s="7" t="s">
        <v>126</v>
      </c>
      <c r="D81" s="26" t="n">
        <v>2</v>
      </c>
      <c r="E81" s="26" t="n">
        <v>0</v>
      </c>
      <c r="F81" s="26" t="n">
        <v>0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26" t="n">
        <v>0</v>
      </c>
      <c r="M81" s="26" t="n">
        <v>0</v>
      </c>
    </row>
    <row r="82" customFormat="false" ht="15" hidden="false" customHeight="false" outlineLevel="0" collapsed="false">
      <c r="A82" s="7" t="s">
        <v>87</v>
      </c>
      <c r="B82" s="7" t="n">
        <v>4413284</v>
      </c>
      <c r="C82" s="7" t="s">
        <v>126</v>
      </c>
      <c r="D82" s="26" t="n">
        <v>406.8</v>
      </c>
      <c r="E82" s="26" t="n">
        <v>0</v>
      </c>
      <c r="F82" s="26" t="n">
        <v>0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  <c r="L82" s="26" t="n">
        <v>0</v>
      </c>
      <c r="M82" s="26" t="n">
        <v>0</v>
      </c>
    </row>
    <row r="83" customFormat="false" ht="15" hidden="false" customHeight="false" outlineLevel="0" collapsed="false">
      <c r="A83" s="7" t="s">
        <v>85</v>
      </c>
      <c r="B83" s="7" t="n">
        <v>4413341</v>
      </c>
      <c r="C83" s="7" t="s">
        <v>127</v>
      </c>
      <c r="D83" s="26" t="n">
        <v>0</v>
      </c>
      <c r="E83" s="26" t="n">
        <v>0</v>
      </c>
      <c r="F83" s="26" t="n">
        <v>0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26" t="n">
        <v>0</v>
      </c>
      <c r="M83" s="26" t="n">
        <v>0</v>
      </c>
    </row>
    <row r="84" customFormat="false" ht="15" hidden="false" customHeight="false" outlineLevel="0" collapsed="false">
      <c r="A84" s="7" t="s">
        <v>87</v>
      </c>
      <c r="B84" s="7" t="n">
        <v>4413341</v>
      </c>
      <c r="C84" s="7" t="s">
        <v>127</v>
      </c>
      <c r="D84" s="26" t="n">
        <v>0</v>
      </c>
      <c r="E84" s="26" t="n">
        <v>0</v>
      </c>
      <c r="F84" s="26" t="n">
        <v>0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26" t="n">
        <v>0</v>
      </c>
      <c r="M84" s="26" t="n">
        <v>0</v>
      </c>
    </row>
    <row r="85" customFormat="false" ht="15" hidden="false" customHeight="false" outlineLevel="0" collapsed="false">
      <c r="A85" s="7" t="s">
        <v>85</v>
      </c>
      <c r="B85" s="7" t="n">
        <v>4413342</v>
      </c>
      <c r="C85" s="7" t="s">
        <v>128</v>
      </c>
      <c r="D85" s="26" t="n">
        <v>0</v>
      </c>
      <c r="E85" s="26" t="n">
        <v>0</v>
      </c>
      <c r="F85" s="26" t="n">
        <v>0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  <c r="L85" s="26" t="n">
        <v>0</v>
      </c>
      <c r="M85" s="26" t="n">
        <v>0</v>
      </c>
    </row>
    <row r="86" customFormat="false" ht="15" hidden="false" customHeight="false" outlineLevel="0" collapsed="false">
      <c r="A86" s="7" t="s">
        <v>87</v>
      </c>
      <c r="B86" s="7" t="n">
        <v>4413342</v>
      </c>
      <c r="C86" s="7" t="s">
        <v>128</v>
      </c>
      <c r="D86" s="26" t="n">
        <v>0</v>
      </c>
      <c r="E86" s="26" t="n">
        <v>0</v>
      </c>
      <c r="F86" s="26" t="n">
        <v>0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  <c r="L86" s="26" t="n">
        <v>0</v>
      </c>
      <c r="M86" s="26" t="n">
        <v>0</v>
      </c>
    </row>
    <row r="87" customFormat="false" ht="15" hidden="false" customHeight="false" outlineLevel="0" collapsed="false">
      <c r="A87" s="7" t="s">
        <v>85</v>
      </c>
      <c r="B87" s="7" t="n">
        <v>4413344</v>
      </c>
      <c r="C87" s="7" t="s">
        <v>129</v>
      </c>
      <c r="D87" s="26" t="n">
        <v>0</v>
      </c>
      <c r="E87" s="26" t="n">
        <v>0</v>
      </c>
      <c r="F87" s="26" t="n">
        <v>0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26" t="n">
        <v>0</v>
      </c>
      <c r="M87" s="26" t="n">
        <v>0</v>
      </c>
    </row>
    <row r="88" customFormat="false" ht="15" hidden="false" customHeight="false" outlineLevel="0" collapsed="false">
      <c r="A88" s="7" t="s">
        <v>87</v>
      </c>
      <c r="B88" s="7" t="n">
        <v>4413344</v>
      </c>
      <c r="C88" s="7" t="s">
        <v>129</v>
      </c>
      <c r="D88" s="26" t="n">
        <v>0</v>
      </c>
      <c r="E88" s="26" t="n">
        <v>0</v>
      </c>
      <c r="F88" s="26" t="n">
        <v>0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  <c r="L88" s="26" t="n">
        <v>0</v>
      </c>
      <c r="M88" s="26" t="n">
        <v>0</v>
      </c>
    </row>
    <row r="89" customFormat="false" ht="15" hidden="false" customHeight="false" outlineLevel="0" collapsed="false">
      <c r="A89" s="7" t="s">
        <v>85</v>
      </c>
      <c r="B89" s="7" t="n">
        <v>4413345</v>
      </c>
      <c r="C89" s="7" t="s">
        <v>130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  <c r="L89" s="26" t="n">
        <v>0</v>
      </c>
      <c r="M89" s="26" t="n">
        <v>0</v>
      </c>
    </row>
    <row r="90" customFormat="false" ht="15" hidden="false" customHeight="false" outlineLevel="0" collapsed="false">
      <c r="A90" s="7" t="s">
        <v>87</v>
      </c>
      <c r="B90" s="7" t="n">
        <v>4413345</v>
      </c>
      <c r="C90" s="7" t="s">
        <v>130</v>
      </c>
      <c r="D90" s="26" t="n">
        <v>0</v>
      </c>
      <c r="E90" s="26" t="n">
        <v>0</v>
      </c>
      <c r="F90" s="26" t="n">
        <v>0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26" t="n">
        <v>0</v>
      </c>
      <c r="M90" s="26" t="n">
        <v>0</v>
      </c>
    </row>
    <row r="91" customFormat="false" ht="15" hidden="false" customHeight="false" outlineLevel="0" collapsed="false">
      <c r="A91" s="7" t="s">
        <v>85</v>
      </c>
      <c r="B91" s="7" t="n">
        <v>4415104</v>
      </c>
      <c r="C91" s="7" t="s">
        <v>131</v>
      </c>
      <c r="D91" s="26" t="n">
        <v>0</v>
      </c>
      <c r="E91" s="26" t="n">
        <v>0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26" t="n">
        <v>0</v>
      </c>
      <c r="M91" s="26" t="n">
        <v>0</v>
      </c>
    </row>
    <row r="92" customFormat="false" ht="15" hidden="false" customHeight="false" outlineLevel="0" collapsed="false">
      <c r="A92" s="7" t="s">
        <v>87</v>
      </c>
      <c r="B92" s="7" t="n">
        <v>4415104</v>
      </c>
      <c r="C92" s="7" t="s">
        <v>131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26" t="n">
        <v>0</v>
      </c>
      <c r="M92" s="26" t="n">
        <v>0</v>
      </c>
    </row>
    <row r="93" customFormat="false" ht="15" hidden="false" customHeight="false" outlineLevel="0" collapsed="false">
      <c r="A93" s="7" t="s">
        <v>85</v>
      </c>
      <c r="B93" s="7" t="n">
        <v>4413332</v>
      </c>
      <c r="C93" s="7" t="s">
        <v>132</v>
      </c>
      <c r="D93" s="26" t="n">
        <v>7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26" t="n">
        <v>0</v>
      </c>
      <c r="M93" s="26" t="n">
        <v>0</v>
      </c>
    </row>
    <row r="94" customFormat="false" ht="15" hidden="false" customHeight="false" outlineLevel="0" collapsed="false">
      <c r="A94" s="7" t="s">
        <v>87</v>
      </c>
      <c r="B94" s="7" t="n">
        <v>4413332</v>
      </c>
      <c r="C94" s="7" t="s">
        <v>132</v>
      </c>
      <c r="D94" s="26" t="n">
        <v>195.6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26" t="n">
        <v>0</v>
      </c>
      <c r="M94" s="26" t="n">
        <v>0</v>
      </c>
    </row>
    <row r="95" customFormat="false" ht="15" hidden="false" customHeight="false" outlineLevel="0" collapsed="false">
      <c r="A95" s="7" t="s">
        <v>85</v>
      </c>
      <c r="B95" s="7" t="n">
        <v>4413092</v>
      </c>
      <c r="C95" s="7" t="s">
        <v>133</v>
      </c>
      <c r="D95" s="26" t="n">
        <v>237</v>
      </c>
      <c r="E95" s="26" t="n">
        <v>0</v>
      </c>
      <c r="F95" s="26" t="n">
        <v>3</v>
      </c>
      <c r="G95" s="26" t="n">
        <v>0</v>
      </c>
      <c r="H95" s="26" t="n">
        <v>1052</v>
      </c>
      <c r="I95" s="26" t="n">
        <v>142</v>
      </c>
      <c r="J95" s="26" t="n">
        <v>0</v>
      </c>
      <c r="K95" s="26" t="n">
        <v>212</v>
      </c>
      <c r="L95" s="26" t="n">
        <v>0</v>
      </c>
      <c r="M95" s="26" t="n">
        <v>0</v>
      </c>
    </row>
    <row r="96" customFormat="false" ht="15" hidden="false" customHeight="false" outlineLevel="0" collapsed="false">
      <c r="A96" s="7" t="s">
        <v>87</v>
      </c>
      <c r="B96" s="7" t="n">
        <v>4413092</v>
      </c>
      <c r="C96" s="7" t="s">
        <v>133</v>
      </c>
      <c r="D96" s="26" t="n">
        <v>7077.5</v>
      </c>
      <c r="E96" s="26" t="n">
        <v>0</v>
      </c>
      <c r="F96" s="26" t="n">
        <v>92.7</v>
      </c>
      <c r="G96" s="26" t="n">
        <v>0</v>
      </c>
      <c r="H96" s="26" t="n">
        <v>27429.9</v>
      </c>
      <c r="I96" s="26" t="n">
        <v>3953.8</v>
      </c>
      <c r="J96" s="26" t="n">
        <v>0</v>
      </c>
      <c r="K96" s="26" t="n">
        <v>3498</v>
      </c>
      <c r="L96" s="26" t="n">
        <v>0</v>
      </c>
      <c r="M96" s="26" t="n">
        <v>0</v>
      </c>
    </row>
    <row r="97" customFormat="false" ht="15" hidden="false" customHeight="false" outlineLevel="0" collapsed="false">
      <c r="A97" s="7" t="s">
        <v>85</v>
      </c>
      <c r="B97" s="7" t="n">
        <v>4413093</v>
      </c>
      <c r="C97" s="7" t="s">
        <v>134</v>
      </c>
      <c r="D97" s="26" t="n">
        <v>182</v>
      </c>
      <c r="E97" s="26" t="n">
        <v>0</v>
      </c>
      <c r="F97" s="26" t="n">
        <v>3</v>
      </c>
      <c r="G97" s="26" t="n">
        <v>0</v>
      </c>
      <c r="H97" s="26" t="n">
        <v>1041</v>
      </c>
      <c r="I97" s="26" t="n">
        <v>151</v>
      </c>
      <c r="J97" s="26" t="n">
        <v>0</v>
      </c>
      <c r="K97" s="26" t="n">
        <v>180</v>
      </c>
      <c r="L97" s="26" t="n">
        <v>0</v>
      </c>
      <c r="M97" s="26" t="n">
        <v>0</v>
      </c>
    </row>
    <row r="98" customFormat="false" ht="15" hidden="false" customHeight="false" outlineLevel="0" collapsed="false">
      <c r="A98" s="7" t="s">
        <v>87</v>
      </c>
      <c r="B98" s="7" t="n">
        <v>4413093</v>
      </c>
      <c r="C98" s="7" t="s">
        <v>134</v>
      </c>
      <c r="D98" s="26" t="n">
        <v>5420.4</v>
      </c>
      <c r="E98" s="26" t="n">
        <v>0</v>
      </c>
      <c r="F98" s="26" t="n">
        <v>92.7</v>
      </c>
      <c r="G98" s="26" t="n">
        <v>0</v>
      </c>
      <c r="H98" s="26" t="n">
        <v>27118.9</v>
      </c>
      <c r="I98" s="26" t="n">
        <v>4193.7</v>
      </c>
      <c r="J98" s="26" t="n">
        <v>0</v>
      </c>
      <c r="K98" s="26" t="n">
        <v>2970</v>
      </c>
      <c r="L98" s="26" t="n">
        <v>0</v>
      </c>
      <c r="M98" s="26" t="n">
        <v>0</v>
      </c>
    </row>
    <row r="99" customFormat="false" ht="15" hidden="false" customHeight="false" outlineLevel="0" collapsed="false">
      <c r="A99" s="7" t="s">
        <v>85</v>
      </c>
      <c r="B99" s="7" t="n">
        <v>4413094</v>
      </c>
      <c r="C99" s="7" t="s">
        <v>135</v>
      </c>
      <c r="D99" s="26" t="n">
        <v>69</v>
      </c>
      <c r="E99" s="26" t="n">
        <v>0</v>
      </c>
      <c r="F99" s="26" t="n">
        <v>3</v>
      </c>
      <c r="G99" s="26" t="n">
        <v>0</v>
      </c>
      <c r="H99" s="26" t="n">
        <v>597</v>
      </c>
      <c r="I99" s="26" t="n">
        <v>60</v>
      </c>
      <c r="J99" s="26" t="n">
        <v>0</v>
      </c>
      <c r="K99" s="26" t="n">
        <v>47</v>
      </c>
      <c r="L99" s="26" t="n">
        <v>0</v>
      </c>
      <c r="M99" s="26" t="n">
        <v>0</v>
      </c>
    </row>
    <row r="100" customFormat="false" ht="15" hidden="false" customHeight="false" outlineLevel="0" collapsed="false">
      <c r="A100" s="7" t="s">
        <v>87</v>
      </c>
      <c r="B100" s="7" t="n">
        <v>4413094</v>
      </c>
      <c r="C100" s="7" t="s">
        <v>135</v>
      </c>
      <c r="D100" s="26" t="n">
        <v>2061.4</v>
      </c>
      <c r="E100" s="26" t="n">
        <v>0</v>
      </c>
      <c r="F100" s="26" t="n">
        <v>92.7</v>
      </c>
      <c r="G100" s="26" t="n">
        <v>0</v>
      </c>
      <c r="H100" s="26" t="n">
        <v>15500.5</v>
      </c>
      <c r="I100" s="26" t="n">
        <v>1671.7</v>
      </c>
      <c r="J100" s="26" t="n">
        <v>0</v>
      </c>
      <c r="K100" s="26" t="n">
        <v>775.5</v>
      </c>
      <c r="L100" s="26" t="n">
        <v>0</v>
      </c>
      <c r="M100" s="26" t="n">
        <v>0</v>
      </c>
    </row>
    <row r="101" customFormat="false" ht="15" hidden="false" customHeight="false" outlineLevel="0" collapsed="false">
      <c r="A101" s="7" t="s">
        <v>85</v>
      </c>
      <c r="B101" s="7" t="n">
        <v>4413095</v>
      </c>
      <c r="C101" s="7" t="s">
        <v>136</v>
      </c>
      <c r="D101" s="26" t="n">
        <v>169</v>
      </c>
      <c r="E101" s="26" t="n">
        <v>0</v>
      </c>
      <c r="F101" s="26" t="n">
        <v>3</v>
      </c>
      <c r="G101" s="26" t="n">
        <v>1</v>
      </c>
      <c r="H101" s="26" t="n">
        <v>647</v>
      </c>
      <c r="I101" s="26" t="n">
        <v>86</v>
      </c>
      <c r="J101" s="26" t="n">
        <v>0</v>
      </c>
      <c r="K101" s="26" t="n">
        <v>131</v>
      </c>
      <c r="L101" s="26" t="n">
        <v>0</v>
      </c>
      <c r="M101" s="26" t="n">
        <v>0</v>
      </c>
    </row>
    <row r="102" customFormat="false" ht="15" hidden="false" customHeight="false" outlineLevel="0" collapsed="false">
      <c r="A102" s="7" t="s">
        <v>87</v>
      </c>
      <c r="B102" s="7" t="n">
        <v>4413095</v>
      </c>
      <c r="C102" s="7" t="s">
        <v>136</v>
      </c>
      <c r="D102" s="26" t="n">
        <v>5044.9</v>
      </c>
      <c r="E102" s="26" t="n">
        <v>0</v>
      </c>
      <c r="F102" s="26" t="n">
        <v>92.7</v>
      </c>
      <c r="G102" s="26" t="n">
        <v>26.8</v>
      </c>
      <c r="H102" s="26" t="n">
        <v>16875.5</v>
      </c>
      <c r="I102" s="26" t="n">
        <v>2393.3</v>
      </c>
      <c r="J102" s="26" t="n">
        <v>0</v>
      </c>
      <c r="K102" s="26" t="n">
        <v>2033.6</v>
      </c>
      <c r="L102" s="26" t="n">
        <v>0</v>
      </c>
      <c r="M102" s="26" t="n">
        <v>0</v>
      </c>
    </row>
    <row r="103" customFormat="false" ht="15" hidden="false" customHeight="false" outlineLevel="0" collapsed="false">
      <c r="A103" s="7" t="s">
        <v>85</v>
      </c>
      <c r="B103" s="7" t="n">
        <v>4413096</v>
      </c>
      <c r="C103" s="7" t="s">
        <v>137</v>
      </c>
      <c r="D103" s="26" t="n">
        <v>81</v>
      </c>
      <c r="E103" s="26" t="n">
        <v>0</v>
      </c>
      <c r="F103" s="26" t="n">
        <v>0</v>
      </c>
      <c r="G103" s="26" t="n">
        <v>0</v>
      </c>
      <c r="H103" s="26" t="n">
        <v>176</v>
      </c>
      <c r="I103" s="26" t="n">
        <v>80</v>
      </c>
      <c r="J103" s="26" t="n">
        <v>0</v>
      </c>
      <c r="K103" s="26" t="n">
        <v>47</v>
      </c>
      <c r="L103" s="26" t="n">
        <v>0</v>
      </c>
      <c r="M103" s="26" t="n">
        <v>0</v>
      </c>
    </row>
    <row r="104" customFormat="false" ht="15" hidden="false" customHeight="false" outlineLevel="0" collapsed="false">
      <c r="A104" s="7" t="s">
        <v>87</v>
      </c>
      <c r="B104" s="7" t="n">
        <v>4413096</v>
      </c>
      <c r="C104" s="7" t="s">
        <v>137</v>
      </c>
      <c r="D104" s="26" t="n">
        <v>2415.6</v>
      </c>
      <c r="E104" s="26" t="n">
        <v>0</v>
      </c>
      <c r="F104" s="26" t="n">
        <v>0</v>
      </c>
      <c r="G104" s="26" t="n">
        <v>0</v>
      </c>
      <c r="H104" s="26" t="n">
        <v>4674.8</v>
      </c>
      <c r="I104" s="26" t="n">
        <v>2224.7</v>
      </c>
      <c r="J104" s="26" t="n">
        <v>0</v>
      </c>
      <c r="K104" s="26" t="n">
        <v>730.1</v>
      </c>
      <c r="L104" s="26" t="n">
        <v>0</v>
      </c>
      <c r="M104" s="26" t="n">
        <v>0</v>
      </c>
    </row>
    <row r="105" customFormat="false" ht="15" hidden="false" customHeight="false" outlineLevel="0" collapsed="false">
      <c r="A105" s="7" t="s">
        <v>85</v>
      </c>
      <c r="B105" s="7" t="n">
        <v>4413495</v>
      </c>
      <c r="C105" s="7" t="s">
        <v>138</v>
      </c>
      <c r="D105" s="26" t="n">
        <v>220</v>
      </c>
      <c r="E105" s="26" t="n">
        <v>0</v>
      </c>
      <c r="F105" s="26" t="n">
        <v>4</v>
      </c>
      <c r="G105" s="26" t="n">
        <v>0</v>
      </c>
      <c r="H105" s="26" t="n">
        <v>0</v>
      </c>
      <c r="I105" s="26" t="n">
        <v>30</v>
      </c>
      <c r="J105" s="26" t="n">
        <v>0</v>
      </c>
      <c r="K105" s="26" t="n">
        <v>0</v>
      </c>
      <c r="L105" s="26" t="n">
        <v>0</v>
      </c>
      <c r="M105" s="26" t="n">
        <v>0</v>
      </c>
    </row>
    <row r="106" customFormat="false" ht="15" hidden="false" customHeight="false" outlineLevel="0" collapsed="false">
      <c r="A106" s="7" t="s">
        <v>87</v>
      </c>
      <c r="B106" s="7" t="n">
        <v>4413495</v>
      </c>
      <c r="C106" s="7" t="s">
        <v>138</v>
      </c>
      <c r="D106" s="26" t="n">
        <v>6711.4</v>
      </c>
      <c r="E106" s="26" t="n">
        <v>0</v>
      </c>
      <c r="F106" s="26" t="n">
        <v>123.6</v>
      </c>
      <c r="G106" s="26" t="n">
        <v>0</v>
      </c>
      <c r="H106" s="26" t="n">
        <v>0</v>
      </c>
      <c r="I106" s="26" t="n">
        <v>832.5</v>
      </c>
      <c r="J106" s="26" t="n">
        <v>0</v>
      </c>
      <c r="K106" s="26" t="n">
        <v>0</v>
      </c>
      <c r="L106" s="26" t="n">
        <v>0</v>
      </c>
      <c r="M106" s="26" t="n">
        <v>0</v>
      </c>
    </row>
    <row r="107" customFormat="false" ht="15" hidden="false" customHeight="false" outlineLevel="0" collapsed="false">
      <c r="A107" s="7" t="s">
        <v>85</v>
      </c>
      <c r="B107" s="7" t="n">
        <v>4413497</v>
      </c>
      <c r="C107" s="7" t="s">
        <v>139</v>
      </c>
      <c r="D107" s="26" t="n">
        <v>168</v>
      </c>
      <c r="E107" s="26" t="n">
        <v>0</v>
      </c>
      <c r="F107" s="26" t="n">
        <v>4</v>
      </c>
      <c r="G107" s="26" t="n">
        <v>0</v>
      </c>
      <c r="H107" s="26" t="n">
        <v>0</v>
      </c>
      <c r="I107" s="26" t="n">
        <v>21</v>
      </c>
      <c r="J107" s="26" t="n">
        <v>0</v>
      </c>
      <c r="K107" s="26" t="n">
        <v>0</v>
      </c>
      <c r="L107" s="26" t="n">
        <v>0</v>
      </c>
      <c r="M107" s="26" t="n">
        <v>0</v>
      </c>
    </row>
    <row r="108" customFormat="false" ht="15" hidden="false" customHeight="false" outlineLevel="0" collapsed="false">
      <c r="A108" s="7" t="s">
        <v>87</v>
      </c>
      <c r="B108" s="7" t="n">
        <v>4413497</v>
      </c>
      <c r="C108" s="7" t="s">
        <v>139</v>
      </c>
      <c r="D108" s="26" t="n">
        <v>5117.5</v>
      </c>
      <c r="E108" s="26" t="n">
        <v>0</v>
      </c>
      <c r="F108" s="26" t="n">
        <v>123.6</v>
      </c>
      <c r="G108" s="26" t="n">
        <v>0</v>
      </c>
      <c r="H108" s="26" t="n">
        <v>0</v>
      </c>
      <c r="I108" s="26" t="n">
        <v>582.8</v>
      </c>
      <c r="J108" s="26" t="n">
        <v>0</v>
      </c>
      <c r="K108" s="26" t="n">
        <v>0</v>
      </c>
      <c r="L108" s="26" t="n">
        <v>0</v>
      </c>
      <c r="M108" s="26" t="n">
        <v>0</v>
      </c>
    </row>
    <row r="109" customFormat="false" ht="15" hidden="false" customHeight="false" outlineLevel="0" collapsed="false">
      <c r="A109" s="7" t="s">
        <v>85</v>
      </c>
      <c r="B109" s="7" t="n">
        <v>4413498</v>
      </c>
      <c r="C109" s="7" t="s">
        <v>140</v>
      </c>
      <c r="D109" s="26" t="n">
        <v>87</v>
      </c>
      <c r="E109" s="26" t="n">
        <v>0</v>
      </c>
      <c r="F109" s="26" t="n">
        <v>2</v>
      </c>
      <c r="G109" s="26" t="n">
        <v>0</v>
      </c>
      <c r="H109" s="26" t="n">
        <v>0</v>
      </c>
      <c r="I109" s="26" t="n">
        <v>17</v>
      </c>
      <c r="J109" s="26" t="n">
        <v>0</v>
      </c>
      <c r="K109" s="26" t="n">
        <v>0</v>
      </c>
      <c r="L109" s="26" t="n">
        <v>0</v>
      </c>
      <c r="M109" s="26" t="n">
        <v>0</v>
      </c>
    </row>
    <row r="110" customFormat="false" ht="15" hidden="false" customHeight="false" outlineLevel="0" collapsed="false">
      <c r="A110" s="7" t="s">
        <v>87</v>
      </c>
      <c r="B110" s="7" t="n">
        <v>4413498</v>
      </c>
      <c r="C110" s="7" t="s">
        <v>140</v>
      </c>
      <c r="D110" s="26" t="n">
        <v>2650.4</v>
      </c>
      <c r="E110" s="26" t="n">
        <v>0</v>
      </c>
      <c r="F110" s="26" t="n">
        <v>61.8</v>
      </c>
      <c r="G110" s="26" t="n">
        <v>0</v>
      </c>
      <c r="H110" s="26" t="n">
        <v>0</v>
      </c>
      <c r="I110" s="26" t="n">
        <v>471.8</v>
      </c>
      <c r="J110" s="26" t="n">
        <v>0</v>
      </c>
      <c r="K110" s="26" t="n">
        <v>0</v>
      </c>
      <c r="L110" s="26" t="n">
        <v>0</v>
      </c>
      <c r="M110" s="26" t="n">
        <v>0</v>
      </c>
    </row>
    <row r="111" customFormat="false" ht="15" hidden="false" customHeight="false" outlineLevel="0" collapsed="false">
      <c r="A111" s="7" t="s">
        <v>85</v>
      </c>
      <c r="B111" s="7" t="n">
        <v>4413496</v>
      </c>
      <c r="C111" s="7" t="s">
        <v>141</v>
      </c>
      <c r="D111" s="26" t="n">
        <v>152</v>
      </c>
      <c r="E111" s="26" t="n">
        <v>0</v>
      </c>
      <c r="F111" s="26" t="n">
        <v>4</v>
      </c>
      <c r="G111" s="26" t="n">
        <v>0</v>
      </c>
      <c r="H111" s="26" t="n">
        <v>0</v>
      </c>
      <c r="I111" s="26" t="n">
        <v>19</v>
      </c>
      <c r="J111" s="26" t="n">
        <v>0</v>
      </c>
      <c r="K111" s="26" t="n">
        <v>0</v>
      </c>
      <c r="L111" s="26" t="n">
        <v>0</v>
      </c>
      <c r="M111" s="26" t="n">
        <v>0</v>
      </c>
    </row>
    <row r="112" customFormat="false" ht="15" hidden="false" customHeight="false" outlineLevel="0" collapsed="false">
      <c r="A112" s="7" t="s">
        <v>87</v>
      </c>
      <c r="B112" s="7" t="n">
        <v>4413496</v>
      </c>
      <c r="C112" s="7" t="s">
        <v>141</v>
      </c>
      <c r="D112" s="26" t="n">
        <v>4563.5</v>
      </c>
      <c r="E112" s="26" t="n">
        <v>0</v>
      </c>
      <c r="F112" s="26" t="n">
        <v>123.6</v>
      </c>
      <c r="G112" s="26" t="n">
        <v>0</v>
      </c>
      <c r="H112" s="26" t="n">
        <v>0</v>
      </c>
      <c r="I112" s="26" t="n">
        <v>527.3</v>
      </c>
      <c r="J112" s="26" t="n">
        <v>0</v>
      </c>
      <c r="K112" s="26" t="n">
        <v>0</v>
      </c>
      <c r="L112" s="26" t="n">
        <v>0</v>
      </c>
      <c r="M112" s="26" t="n">
        <v>0</v>
      </c>
    </row>
    <row r="113" customFormat="false" ht="15" hidden="false" customHeight="false" outlineLevel="0" collapsed="false">
      <c r="A113" s="7" t="s">
        <v>85</v>
      </c>
      <c r="B113" s="7" t="n">
        <v>4413499</v>
      </c>
      <c r="C113" s="7" t="s">
        <v>142</v>
      </c>
      <c r="D113" s="26" t="n">
        <v>58</v>
      </c>
      <c r="E113" s="26" t="n">
        <v>0</v>
      </c>
      <c r="F113" s="26" t="n">
        <v>0</v>
      </c>
      <c r="G113" s="26" t="n">
        <v>0</v>
      </c>
      <c r="H113" s="26" t="n">
        <v>0</v>
      </c>
      <c r="I113" s="26" t="n">
        <v>18</v>
      </c>
      <c r="J113" s="26" t="n">
        <v>0</v>
      </c>
      <c r="K113" s="26" t="n">
        <v>0</v>
      </c>
      <c r="L113" s="26" t="n">
        <v>0</v>
      </c>
      <c r="M113" s="26" t="n">
        <v>0</v>
      </c>
    </row>
    <row r="114" customFormat="false" ht="15" hidden="false" customHeight="false" outlineLevel="0" collapsed="false">
      <c r="A114" s="7" t="s">
        <v>87</v>
      </c>
      <c r="B114" s="7" t="n">
        <v>4413499</v>
      </c>
      <c r="C114" s="7" t="s">
        <v>142</v>
      </c>
      <c r="D114" s="26" t="n">
        <v>1758.7</v>
      </c>
      <c r="E114" s="26" t="n">
        <v>0</v>
      </c>
      <c r="F114" s="26" t="n">
        <v>0</v>
      </c>
      <c r="G114" s="26" t="n">
        <v>0</v>
      </c>
      <c r="H114" s="26" t="n">
        <v>0</v>
      </c>
      <c r="I114" s="26" t="n">
        <v>499.5</v>
      </c>
      <c r="J114" s="26" t="n">
        <v>0</v>
      </c>
      <c r="K114" s="26" t="n">
        <v>0</v>
      </c>
      <c r="L114" s="26" t="n">
        <v>0</v>
      </c>
      <c r="M114" s="26" t="n">
        <v>0</v>
      </c>
    </row>
    <row r="115" customFormat="false" ht="15" hidden="false" customHeight="false" outlineLevel="0" collapsed="false">
      <c r="A115" s="7" t="s">
        <v>85</v>
      </c>
      <c r="B115" s="7" t="n">
        <v>4413098</v>
      </c>
      <c r="C115" s="7" t="s">
        <v>143</v>
      </c>
      <c r="D115" s="26" t="n">
        <v>279</v>
      </c>
      <c r="E115" s="26" t="n">
        <v>0</v>
      </c>
      <c r="F115" s="26" t="n">
        <v>1</v>
      </c>
      <c r="G115" s="26" t="n">
        <v>4</v>
      </c>
      <c r="H115" s="26" t="n">
        <v>1997</v>
      </c>
      <c r="I115" s="26" t="n">
        <v>204</v>
      </c>
      <c r="J115" s="26" t="n">
        <v>0</v>
      </c>
      <c r="K115" s="26" t="n">
        <v>0</v>
      </c>
      <c r="L115" s="26" t="n">
        <v>0</v>
      </c>
      <c r="M115" s="26" t="n">
        <v>0</v>
      </c>
    </row>
    <row r="116" customFormat="false" ht="15" hidden="false" customHeight="false" outlineLevel="0" collapsed="false">
      <c r="A116" s="7" t="s">
        <v>87</v>
      </c>
      <c r="B116" s="7" t="n">
        <v>4413098</v>
      </c>
      <c r="C116" s="7" t="s">
        <v>143</v>
      </c>
      <c r="D116" s="26" t="n">
        <v>8420.2</v>
      </c>
      <c r="E116" s="26" t="n">
        <v>0</v>
      </c>
      <c r="F116" s="26" t="n">
        <v>30.9</v>
      </c>
      <c r="G116" s="26" t="n">
        <v>107.1</v>
      </c>
      <c r="H116" s="26" t="n">
        <v>51837</v>
      </c>
      <c r="I116" s="26" t="n">
        <v>5670.9</v>
      </c>
      <c r="J116" s="26" t="n">
        <v>0</v>
      </c>
      <c r="K116" s="26" t="n">
        <v>0</v>
      </c>
      <c r="L116" s="26" t="n">
        <v>0</v>
      </c>
      <c r="M116" s="26" t="n">
        <v>0</v>
      </c>
    </row>
    <row r="117" customFormat="false" ht="15" hidden="false" customHeight="false" outlineLevel="0" collapsed="false">
      <c r="A117" s="7" t="s">
        <v>85</v>
      </c>
      <c r="B117" s="7" t="n">
        <v>4413099</v>
      </c>
      <c r="C117" s="7" t="s">
        <v>144</v>
      </c>
      <c r="D117" s="26" t="n">
        <v>240</v>
      </c>
      <c r="E117" s="26" t="n">
        <v>1</v>
      </c>
      <c r="F117" s="26" t="n">
        <v>1</v>
      </c>
      <c r="G117" s="26" t="n">
        <v>0</v>
      </c>
      <c r="H117" s="26" t="n">
        <v>2432</v>
      </c>
      <c r="I117" s="26" t="n">
        <v>216</v>
      </c>
      <c r="J117" s="26" t="n">
        <v>0</v>
      </c>
      <c r="K117" s="26" t="n">
        <v>0</v>
      </c>
      <c r="L117" s="26" t="n">
        <v>0</v>
      </c>
      <c r="M117" s="26" t="n">
        <v>-1</v>
      </c>
    </row>
    <row r="118" customFormat="false" ht="15" hidden="false" customHeight="false" outlineLevel="0" collapsed="false">
      <c r="A118" s="7" t="s">
        <v>87</v>
      </c>
      <c r="B118" s="7" t="n">
        <v>4413099</v>
      </c>
      <c r="C118" s="7" t="s">
        <v>144</v>
      </c>
      <c r="D118" s="26" t="n">
        <v>7247.2</v>
      </c>
      <c r="E118" s="26" t="n">
        <v>30.9</v>
      </c>
      <c r="F118" s="26" t="n">
        <v>30.9</v>
      </c>
      <c r="G118" s="26" t="n">
        <v>0</v>
      </c>
      <c r="H118" s="26" t="n">
        <v>63316.9</v>
      </c>
      <c r="I118" s="26" t="n">
        <v>6004.1</v>
      </c>
      <c r="J118" s="26" t="n">
        <v>0</v>
      </c>
      <c r="K118" s="26" t="n">
        <v>0</v>
      </c>
      <c r="L118" s="26" t="n">
        <v>0</v>
      </c>
      <c r="M118" s="26" t="n">
        <v>-41.2</v>
      </c>
    </row>
    <row r="119" customFormat="false" ht="15" hidden="false" customHeight="false" outlineLevel="0" collapsed="false">
      <c r="A119" s="7" t="s">
        <v>85</v>
      </c>
      <c r="B119" s="7" t="n">
        <v>4413097</v>
      </c>
      <c r="C119" s="7" t="s">
        <v>145</v>
      </c>
      <c r="D119" s="26" t="n">
        <v>101</v>
      </c>
      <c r="E119" s="26" t="n">
        <v>1</v>
      </c>
      <c r="F119" s="26" t="n">
        <v>1</v>
      </c>
      <c r="G119" s="26" t="n">
        <v>0</v>
      </c>
      <c r="H119" s="26" t="n">
        <v>1276</v>
      </c>
      <c r="I119" s="26" t="n">
        <v>95</v>
      </c>
      <c r="J119" s="26" t="n">
        <v>0</v>
      </c>
      <c r="K119" s="26" t="n">
        <v>0</v>
      </c>
      <c r="L119" s="26" t="n">
        <v>0</v>
      </c>
      <c r="M119" s="26" t="n">
        <v>0</v>
      </c>
    </row>
    <row r="120" customFormat="false" ht="15" hidden="false" customHeight="false" outlineLevel="0" collapsed="false">
      <c r="A120" s="7" t="s">
        <v>87</v>
      </c>
      <c r="B120" s="7" t="n">
        <v>4413097</v>
      </c>
      <c r="C120" s="7" t="s">
        <v>145</v>
      </c>
      <c r="D120" s="26" t="n">
        <v>3056.8</v>
      </c>
      <c r="E120" s="26" t="n">
        <v>30.9</v>
      </c>
      <c r="F120" s="26" t="n">
        <v>30.9</v>
      </c>
      <c r="G120" s="26" t="n">
        <v>0</v>
      </c>
      <c r="H120" s="26" t="n">
        <v>33245.9</v>
      </c>
      <c r="I120" s="26" t="n">
        <v>2641.1</v>
      </c>
      <c r="J120" s="26" t="n">
        <v>0</v>
      </c>
      <c r="K120" s="26" t="n">
        <v>0</v>
      </c>
      <c r="L120" s="26" t="n">
        <v>0</v>
      </c>
      <c r="M120" s="26" t="n">
        <v>0</v>
      </c>
    </row>
    <row r="121" customFormat="false" ht="15" hidden="false" customHeight="false" outlineLevel="0" collapsed="false">
      <c r="A121" s="7" t="s">
        <v>85</v>
      </c>
      <c r="B121" s="7" t="n">
        <v>4413100</v>
      </c>
      <c r="C121" s="7" t="s">
        <v>146</v>
      </c>
      <c r="D121" s="26" t="n">
        <v>256</v>
      </c>
      <c r="E121" s="26" t="n">
        <v>1</v>
      </c>
      <c r="F121" s="26" t="n">
        <v>1</v>
      </c>
      <c r="G121" s="26" t="n">
        <v>2</v>
      </c>
      <c r="H121" s="26" t="n">
        <v>1663</v>
      </c>
      <c r="I121" s="26" t="n">
        <v>160</v>
      </c>
      <c r="J121" s="26" t="n">
        <v>0</v>
      </c>
      <c r="K121" s="26" t="n">
        <v>0</v>
      </c>
      <c r="L121" s="26" t="n">
        <v>0</v>
      </c>
      <c r="M121" s="26" t="n">
        <v>0</v>
      </c>
    </row>
    <row r="122" customFormat="false" ht="15" hidden="false" customHeight="false" outlineLevel="0" collapsed="false">
      <c r="A122" s="7" t="s">
        <v>87</v>
      </c>
      <c r="B122" s="7" t="n">
        <v>4413100</v>
      </c>
      <c r="C122" s="7" t="s">
        <v>146</v>
      </c>
      <c r="D122" s="26" t="n">
        <v>7752.6</v>
      </c>
      <c r="E122" s="26" t="n">
        <v>30.9</v>
      </c>
      <c r="F122" s="26" t="n">
        <v>30.9</v>
      </c>
      <c r="G122" s="26" t="n">
        <v>53.5</v>
      </c>
      <c r="H122" s="26" t="n">
        <v>43391.3</v>
      </c>
      <c r="I122" s="26" t="n">
        <v>4445.5</v>
      </c>
      <c r="J122" s="26" t="n">
        <v>0</v>
      </c>
      <c r="K122" s="26" t="n">
        <v>0</v>
      </c>
      <c r="L122" s="26" t="n">
        <v>0</v>
      </c>
      <c r="M122" s="26" t="n">
        <v>0</v>
      </c>
    </row>
    <row r="123" customFormat="false" ht="15" hidden="false" customHeight="false" outlineLevel="0" collapsed="false">
      <c r="A123" s="7" t="s">
        <v>85</v>
      </c>
      <c r="B123" s="7" t="n">
        <v>4413102</v>
      </c>
      <c r="C123" s="7" t="s">
        <v>147</v>
      </c>
      <c r="D123" s="26" t="n">
        <v>86</v>
      </c>
      <c r="E123" s="26" t="n">
        <v>0</v>
      </c>
      <c r="F123" s="26" t="n">
        <v>0</v>
      </c>
      <c r="G123" s="26" t="n">
        <v>5</v>
      </c>
      <c r="H123" s="26" t="n">
        <v>786</v>
      </c>
      <c r="I123" s="26" t="n">
        <v>218</v>
      </c>
      <c r="J123" s="26" t="n">
        <v>0</v>
      </c>
      <c r="K123" s="26" t="n">
        <v>104</v>
      </c>
      <c r="L123" s="26" t="n">
        <v>0</v>
      </c>
      <c r="M123" s="26" t="n">
        <v>-1</v>
      </c>
    </row>
    <row r="124" customFormat="false" ht="15" hidden="false" customHeight="false" outlineLevel="0" collapsed="false">
      <c r="A124" s="7" t="s">
        <v>87</v>
      </c>
      <c r="B124" s="7" t="n">
        <v>4413102</v>
      </c>
      <c r="C124" s="7" t="s">
        <v>147</v>
      </c>
      <c r="D124" s="26" t="n">
        <v>3130.5</v>
      </c>
      <c r="E124" s="26" t="n">
        <v>0</v>
      </c>
      <c r="F124" s="26" t="n">
        <v>0</v>
      </c>
      <c r="G124" s="26" t="n">
        <v>162.3</v>
      </c>
      <c r="H124" s="26" t="n">
        <v>24557.9</v>
      </c>
      <c r="I124" s="26" t="n">
        <v>7308</v>
      </c>
      <c r="J124" s="26" t="n">
        <v>0</v>
      </c>
      <c r="K124" s="26" t="n">
        <v>2029.5</v>
      </c>
      <c r="L124" s="26" t="n">
        <v>0</v>
      </c>
      <c r="M124" s="26" t="n">
        <v>-49.9</v>
      </c>
    </row>
    <row r="125" customFormat="false" ht="15" hidden="false" customHeight="false" outlineLevel="0" collapsed="false">
      <c r="A125" s="7" t="s">
        <v>85</v>
      </c>
      <c r="B125" s="7" t="n">
        <v>4413103</v>
      </c>
      <c r="C125" s="7" t="s">
        <v>148</v>
      </c>
      <c r="D125" s="26" t="n">
        <v>62</v>
      </c>
      <c r="E125" s="26" t="n">
        <v>0</v>
      </c>
      <c r="F125" s="26" t="n">
        <v>0</v>
      </c>
      <c r="G125" s="26" t="n">
        <v>5</v>
      </c>
      <c r="H125" s="26" t="n">
        <v>847</v>
      </c>
      <c r="I125" s="26" t="n">
        <v>155</v>
      </c>
      <c r="J125" s="26" t="n">
        <v>1</v>
      </c>
      <c r="K125" s="26" t="n">
        <v>140</v>
      </c>
      <c r="L125" s="26" t="n">
        <v>0</v>
      </c>
      <c r="M125" s="26" t="n">
        <v>-1</v>
      </c>
    </row>
    <row r="126" customFormat="false" ht="15" hidden="false" customHeight="false" outlineLevel="0" collapsed="false">
      <c r="A126" s="7" t="s">
        <v>87</v>
      </c>
      <c r="B126" s="7" t="n">
        <v>4413103</v>
      </c>
      <c r="C126" s="7" t="s">
        <v>148</v>
      </c>
      <c r="D126" s="26" t="n">
        <v>2222.1</v>
      </c>
      <c r="E126" s="26" t="n">
        <v>0</v>
      </c>
      <c r="F126" s="26" t="n">
        <v>0</v>
      </c>
      <c r="G126" s="26" t="n">
        <v>162.3</v>
      </c>
      <c r="H126" s="26" t="n">
        <v>26440.7</v>
      </c>
      <c r="I126" s="26" t="n">
        <v>5193.3</v>
      </c>
      <c r="J126" s="26" t="n">
        <v>35</v>
      </c>
      <c r="K126" s="26" t="n">
        <v>2777.7</v>
      </c>
      <c r="L126" s="26" t="n">
        <v>0</v>
      </c>
      <c r="M126" s="26" t="n">
        <v>-49.9</v>
      </c>
    </row>
    <row r="127" customFormat="false" ht="15" hidden="false" customHeight="false" outlineLevel="0" collapsed="false">
      <c r="A127" s="7" t="s">
        <v>85</v>
      </c>
      <c r="B127" s="7" t="n">
        <v>4413101</v>
      </c>
      <c r="C127" s="7" t="s">
        <v>149</v>
      </c>
      <c r="D127" s="26" t="n">
        <v>29</v>
      </c>
      <c r="E127" s="26" t="n">
        <v>0</v>
      </c>
      <c r="F127" s="26" t="n">
        <v>0</v>
      </c>
      <c r="G127" s="26" t="n">
        <v>0</v>
      </c>
      <c r="H127" s="26" t="n">
        <v>310</v>
      </c>
      <c r="I127" s="26" t="n">
        <v>59</v>
      </c>
      <c r="J127" s="26" t="n">
        <v>0</v>
      </c>
      <c r="K127" s="26" t="n">
        <v>39</v>
      </c>
      <c r="L127" s="26" t="n">
        <v>0</v>
      </c>
      <c r="M127" s="26" t="n">
        <v>-1</v>
      </c>
    </row>
    <row r="128" customFormat="false" ht="15" hidden="false" customHeight="false" outlineLevel="0" collapsed="false">
      <c r="A128" s="7" t="s">
        <v>87</v>
      </c>
      <c r="B128" s="7" t="n">
        <v>4413101</v>
      </c>
      <c r="C128" s="7" t="s">
        <v>149</v>
      </c>
      <c r="D128" s="26" t="n">
        <v>1058.6</v>
      </c>
      <c r="E128" s="26" t="n">
        <v>0</v>
      </c>
      <c r="F128" s="26" t="n">
        <v>0</v>
      </c>
      <c r="G128" s="26" t="n">
        <v>0</v>
      </c>
      <c r="H128" s="26" t="n">
        <v>9660.6</v>
      </c>
      <c r="I128" s="26" t="n">
        <v>1978.3</v>
      </c>
      <c r="J128" s="26" t="n">
        <v>0</v>
      </c>
      <c r="K128" s="26" t="n">
        <v>768.8</v>
      </c>
      <c r="L128" s="26" t="n">
        <v>0</v>
      </c>
      <c r="M128" s="26" t="n">
        <v>-49.9</v>
      </c>
    </row>
    <row r="129" customFormat="false" ht="15" hidden="false" customHeight="false" outlineLevel="0" collapsed="false">
      <c r="A129" s="7" t="s">
        <v>85</v>
      </c>
      <c r="B129" s="7" t="n">
        <v>4413104</v>
      </c>
      <c r="C129" s="7" t="s">
        <v>150</v>
      </c>
      <c r="D129" s="26" t="n">
        <v>67</v>
      </c>
      <c r="E129" s="26" t="n">
        <v>0</v>
      </c>
      <c r="F129" s="26" t="n">
        <v>0</v>
      </c>
      <c r="G129" s="26" t="n">
        <v>0</v>
      </c>
      <c r="H129" s="26" t="n">
        <v>646</v>
      </c>
      <c r="I129" s="26" t="n">
        <v>143</v>
      </c>
      <c r="J129" s="26" t="n">
        <v>0</v>
      </c>
      <c r="K129" s="26" t="n">
        <v>118</v>
      </c>
      <c r="L129" s="26" t="n">
        <v>0</v>
      </c>
      <c r="M129" s="26" t="n">
        <v>0</v>
      </c>
    </row>
    <row r="130" customFormat="false" ht="15" hidden="false" customHeight="false" outlineLevel="0" collapsed="false">
      <c r="A130" s="7" t="s">
        <v>87</v>
      </c>
      <c r="B130" s="7" t="n">
        <v>4413104</v>
      </c>
      <c r="C130" s="7" t="s">
        <v>150</v>
      </c>
      <c r="D130" s="26" t="n">
        <v>2438.9</v>
      </c>
      <c r="E130" s="26" t="n">
        <v>0</v>
      </c>
      <c r="F130" s="26" t="n">
        <v>0</v>
      </c>
      <c r="G130" s="26" t="n">
        <v>0</v>
      </c>
      <c r="H130" s="26" t="n">
        <v>20143.7</v>
      </c>
      <c r="I130" s="26" t="n">
        <v>4801</v>
      </c>
      <c r="J130" s="26" t="n">
        <v>0</v>
      </c>
      <c r="K130" s="26" t="n">
        <v>2326.7</v>
      </c>
      <c r="L130" s="26" t="n">
        <v>0</v>
      </c>
      <c r="M130" s="26" t="n">
        <v>0</v>
      </c>
    </row>
    <row r="131" customFormat="false" ht="15" hidden="false" customHeight="false" outlineLevel="0" collapsed="false">
      <c r="A131" s="7" t="s">
        <v>85</v>
      </c>
      <c r="B131" s="7" t="n">
        <v>4413105</v>
      </c>
      <c r="C131" s="7" t="s">
        <v>151</v>
      </c>
      <c r="D131" s="26" t="n">
        <v>31</v>
      </c>
      <c r="E131" s="26" t="n">
        <v>0</v>
      </c>
      <c r="F131" s="26" t="n">
        <v>0</v>
      </c>
      <c r="G131" s="26" t="n">
        <v>0</v>
      </c>
      <c r="H131" s="26" t="n">
        <v>98</v>
      </c>
      <c r="I131" s="26" t="n">
        <v>74</v>
      </c>
      <c r="J131" s="26" t="n">
        <v>0</v>
      </c>
      <c r="K131" s="26" t="n">
        <v>41</v>
      </c>
      <c r="L131" s="26" t="n">
        <v>0</v>
      </c>
      <c r="M131" s="26" t="n">
        <v>0</v>
      </c>
    </row>
    <row r="132" customFormat="false" ht="15" hidden="false" customHeight="false" outlineLevel="0" collapsed="false">
      <c r="A132" s="7" t="s">
        <v>87</v>
      </c>
      <c r="B132" s="7" t="n">
        <v>4413105</v>
      </c>
      <c r="C132" s="7" t="s">
        <v>151</v>
      </c>
      <c r="D132" s="26" t="n">
        <v>1131.1</v>
      </c>
      <c r="E132" s="26" t="n">
        <v>0</v>
      </c>
      <c r="F132" s="26" t="n">
        <v>0</v>
      </c>
      <c r="G132" s="26" t="n">
        <v>0</v>
      </c>
      <c r="H132" s="26" t="n">
        <v>3060.3</v>
      </c>
      <c r="I132" s="26" t="n">
        <v>2478.3</v>
      </c>
      <c r="J132" s="26" t="n">
        <v>0</v>
      </c>
      <c r="K132" s="26" t="n">
        <v>825.1</v>
      </c>
      <c r="L132" s="26" t="n">
        <v>0</v>
      </c>
      <c r="M132" s="26" t="n">
        <v>0</v>
      </c>
    </row>
    <row r="133" customFormat="false" ht="15" hidden="false" customHeight="false" outlineLevel="0" collapsed="false">
      <c r="A133" s="7" t="s">
        <v>85</v>
      </c>
      <c r="B133" s="7" t="n">
        <v>4413396</v>
      </c>
      <c r="C133" s="7" t="s">
        <v>152</v>
      </c>
      <c r="D133" s="26" t="n">
        <v>120</v>
      </c>
      <c r="E133" s="26" t="n">
        <v>0</v>
      </c>
      <c r="F133" s="26" t="n">
        <v>0</v>
      </c>
      <c r="G133" s="26" t="n">
        <v>0</v>
      </c>
      <c r="H133" s="26" t="n">
        <v>2295</v>
      </c>
      <c r="I133" s="26" t="n">
        <v>0</v>
      </c>
      <c r="J133" s="26" t="n">
        <v>0</v>
      </c>
      <c r="K133" s="26" t="n">
        <v>0</v>
      </c>
      <c r="L133" s="26" t="n">
        <v>0</v>
      </c>
      <c r="M133" s="26" t="n">
        <v>0</v>
      </c>
    </row>
    <row r="134" customFormat="false" ht="15" hidden="false" customHeight="false" outlineLevel="0" collapsed="false">
      <c r="A134" s="7" t="s">
        <v>87</v>
      </c>
      <c r="B134" s="7" t="n">
        <v>4413396</v>
      </c>
      <c r="C134" s="7" t="s">
        <v>152</v>
      </c>
      <c r="D134" s="26" t="n">
        <v>4398.4</v>
      </c>
      <c r="E134" s="26" t="n">
        <v>0</v>
      </c>
      <c r="F134" s="26" t="n">
        <v>0</v>
      </c>
      <c r="G134" s="26" t="n">
        <v>0</v>
      </c>
      <c r="H134" s="26" t="n">
        <v>71655.7</v>
      </c>
      <c r="I134" s="26" t="n">
        <v>0</v>
      </c>
      <c r="J134" s="26" t="n">
        <v>0</v>
      </c>
      <c r="K134" s="26" t="n">
        <v>0</v>
      </c>
      <c r="L134" s="26" t="n">
        <v>0</v>
      </c>
      <c r="M134" s="26" t="n">
        <v>0</v>
      </c>
    </row>
    <row r="135" customFormat="false" ht="15" hidden="false" customHeight="false" outlineLevel="0" collapsed="false">
      <c r="A135" s="7" t="s">
        <v>85</v>
      </c>
      <c r="B135" s="7" t="n">
        <v>4413395</v>
      </c>
      <c r="C135" s="7" t="s">
        <v>153</v>
      </c>
      <c r="D135" s="26" t="n">
        <v>98</v>
      </c>
      <c r="E135" s="26" t="n">
        <v>0</v>
      </c>
      <c r="F135" s="26" t="n">
        <v>0</v>
      </c>
      <c r="G135" s="26" t="n">
        <v>0</v>
      </c>
      <c r="H135" s="26" t="n">
        <v>2172</v>
      </c>
      <c r="I135" s="26" t="n">
        <v>0</v>
      </c>
      <c r="J135" s="26" t="n">
        <v>0</v>
      </c>
      <c r="K135" s="26" t="n">
        <v>0</v>
      </c>
      <c r="L135" s="26" t="n">
        <v>0</v>
      </c>
      <c r="M135" s="26" t="n">
        <v>0</v>
      </c>
    </row>
    <row r="136" customFormat="false" ht="15" hidden="false" customHeight="false" outlineLevel="0" collapsed="false">
      <c r="A136" s="7" t="s">
        <v>87</v>
      </c>
      <c r="B136" s="7" t="n">
        <v>4413395</v>
      </c>
      <c r="C136" s="7" t="s">
        <v>153</v>
      </c>
      <c r="D136" s="26" t="n">
        <v>3532.9</v>
      </c>
      <c r="E136" s="26" t="n">
        <v>0</v>
      </c>
      <c r="F136" s="26" t="n">
        <v>0</v>
      </c>
      <c r="G136" s="26" t="n">
        <v>0</v>
      </c>
      <c r="H136" s="26" t="n">
        <v>68026.3</v>
      </c>
      <c r="I136" s="26" t="n">
        <v>0</v>
      </c>
      <c r="J136" s="26" t="n">
        <v>0</v>
      </c>
      <c r="K136" s="26" t="n">
        <v>0</v>
      </c>
      <c r="L136" s="26" t="n">
        <v>0</v>
      </c>
      <c r="M136" s="26" t="n">
        <v>0</v>
      </c>
    </row>
    <row r="137" customFormat="false" ht="15" hidden="false" customHeight="false" outlineLevel="0" collapsed="false">
      <c r="A137" s="7" t="s">
        <v>85</v>
      </c>
      <c r="B137" s="7" t="n">
        <v>4413394</v>
      </c>
      <c r="C137" s="7" t="s">
        <v>154</v>
      </c>
      <c r="D137" s="26" t="n">
        <v>42</v>
      </c>
      <c r="E137" s="26" t="n">
        <v>0</v>
      </c>
      <c r="F137" s="26" t="n">
        <v>0</v>
      </c>
      <c r="G137" s="26" t="n">
        <v>0</v>
      </c>
      <c r="H137" s="26" t="n">
        <v>834</v>
      </c>
      <c r="I137" s="26" t="n">
        <v>0</v>
      </c>
      <c r="J137" s="26" t="n">
        <v>0</v>
      </c>
      <c r="K137" s="26" t="n">
        <v>0</v>
      </c>
      <c r="L137" s="26" t="n">
        <v>0</v>
      </c>
      <c r="M137" s="26" t="n">
        <v>0</v>
      </c>
    </row>
    <row r="138" customFormat="false" ht="15" hidden="false" customHeight="false" outlineLevel="0" collapsed="false">
      <c r="A138" s="7" t="s">
        <v>87</v>
      </c>
      <c r="B138" s="7" t="n">
        <v>4413394</v>
      </c>
      <c r="C138" s="7" t="s">
        <v>154</v>
      </c>
      <c r="D138" s="26" t="n">
        <v>1533</v>
      </c>
      <c r="E138" s="26" t="n">
        <v>0</v>
      </c>
      <c r="F138" s="26" t="n">
        <v>0</v>
      </c>
      <c r="G138" s="26" t="n">
        <v>0</v>
      </c>
      <c r="H138" s="26" t="n">
        <v>26044.6</v>
      </c>
      <c r="I138" s="26" t="n">
        <v>0</v>
      </c>
      <c r="J138" s="26" t="n">
        <v>0</v>
      </c>
      <c r="K138" s="26" t="n">
        <v>0</v>
      </c>
      <c r="L138" s="26" t="n">
        <v>0</v>
      </c>
      <c r="M138" s="26" t="n">
        <v>0</v>
      </c>
    </row>
    <row r="139" customFormat="false" ht="15" hidden="false" customHeight="false" outlineLevel="0" collapsed="false">
      <c r="A139" s="7" t="s">
        <v>85</v>
      </c>
      <c r="B139" s="7" t="n">
        <v>4413397</v>
      </c>
      <c r="C139" s="7" t="s">
        <v>155</v>
      </c>
      <c r="D139" s="26" t="n">
        <v>94</v>
      </c>
      <c r="E139" s="26" t="n">
        <v>0</v>
      </c>
      <c r="F139" s="26" t="n">
        <v>0</v>
      </c>
      <c r="G139" s="26" t="n">
        <v>0</v>
      </c>
      <c r="H139" s="26" t="n">
        <v>1686</v>
      </c>
      <c r="I139" s="26" t="n">
        <v>0</v>
      </c>
      <c r="J139" s="26" t="n">
        <v>0</v>
      </c>
      <c r="K139" s="26" t="n">
        <v>0</v>
      </c>
      <c r="L139" s="26" t="n">
        <v>0</v>
      </c>
      <c r="M139" s="26" t="n">
        <v>0</v>
      </c>
    </row>
    <row r="140" customFormat="false" ht="15" hidden="false" customHeight="false" outlineLevel="0" collapsed="false">
      <c r="A140" s="7" t="s">
        <v>87</v>
      </c>
      <c r="B140" s="7" t="n">
        <v>4413397</v>
      </c>
      <c r="C140" s="7" t="s">
        <v>155</v>
      </c>
      <c r="D140" s="26" t="n">
        <v>3412.6</v>
      </c>
      <c r="E140" s="26" t="n">
        <v>0</v>
      </c>
      <c r="F140" s="26" t="n">
        <v>0</v>
      </c>
      <c r="G140" s="26" t="n">
        <v>0</v>
      </c>
      <c r="H140" s="26" t="n">
        <v>52766.9</v>
      </c>
      <c r="I140" s="26" t="n">
        <v>0</v>
      </c>
      <c r="J140" s="26" t="n">
        <v>0</v>
      </c>
      <c r="K140" s="26" t="n">
        <v>0</v>
      </c>
      <c r="L140" s="26" t="n">
        <v>0</v>
      </c>
      <c r="M140" s="26" t="n">
        <v>0</v>
      </c>
    </row>
    <row r="141" customFormat="false" ht="15" hidden="false" customHeight="false" outlineLevel="0" collapsed="false">
      <c r="A141" s="7" t="s">
        <v>85</v>
      </c>
      <c r="B141" s="7" t="n">
        <v>4413398</v>
      </c>
      <c r="C141" s="7" t="s">
        <v>156</v>
      </c>
      <c r="D141" s="26" t="n">
        <v>55</v>
      </c>
      <c r="E141" s="26" t="n">
        <v>0</v>
      </c>
      <c r="F141" s="26" t="n">
        <v>0</v>
      </c>
      <c r="G141" s="26" t="n">
        <v>0</v>
      </c>
      <c r="H141" s="26" t="n">
        <v>169</v>
      </c>
      <c r="I141" s="26" t="n">
        <v>0</v>
      </c>
      <c r="J141" s="26" t="n">
        <v>0</v>
      </c>
      <c r="K141" s="26" t="n">
        <v>0</v>
      </c>
      <c r="L141" s="26" t="n">
        <v>0</v>
      </c>
      <c r="M141" s="26" t="n">
        <v>0</v>
      </c>
    </row>
    <row r="142" customFormat="false" ht="15" hidden="false" customHeight="false" outlineLevel="0" collapsed="false">
      <c r="A142" s="7" t="s">
        <v>87</v>
      </c>
      <c r="B142" s="7" t="n">
        <v>4413398</v>
      </c>
      <c r="C142" s="7" t="s">
        <v>156</v>
      </c>
      <c r="D142" s="26" t="n">
        <v>2035</v>
      </c>
      <c r="E142" s="26" t="n">
        <v>0</v>
      </c>
      <c r="F142" s="26" t="n">
        <v>0</v>
      </c>
      <c r="G142" s="26" t="n">
        <v>0</v>
      </c>
      <c r="H142" s="26" t="n">
        <v>5272.3</v>
      </c>
      <c r="I142" s="26" t="n">
        <v>0</v>
      </c>
      <c r="J142" s="26" t="n">
        <v>0</v>
      </c>
      <c r="K142" s="26" t="n">
        <v>0</v>
      </c>
      <c r="L142" s="26" t="n">
        <v>0</v>
      </c>
      <c r="M142" s="26" t="n">
        <v>0</v>
      </c>
    </row>
    <row r="143" customFormat="false" ht="15" hidden="false" customHeight="false" outlineLevel="0" collapsed="false">
      <c r="A143" s="7" t="s">
        <v>85</v>
      </c>
      <c r="B143" s="7" t="n">
        <v>4413107</v>
      </c>
      <c r="C143" s="7" t="s">
        <v>157</v>
      </c>
      <c r="D143" s="26" t="n">
        <v>3</v>
      </c>
      <c r="E143" s="26" t="n">
        <v>0</v>
      </c>
      <c r="F143" s="26" t="n">
        <v>0</v>
      </c>
      <c r="G143" s="26" t="n">
        <v>0</v>
      </c>
      <c r="H143" s="26" t="n">
        <v>5</v>
      </c>
      <c r="I143" s="26" t="n">
        <v>0</v>
      </c>
      <c r="J143" s="26" t="n">
        <v>0</v>
      </c>
      <c r="K143" s="26" t="n">
        <v>0</v>
      </c>
      <c r="L143" s="26" t="n">
        <v>0</v>
      </c>
      <c r="M143" s="26" t="n">
        <v>0</v>
      </c>
    </row>
    <row r="144" customFormat="false" ht="15" hidden="false" customHeight="false" outlineLevel="0" collapsed="false">
      <c r="A144" s="7" t="s">
        <v>87</v>
      </c>
      <c r="B144" s="7" t="n">
        <v>4413107</v>
      </c>
      <c r="C144" s="7" t="s">
        <v>157</v>
      </c>
      <c r="D144" s="26" t="n">
        <v>170</v>
      </c>
      <c r="E144" s="26" t="n">
        <v>0</v>
      </c>
      <c r="F144" s="26" t="n">
        <v>0</v>
      </c>
      <c r="G144" s="26" t="n">
        <v>0</v>
      </c>
      <c r="H144" s="26" t="n">
        <v>243.1</v>
      </c>
      <c r="I144" s="26" t="n">
        <v>0</v>
      </c>
      <c r="J144" s="26" t="n">
        <v>0</v>
      </c>
      <c r="K144" s="26" t="n">
        <v>0</v>
      </c>
      <c r="L144" s="26" t="n">
        <v>0</v>
      </c>
      <c r="M144" s="26" t="n">
        <v>0</v>
      </c>
    </row>
    <row r="145" customFormat="false" ht="15" hidden="false" customHeight="false" outlineLevel="0" collapsed="false">
      <c r="A145" s="7" t="s">
        <v>85</v>
      </c>
      <c r="B145" s="7" t="n">
        <v>4413108</v>
      </c>
      <c r="C145" s="7" t="s">
        <v>158</v>
      </c>
      <c r="D145" s="26" t="n">
        <v>2</v>
      </c>
      <c r="E145" s="26" t="n">
        <v>0</v>
      </c>
      <c r="F145" s="26" t="n">
        <v>0</v>
      </c>
      <c r="G145" s="26" t="n">
        <v>0</v>
      </c>
      <c r="H145" s="26" t="n">
        <v>3</v>
      </c>
      <c r="I145" s="26" t="n">
        <v>0</v>
      </c>
      <c r="J145" s="26" t="n">
        <v>0</v>
      </c>
      <c r="K145" s="26" t="n">
        <v>0</v>
      </c>
      <c r="L145" s="26" t="n">
        <v>0</v>
      </c>
      <c r="M145" s="26" t="n">
        <v>0</v>
      </c>
    </row>
    <row r="146" customFormat="false" ht="15" hidden="false" customHeight="false" outlineLevel="0" collapsed="false">
      <c r="A146" s="7" t="s">
        <v>87</v>
      </c>
      <c r="B146" s="7" t="n">
        <v>4413108</v>
      </c>
      <c r="C146" s="7" t="s">
        <v>158</v>
      </c>
      <c r="D146" s="26" t="n">
        <v>113.3</v>
      </c>
      <c r="E146" s="26" t="n">
        <v>0</v>
      </c>
      <c r="F146" s="26" t="n">
        <v>0</v>
      </c>
      <c r="G146" s="26" t="n">
        <v>0</v>
      </c>
      <c r="H146" s="26" t="n">
        <v>152.7</v>
      </c>
      <c r="I146" s="26" t="n">
        <v>0</v>
      </c>
      <c r="J146" s="26" t="n">
        <v>0</v>
      </c>
      <c r="K146" s="26" t="n">
        <v>0</v>
      </c>
      <c r="L146" s="26" t="n">
        <v>0</v>
      </c>
      <c r="M146" s="26" t="n">
        <v>0</v>
      </c>
    </row>
    <row r="147" customFormat="false" ht="15" hidden="false" customHeight="false" outlineLevel="0" collapsed="false">
      <c r="A147" s="7" t="s">
        <v>85</v>
      </c>
      <c r="B147" s="7" t="n">
        <v>4413106</v>
      </c>
      <c r="C147" s="7" t="s">
        <v>159</v>
      </c>
      <c r="D147" s="26" t="n">
        <v>1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0</v>
      </c>
      <c r="J147" s="26" t="n">
        <v>0</v>
      </c>
      <c r="K147" s="26" t="n">
        <v>0</v>
      </c>
      <c r="L147" s="26" t="n">
        <v>0</v>
      </c>
      <c r="M147" s="26" t="n">
        <v>0</v>
      </c>
    </row>
    <row r="148" customFormat="false" ht="15" hidden="false" customHeight="false" outlineLevel="0" collapsed="false">
      <c r="A148" s="7" t="s">
        <v>87</v>
      </c>
      <c r="B148" s="7" t="n">
        <v>4413106</v>
      </c>
      <c r="C148" s="7" t="s">
        <v>159</v>
      </c>
      <c r="D148" s="26" t="n">
        <v>56.7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0</v>
      </c>
      <c r="J148" s="26" t="n">
        <v>0</v>
      </c>
      <c r="K148" s="26" t="n">
        <v>0</v>
      </c>
      <c r="L148" s="26" t="n">
        <v>0</v>
      </c>
      <c r="M148" s="26" t="n">
        <v>0</v>
      </c>
    </row>
    <row r="149" customFormat="false" ht="15" hidden="false" customHeight="false" outlineLevel="0" collapsed="false">
      <c r="A149" s="7" t="s">
        <v>85</v>
      </c>
      <c r="B149" s="7" t="n">
        <v>4413109</v>
      </c>
      <c r="C149" s="7" t="s">
        <v>160</v>
      </c>
      <c r="D149" s="26" t="n">
        <v>1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0</v>
      </c>
      <c r="J149" s="26" t="n">
        <v>0</v>
      </c>
      <c r="K149" s="26" t="n">
        <v>0</v>
      </c>
      <c r="L149" s="26" t="n">
        <v>0</v>
      </c>
      <c r="M149" s="26" t="n">
        <v>0</v>
      </c>
    </row>
    <row r="150" customFormat="false" ht="15" hidden="false" customHeight="false" outlineLevel="0" collapsed="false">
      <c r="A150" s="7" t="s">
        <v>87</v>
      </c>
      <c r="B150" s="7" t="n">
        <v>4413109</v>
      </c>
      <c r="C150" s="7" t="s">
        <v>160</v>
      </c>
      <c r="D150" s="26" t="n">
        <v>56.7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0</v>
      </c>
      <c r="J150" s="26" t="n">
        <v>0</v>
      </c>
      <c r="K150" s="26" t="n">
        <v>0</v>
      </c>
      <c r="L150" s="26" t="n">
        <v>0</v>
      </c>
      <c r="M150" s="26" t="n">
        <v>0</v>
      </c>
    </row>
    <row r="151" customFormat="false" ht="15" hidden="false" customHeight="false" outlineLevel="0" collapsed="false">
      <c r="A151" s="7" t="s">
        <v>85</v>
      </c>
      <c r="B151" s="7" t="n">
        <v>4413110</v>
      </c>
      <c r="C151" s="7" t="s">
        <v>161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0</v>
      </c>
      <c r="L151" s="26" t="n">
        <v>0</v>
      </c>
      <c r="M151" s="26" t="n">
        <v>0</v>
      </c>
    </row>
    <row r="152" customFormat="false" ht="15" hidden="false" customHeight="false" outlineLevel="0" collapsed="false">
      <c r="A152" s="7" t="s">
        <v>87</v>
      </c>
      <c r="B152" s="7" t="n">
        <v>4413110</v>
      </c>
      <c r="C152" s="7" t="s">
        <v>161</v>
      </c>
      <c r="D152" s="26" t="n">
        <v>0</v>
      </c>
      <c r="E152" s="26" t="n">
        <v>0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0</v>
      </c>
      <c r="L152" s="26" t="n">
        <v>0</v>
      </c>
      <c r="M152" s="26" t="n">
        <v>0</v>
      </c>
    </row>
    <row r="153" customFormat="false" ht="15" hidden="false" customHeight="false" outlineLevel="0" collapsed="false">
      <c r="A153" s="7" t="s">
        <v>85</v>
      </c>
      <c r="B153" s="7" t="n">
        <v>4420026</v>
      </c>
      <c r="C153" s="7" t="s">
        <v>162</v>
      </c>
      <c r="D153" s="26" t="n">
        <v>5</v>
      </c>
      <c r="E153" s="26" t="n">
        <v>0</v>
      </c>
      <c r="F153" s="26" t="n">
        <v>0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  <c r="L153" s="26" t="n">
        <v>0</v>
      </c>
      <c r="M153" s="26" t="n">
        <v>0</v>
      </c>
    </row>
    <row r="154" customFormat="false" ht="15" hidden="false" customHeight="false" outlineLevel="0" collapsed="false">
      <c r="A154" s="7" t="s">
        <v>87</v>
      </c>
      <c r="B154" s="7" t="n">
        <v>4420026</v>
      </c>
      <c r="C154" s="7" t="s">
        <v>162</v>
      </c>
      <c r="D154" s="26" t="n">
        <v>392.1</v>
      </c>
      <c r="E154" s="26" t="n">
        <v>0</v>
      </c>
      <c r="F154" s="26" t="n">
        <v>0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  <c r="L154" s="26" t="n">
        <v>0</v>
      </c>
      <c r="M154" s="26" t="n">
        <v>0</v>
      </c>
    </row>
    <row r="155" customFormat="false" ht="15" hidden="false" customHeight="false" outlineLevel="0" collapsed="false">
      <c r="A155" s="7" t="s">
        <v>85</v>
      </c>
      <c r="B155" s="7" t="n">
        <v>4413328</v>
      </c>
      <c r="C155" s="7" t="s">
        <v>163</v>
      </c>
      <c r="D155" s="26" t="n">
        <v>73</v>
      </c>
      <c r="E155" s="26" t="n">
        <v>0</v>
      </c>
      <c r="F155" s="26" t="n">
        <v>0</v>
      </c>
      <c r="G155" s="26" t="n">
        <v>0</v>
      </c>
      <c r="H155" s="26" t="n">
        <v>0</v>
      </c>
      <c r="I155" s="26" t="n">
        <v>22</v>
      </c>
      <c r="J155" s="26" t="n">
        <v>0</v>
      </c>
      <c r="K155" s="26" t="n">
        <v>0</v>
      </c>
      <c r="L155" s="26" t="n">
        <v>0</v>
      </c>
      <c r="M155" s="26" t="n">
        <v>0</v>
      </c>
    </row>
    <row r="156" customFormat="false" ht="15" hidden="false" customHeight="false" outlineLevel="0" collapsed="false">
      <c r="A156" s="7" t="s">
        <v>87</v>
      </c>
      <c r="B156" s="7" t="n">
        <v>4413328</v>
      </c>
      <c r="C156" s="7" t="s">
        <v>163</v>
      </c>
      <c r="D156" s="26" t="n">
        <v>7022.6</v>
      </c>
      <c r="E156" s="26" t="n">
        <v>0</v>
      </c>
      <c r="F156" s="26" t="n">
        <v>0</v>
      </c>
      <c r="G156" s="26" t="n">
        <v>0</v>
      </c>
      <c r="H156" s="26" t="n">
        <v>0</v>
      </c>
      <c r="I156" s="26" t="n">
        <v>1982.6</v>
      </c>
      <c r="J156" s="26" t="n">
        <v>0</v>
      </c>
      <c r="K156" s="26" t="n">
        <v>0</v>
      </c>
      <c r="L156" s="26" t="n">
        <v>0</v>
      </c>
      <c r="M156" s="26" t="n">
        <v>0</v>
      </c>
    </row>
    <row r="157" customFormat="false" ht="15" hidden="false" customHeight="false" outlineLevel="0" collapsed="false">
      <c r="A157" s="7" t="s">
        <v>85</v>
      </c>
      <c r="B157" s="7" t="n">
        <v>4413329</v>
      </c>
      <c r="C157" s="7" t="s">
        <v>164</v>
      </c>
      <c r="D157" s="26" t="n">
        <v>480</v>
      </c>
      <c r="E157" s="26" t="n">
        <v>16</v>
      </c>
      <c r="F157" s="26" t="n">
        <v>0</v>
      </c>
      <c r="G157" s="26" t="n">
        <v>0</v>
      </c>
      <c r="H157" s="26" t="n">
        <v>480</v>
      </c>
      <c r="I157" s="26" t="n">
        <v>0</v>
      </c>
      <c r="J157" s="26" t="n">
        <v>0</v>
      </c>
      <c r="K157" s="26" t="n">
        <v>0</v>
      </c>
      <c r="L157" s="26" t="n">
        <v>0</v>
      </c>
      <c r="M157" s="26" t="n">
        <v>0</v>
      </c>
    </row>
    <row r="158" customFormat="false" ht="15" hidden="false" customHeight="false" outlineLevel="0" collapsed="false">
      <c r="A158" s="7" t="s">
        <v>87</v>
      </c>
      <c r="B158" s="7" t="n">
        <v>4413329</v>
      </c>
      <c r="C158" s="7" t="s">
        <v>164</v>
      </c>
      <c r="D158" s="26" t="n">
        <v>32321.3</v>
      </c>
      <c r="E158" s="26" t="n">
        <v>1199.2</v>
      </c>
      <c r="F158" s="26" t="n">
        <v>0</v>
      </c>
      <c r="G158" s="26" t="n">
        <v>0</v>
      </c>
      <c r="H158" s="26" t="n">
        <v>30593.7</v>
      </c>
      <c r="I158" s="26" t="n">
        <v>0</v>
      </c>
      <c r="J158" s="26" t="n">
        <v>0</v>
      </c>
      <c r="K158" s="26" t="n">
        <v>0</v>
      </c>
      <c r="L158" s="26" t="n">
        <v>0</v>
      </c>
      <c r="M158" s="26" t="n">
        <v>0</v>
      </c>
    </row>
    <row r="159" customFormat="false" ht="15" hidden="false" customHeight="false" outlineLevel="0" collapsed="false">
      <c r="A159" s="7" t="s">
        <v>85</v>
      </c>
      <c r="B159" s="7" t="n">
        <v>4402011</v>
      </c>
      <c r="C159" s="7" t="s">
        <v>165</v>
      </c>
      <c r="D159" s="26" t="n">
        <v>0</v>
      </c>
      <c r="E159" s="26" t="n">
        <v>0</v>
      </c>
      <c r="F159" s="26" t="n">
        <v>0</v>
      </c>
      <c r="G159" s="26" t="n">
        <v>0</v>
      </c>
      <c r="H159" s="26" t="n">
        <v>0</v>
      </c>
      <c r="I159" s="26" t="n">
        <v>0</v>
      </c>
      <c r="J159" s="26" t="n">
        <v>0</v>
      </c>
      <c r="K159" s="26" t="n">
        <v>56</v>
      </c>
      <c r="L159" s="26" t="n">
        <v>0</v>
      </c>
      <c r="M159" s="26" t="n">
        <v>0</v>
      </c>
    </row>
    <row r="160" customFormat="false" ht="15" hidden="false" customHeight="false" outlineLevel="0" collapsed="false">
      <c r="A160" s="7" t="s">
        <v>87</v>
      </c>
      <c r="B160" s="7" t="n">
        <v>4402011</v>
      </c>
      <c r="C160" s="7" t="s">
        <v>165</v>
      </c>
      <c r="D160" s="26" t="n">
        <v>0</v>
      </c>
      <c r="E160" s="26" t="n">
        <v>0</v>
      </c>
      <c r="F160" s="26" t="n">
        <v>0</v>
      </c>
      <c r="G160" s="26" t="n">
        <v>0</v>
      </c>
      <c r="H160" s="26" t="n">
        <v>0</v>
      </c>
      <c r="I160" s="26" t="n">
        <v>0</v>
      </c>
      <c r="J160" s="26" t="n">
        <v>0</v>
      </c>
      <c r="K160" s="26" t="n">
        <v>2875.6</v>
      </c>
      <c r="L160" s="26" t="n">
        <v>0</v>
      </c>
      <c r="M160" s="26" t="n">
        <v>0</v>
      </c>
    </row>
    <row r="161" customFormat="false" ht="15" hidden="false" customHeight="false" outlineLevel="0" collapsed="false">
      <c r="A161" s="7" t="s">
        <v>85</v>
      </c>
      <c r="B161" s="7" t="n">
        <v>4413438</v>
      </c>
      <c r="C161" s="7" t="s">
        <v>166</v>
      </c>
      <c r="D161" s="26" t="n">
        <v>6</v>
      </c>
      <c r="E161" s="26" t="n">
        <v>0</v>
      </c>
      <c r="F161" s="26" t="n">
        <v>0</v>
      </c>
      <c r="G161" s="26" t="n">
        <v>0</v>
      </c>
      <c r="H161" s="26" t="n">
        <v>11</v>
      </c>
      <c r="I161" s="26" t="n">
        <v>0</v>
      </c>
      <c r="J161" s="26" t="n">
        <v>0</v>
      </c>
      <c r="K161" s="26" t="n">
        <v>0</v>
      </c>
      <c r="L161" s="26" t="n">
        <v>0</v>
      </c>
      <c r="M161" s="26" t="n">
        <v>0</v>
      </c>
    </row>
    <row r="162" customFormat="false" ht="15" hidden="false" customHeight="false" outlineLevel="0" collapsed="false">
      <c r="A162" s="7" t="s">
        <v>87</v>
      </c>
      <c r="B162" s="7" t="n">
        <v>4413438</v>
      </c>
      <c r="C162" s="7" t="s">
        <v>166</v>
      </c>
      <c r="D162" s="26" t="n">
        <v>834.1</v>
      </c>
      <c r="E162" s="26" t="n">
        <v>0</v>
      </c>
      <c r="F162" s="26" t="n">
        <v>0</v>
      </c>
      <c r="G162" s="26" t="n">
        <v>0</v>
      </c>
      <c r="H162" s="26" t="n">
        <v>1473.5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v>0</v>
      </c>
    </row>
    <row r="163" customFormat="false" ht="15" hidden="false" customHeight="false" outlineLevel="0" collapsed="false">
      <c r="A163" s="7" t="s">
        <v>85</v>
      </c>
      <c r="B163" s="7" t="n">
        <v>4413442</v>
      </c>
      <c r="C163" s="7" t="s">
        <v>167</v>
      </c>
      <c r="D163" s="26" t="n">
        <v>5</v>
      </c>
      <c r="E163" s="26" t="n">
        <v>0</v>
      </c>
      <c r="F163" s="26" t="n">
        <v>0</v>
      </c>
      <c r="G163" s="26" t="n">
        <v>0</v>
      </c>
      <c r="H163" s="26" t="n">
        <v>12</v>
      </c>
      <c r="I163" s="26" t="n">
        <v>9</v>
      </c>
      <c r="J163" s="26" t="n">
        <v>0</v>
      </c>
      <c r="K163" s="26" t="n">
        <v>0</v>
      </c>
      <c r="L163" s="26" t="n">
        <v>0</v>
      </c>
      <c r="M163" s="26" t="n">
        <v>0</v>
      </c>
    </row>
    <row r="164" customFormat="false" ht="15" hidden="false" customHeight="false" outlineLevel="0" collapsed="false">
      <c r="A164" s="7" t="s">
        <v>87</v>
      </c>
      <c r="B164" s="7" t="n">
        <v>4413442</v>
      </c>
      <c r="C164" s="7" t="s">
        <v>167</v>
      </c>
      <c r="D164" s="26" t="n">
        <v>702.9</v>
      </c>
      <c r="E164" s="26" t="n">
        <v>0</v>
      </c>
      <c r="F164" s="26" t="n">
        <v>0</v>
      </c>
      <c r="G164" s="26" t="n">
        <v>0</v>
      </c>
      <c r="H164" s="26" t="n">
        <v>1451</v>
      </c>
      <c r="I164" s="26" t="n">
        <v>1221.8</v>
      </c>
      <c r="J164" s="26" t="n">
        <v>0</v>
      </c>
      <c r="K164" s="26" t="n">
        <v>0</v>
      </c>
      <c r="L164" s="26" t="n">
        <v>0</v>
      </c>
      <c r="M164" s="26" t="n">
        <v>0</v>
      </c>
    </row>
    <row r="165" customFormat="false" ht="15" hidden="false" customHeight="false" outlineLevel="0" collapsed="false">
      <c r="A165" s="7" t="s">
        <v>85</v>
      </c>
      <c r="B165" s="7" t="n">
        <v>4422037</v>
      </c>
      <c r="C165" s="7" t="s">
        <v>168</v>
      </c>
      <c r="D165" s="26" t="n">
        <v>14</v>
      </c>
      <c r="E165" s="26" t="n">
        <v>0</v>
      </c>
      <c r="F165" s="26" t="n">
        <v>0</v>
      </c>
      <c r="G165" s="26" t="n">
        <v>0</v>
      </c>
      <c r="H165" s="26" t="n">
        <v>17</v>
      </c>
      <c r="I165" s="26" t="n">
        <v>0</v>
      </c>
      <c r="J165" s="26" t="n">
        <v>0</v>
      </c>
      <c r="K165" s="26" t="n">
        <v>12</v>
      </c>
      <c r="L165" s="26" t="n">
        <v>0</v>
      </c>
      <c r="M165" s="26" t="n">
        <v>0</v>
      </c>
    </row>
    <row r="166" customFormat="false" ht="15" hidden="false" customHeight="false" outlineLevel="0" collapsed="false">
      <c r="A166" s="7" t="s">
        <v>87</v>
      </c>
      <c r="B166" s="7" t="n">
        <v>4422037</v>
      </c>
      <c r="C166" s="7" t="s">
        <v>168</v>
      </c>
      <c r="D166" s="26" t="n">
        <v>2943.4</v>
      </c>
      <c r="E166" s="26" t="n">
        <v>0</v>
      </c>
      <c r="F166" s="26" t="n">
        <v>0</v>
      </c>
      <c r="G166" s="26" t="n">
        <v>0</v>
      </c>
      <c r="H166" s="26" t="n">
        <v>3043</v>
      </c>
      <c r="I166" s="26" t="n">
        <v>0</v>
      </c>
      <c r="J166" s="26" t="n">
        <v>0</v>
      </c>
      <c r="K166" s="26" t="n">
        <v>1500</v>
      </c>
      <c r="L166" s="26" t="n">
        <v>0</v>
      </c>
      <c r="M166" s="26" t="n">
        <v>0</v>
      </c>
    </row>
    <row r="167" customFormat="false" ht="15" hidden="false" customHeight="false" outlineLevel="0" collapsed="false">
      <c r="A167" s="7" t="s">
        <v>85</v>
      </c>
      <c r="B167" s="7" t="n">
        <v>4422038</v>
      </c>
      <c r="C167" s="7" t="s">
        <v>169</v>
      </c>
      <c r="D167" s="26" t="n">
        <v>20</v>
      </c>
      <c r="E167" s="26" t="n">
        <v>0</v>
      </c>
      <c r="F167" s="26" t="n">
        <v>0</v>
      </c>
      <c r="G167" s="26" t="n">
        <v>0</v>
      </c>
      <c r="H167" s="26" t="n">
        <v>21</v>
      </c>
      <c r="I167" s="26" t="n">
        <v>0</v>
      </c>
      <c r="J167" s="26" t="n">
        <v>0</v>
      </c>
      <c r="K167" s="26" t="n">
        <v>0</v>
      </c>
      <c r="L167" s="26" t="n">
        <v>0</v>
      </c>
      <c r="M167" s="26" t="n">
        <v>0</v>
      </c>
    </row>
    <row r="168" customFormat="false" ht="15" hidden="false" customHeight="false" outlineLevel="0" collapsed="false">
      <c r="A168" s="7" t="s">
        <v>87</v>
      </c>
      <c r="B168" s="7" t="n">
        <v>4422038</v>
      </c>
      <c r="C168" s="7" t="s">
        <v>169</v>
      </c>
      <c r="D168" s="26" t="n">
        <v>4149.5</v>
      </c>
      <c r="E168" s="26" t="n">
        <v>0</v>
      </c>
      <c r="F168" s="26" t="n">
        <v>0</v>
      </c>
      <c r="G168" s="26" t="n">
        <v>0</v>
      </c>
      <c r="H168" s="26" t="n">
        <v>3801.4</v>
      </c>
      <c r="I168" s="26" t="n">
        <v>0</v>
      </c>
      <c r="J168" s="26" t="n">
        <v>0</v>
      </c>
      <c r="K168" s="26" t="n">
        <v>0</v>
      </c>
      <c r="L168" s="26" t="n">
        <v>0</v>
      </c>
      <c r="M168" s="26" t="n">
        <v>0</v>
      </c>
    </row>
    <row r="169" customFormat="false" ht="15" hidden="false" customHeight="false" outlineLevel="0" collapsed="false">
      <c r="A169" s="7" t="s">
        <v>85</v>
      </c>
      <c r="B169" s="7" t="n">
        <v>4422039</v>
      </c>
      <c r="C169" s="7" t="s">
        <v>170</v>
      </c>
      <c r="D169" s="26" t="n">
        <v>22</v>
      </c>
      <c r="E169" s="26" t="n">
        <v>0</v>
      </c>
      <c r="F169" s="26" t="n">
        <v>0</v>
      </c>
      <c r="G169" s="26" t="n">
        <v>0</v>
      </c>
      <c r="H169" s="26" t="n">
        <v>28</v>
      </c>
      <c r="I169" s="26" t="n">
        <v>0</v>
      </c>
      <c r="J169" s="26" t="n">
        <v>0</v>
      </c>
      <c r="K169" s="26" t="n">
        <v>17</v>
      </c>
      <c r="L169" s="26" t="n">
        <v>0</v>
      </c>
      <c r="M169" s="26" t="n">
        <v>0</v>
      </c>
    </row>
    <row r="170" customFormat="false" ht="15" hidden="false" customHeight="false" outlineLevel="0" collapsed="false">
      <c r="A170" s="7" t="s">
        <v>87</v>
      </c>
      <c r="B170" s="7" t="n">
        <v>4422039</v>
      </c>
      <c r="C170" s="7" t="s">
        <v>170</v>
      </c>
      <c r="D170" s="26" t="n">
        <v>4393.6</v>
      </c>
      <c r="E170" s="26" t="n">
        <v>0</v>
      </c>
      <c r="F170" s="26" t="n">
        <v>0</v>
      </c>
      <c r="G170" s="26" t="n">
        <v>0</v>
      </c>
      <c r="H170" s="26" t="n">
        <v>5044.2</v>
      </c>
      <c r="I170" s="26" t="n">
        <v>0</v>
      </c>
      <c r="J170" s="26" t="n">
        <v>0</v>
      </c>
      <c r="K170" s="26" t="n">
        <v>2125</v>
      </c>
      <c r="L170" s="26" t="n">
        <v>0</v>
      </c>
      <c r="M170" s="26" t="n">
        <v>0</v>
      </c>
    </row>
    <row r="171" customFormat="false" ht="15" hidden="false" customHeight="false" outlineLevel="0" collapsed="false">
      <c r="A171" s="7" t="s">
        <v>85</v>
      </c>
      <c r="B171" s="7" t="n">
        <v>4422040</v>
      </c>
      <c r="C171" s="7" t="s">
        <v>171</v>
      </c>
      <c r="D171" s="26" t="n">
        <v>26</v>
      </c>
      <c r="E171" s="26" t="n">
        <v>0</v>
      </c>
      <c r="F171" s="26" t="n">
        <v>0</v>
      </c>
      <c r="G171" s="26" t="n">
        <v>0</v>
      </c>
      <c r="H171" s="26" t="n">
        <v>43</v>
      </c>
      <c r="I171" s="26" t="n">
        <v>0</v>
      </c>
      <c r="J171" s="26" t="n">
        <v>0</v>
      </c>
      <c r="K171" s="26" t="n">
        <v>25</v>
      </c>
      <c r="L171" s="26" t="n">
        <v>0</v>
      </c>
      <c r="M171" s="26" t="n">
        <v>0</v>
      </c>
    </row>
    <row r="172" customFormat="false" ht="15" hidden="false" customHeight="false" outlineLevel="0" collapsed="false">
      <c r="A172" s="7" t="s">
        <v>87</v>
      </c>
      <c r="B172" s="7" t="n">
        <v>4422040</v>
      </c>
      <c r="C172" s="7" t="s">
        <v>171</v>
      </c>
      <c r="D172" s="26" t="n">
        <v>5212</v>
      </c>
      <c r="E172" s="26" t="n">
        <v>0</v>
      </c>
      <c r="F172" s="26" t="n">
        <v>0</v>
      </c>
      <c r="G172" s="26" t="n">
        <v>0</v>
      </c>
      <c r="H172" s="26" t="n">
        <v>7794.7</v>
      </c>
      <c r="I172" s="26" t="n">
        <v>0</v>
      </c>
      <c r="J172" s="26" t="n">
        <v>0</v>
      </c>
      <c r="K172" s="26" t="n">
        <v>3125</v>
      </c>
      <c r="L172" s="26" t="n">
        <v>0</v>
      </c>
      <c r="M172" s="26" t="n">
        <v>0</v>
      </c>
    </row>
    <row r="173" customFormat="false" ht="15" hidden="false" customHeight="false" outlineLevel="0" collapsed="false">
      <c r="A173" s="7" t="s">
        <v>85</v>
      </c>
      <c r="B173" s="7" t="n">
        <v>4422041</v>
      </c>
      <c r="C173" s="7" t="s">
        <v>172</v>
      </c>
      <c r="D173" s="26" t="n">
        <v>20</v>
      </c>
      <c r="E173" s="26" t="n">
        <v>0</v>
      </c>
      <c r="F173" s="26" t="n">
        <v>0</v>
      </c>
      <c r="G173" s="26" t="n">
        <v>0</v>
      </c>
      <c r="H173" s="26" t="n">
        <v>31</v>
      </c>
      <c r="I173" s="26" t="n">
        <v>0</v>
      </c>
      <c r="J173" s="26" t="n">
        <v>0</v>
      </c>
      <c r="K173" s="26" t="n">
        <v>26</v>
      </c>
      <c r="L173" s="26" t="n">
        <v>0</v>
      </c>
      <c r="M173" s="26" t="n">
        <v>0</v>
      </c>
    </row>
    <row r="174" customFormat="false" ht="15" hidden="false" customHeight="false" outlineLevel="0" collapsed="false">
      <c r="A174" s="7" t="s">
        <v>87</v>
      </c>
      <c r="B174" s="7" t="n">
        <v>4422041</v>
      </c>
      <c r="C174" s="7" t="s">
        <v>172</v>
      </c>
      <c r="D174" s="26" t="n">
        <v>4082.8</v>
      </c>
      <c r="E174" s="26" t="n">
        <v>0</v>
      </c>
      <c r="F174" s="26" t="n">
        <v>0</v>
      </c>
      <c r="G174" s="26" t="n">
        <v>0</v>
      </c>
      <c r="H174" s="26" t="n">
        <v>5583.3</v>
      </c>
      <c r="I174" s="26" t="n">
        <v>0</v>
      </c>
      <c r="J174" s="26" t="n">
        <v>0</v>
      </c>
      <c r="K174" s="26" t="n">
        <v>3250</v>
      </c>
      <c r="L174" s="26" t="n">
        <v>0</v>
      </c>
      <c r="M174" s="26" t="n">
        <v>0</v>
      </c>
    </row>
    <row r="175" customFormat="false" ht="15" hidden="false" customHeight="false" outlineLevel="0" collapsed="false">
      <c r="A175" s="7" t="s">
        <v>85</v>
      </c>
      <c r="B175" s="7" t="n">
        <v>4422042</v>
      </c>
      <c r="C175" s="7" t="s">
        <v>173</v>
      </c>
      <c r="D175" s="26" t="n">
        <v>12</v>
      </c>
      <c r="E175" s="26" t="n">
        <v>0</v>
      </c>
      <c r="F175" s="26" t="n">
        <v>0</v>
      </c>
      <c r="G175" s="26" t="n">
        <v>0</v>
      </c>
      <c r="H175" s="26" t="n">
        <v>14</v>
      </c>
      <c r="I175" s="26" t="n">
        <v>0</v>
      </c>
      <c r="J175" s="26" t="n">
        <v>0</v>
      </c>
      <c r="K175" s="26" t="n">
        <v>17</v>
      </c>
      <c r="L175" s="26" t="n">
        <v>0</v>
      </c>
      <c r="M175" s="26" t="n">
        <v>0</v>
      </c>
    </row>
    <row r="176" customFormat="false" ht="15" hidden="false" customHeight="false" outlineLevel="0" collapsed="false">
      <c r="A176" s="7" t="s">
        <v>87</v>
      </c>
      <c r="B176" s="7" t="n">
        <v>4422042</v>
      </c>
      <c r="C176" s="7" t="s">
        <v>173</v>
      </c>
      <c r="D176" s="26" t="n">
        <v>2498.3</v>
      </c>
      <c r="E176" s="26" t="n">
        <v>0</v>
      </c>
      <c r="F176" s="26" t="n">
        <v>0</v>
      </c>
      <c r="G176" s="26" t="n">
        <v>0</v>
      </c>
      <c r="H176" s="26" t="n">
        <v>2522.1</v>
      </c>
      <c r="I176" s="26" t="n">
        <v>0</v>
      </c>
      <c r="J176" s="26" t="n">
        <v>0</v>
      </c>
      <c r="K176" s="26" t="n">
        <v>2125</v>
      </c>
      <c r="L176" s="26" t="n">
        <v>0</v>
      </c>
      <c r="M176" s="26" t="n">
        <v>0</v>
      </c>
    </row>
    <row r="177" customFormat="false" ht="15" hidden="false" customHeight="false" outlineLevel="0" collapsed="false">
      <c r="A177" s="7" t="s">
        <v>85</v>
      </c>
      <c r="B177" s="7" t="n">
        <v>4413532</v>
      </c>
      <c r="C177" s="7" t="s">
        <v>174</v>
      </c>
      <c r="D177" s="26" t="n">
        <v>0</v>
      </c>
      <c r="E177" s="26" t="n">
        <v>0</v>
      </c>
      <c r="F177" s="26" t="n">
        <v>0</v>
      </c>
      <c r="G177" s="26" t="n">
        <v>0</v>
      </c>
      <c r="H177" s="26" t="n">
        <v>0</v>
      </c>
      <c r="I177" s="26" t="n">
        <v>0</v>
      </c>
      <c r="J177" s="26" t="n">
        <v>0</v>
      </c>
      <c r="K177" s="26" t="n">
        <v>16</v>
      </c>
      <c r="L177" s="26" t="n">
        <v>0</v>
      </c>
      <c r="M177" s="26" t="n">
        <v>0</v>
      </c>
    </row>
    <row r="178" customFormat="false" ht="15" hidden="false" customHeight="false" outlineLevel="0" collapsed="false">
      <c r="A178" s="7" t="s">
        <v>87</v>
      </c>
      <c r="B178" s="7" t="n">
        <v>4413532</v>
      </c>
      <c r="C178" s="7" t="s">
        <v>174</v>
      </c>
      <c r="D178" s="26" t="n">
        <v>0</v>
      </c>
      <c r="E178" s="26" t="n">
        <v>0</v>
      </c>
      <c r="F178" s="26" t="n">
        <v>0</v>
      </c>
      <c r="G178" s="26" t="n">
        <v>0</v>
      </c>
      <c r="H178" s="26" t="n">
        <v>0</v>
      </c>
      <c r="I178" s="26" t="n">
        <v>0</v>
      </c>
      <c r="J178" s="26" t="n">
        <v>0</v>
      </c>
      <c r="K178" s="26" t="n">
        <v>1496</v>
      </c>
      <c r="L178" s="26" t="n">
        <v>0</v>
      </c>
      <c r="M178" s="26" t="n">
        <v>0</v>
      </c>
    </row>
    <row r="179" customFormat="false" ht="15" hidden="false" customHeight="false" outlineLevel="0" collapsed="false">
      <c r="A179" s="7" t="s">
        <v>85</v>
      </c>
      <c r="B179" s="7" t="n">
        <v>4413184</v>
      </c>
      <c r="C179" s="7" t="s">
        <v>175</v>
      </c>
      <c r="D179" s="26" t="n">
        <v>1</v>
      </c>
      <c r="E179" s="26" t="n">
        <v>0</v>
      </c>
      <c r="F179" s="26" t="n">
        <v>0</v>
      </c>
      <c r="G179" s="26" t="n">
        <v>0</v>
      </c>
      <c r="H179" s="26" t="n">
        <v>29</v>
      </c>
      <c r="I179" s="26" t="n">
        <v>6</v>
      </c>
      <c r="J179" s="26" t="n">
        <v>0</v>
      </c>
      <c r="K179" s="26" t="n">
        <v>0</v>
      </c>
      <c r="L179" s="26" t="n">
        <v>0</v>
      </c>
      <c r="M179" s="26" t="n">
        <v>0</v>
      </c>
    </row>
    <row r="180" customFormat="false" ht="15" hidden="false" customHeight="false" outlineLevel="0" collapsed="false">
      <c r="A180" s="7" t="s">
        <v>87</v>
      </c>
      <c r="B180" s="7" t="n">
        <v>4413184</v>
      </c>
      <c r="C180" s="7" t="s">
        <v>175</v>
      </c>
      <c r="D180" s="26" t="n">
        <v>105.4</v>
      </c>
      <c r="E180" s="26" t="n">
        <v>0</v>
      </c>
      <c r="F180" s="26" t="n">
        <v>0</v>
      </c>
      <c r="G180" s="26" t="n">
        <v>0</v>
      </c>
      <c r="H180" s="26" t="n">
        <v>2674.1</v>
      </c>
      <c r="I180" s="26" t="n">
        <v>582.2</v>
      </c>
      <c r="J180" s="26" t="n">
        <v>0</v>
      </c>
      <c r="K180" s="26" t="n">
        <v>0</v>
      </c>
      <c r="L180" s="26" t="n">
        <v>0</v>
      </c>
      <c r="M180" s="26" t="n">
        <v>0</v>
      </c>
    </row>
    <row r="181" customFormat="false" ht="15" hidden="false" customHeight="false" outlineLevel="0" collapsed="false">
      <c r="A181" s="7" t="s">
        <v>85</v>
      </c>
      <c r="B181" s="7" t="n">
        <v>4413183</v>
      </c>
      <c r="C181" s="7" t="s">
        <v>176</v>
      </c>
      <c r="D181" s="26" t="n">
        <v>2</v>
      </c>
      <c r="E181" s="26" t="n">
        <v>0</v>
      </c>
      <c r="F181" s="26" t="n">
        <v>0</v>
      </c>
      <c r="G181" s="26" t="n">
        <v>0</v>
      </c>
      <c r="H181" s="26" t="n">
        <v>34</v>
      </c>
      <c r="I181" s="26" t="n">
        <v>15</v>
      </c>
      <c r="J181" s="26" t="n">
        <v>0</v>
      </c>
      <c r="K181" s="26" t="n">
        <v>0</v>
      </c>
      <c r="L181" s="26" t="n">
        <v>0</v>
      </c>
      <c r="M181" s="26" t="n">
        <v>0</v>
      </c>
    </row>
    <row r="182" customFormat="false" ht="15" hidden="false" customHeight="false" outlineLevel="0" collapsed="false">
      <c r="A182" s="7" t="s">
        <v>87</v>
      </c>
      <c r="B182" s="7" t="n">
        <v>4413183</v>
      </c>
      <c r="C182" s="7" t="s">
        <v>176</v>
      </c>
      <c r="D182" s="26" t="n">
        <v>210.8</v>
      </c>
      <c r="E182" s="26" t="n">
        <v>0</v>
      </c>
      <c r="F182" s="26" t="n">
        <v>0</v>
      </c>
      <c r="G182" s="26" t="n">
        <v>0</v>
      </c>
      <c r="H182" s="26" t="n">
        <v>3106.2</v>
      </c>
      <c r="I182" s="26" t="n">
        <v>1455.5</v>
      </c>
      <c r="J182" s="26" t="n">
        <v>0</v>
      </c>
      <c r="K182" s="26" t="n">
        <v>0</v>
      </c>
      <c r="L182" s="26" t="n">
        <v>0</v>
      </c>
      <c r="M182" s="26" t="n">
        <v>0</v>
      </c>
    </row>
    <row r="183" customFormat="false" ht="15" hidden="false" customHeight="false" outlineLevel="0" collapsed="false">
      <c r="A183" s="7" t="s">
        <v>85</v>
      </c>
      <c r="B183" s="7" t="n">
        <v>4413185</v>
      </c>
      <c r="C183" s="7" t="s">
        <v>177</v>
      </c>
      <c r="D183" s="26" t="n">
        <v>2</v>
      </c>
      <c r="E183" s="26" t="n">
        <v>0</v>
      </c>
      <c r="F183" s="26" t="n">
        <v>0</v>
      </c>
      <c r="G183" s="26" t="n">
        <v>0</v>
      </c>
      <c r="H183" s="26" t="n">
        <v>40</v>
      </c>
      <c r="I183" s="26" t="n">
        <v>9</v>
      </c>
      <c r="J183" s="26" t="n">
        <v>0</v>
      </c>
      <c r="K183" s="26" t="n">
        <v>0</v>
      </c>
      <c r="L183" s="26" t="n">
        <v>0</v>
      </c>
      <c r="M183" s="26" t="n">
        <v>0</v>
      </c>
    </row>
    <row r="184" customFormat="false" ht="15" hidden="false" customHeight="false" outlineLevel="0" collapsed="false">
      <c r="A184" s="7" t="s">
        <v>87</v>
      </c>
      <c r="B184" s="7" t="n">
        <v>4413185</v>
      </c>
      <c r="C184" s="7" t="s">
        <v>177</v>
      </c>
      <c r="D184" s="26" t="n">
        <v>210.8</v>
      </c>
      <c r="E184" s="26" t="n">
        <v>0</v>
      </c>
      <c r="F184" s="26" t="n">
        <v>0</v>
      </c>
      <c r="G184" s="26" t="n">
        <v>0</v>
      </c>
      <c r="H184" s="26" t="n">
        <v>3646.7</v>
      </c>
      <c r="I184" s="26" t="n">
        <v>873.3</v>
      </c>
      <c r="J184" s="26" t="n">
        <v>0</v>
      </c>
      <c r="K184" s="26" t="n">
        <v>0</v>
      </c>
      <c r="L184" s="26" t="n">
        <v>0</v>
      </c>
      <c r="M184" s="26" t="n">
        <v>0</v>
      </c>
    </row>
    <row r="185" customFormat="false" ht="15" hidden="false" customHeight="false" outlineLevel="0" collapsed="false">
      <c r="A185" s="7" t="s">
        <v>85</v>
      </c>
      <c r="B185" s="7" t="n">
        <v>4420021</v>
      </c>
      <c r="C185" s="7" t="s">
        <v>178</v>
      </c>
      <c r="D185" s="26" t="n">
        <v>0</v>
      </c>
      <c r="E185" s="26" t="n">
        <v>0</v>
      </c>
      <c r="F185" s="26" t="n">
        <v>0</v>
      </c>
      <c r="G185" s="26" t="n">
        <v>0</v>
      </c>
      <c r="H185" s="26" t="n">
        <v>-2</v>
      </c>
      <c r="I185" s="26" t="n">
        <v>0</v>
      </c>
      <c r="J185" s="26" t="n">
        <v>0</v>
      </c>
      <c r="K185" s="26" t="n">
        <v>0</v>
      </c>
      <c r="L185" s="26" t="n">
        <v>0</v>
      </c>
      <c r="M185" s="26" t="n">
        <v>0</v>
      </c>
    </row>
    <row r="186" customFormat="false" ht="15" hidden="false" customHeight="false" outlineLevel="0" collapsed="false">
      <c r="A186" s="7" t="s">
        <v>87</v>
      </c>
      <c r="B186" s="7" t="n">
        <v>4420021</v>
      </c>
      <c r="C186" s="7" t="s">
        <v>178</v>
      </c>
      <c r="D186" s="26" t="n">
        <v>0</v>
      </c>
      <c r="E186" s="26" t="n">
        <v>0</v>
      </c>
      <c r="F186" s="26" t="n">
        <v>0</v>
      </c>
      <c r="G186" s="26" t="n">
        <v>0</v>
      </c>
      <c r="H186" s="26" t="n">
        <v>-147.8</v>
      </c>
      <c r="I186" s="26" t="n">
        <v>0</v>
      </c>
      <c r="J186" s="26" t="n">
        <v>0</v>
      </c>
      <c r="K186" s="26" t="n">
        <v>0</v>
      </c>
      <c r="L186" s="26" t="n">
        <v>0</v>
      </c>
      <c r="M186" s="26" t="n">
        <v>0</v>
      </c>
    </row>
    <row r="187" customFormat="false" ht="15" hidden="false" customHeight="false" outlineLevel="0" collapsed="false">
      <c r="A187" s="7" t="s">
        <v>85</v>
      </c>
      <c r="B187" s="7" t="n">
        <v>4413171</v>
      </c>
      <c r="C187" s="7" t="s">
        <v>179</v>
      </c>
      <c r="D187" s="26" t="n">
        <v>0</v>
      </c>
      <c r="E187" s="26" t="n">
        <v>0</v>
      </c>
      <c r="F187" s="26" t="n">
        <v>0</v>
      </c>
      <c r="G187" s="26" t="n">
        <v>0</v>
      </c>
      <c r="H187" s="26" t="n">
        <v>-1</v>
      </c>
      <c r="I187" s="26" t="n">
        <v>0</v>
      </c>
      <c r="J187" s="26" t="n">
        <v>0</v>
      </c>
      <c r="K187" s="26" t="n">
        <v>0</v>
      </c>
      <c r="L187" s="26" t="n">
        <v>0</v>
      </c>
      <c r="M187" s="26" t="n">
        <v>0</v>
      </c>
    </row>
    <row r="188" customFormat="false" ht="15" hidden="false" customHeight="false" outlineLevel="0" collapsed="false">
      <c r="A188" s="7" t="s">
        <v>87</v>
      </c>
      <c r="B188" s="7" t="n">
        <v>4413171</v>
      </c>
      <c r="C188" s="7" t="s">
        <v>179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-81.9</v>
      </c>
      <c r="I188" s="26" t="n">
        <v>0</v>
      </c>
      <c r="J188" s="26" t="n">
        <v>0</v>
      </c>
      <c r="K188" s="26" t="n">
        <v>0</v>
      </c>
      <c r="L188" s="26" t="n">
        <v>0</v>
      </c>
      <c r="M188" s="26" t="n">
        <v>0</v>
      </c>
    </row>
    <row r="189" customFormat="false" ht="15" hidden="false" customHeight="false" outlineLevel="0" collapsed="false">
      <c r="A189" s="7" t="s">
        <v>85</v>
      </c>
      <c r="B189" s="7" t="n">
        <v>4413170</v>
      </c>
      <c r="C189" s="7" t="s">
        <v>180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0</v>
      </c>
      <c r="L189" s="26" t="n">
        <v>0</v>
      </c>
      <c r="M189" s="26" t="n">
        <v>0</v>
      </c>
    </row>
    <row r="190" customFormat="false" ht="15" hidden="false" customHeight="false" outlineLevel="0" collapsed="false">
      <c r="A190" s="7" t="s">
        <v>87</v>
      </c>
      <c r="B190" s="7" t="n">
        <v>4413170</v>
      </c>
      <c r="C190" s="7" t="s">
        <v>180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0</v>
      </c>
      <c r="L190" s="26" t="n">
        <v>0</v>
      </c>
      <c r="M190" s="26" t="n">
        <v>0</v>
      </c>
    </row>
    <row r="191" customFormat="false" ht="15" hidden="false" customHeight="false" outlineLevel="0" collapsed="false">
      <c r="A191" s="7" t="s">
        <v>85</v>
      </c>
      <c r="B191" s="7" t="n">
        <v>4413169</v>
      </c>
      <c r="C191" s="7" t="s">
        <v>181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0</v>
      </c>
      <c r="L191" s="26" t="n">
        <v>0</v>
      </c>
      <c r="M191" s="26" t="n">
        <v>0</v>
      </c>
    </row>
    <row r="192" customFormat="false" ht="15" hidden="false" customHeight="false" outlineLevel="0" collapsed="false">
      <c r="A192" s="7" t="s">
        <v>87</v>
      </c>
      <c r="B192" s="7" t="n">
        <v>4413169</v>
      </c>
      <c r="C192" s="7" t="s">
        <v>181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0</v>
      </c>
      <c r="L192" s="26" t="n">
        <v>0</v>
      </c>
      <c r="M192" s="26" t="n">
        <v>0</v>
      </c>
    </row>
    <row r="193" customFormat="false" ht="15" hidden="false" customHeight="false" outlineLevel="0" collapsed="false">
      <c r="A193" s="7" t="s">
        <v>85</v>
      </c>
      <c r="B193" s="7" t="n">
        <v>4413172</v>
      </c>
      <c r="C193" s="7" t="s">
        <v>182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0</v>
      </c>
      <c r="J193" s="26" t="n">
        <v>0</v>
      </c>
      <c r="K193" s="26" t="n">
        <v>0</v>
      </c>
      <c r="L193" s="26" t="n">
        <v>0</v>
      </c>
      <c r="M193" s="26" t="n">
        <v>0</v>
      </c>
    </row>
    <row r="194" customFormat="false" ht="15" hidden="false" customHeight="false" outlineLevel="0" collapsed="false">
      <c r="A194" s="7" t="s">
        <v>87</v>
      </c>
      <c r="B194" s="7" t="n">
        <v>4413172</v>
      </c>
      <c r="C194" s="7" t="s">
        <v>182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0</v>
      </c>
      <c r="J194" s="26" t="n">
        <v>0</v>
      </c>
      <c r="K194" s="26" t="n">
        <v>0</v>
      </c>
      <c r="L194" s="26" t="n">
        <v>0</v>
      </c>
      <c r="M194" s="26" t="n">
        <v>0</v>
      </c>
    </row>
    <row r="195" customFormat="false" ht="15" hidden="false" customHeight="false" outlineLevel="0" collapsed="false">
      <c r="A195" s="7" t="s">
        <v>85</v>
      </c>
      <c r="B195" s="7" t="n">
        <v>4413173</v>
      </c>
      <c r="C195" s="7" t="s">
        <v>183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0</v>
      </c>
      <c r="J195" s="26" t="n">
        <v>0</v>
      </c>
      <c r="K195" s="26" t="n">
        <v>0</v>
      </c>
      <c r="L195" s="26" t="n">
        <v>0</v>
      </c>
      <c r="M195" s="26" t="n">
        <v>0</v>
      </c>
    </row>
    <row r="196" customFormat="false" ht="15" hidden="false" customHeight="false" outlineLevel="0" collapsed="false">
      <c r="A196" s="7" t="s">
        <v>87</v>
      </c>
      <c r="B196" s="7" t="n">
        <v>4413173</v>
      </c>
      <c r="C196" s="7" t="s">
        <v>183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0</v>
      </c>
      <c r="J196" s="26" t="n">
        <v>0</v>
      </c>
      <c r="K196" s="26" t="n">
        <v>0</v>
      </c>
      <c r="L196" s="26" t="n">
        <v>0</v>
      </c>
      <c r="M196" s="26" t="n">
        <v>0</v>
      </c>
    </row>
    <row r="197" customFormat="false" ht="15" hidden="false" customHeight="false" outlineLevel="0" collapsed="false">
      <c r="A197" s="7" t="s">
        <v>85</v>
      </c>
      <c r="B197" s="7" t="n">
        <v>4420039</v>
      </c>
      <c r="C197" s="7" t="s">
        <v>184</v>
      </c>
      <c r="D197" s="26" t="n">
        <v>8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0</v>
      </c>
      <c r="J197" s="26" t="n">
        <v>0</v>
      </c>
      <c r="K197" s="26" t="n">
        <v>0</v>
      </c>
      <c r="L197" s="26" t="n">
        <v>0</v>
      </c>
      <c r="M197" s="26" t="n">
        <v>0</v>
      </c>
    </row>
    <row r="198" customFormat="false" ht="15" hidden="false" customHeight="false" outlineLevel="0" collapsed="false">
      <c r="A198" s="7" t="s">
        <v>87</v>
      </c>
      <c r="B198" s="7" t="n">
        <v>4420039</v>
      </c>
      <c r="C198" s="7" t="s">
        <v>184</v>
      </c>
      <c r="D198" s="26" t="n">
        <v>646.3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0</v>
      </c>
      <c r="J198" s="26" t="n">
        <v>0</v>
      </c>
      <c r="K198" s="26" t="n">
        <v>0</v>
      </c>
      <c r="L198" s="26" t="n">
        <v>0</v>
      </c>
      <c r="M198" s="26" t="n">
        <v>0</v>
      </c>
    </row>
    <row r="199" customFormat="false" ht="15" hidden="false" customHeight="false" outlineLevel="0" collapsed="false">
      <c r="A199" s="7" t="s">
        <v>85</v>
      </c>
      <c r="B199" s="7" t="n">
        <v>4413287</v>
      </c>
      <c r="C199" s="7" t="s">
        <v>185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0</v>
      </c>
      <c r="J199" s="26" t="n">
        <v>0</v>
      </c>
      <c r="K199" s="26" t="n">
        <v>0</v>
      </c>
      <c r="L199" s="26" t="n">
        <v>0</v>
      </c>
      <c r="M199" s="26" t="n">
        <v>0</v>
      </c>
    </row>
    <row r="200" customFormat="false" ht="15" hidden="false" customHeight="false" outlineLevel="0" collapsed="false">
      <c r="A200" s="7" t="s">
        <v>87</v>
      </c>
      <c r="B200" s="7" t="n">
        <v>4413287</v>
      </c>
      <c r="C200" s="7" t="s">
        <v>185</v>
      </c>
      <c r="D200" s="26" t="n">
        <v>0</v>
      </c>
      <c r="E200" s="26" t="n">
        <v>0</v>
      </c>
      <c r="F200" s="26" t="n">
        <v>0</v>
      </c>
      <c r="G200" s="26" t="n">
        <v>0</v>
      </c>
      <c r="H200" s="26" t="n">
        <v>0</v>
      </c>
      <c r="I200" s="26" t="n">
        <v>0</v>
      </c>
      <c r="J200" s="26" t="n">
        <v>0</v>
      </c>
      <c r="K200" s="26" t="n">
        <v>0</v>
      </c>
      <c r="L200" s="26" t="n">
        <v>0</v>
      </c>
      <c r="M200" s="26" t="n">
        <v>0</v>
      </c>
    </row>
    <row r="201" customFormat="false" ht="15" hidden="false" customHeight="false" outlineLevel="0" collapsed="false">
      <c r="A201" s="7" t="s">
        <v>85</v>
      </c>
      <c r="B201" s="7" t="n">
        <v>4413240</v>
      </c>
      <c r="C201" s="7" t="s">
        <v>186</v>
      </c>
      <c r="D201" s="26" t="n">
        <v>0</v>
      </c>
      <c r="E201" s="26" t="n">
        <v>0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0</v>
      </c>
      <c r="L201" s="26" t="n">
        <v>0</v>
      </c>
      <c r="M201" s="26" t="n">
        <v>0</v>
      </c>
    </row>
    <row r="202" customFormat="false" ht="15" hidden="false" customHeight="false" outlineLevel="0" collapsed="false">
      <c r="A202" s="7" t="s">
        <v>87</v>
      </c>
      <c r="B202" s="7" t="n">
        <v>4413240</v>
      </c>
      <c r="C202" s="7" t="s">
        <v>186</v>
      </c>
      <c r="D202" s="26" t="n">
        <v>0</v>
      </c>
      <c r="E202" s="26" t="n">
        <v>0</v>
      </c>
      <c r="F202" s="26" t="n">
        <v>0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  <c r="L202" s="26" t="n">
        <v>0</v>
      </c>
      <c r="M202" s="26" t="n">
        <v>0</v>
      </c>
    </row>
    <row r="203" customFormat="false" ht="15" hidden="false" customHeight="false" outlineLevel="0" collapsed="false">
      <c r="A203" s="7" t="s">
        <v>85</v>
      </c>
      <c r="B203" s="7" t="n">
        <v>4413188</v>
      </c>
      <c r="C203" s="7" t="s">
        <v>187</v>
      </c>
      <c r="D203" s="26" t="n">
        <v>0</v>
      </c>
      <c r="E203" s="26" t="n">
        <v>0</v>
      </c>
      <c r="F203" s="26" t="n">
        <v>0</v>
      </c>
      <c r="G203" s="26" t="n">
        <v>0</v>
      </c>
      <c r="H203" s="26" t="n">
        <v>-1</v>
      </c>
      <c r="I203" s="26" t="n">
        <v>0</v>
      </c>
      <c r="J203" s="26" t="n">
        <v>0</v>
      </c>
      <c r="K203" s="26" t="n">
        <v>0</v>
      </c>
      <c r="L203" s="26" t="n">
        <v>0</v>
      </c>
      <c r="M203" s="26" t="n">
        <v>0</v>
      </c>
    </row>
    <row r="204" customFormat="false" ht="15" hidden="false" customHeight="false" outlineLevel="0" collapsed="false">
      <c r="A204" s="7" t="s">
        <v>87</v>
      </c>
      <c r="B204" s="7" t="n">
        <v>4413188</v>
      </c>
      <c r="C204" s="7" t="s">
        <v>187</v>
      </c>
      <c r="D204" s="26" t="n">
        <v>0</v>
      </c>
      <c r="E204" s="26" t="n">
        <v>0</v>
      </c>
      <c r="F204" s="26" t="n">
        <v>0</v>
      </c>
      <c r="G204" s="26" t="n">
        <v>0</v>
      </c>
      <c r="H204" s="26" t="n">
        <v>-204.8</v>
      </c>
      <c r="I204" s="26" t="n">
        <v>0</v>
      </c>
      <c r="J204" s="26" t="n">
        <v>0</v>
      </c>
      <c r="K204" s="26" t="n">
        <v>0</v>
      </c>
      <c r="L204" s="26" t="n">
        <v>0</v>
      </c>
      <c r="M204" s="26" t="n">
        <v>0</v>
      </c>
    </row>
    <row r="205" customFormat="false" ht="15" hidden="false" customHeight="false" outlineLevel="0" collapsed="false">
      <c r="A205" s="7" t="s">
        <v>85</v>
      </c>
      <c r="B205" s="7" t="n">
        <v>4413187</v>
      </c>
      <c r="C205" s="7" t="s">
        <v>188</v>
      </c>
      <c r="D205" s="26" t="n">
        <v>0</v>
      </c>
      <c r="E205" s="26" t="n">
        <v>0</v>
      </c>
      <c r="F205" s="26" t="n">
        <v>0</v>
      </c>
      <c r="G205" s="26" t="n">
        <v>0</v>
      </c>
      <c r="H205" s="26" t="n">
        <v>0</v>
      </c>
      <c r="I205" s="26" t="n">
        <v>0</v>
      </c>
      <c r="J205" s="26" t="n">
        <v>0</v>
      </c>
      <c r="K205" s="26" t="n">
        <v>0</v>
      </c>
      <c r="L205" s="26" t="n">
        <v>0</v>
      </c>
      <c r="M205" s="26" t="n">
        <v>0</v>
      </c>
    </row>
    <row r="206" customFormat="false" ht="15" hidden="false" customHeight="false" outlineLevel="0" collapsed="false">
      <c r="A206" s="7" t="s">
        <v>87</v>
      </c>
      <c r="B206" s="7" t="n">
        <v>4413187</v>
      </c>
      <c r="C206" s="7" t="s">
        <v>188</v>
      </c>
      <c r="D206" s="26" t="n">
        <v>0</v>
      </c>
      <c r="E206" s="26" t="n">
        <v>0</v>
      </c>
      <c r="F206" s="26" t="n">
        <v>0</v>
      </c>
      <c r="G206" s="26" t="n">
        <v>0</v>
      </c>
      <c r="H206" s="26" t="n">
        <v>0</v>
      </c>
      <c r="I206" s="26" t="n">
        <v>0</v>
      </c>
      <c r="J206" s="26" t="n">
        <v>0</v>
      </c>
      <c r="K206" s="26" t="n">
        <v>0</v>
      </c>
      <c r="L206" s="26" t="n">
        <v>0</v>
      </c>
      <c r="M206" s="26" t="n">
        <v>0</v>
      </c>
    </row>
    <row r="207" customFormat="false" ht="15" hidden="false" customHeight="false" outlineLevel="0" collapsed="false">
      <c r="A207" s="7" t="s">
        <v>85</v>
      </c>
      <c r="B207" s="7" t="n">
        <v>4413189</v>
      </c>
      <c r="C207" s="7" t="s">
        <v>189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0</v>
      </c>
      <c r="I207" s="26" t="n">
        <v>0</v>
      </c>
      <c r="J207" s="26" t="n">
        <v>0</v>
      </c>
      <c r="K207" s="26" t="n">
        <v>0</v>
      </c>
      <c r="L207" s="26" t="n">
        <v>0</v>
      </c>
      <c r="M207" s="26" t="n">
        <v>0</v>
      </c>
    </row>
    <row r="208" customFormat="false" ht="15" hidden="false" customHeight="false" outlineLevel="0" collapsed="false">
      <c r="A208" s="7" t="s">
        <v>87</v>
      </c>
      <c r="B208" s="7" t="n">
        <v>4413189</v>
      </c>
      <c r="C208" s="7" t="s">
        <v>189</v>
      </c>
      <c r="D208" s="26" t="n">
        <v>0</v>
      </c>
      <c r="E208" s="26" t="n">
        <v>0</v>
      </c>
      <c r="F208" s="26" t="n">
        <v>0</v>
      </c>
      <c r="G208" s="26" t="n">
        <v>0</v>
      </c>
      <c r="H208" s="26" t="n">
        <v>0</v>
      </c>
      <c r="I208" s="26" t="n">
        <v>0</v>
      </c>
      <c r="J208" s="26" t="n">
        <v>0</v>
      </c>
      <c r="K208" s="26" t="n">
        <v>0</v>
      </c>
      <c r="L208" s="26" t="n">
        <v>0</v>
      </c>
      <c r="M208" s="26" t="n">
        <v>0</v>
      </c>
    </row>
    <row r="209" customFormat="false" ht="15" hidden="false" customHeight="false" outlineLevel="0" collapsed="false">
      <c r="A209" s="7" t="s">
        <v>85</v>
      </c>
      <c r="B209" s="7" t="n">
        <v>4413182</v>
      </c>
      <c r="C209" s="7" t="s">
        <v>190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7</v>
      </c>
      <c r="I209" s="26" t="n">
        <v>2</v>
      </c>
      <c r="J209" s="26" t="n">
        <v>0</v>
      </c>
      <c r="K209" s="26" t="n">
        <v>0</v>
      </c>
      <c r="L209" s="26" t="n">
        <v>0</v>
      </c>
      <c r="M209" s="26" t="n">
        <v>0</v>
      </c>
    </row>
    <row r="210" customFormat="false" ht="15" hidden="false" customHeight="false" outlineLevel="0" collapsed="false">
      <c r="A210" s="7" t="s">
        <v>87</v>
      </c>
      <c r="B210" s="7" t="n">
        <v>4413182</v>
      </c>
      <c r="C210" s="7" t="s">
        <v>190</v>
      </c>
      <c r="D210" s="26" t="n">
        <v>0</v>
      </c>
      <c r="E210" s="26" t="n">
        <v>0</v>
      </c>
      <c r="F210" s="26" t="n">
        <v>0</v>
      </c>
      <c r="G210" s="26" t="n">
        <v>0</v>
      </c>
      <c r="H210" s="26" t="n">
        <v>630.7</v>
      </c>
      <c r="I210" s="26" t="n">
        <v>194.1</v>
      </c>
      <c r="J210" s="26" t="n">
        <v>0</v>
      </c>
      <c r="K210" s="26" t="n">
        <v>0</v>
      </c>
      <c r="L210" s="26" t="n">
        <v>0</v>
      </c>
      <c r="M210" s="26" t="n">
        <v>0</v>
      </c>
    </row>
    <row r="211" customFormat="false" ht="15" hidden="false" customHeight="false" outlineLevel="0" collapsed="false">
      <c r="A211" s="7" t="s">
        <v>85</v>
      </c>
      <c r="B211" s="7" t="n">
        <v>4413286</v>
      </c>
      <c r="C211" s="7" t="s">
        <v>191</v>
      </c>
      <c r="D211" s="26" t="n">
        <v>3</v>
      </c>
      <c r="E211" s="26" t="n">
        <v>0</v>
      </c>
      <c r="F211" s="26" t="n">
        <v>0</v>
      </c>
      <c r="G211" s="26" t="n">
        <v>0</v>
      </c>
      <c r="H211" s="26" t="n">
        <v>17</v>
      </c>
      <c r="I211" s="26" t="n">
        <v>0</v>
      </c>
      <c r="J211" s="26" t="n">
        <v>0</v>
      </c>
      <c r="K211" s="26" t="n">
        <v>0</v>
      </c>
      <c r="L211" s="26" t="n">
        <v>0</v>
      </c>
      <c r="M211" s="26" t="n">
        <v>0</v>
      </c>
    </row>
    <row r="212" customFormat="false" ht="15" hidden="false" customHeight="false" outlineLevel="0" collapsed="false">
      <c r="A212" s="7" t="s">
        <v>87</v>
      </c>
      <c r="B212" s="7" t="n">
        <v>4413286</v>
      </c>
      <c r="C212" s="7" t="s">
        <v>191</v>
      </c>
      <c r="D212" s="26" t="n">
        <v>312</v>
      </c>
      <c r="E212" s="26" t="n">
        <v>0</v>
      </c>
      <c r="F212" s="26" t="n">
        <v>0</v>
      </c>
      <c r="G212" s="26" t="n">
        <v>0</v>
      </c>
      <c r="H212" s="26" t="n">
        <v>1528.5</v>
      </c>
      <c r="I212" s="26" t="n">
        <v>0</v>
      </c>
      <c r="J212" s="26" t="n">
        <v>0</v>
      </c>
      <c r="K212" s="26" t="n">
        <v>0</v>
      </c>
      <c r="L212" s="26" t="n">
        <v>0</v>
      </c>
      <c r="M212" s="26" t="n">
        <v>0</v>
      </c>
    </row>
    <row r="213" customFormat="false" ht="15" hidden="false" customHeight="false" outlineLevel="0" collapsed="false">
      <c r="A213" s="7" t="s">
        <v>85</v>
      </c>
      <c r="B213" s="7" t="n">
        <v>4413260</v>
      </c>
      <c r="C213" s="7" t="s">
        <v>192</v>
      </c>
      <c r="D213" s="26" t="n">
        <v>1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0</v>
      </c>
      <c r="L213" s="26" t="n">
        <v>0</v>
      </c>
      <c r="M213" s="26" t="n">
        <v>0</v>
      </c>
    </row>
    <row r="214" customFormat="false" ht="15" hidden="false" customHeight="false" outlineLevel="0" collapsed="false">
      <c r="A214" s="7" t="s">
        <v>87</v>
      </c>
      <c r="B214" s="7" t="n">
        <v>4413260</v>
      </c>
      <c r="C214" s="7" t="s">
        <v>192</v>
      </c>
      <c r="D214" s="26" t="n">
        <v>118.6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0</v>
      </c>
      <c r="L214" s="26" t="n">
        <v>0</v>
      </c>
      <c r="M214" s="26" t="n">
        <v>0</v>
      </c>
    </row>
    <row r="215" customFormat="false" ht="15" hidden="false" customHeight="false" outlineLevel="0" collapsed="false">
      <c r="A215" s="7" t="s">
        <v>85</v>
      </c>
      <c r="B215" s="7" t="n">
        <v>4413226</v>
      </c>
      <c r="C215" s="7" t="s">
        <v>193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0</v>
      </c>
      <c r="L215" s="26" t="n">
        <v>0</v>
      </c>
      <c r="M215" s="26" t="n">
        <v>0</v>
      </c>
    </row>
    <row r="216" customFormat="false" ht="15" hidden="false" customHeight="false" outlineLevel="0" collapsed="false">
      <c r="A216" s="7" t="s">
        <v>87</v>
      </c>
      <c r="B216" s="7" t="n">
        <v>4413226</v>
      </c>
      <c r="C216" s="7" t="s">
        <v>193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0</v>
      </c>
      <c r="L216" s="26" t="n">
        <v>0</v>
      </c>
      <c r="M216" s="26" t="n">
        <v>0</v>
      </c>
    </row>
    <row r="217" customFormat="false" ht="15" hidden="false" customHeight="false" outlineLevel="0" collapsed="false">
      <c r="A217" s="7" t="s">
        <v>85</v>
      </c>
      <c r="B217" s="7" t="n">
        <v>4413225</v>
      </c>
      <c r="C217" s="7" t="s">
        <v>194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0</v>
      </c>
      <c r="J217" s="26" t="n">
        <v>0</v>
      </c>
      <c r="K217" s="26" t="n">
        <v>0</v>
      </c>
      <c r="L217" s="26" t="n">
        <v>0</v>
      </c>
      <c r="M217" s="26" t="n">
        <v>0</v>
      </c>
    </row>
    <row r="218" customFormat="false" ht="15" hidden="false" customHeight="false" outlineLevel="0" collapsed="false">
      <c r="A218" s="7" t="s">
        <v>87</v>
      </c>
      <c r="B218" s="7" t="n">
        <v>4413225</v>
      </c>
      <c r="C218" s="7" t="s">
        <v>194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0</v>
      </c>
      <c r="J218" s="26" t="n">
        <v>0</v>
      </c>
      <c r="K218" s="26" t="n">
        <v>0</v>
      </c>
      <c r="L218" s="26" t="n">
        <v>0</v>
      </c>
      <c r="M218" s="26" t="n">
        <v>0</v>
      </c>
    </row>
    <row r="219" customFormat="false" ht="15" hidden="false" customHeight="false" outlineLevel="0" collapsed="false">
      <c r="A219" s="7" t="s">
        <v>85</v>
      </c>
      <c r="B219" s="7" t="n">
        <v>4413227</v>
      </c>
      <c r="C219" s="7" t="s">
        <v>195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0</v>
      </c>
      <c r="J219" s="26" t="n">
        <v>0</v>
      </c>
      <c r="K219" s="26" t="n">
        <v>0</v>
      </c>
      <c r="L219" s="26" t="n">
        <v>0</v>
      </c>
      <c r="M219" s="26" t="n">
        <v>0</v>
      </c>
    </row>
    <row r="220" customFormat="false" ht="15" hidden="false" customHeight="false" outlineLevel="0" collapsed="false">
      <c r="A220" s="7" t="s">
        <v>87</v>
      </c>
      <c r="B220" s="7" t="n">
        <v>4413227</v>
      </c>
      <c r="C220" s="7" t="s">
        <v>195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0</v>
      </c>
      <c r="J220" s="26" t="n">
        <v>0</v>
      </c>
      <c r="K220" s="26" t="n">
        <v>0</v>
      </c>
      <c r="L220" s="26" t="n">
        <v>0</v>
      </c>
      <c r="M220" s="26" t="n">
        <v>0</v>
      </c>
    </row>
    <row r="221" customFormat="false" ht="15" hidden="false" customHeight="false" outlineLevel="0" collapsed="false">
      <c r="A221" s="7" t="s">
        <v>85</v>
      </c>
      <c r="B221" s="7" t="n">
        <v>4413224</v>
      </c>
      <c r="C221" s="7" t="s">
        <v>196</v>
      </c>
      <c r="D221" s="26" t="n">
        <v>1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0</v>
      </c>
      <c r="J221" s="26" t="n">
        <v>0</v>
      </c>
      <c r="K221" s="26" t="n">
        <v>0</v>
      </c>
      <c r="L221" s="26" t="n">
        <v>0</v>
      </c>
      <c r="M221" s="26" t="n">
        <v>0</v>
      </c>
    </row>
    <row r="222" customFormat="false" ht="15" hidden="false" customHeight="false" outlineLevel="0" collapsed="false">
      <c r="A222" s="7" t="s">
        <v>87</v>
      </c>
      <c r="B222" s="7" t="n">
        <v>4413224</v>
      </c>
      <c r="C222" s="7" t="s">
        <v>196</v>
      </c>
      <c r="D222" s="26" t="n">
        <v>118.6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0</v>
      </c>
      <c r="J222" s="26" t="n">
        <v>0</v>
      </c>
      <c r="K222" s="26" t="n">
        <v>0</v>
      </c>
      <c r="L222" s="26" t="n">
        <v>0</v>
      </c>
      <c r="M222" s="26" t="n">
        <v>0</v>
      </c>
    </row>
    <row r="223" customFormat="false" ht="15" hidden="false" customHeight="false" outlineLevel="0" collapsed="false">
      <c r="A223" s="7" t="s">
        <v>85</v>
      </c>
      <c r="B223" s="7" t="n">
        <v>4403011</v>
      </c>
      <c r="C223" s="7" t="s">
        <v>197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-1</v>
      </c>
      <c r="I223" s="26" t="n">
        <v>0</v>
      </c>
      <c r="J223" s="26" t="n">
        <v>0</v>
      </c>
      <c r="K223" s="26" t="n">
        <v>0</v>
      </c>
      <c r="L223" s="26" t="n">
        <v>0</v>
      </c>
      <c r="M223" s="26" t="n">
        <v>0</v>
      </c>
    </row>
    <row r="224" customFormat="false" ht="15" hidden="false" customHeight="false" outlineLevel="0" collapsed="false">
      <c r="A224" s="7" t="s">
        <v>87</v>
      </c>
      <c r="B224" s="7" t="n">
        <v>4403011</v>
      </c>
      <c r="C224" s="7" t="s">
        <v>197</v>
      </c>
      <c r="D224" s="26" t="n">
        <v>0</v>
      </c>
      <c r="E224" s="26" t="n">
        <v>0</v>
      </c>
      <c r="F224" s="26" t="n">
        <v>0</v>
      </c>
      <c r="G224" s="26" t="n">
        <v>0</v>
      </c>
      <c r="H224" s="26" t="n">
        <v>-31.9</v>
      </c>
      <c r="I224" s="26" t="n">
        <v>0</v>
      </c>
      <c r="J224" s="26" t="n">
        <v>0</v>
      </c>
      <c r="K224" s="26" t="n">
        <v>0</v>
      </c>
      <c r="L224" s="26" t="n">
        <v>0</v>
      </c>
      <c r="M224" s="26" t="n">
        <v>0</v>
      </c>
    </row>
    <row r="225" customFormat="false" ht="15" hidden="false" customHeight="false" outlineLevel="0" collapsed="false">
      <c r="A225" s="7" t="s">
        <v>85</v>
      </c>
      <c r="B225" s="7" t="n">
        <v>4403040</v>
      </c>
      <c r="C225" s="7" t="s">
        <v>198</v>
      </c>
      <c r="D225" s="26" t="n">
        <v>20</v>
      </c>
      <c r="E225" s="26" t="n">
        <v>0</v>
      </c>
      <c r="F225" s="26" t="n">
        <v>0</v>
      </c>
      <c r="G225" s="26" t="n">
        <v>0</v>
      </c>
      <c r="H225" s="26" t="n">
        <v>64</v>
      </c>
      <c r="I225" s="26" t="n">
        <v>0</v>
      </c>
      <c r="J225" s="26" t="n">
        <v>0</v>
      </c>
      <c r="K225" s="26" t="n">
        <v>0</v>
      </c>
      <c r="L225" s="26" t="n">
        <v>0</v>
      </c>
      <c r="M225" s="26" t="n">
        <v>0</v>
      </c>
    </row>
    <row r="226" customFormat="false" ht="15" hidden="false" customHeight="false" outlineLevel="0" collapsed="false">
      <c r="A226" s="7" t="s">
        <v>87</v>
      </c>
      <c r="B226" s="7" t="n">
        <v>4403040</v>
      </c>
      <c r="C226" s="7" t="s">
        <v>198</v>
      </c>
      <c r="D226" s="26" t="n">
        <v>693.6</v>
      </c>
      <c r="E226" s="26" t="n">
        <v>0</v>
      </c>
      <c r="F226" s="26" t="n">
        <v>0</v>
      </c>
      <c r="G226" s="26" t="n">
        <v>0</v>
      </c>
      <c r="H226" s="26" t="n">
        <v>2051.9</v>
      </c>
      <c r="I226" s="26" t="n">
        <v>0</v>
      </c>
      <c r="J226" s="26" t="n">
        <v>0</v>
      </c>
      <c r="K226" s="26" t="n">
        <v>0</v>
      </c>
      <c r="L226" s="26" t="n">
        <v>0</v>
      </c>
      <c r="M226" s="26" t="n">
        <v>0</v>
      </c>
    </row>
    <row r="227" customFormat="false" ht="15" hidden="false" customHeight="false" outlineLevel="0" collapsed="false">
      <c r="A227" s="7" t="s">
        <v>85</v>
      </c>
      <c r="B227" s="7" t="n">
        <v>4403027</v>
      </c>
      <c r="C227" s="7" t="s">
        <v>199</v>
      </c>
      <c r="D227" s="26" t="n">
        <v>0</v>
      </c>
      <c r="E227" s="26" t="n">
        <v>0</v>
      </c>
      <c r="F227" s="26" t="n">
        <v>0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  <c r="L227" s="26" t="n">
        <v>0</v>
      </c>
      <c r="M227" s="26" t="n">
        <v>0</v>
      </c>
    </row>
    <row r="228" customFormat="false" ht="15" hidden="false" customHeight="false" outlineLevel="0" collapsed="false">
      <c r="A228" s="7" t="s">
        <v>87</v>
      </c>
      <c r="B228" s="7" t="n">
        <v>4403027</v>
      </c>
      <c r="C228" s="7" t="s">
        <v>199</v>
      </c>
      <c r="D228" s="26" t="n">
        <v>0</v>
      </c>
      <c r="E228" s="26" t="n">
        <v>0</v>
      </c>
      <c r="F228" s="26" t="n">
        <v>0</v>
      </c>
      <c r="G228" s="26" t="n">
        <v>0</v>
      </c>
      <c r="H228" s="26" t="n">
        <v>0</v>
      </c>
      <c r="I228" s="26" t="n">
        <v>0</v>
      </c>
      <c r="J228" s="26" t="n">
        <v>0</v>
      </c>
      <c r="K228" s="26" t="n">
        <v>0</v>
      </c>
      <c r="L228" s="26" t="n">
        <v>0</v>
      </c>
      <c r="M228" s="26" t="n">
        <v>0</v>
      </c>
    </row>
    <row r="229" customFormat="false" ht="15" hidden="false" customHeight="false" outlineLevel="0" collapsed="false">
      <c r="A229" s="7" t="s">
        <v>85</v>
      </c>
      <c r="B229" s="7" t="n">
        <v>4403001</v>
      </c>
      <c r="C229" s="7" t="s">
        <v>200</v>
      </c>
      <c r="D229" s="26" t="n">
        <v>15</v>
      </c>
      <c r="E229" s="26" t="n">
        <v>0</v>
      </c>
      <c r="F229" s="26" t="n">
        <v>0</v>
      </c>
      <c r="G229" s="26" t="n">
        <v>0</v>
      </c>
      <c r="H229" s="26" t="n">
        <v>28</v>
      </c>
      <c r="I229" s="26" t="n">
        <v>2</v>
      </c>
      <c r="J229" s="26" t="n">
        <v>0</v>
      </c>
      <c r="K229" s="26" t="n">
        <v>6</v>
      </c>
      <c r="L229" s="26" t="n">
        <v>0</v>
      </c>
      <c r="M229" s="26" t="n">
        <v>0</v>
      </c>
    </row>
    <row r="230" customFormat="false" ht="15" hidden="false" customHeight="false" outlineLevel="0" collapsed="false">
      <c r="A230" s="7" t="s">
        <v>87</v>
      </c>
      <c r="B230" s="7" t="n">
        <v>4403001</v>
      </c>
      <c r="C230" s="7" t="s">
        <v>200</v>
      </c>
      <c r="D230" s="26" t="n">
        <v>507.9</v>
      </c>
      <c r="E230" s="26" t="n">
        <v>0</v>
      </c>
      <c r="F230" s="26" t="n">
        <v>0</v>
      </c>
      <c r="G230" s="26" t="n">
        <v>0</v>
      </c>
      <c r="H230" s="26" t="n">
        <v>828.6</v>
      </c>
      <c r="I230" s="26" t="n">
        <v>62.9</v>
      </c>
      <c r="J230" s="26" t="n">
        <v>0</v>
      </c>
      <c r="K230" s="26" t="n">
        <v>112.1</v>
      </c>
      <c r="L230" s="26" t="n">
        <v>0</v>
      </c>
      <c r="M230" s="26" t="n">
        <v>0</v>
      </c>
    </row>
    <row r="231" customFormat="false" ht="15" hidden="false" customHeight="false" outlineLevel="0" collapsed="false">
      <c r="A231" s="7" t="s">
        <v>85</v>
      </c>
      <c r="B231" s="7" t="n">
        <v>4403002</v>
      </c>
      <c r="C231" s="7" t="s">
        <v>201</v>
      </c>
      <c r="D231" s="26" t="n">
        <v>23</v>
      </c>
      <c r="E231" s="26" t="n">
        <v>0</v>
      </c>
      <c r="F231" s="26" t="n">
        <v>0</v>
      </c>
      <c r="G231" s="26" t="n">
        <v>0</v>
      </c>
      <c r="H231" s="26" t="n">
        <v>30</v>
      </c>
      <c r="I231" s="26" t="n">
        <v>2</v>
      </c>
      <c r="J231" s="26" t="n">
        <v>0</v>
      </c>
      <c r="K231" s="26" t="n">
        <v>18</v>
      </c>
      <c r="L231" s="26" t="n">
        <v>0</v>
      </c>
      <c r="M231" s="26" t="n">
        <v>0</v>
      </c>
    </row>
    <row r="232" customFormat="false" ht="15" hidden="false" customHeight="false" outlineLevel="0" collapsed="false">
      <c r="A232" s="7" t="s">
        <v>87</v>
      </c>
      <c r="B232" s="7" t="n">
        <v>4403002</v>
      </c>
      <c r="C232" s="7" t="s">
        <v>201</v>
      </c>
      <c r="D232" s="26" t="n">
        <v>763</v>
      </c>
      <c r="E232" s="26" t="n">
        <v>0</v>
      </c>
      <c r="F232" s="26" t="n">
        <v>0</v>
      </c>
      <c r="G232" s="26" t="n">
        <v>0</v>
      </c>
      <c r="H232" s="26" t="n">
        <v>878.7</v>
      </c>
      <c r="I232" s="26" t="n">
        <v>62.9</v>
      </c>
      <c r="J232" s="26" t="n">
        <v>0</v>
      </c>
      <c r="K232" s="26" t="n">
        <v>424.8</v>
      </c>
      <c r="L232" s="26" t="n">
        <v>0</v>
      </c>
      <c r="M232" s="26" t="n">
        <v>0</v>
      </c>
    </row>
    <row r="233" customFormat="false" ht="15" hidden="false" customHeight="false" outlineLevel="0" collapsed="false">
      <c r="A233" s="7" t="s">
        <v>85</v>
      </c>
      <c r="B233" s="7" t="n">
        <v>4403000</v>
      </c>
      <c r="C233" s="7" t="s">
        <v>202</v>
      </c>
      <c r="D233" s="26" t="n">
        <v>11</v>
      </c>
      <c r="E233" s="26" t="n">
        <v>0</v>
      </c>
      <c r="F233" s="26" t="n">
        <v>0</v>
      </c>
      <c r="G233" s="26" t="n">
        <v>0</v>
      </c>
      <c r="H233" s="26" t="n">
        <v>7</v>
      </c>
      <c r="I233" s="26" t="n">
        <v>4</v>
      </c>
      <c r="J233" s="26" t="n">
        <v>0</v>
      </c>
      <c r="K233" s="26" t="n">
        <v>2</v>
      </c>
      <c r="L233" s="26" t="n">
        <v>0</v>
      </c>
      <c r="M233" s="26" t="n">
        <v>0</v>
      </c>
    </row>
    <row r="234" customFormat="false" ht="15" hidden="false" customHeight="false" outlineLevel="0" collapsed="false">
      <c r="A234" s="7" t="s">
        <v>87</v>
      </c>
      <c r="B234" s="7" t="n">
        <v>4403000</v>
      </c>
      <c r="C234" s="7" t="s">
        <v>202</v>
      </c>
      <c r="D234" s="26" t="n">
        <v>360.4</v>
      </c>
      <c r="E234" s="26" t="n">
        <v>0</v>
      </c>
      <c r="F234" s="26" t="n">
        <v>0</v>
      </c>
      <c r="G234" s="26" t="n">
        <v>0</v>
      </c>
      <c r="H234" s="26" t="n">
        <v>211.3</v>
      </c>
      <c r="I234" s="26" t="n">
        <v>125.8</v>
      </c>
      <c r="J234" s="26" t="n">
        <v>0</v>
      </c>
      <c r="K234" s="26" t="n">
        <v>41.3</v>
      </c>
      <c r="L234" s="26" t="n">
        <v>0</v>
      </c>
      <c r="M234" s="26" t="n">
        <v>0</v>
      </c>
    </row>
    <row r="235" customFormat="false" ht="15" hidden="false" customHeight="false" outlineLevel="0" collapsed="false">
      <c r="A235" s="7" t="s">
        <v>85</v>
      </c>
      <c r="B235" s="7" t="n">
        <v>4403004</v>
      </c>
      <c r="C235" s="7" t="s">
        <v>203</v>
      </c>
      <c r="D235" s="26" t="n">
        <v>4</v>
      </c>
      <c r="E235" s="26" t="n">
        <v>0</v>
      </c>
      <c r="F235" s="26" t="n">
        <v>0</v>
      </c>
      <c r="G235" s="26" t="n">
        <v>0</v>
      </c>
      <c r="H235" s="26" t="n">
        <v>-7</v>
      </c>
      <c r="I235" s="26" t="n">
        <v>0</v>
      </c>
      <c r="J235" s="26" t="n">
        <v>0</v>
      </c>
      <c r="K235" s="26" t="n">
        <v>0</v>
      </c>
      <c r="L235" s="26" t="n">
        <v>0</v>
      </c>
      <c r="M235" s="26" t="n">
        <v>0</v>
      </c>
    </row>
    <row r="236" customFormat="false" ht="15" hidden="false" customHeight="false" outlineLevel="0" collapsed="false">
      <c r="A236" s="7" t="s">
        <v>87</v>
      </c>
      <c r="B236" s="7" t="n">
        <v>4403004</v>
      </c>
      <c r="C236" s="7" t="s">
        <v>203</v>
      </c>
      <c r="D236" s="26" t="n">
        <v>140.4</v>
      </c>
      <c r="E236" s="26" t="n">
        <v>0</v>
      </c>
      <c r="F236" s="26" t="n">
        <v>0</v>
      </c>
      <c r="G236" s="26" t="n">
        <v>0</v>
      </c>
      <c r="H236" s="26" t="n">
        <v>-194.3</v>
      </c>
      <c r="I236" s="26" t="n">
        <v>0</v>
      </c>
      <c r="J236" s="26" t="n">
        <v>0</v>
      </c>
      <c r="K236" s="26" t="n">
        <v>0</v>
      </c>
      <c r="L236" s="26" t="n">
        <v>0</v>
      </c>
      <c r="M236" s="26" t="n">
        <v>0</v>
      </c>
    </row>
    <row r="237" customFormat="false" ht="15" hidden="false" customHeight="false" outlineLevel="0" collapsed="false">
      <c r="A237" s="7" t="s">
        <v>85</v>
      </c>
      <c r="B237" s="7" t="n">
        <v>4403003</v>
      </c>
      <c r="C237" s="7" t="s">
        <v>204</v>
      </c>
      <c r="D237" s="26" t="n">
        <v>11</v>
      </c>
      <c r="E237" s="26" t="n">
        <v>0</v>
      </c>
      <c r="F237" s="26" t="n">
        <v>0</v>
      </c>
      <c r="G237" s="26" t="n">
        <v>0</v>
      </c>
      <c r="H237" s="26" t="n">
        <v>8</v>
      </c>
      <c r="I237" s="26" t="n">
        <v>0</v>
      </c>
      <c r="J237" s="26" t="n">
        <v>0</v>
      </c>
      <c r="K237" s="26" t="n">
        <v>5</v>
      </c>
      <c r="L237" s="26" t="n">
        <v>0</v>
      </c>
      <c r="M237" s="26" t="n">
        <v>0</v>
      </c>
    </row>
    <row r="238" customFormat="false" ht="15" hidden="false" customHeight="false" outlineLevel="0" collapsed="false">
      <c r="A238" s="7" t="s">
        <v>87</v>
      </c>
      <c r="B238" s="7" t="n">
        <v>4403003</v>
      </c>
      <c r="C238" s="7" t="s">
        <v>204</v>
      </c>
      <c r="D238" s="26" t="n">
        <v>376.8</v>
      </c>
      <c r="E238" s="26" t="n">
        <v>0</v>
      </c>
      <c r="F238" s="26" t="n">
        <v>0</v>
      </c>
      <c r="G238" s="26" t="n">
        <v>0</v>
      </c>
      <c r="H238" s="26" t="n">
        <v>229.3</v>
      </c>
      <c r="I238" s="26" t="n">
        <v>0</v>
      </c>
      <c r="J238" s="26" t="n">
        <v>0</v>
      </c>
      <c r="K238" s="26" t="n">
        <v>118</v>
      </c>
      <c r="L238" s="26" t="n">
        <v>0</v>
      </c>
      <c r="M238" s="26" t="n">
        <v>0</v>
      </c>
    </row>
    <row r="239" customFormat="false" ht="15" hidden="false" customHeight="false" outlineLevel="0" collapsed="false">
      <c r="A239" s="7" t="s">
        <v>85</v>
      </c>
      <c r="B239" s="7" t="n">
        <v>4403006</v>
      </c>
      <c r="C239" s="7" t="s">
        <v>205</v>
      </c>
      <c r="D239" s="26" t="n">
        <v>12</v>
      </c>
      <c r="E239" s="26" t="n">
        <v>0</v>
      </c>
      <c r="F239" s="26" t="n">
        <v>0</v>
      </c>
      <c r="G239" s="26" t="n">
        <v>0</v>
      </c>
      <c r="H239" s="26" t="n">
        <v>9</v>
      </c>
      <c r="I239" s="26" t="n">
        <v>7</v>
      </c>
      <c r="J239" s="26" t="n">
        <v>0</v>
      </c>
      <c r="K239" s="26" t="n">
        <v>0</v>
      </c>
      <c r="L239" s="26" t="n">
        <v>0</v>
      </c>
      <c r="M239" s="26" t="n">
        <v>0</v>
      </c>
    </row>
    <row r="240" customFormat="false" ht="15" hidden="false" customHeight="false" outlineLevel="0" collapsed="false">
      <c r="A240" s="7" t="s">
        <v>87</v>
      </c>
      <c r="B240" s="7" t="n">
        <v>4403006</v>
      </c>
      <c r="C240" s="7" t="s">
        <v>205</v>
      </c>
      <c r="D240" s="26" t="n">
        <v>421.3</v>
      </c>
      <c r="E240" s="26" t="n">
        <v>0</v>
      </c>
      <c r="F240" s="26" t="n">
        <v>0</v>
      </c>
      <c r="G240" s="26" t="n">
        <v>0</v>
      </c>
      <c r="H240" s="26" t="n">
        <v>262.3</v>
      </c>
      <c r="I240" s="26" t="n">
        <v>220.2</v>
      </c>
      <c r="J240" s="26" t="n">
        <v>0</v>
      </c>
      <c r="K240" s="26" t="n">
        <v>0</v>
      </c>
      <c r="L240" s="26" t="n">
        <v>0</v>
      </c>
      <c r="M240" s="26" t="n">
        <v>0</v>
      </c>
    </row>
    <row r="241" customFormat="false" ht="15" hidden="false" customHeight="false" outlineLevel="0" collapsed="false">
      <c r="A241" s="7" t="s">
        <v>85</v>
      </c>
      <c r="B241" s="7" t="n">
        <v>4403007</v>
      </c>
      <c r="C241" s="7" t="s">
        <v>206</v>
      </c>
      <c r="D241" s="26" t="n">
        <v>13</v>
      </c>
      <c r="E241" s="26" t="n">
        <v>0</v>
      </c>
      <c r="F241" s="26" t="n">
        <v>0</v>
      </c>
      <c r="G241" s="26" t="n">
        <v>0</v>
      </c>
      <c r="H241" s="26" t="n">
        <v>17</v>
      </c>
      <c r="I241" s="26" t="n">
        <v>6</v>
      </c>
      <c r="J241" s="26" t="n">
        <v>0</v>
      </c>
      <c r="K241" s="26" t="n">
        <v>0</v>
      </c>
      <c r="L241" s="26" t="n">
        <v>0</v>
      </c>
      <c r="M241" s="26" t="n">
        <v>0</v>
      </c>
    </row>
    <row r="242" customFormat="false" ht="15" hidden="false" customHeight="false" outlineLevel="0" collapsed="false">
      <c r="A242" s="7" t="s">
        <v>87</v>
      </c>
      <c r="B242" s="7" t="n">
        <v>4403007</v>
      </c>
      <c r="C242" s="7" t="s">
        <v>206</v>
      </c>
      <c r="D242" s="26" t="n">
        <v>433</v>
      </c>
      <c r="E242" s="26" t="n">
        <v>0</v>
      </c>
      <c r="F242" s="26" t="n">
        <v>0</v>
      </c>
      <c r="G242" s="26" t="n">
        <v>0</v>
      </c>
      <c r="H242" s="26" t="n">
        <v>498.4</v>
      </c>
      <c r="I242" s="26" t="n">
        <v>188.8</v>
      </c>
      <c r="J242" s="26" t="n">
        <v>0</v>
      </c>
      <c r="K242" s="26" t="n">
        <v>0</v>
      </c>
      <c r="L242" s="26" t="n">
        <v>0</v>
      </c>
      <c r="M242" s="26" t="n">
        <v>0</v>
      </c>
    </row>
    <row r="243" customFormat="false" ht="15" hidden="false" customHeight="false" outlineLevel="0" collapsed="false">
      <c r="A243" s="7" t="s">
        <v>85</v>
      </c>
      <c r="B243" s="7" t="n">
        <v>4403008</v>
      </c>
      <c r="C243" s="7" t="s">
        <v>207</v>
      </c>
      <c r="D243" s="26" t="n">
        <v>13</v>
      </c>
      <c r="E243" s="26" t="n">
        <v>0</v>
      </c>
      <c r="F243" s="26" t="n">
        <v>0</v>
      </c>
      <c r="G243" s="26" t="n">
        <v>0</v>
      </c>
      <c r="H243" s="26" t="n">
        <v>28</v>
      </c>
      <c r="I243" s="26" t="n">
        <v>0</v>
      </c>
      <c r="J243" s="26" t="n">
        <v>0</v>
      </c>
      <c r="K243" s="26" t="n">
        <v>0</v>
      </c>
      <c r="L243" s="26" t="n">
        <v>0</v>
      </c>
      <c r="M243" s="26" t="n">
        <v>0</v>
      </c>
    </row>
    <row r="244" customFormat="false" ht="15" hidden="false" customHeight="false" outlineLevel="0" collapsed="false">
      <c r="A244" s="7" t="s">
        <v>87</v>
      </c>
      <c r="B244" s="7" t="n">
        <v>4403008</v>
      </c>
      <c r="C244" s="7" t="s">
        <v>207</v>
      </c>
      <c r="D244" s="26" t="n">
        <v>456.4</v>
      </c>
      <c r="E244" s="26" t="n">
        <v>0</v>
      </c>
      <c r="F244" s="26" t="n">
        <v>0</v>
      </c>
      <c r="G244" s="26" t="n">
        <v>0</v>
      </c>
      <c r="H244" s="26" t="n">
        <v>814.5</v>
      </c>
      <c r="I244" s="26" t="n">
        <v>0</v>
      </c>
      <c r="J244" s="26" t="n">
        <v>0</v>
      </c>
      <c r="K244" s="26" t="n">
        <v>0</v>
      </c>
      <c r="L244" s="26" t="n">
        <v>0</v>
      </c>
      <c r="M244" s="26" t="n">
        <v>0</v>
      </c>
    </row>
    <row r="245" customFormat="false" ht="15" hidden="false" customHeight="false" outlineLevel="0" collapsed="false">
      <c r="A245" s="7" t="s">
        <v>85</v>
      </c>
      <c r="B245" s="7" t="n">
        <v>4403017</v>
      </c>
      <c r="C245" s="7" t="s">
        <v>208</v>
      </c>
      <c r="D245" s="26" t="n">
        <v>27</v>
      </c>
      <c r="E245" s="26" t="n">
        <v>0</v>
      </c>
      <c r="F245" s="26" t="n">
        <v>0</v>
      </c>
      <c r="G245" s="26" t="n">
        <v>0</v>
      </c>
      <c r="H245" s="26" t="n">
        <v>37</v>
      </c>
      <c r="I245" s="26" t="n">
        <v>-2</v>
      </c>
      <c r="J245" s="26" t="n">
        <v>0</v>
      </c>
      <c r="K245" s="26" t="n">
        <v>7</v>
      </c>
      <c r="L245" s="26" t="n">
        <v>0</v>
      </c>
      <c r="M245" s="26" t="n">
        <v>0</v>
      </c>
    </row>
    <row r="246" customFormat="false" ht="15" hidden="false" customHeight="false" outlineLevel="0" collapsed="false">
      <c r="A246" s="7" t="s">
        <v>87</v>
      </c>
      <c r="B246" s="7" t="n">
        <v>4403017</v>
      </c>
      <c r="C246" s="7" t="s">
        <v>208</v>
      </c>
      <c r="D246" s="26" t="n">
        <v>741.3</v>
      </c>
      <c r="E246" s="26" t="n">
        <v>0</v>
      </c>
      <c r="F246" s="26" t="n">
        <v>0</v>
      </c>
      <c r="G246" s="26" t="n">
        <v>0</v>
      </c>
      <c r="H246" s="26" t="n">
        <v>844.6</v>
      </c>
      <c r="I246" s="26" t="n">
        <v>-74.9</v>
      </c>
      <c r="J246" s="26" t="n">
        <v>0</v>
      </c>
      <c r="K246" s="26" t="n">
        <v>128.8</v>
      </c>
      <c r="L246" s="26" t="n">
        <v>0</v>
      </c>
      <c r="M246" s="26" t="n">
        <v>0</v>
      </c>
    </row>
    <row r="247" customFormat="false" ht="15" hidden="false" customHeight="false" outlineLevel="0" collapsed="false">
      <c r="A247" s="7" t="s">
        <v>85</v>
      </c>
      <c r="B247" s="7" t="n">
        <v>4403018</v>
      </c>
      <c r="C247" s="7" t="s">
        <v>209</v>
      </c>
      <c r="D247" s="26" t="n">
        <v>30</v>
      </c>
      <c r="E247" s="26" t="n">
        <v>0</v>
      </c>
      <c r="F247" s="26" t="n">
        <v>0</v>
      </c>
      <c r="G247" s="26" t="n">
        <v>31</v>
      </c>
      <c r="H247" s="26" t="n">
        <v>57</v>
      </c>
      <c r="I247" s="26" t="n">
        <v>4</v>
      </c>
      <c r="J247" s="26" t="n">
        <v>0</v>
      </c>
      <c r="K247" s="26" t="n">
        <v>0</v>
      </c>
      <c r="L247" s="26" t="n">
        <v>0</v>
      </c>
      <c r="M247" s="26" t="n">
        <v>0</v>
      </c>
    </row>
    <row r="248" customFormat="false" ht="15" hidden="false" customHeight="false" outlineLevel="0" collapsed="false">
      <c r="A248" s="7" t="s">
        <v>87</v>
      </c>
      <c r="B248" s="7" t="n">
        <v>4403018</v>
      </c>
      <c r="C248" s="7" t="s">
        <v>209</v>
      </c>
      <c r="D248" s="26" t="n">
        <v>823.7</v>
      </c>
      <c r="E248" s="26" t="n">
        <v>0</v>
      </c>
      <c r="F248" s="26" t="n">
        <v>0</v>
      </c>
      <c r="G248" s="26" t="n">
        <v>754.4</v>
      </c>
      <c r="H248" s="26" t="n">
        <v>1259.8</v>
      </c>
      <c r="I248" s="26" t="n">
        <v>96.1</v>
      </c>
      <c r="J248" s="26" t="n">
        <v>0</v>
      </c>
      <c r="K248" s="26" t="n">
        <v>0</v>
      </c>
      <c r="L248" s="26" t="n">
        <v>0</v>
      </c>
      <c r="M248" s="26" t="n">
        <v>0</v>
      </c>
    </row>
    <row r="249" customFormat="false" ht="15" hidden="false" customHeight="false" outlineLevel="0" collapsed="false">
      <c r="A249" s="7" t="s">
        <v>85</v>
      </c>
      <c r="B249" s="7" t="n">
        <v>4403019</v>
      </c>
      <c r="C249" s="7" t="s">
        <v>210</v>
      </c>
      <c r="D249" s="26" t="n">
        <v>47</v>
      </c>
      <c r="E249" s="26" t="n">
        <v>0</v>
      </c>
      <c r="F249" s="26" t="n">
        <v>0</v>
      </c>
      <c r="G249" s="26" t="n">
        <v>18</v>
      </c>
      <c r="H249" s="26" t="n">
        <v>82</v>
      </c>
      <c r="I249" s="26" t="n">
        <v>0</v>
      </c>
      <c r="J249" s="26" t="n">
        <v>0</v>
      </c>
      <c r="K249" s="26" t="n">
        <v>18</v>
      </c>
      <c r="L249" s="26" t="n">
        <v>0</v>
      </c>
      <c r="M249" s="26" t="n">
        <v>0</v>
      </c>
    </row>
    <row r="250" customFormat="false" ht="15" hidden="false" customHeight="false" outlineLevel="0" collapsed="false">
      <c r="A250" s="7" t="s">
        <v>87</v>
      </c>
      <c r="B250" s="7" t="n">
        <v>4403019</v>
      </c>
      <c r="C250" s="7" t="s">
        <v>210</v>
      </c>
      <c r="D250" s="26" t="n">
        <v>1293.5</v>
      </c>
      <c r="E250" s="26" t="n">
        <v>0</v>
      </c>
      <c r="F250" s="26" t="n">
        <v>0</v>
      </c>
      <c r="G250" s="26" t="n">
        <v>438</v>
      </c>
      <c r="H250" s="26" t="n">
        <v>1815.3</v>
      </c>
      <c r="I250" s="26" t="n">
        <v>0</v>
      </c>
      <c r="J250" s="26" t="n">
        <v>0</v>
      </c>
      <c r="K250" s="26" t="n">
        <v>331.2</v>
      </c>
      <c r="L250" s="26" t="n">
        <v>0</v>
      </c>
      <c r="M250" s="26" t="n">
        <v>0</v>
      </c>
    </row>
    <row r="251" customFormat="false" ht="15" hidden="false" customHeight="false" outlineLevel="0" collapsed="false">
      <c r="A251" s="7" t="s">
        <v>85</v>
      </c>
      <c r="B251" s="7" t="n">
        <v>4403020</v>
      </c>
      <c r="C251" s="7" t="s">
        <v>211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-5</v>
      </c>
      <c r="I251" s="26" t="n">
        <v>0</v>
      </c>
      <c r="J251" s="26" t="n">
        <v>0</v>
      </c>
      <c r="K251" s="26" t="n">
        <v>0</v>
      </c>
      <c r="L251" s="26" t="n">
        <v>0</v>
      </c>
      <c r="M251" s="26" t="n">
        <v>0</v>
      </c>
    </row>
    <row r="252" customFormat="false" ht="15" hidden="false" customHeight="false" outlineLevel="0" collapsed="false">
      <c r="A252" s="7" t="s">
        <v>87</v>
      </c>
      <c r="B252" s="7" t="n">
        <v>4403020</v>
      </c>
      <c r="C252" s="7" t="s">
        <v>211</v>
      </c>
      <c r="D252" s="26" t="n">
        <v>0</v>
      </c>
      <c r="E252" s="26" t="n">
        <v>0</v>
      </c>
      <c r="F252" s="26" t="n">
        <v>0</v>
      </c>
      <c r="G252" s="26" t="n">
        <v>0</v>
      </c>
      <c r="H252" s="26" t="n">
        <v>-107.1</v>
      </c>
      <c r="I252" s="26" t="n">
        <v>0</v>
      </c>
      <c r="J252" s="26" t="n">
        <v>0</v>
      </c>
      <c r="K252" s="26" t="n">
        <v>0</v>
      </c>
      <c r="L252" s="26" t="n">
        <v>0</v>
      </c>
      <c r="M252" s="26" t="n">
        <v>0</v>
      </c>
    </row>
    <row r="253" customFormat="false" ht="15" hidden="false" customHeight="false" outlineLevel="0" collapsed="false">
      <c r="A253" s="7" t="s">
        <v>85</v>
      </c>
      <c r="B253" s="7" t="n">
        <v>4403021</v>
      </c>
      <c r="C253" s="7" t="s">
        <v>212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-4</v>
      </c>
      <c r="I253" s="26" t="n">
        <v>-3</v>
      </c>
      <c r="J253" s="26" t="n">
        <v>0</v>
      </c>
      <c r="K253" s="26" t="n">
        <v>0</v>
      </c>
      <c r="L253" s="26" t="n">
        <v>0</v>
      </c>
      <c r="M253" s="26" t="n">
        <v>0</v>
      </c>
    </row>
    <row r="254" customFormat="false" ht="15" hidden="false" customHeight="false" outlineLevel="0" collapsed="false">
      <c r="A254" s="7" t="s">
        <v>87</v>
      </c>
      <c r="B254" s="7" t="n">
        <v>4403021</v>
      </c>
      <c r="C254" s="7" t="s">
        <v>212</v>
      </c>
      <c r="D254" s="26" t="n">
        <v>0</v>
      </c>
      <c r="E254" s="26" t="n">
        <v>0</v>
      </c>
      <c r="F254" s="26" t="n">
        <v>0</v>
      </c>
      <c r="G254" s="26" t="n">
        <v>0</v>
      </c>
      <c r="H254" s="26" t="n">
        <v>-84.8</v>
      </c>
      <c r="I254" s="26" t="n">
        <v>-112.3</v>
      </c>
      <c r="J254" s="26" t="n">
        <v>0</v>
      </c>
      <c r="K254" s="26" t="n">
        <v>0</v>
      </c>
      <c r="L254" s="26" t="n">
        <v>0</v>
      </c>
      <c r="M254" s="26" t="n">
        <v>0</v>
      </c>
    </row>
    <row r="255" customFormat="false" ht="15" hidden="false" customHeight="false" outlineLevel="0" collapsed="false">
      <c r="A255" s="7" t="s">
        <v>85</v>
      </c>
      <c r="B255" s="7" t="n">
        <v>4403022</v>
      </c>
      <c r="C255" s="7" t="s">
        <v>213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6" t="n">
        <v>-1</v>
      </c>
      <c r="J255" s="26" t="n">
        <v>0</v>
      </c>
      <c r="K255" s="26" t="n">
        <v>0</v>
      </c>
      <c r="L255" s="26" t="n">
        <v>0</v>
      </c>
      <c r="M255" s="26" t="n">
        <v>0</v>
      </c>
    </row>
    <row r="256" customFormat="false" ht="15" hidden="false" customHeight="false" outlineLevel="0" collapsed="false">
      <c r="A256" s="7" t="s">
        <v>87</v>
      </c>
      <c r="B256" s="7" t="n">
        <v>4403022</v>
      </c>
      <c r="C256" s="7" t="s">
        <v>213</v>
      </c>
      <c r="D256" s="26" t="n">
        <v>0</v>
      </c>
      <c r="E256" s="26" t="n">
        <v>0</v>
      </c>
      <c r="F256" s="26" t="n">
        <v>0</v>
      </c>
      <c r="G256" s="26" t="n">
        <v>0</v>
      </c>
      <c r="H256" s="26" t="n">
        <v>0</v>
      </c>
      <c r="I256" s="26" t="n">
        <v>-24</v>
      </c>
      <c r="J256" s="26" t="n">
        <v>0</v>
      </c>
      <c r="K256" s="26" t="n">
        <v>0</v>
      </c>
      <c r="L256" s="26" t="n">
        <v>0</v>
      </c>
      <c r="M256" s="26" t="n">
        <v>0</v>
      </c>
    </row>
    <row r="257" customFormat="false" ht="15" hidden="false" customHeight="false" outlineLevel="0" collapsed="false">
      <c r="A257" s="7" t="s">
        <v>85</v>
      </c>
      <c r="B257" s="7" t="n">
        <v>4403023</v>
      </c>
      <c r="C257" s="7" t="s">
        <v>214</v>
      </c>
      <c r="D257" s="26" t="n">
        <v>22</v>
      </c>
      <c r="E257" s="26" t="n">
        <v>0</v>
      </c>
      <c r="F257" s="26" t="n">
        <v>0</v>
      </c>
      <c r="G257" s="26" t="n">
        <v>0</v>
      </c>
      <c r="H257" s="26" t="n">
        <v>21</v>
      </c>
      <c r="I257" s="26" t="n">
        <v>7</v>
      </c>
      <c r="J257" s="26" t="n">
        <v>0</v>
      </c>
      <c r="K257" s="26" t="n">
        <v>7</v>
      </c>
      <c r="L257" s="26" t="n">
        <v>0</v>
      </c>
      <c r="M257" s="26" t="n">
        <v>0</v>
      </c>
    </row>
    <row r="258" customFormat="false" ht="15" hidden="false" customHeight="false" outlineLevel="0" collapsed="false">
      <c r="A258" s="7" t="s">
        <v>87</v>
      </c>
      <c r="B258" s="7" t="n">
        <v>4403023</v>
      </c>
      <c r="C258" s="7" t="s">
        <v>214</v>
      </c>
      <c r="D258" s="26" t="n">
        <v>585.9</v>
      </c>
      <c r="E258" s="26" t="n">
        <v>0</v>
      </c>
      <c r="F258" s="26" t="n">
        <v>0</v>
      </c>
      <c r="G258" s="26" t="n">
        <v>0</v>
      </c>
      <c r="H258" s="26" t="n">
        <v>476.7</v>
      </c>
      <c r="I258" s="26" t="n">
        <v>168.1</v>
      </c>
      <c r="J258" s="26" t="n">
        <v>0</v>
      </c>
      <c r="K258" s="26" t="n">
        <v>128.8</v>
      </c>
      <c r="L258" s="26" t="n">
        <v>0</v>
      </c>
      <c r="M258" s="26" t="n">
        <v>0</v>
      </c>
    </row>
    <row r="259" customFormat="false" ht="15" hidden="false" customHeight="false" outlineLevel="0" collapsed="false">
      <c r="A259" s="7" t="s">
        <v>85</v>
      </c>
      <c r="B259" s="7" t="n">
        <v>4403024</v>
      </c>
      <c r="C259" s="7" t="s">
        <v>215</v>
      </c>
      <c r="D259" s="26" t="n">
        <v>44</v>
      </c>
      <c r="E259" s="26" t="n">
        <v>0</v>
      </c>
      <c r="F259" s="26" t="n">
        <v>0</v>
      </c>
      <c r="G259" s="26" t="n">
        <v>0</v>
      </c>
      <c r="H259" s="26" t="n">
        <v>65</v>
      </c>
      <c r="I259" s="26" t="n">
        <v>7</v>
      </c>
      <c r="J259" s="26" t="n">
        <v>0</v>
      </c>
      <c r="K259" s="26" t="n">
        <v>15</v>
      </c>
      <c r="L259" s="26" t="n">
        <v>0</v>
      </c>
      <c r="M259" s="26" t="n">
        <v>0</v>
      </c>
    </row>
    <row r="260" customFormat="false" ht="15" hidden="false" customHeight="false" outlineLevel="0" collapsed="false">
      <c r="A260" s="7" t="s">
        <v>87</v>
      </c>
      <c r="B260" s="7" t="n">
        <v>4403024</v>
      </c>
      <c r="C260" s="7" t="s">
        <v>215</v>
      </c>
      <c r="D260" s="26" t="n">
        <v>1170.1</v>
      </c>
      <c r="E260" s="26" t="n">
        <v>0</v>
      </c>
      <c r="F260" s="26" t="n">
        <v>0</v>
      </c>
      <c r="G260" s="26" t="n">
        <v>0</v>
      </c>
      <c r="H260" s="26" t="n">
        <v>1472.3</v>
      </c>
      <c r="I260" s="26" t="n">
        <v>154.7</v>
      </c>
      <c r="J260" s="26" t="n">
        <v>0</v>
      </c>
      <c r="K260" s="26" t="n">
        <v>276</v>
      </c>
      <c r="L260" s="26" t="n">
        <v>0</v>
      </c>
      <c r="M260" s="26" t="n">
        <v>0</v>
      </c>
    </row>
    <row r="261" customFormat="false" ht="15" hidden="false" customHeight="false" outlineLevel="0" collapsed="false">
      <c r="A261" s="7" t="s">
        <v>85</v>
      </c>
      <c r="B261" s="7" t="n">
        <v>4403025</v>
      </c>
      <c r="C261" s="7" t="s">
        <v>216</v>
      </c>
      <c r="D261" s="26" t="n">
        <v>34</v>
      </c>
      <c r="E261" s="26" t="n">
        <v>0</v>
      </c>
      <c r="F261" s="26" t="n">
        <v>0</v>
      </c>
      <c r="G261" s="26" t="n">
        <v>11</v>
      </c>
      <c r="H261" s="26" t="n">
        <v>69</v>
      </c>
      <c r="I261" s="26" t="n">
        <v>7</v>
      </c>
      <c r="J261" s="26" t="n">
        <v>0</v>
      </c>
      <c r="K261" s="26" t="n">
        <v>19</v>
      </c>
      <c r="L261" s="26" t="n">
        <v>0</v>
      </c>
      <c r="M261" s="26" t="n">
        <v>0</v>
      </c>
    </row>
    <row r="262" customFormat="false" ht="15" hidden="false" customHeight="false" outlineLevel="0" collapsed="false">
      <c r="A262" s="7" t="s">
        <v>87</v>
      </c>
      <c r="B262" s="7" t="n">
        <v>4403025</v>
      </c>
      <c r="C262" s="7" t="s">
        <v>216</v>
      </c>
      <c r="D262" s="26" t="n">
        <v>937.9</v>
      </c>
      <c r="E262" s="26" t="n">
        <v>0</v>
      </c>
      <c r="F262" s="26" t="n">
        <v>0</v>
      </c>
      <c r="G262" s="26" t="n">
        <v>267.7</v>
      </c>
      <c r="H262" s="26" t="n">
        <v>1570.8</v>
      </c>
      <c r="I262" s="26" t="n">
        <v>168.1</v>
      </c>
      <c r="J262" s="26" t="n">
        <v>0</v>
      </c>
      <c r="K262" s="26" t="n">
        <v>349.6</v>
      </c>
      <c r="L262" s="26" t="n">
        <v>0</v>
      </c>
      <c r="M262" s="26" t="n">
        <v>0</v>
      </c>
    </row>
    <row r="263" customFormat="false" ht="15" hidden="false" customHeight="false" outlineLevel="0" collapsed="false">
      <c r="A263" s="7" t="s">
        <v>85</v>
      </c>
      <c r="B263" s="7" t="n">
        <v>4403044</v>
      </c>
      <c r="C263" s="7" t="s">
        <v>217</v>
      </c>
      <c r="D263" s="26" t="n">
        <v>16</v>
      </c>
      <c r="E263" s="26" t="n">
        <v>0</v>
      </c>
      <c r="F263" s="26" t="n">
        <v>0</v>
      </c>
      <c r="G263" s="26" t="n">
        <v>5</v>
      </c>
      <c r="H263" s="26" t="n">
        <v>0</v>
      </c>
      <c r="I263" s="26" t="n">
        <v>0</v>
      </c>
      <c r="J263" s="26" t="n">
        <v>0</v>
      </c>
      <c r="K263" s="26" t="n">
        <v>0</v>
      </c>
      <c r="L263" s="26" t="n">
        <v>0</v>
      </c>
      <c r="M263" s="26" t="n">
        <v>0</v>
      </c>
    </row>
    <row r="264" customFormat="false" ht="15" hidden="false" customHeight="false" outlineLevel="0" collapsed="false">
      <c r="A264" s="7" t="s">
        <v>87</v>
      </c>
      <c r="B264" s="7" t="n">
        <v>4403044</v>
      </c>
      <c r="C264" s="7" t="s">
        <v>217</v>
      </c>
      <c r="D264" s="26" t="n">
        <v>474.6</v>
      </c>
      <c r="E264" s="26" t="n">
        <v>0</v>
      </c>
      <c r="F264" s="26" t="n">
        <v>0</v>
      </c>
      <c r="G264" s="26" t="n">
        <v>131.8</v>
      </c>
      <c r="H264" s="26" t="n">
        <v>0</v>
      </c>
      <c r="I264" s="26" t="n">
        <v>0</v>
      </c>
      <c r="J264" s="26" t="n">
        <v>0</v>
      </c>
      <c r="K264" s="26" t="n">
        <v>0</v>
      </c>
      <c r="L264" s="26" t="n">
        <v>0</v>
      </c>
      <c r="M264" s="26" t="n">
        <v>0</v>
      </c>
    </row>
    <row r="265" customFormat="false" ht="15" hidden="false" customHeight="false" outlineLevel="0" collapsed="false">
      <c r="A265" s="7" t="s">
        <v>85</v>
      </c>
      <c r="B265" s="7" t="n">
        <v>4403045</v>
      </c>
      <c r="C265" s="7" t="s">
        <v>218</v>
      </c>
      <c r="D265" s="26" t="n">
        <v>11</v>
      </c>
      <c r="E265" s="26" t="n">
        <v>0</v>
      </c>
      <c r="F265" s="26" t="n">
        <v>0</v>
      </c>
      <c r="G265" s="26" t="n">
        <v>5</v>
      </c>
      <c r="H265" s="26" t="n">
        <v>0</v>
      </c>
      <c r="I265" s="26" t="n">
        <v>0</v>
      </c>
      <c r="J265" s="26" t="n">
        <v>0</v>
      </c>
      <c r="K265" s="26" t="n">
        <v>0</v>
      </c>
      <c r="L265" s="26" t="n">
        <v>0</v>
      </c>
      <c r="M265" s="26" t="n">
        <v>0</v>
      </c>
    </row>
    <row r="266" customFormat="false" ht="15" hidden="false" customHeight="false" outlineLevel="0" collapsed="false">
      <c r="A266" s="7" t="s">
        <v>87</v>
      </c>
      <c r="B266" s="7" t="n">
        <v>4403045</v>
      </c>
      <c r="C266" s="7" t="s">
        <v>218</v>
      </c>
      <c r="D266" s="26" t="n">
        <v>322.5</v>
      </c>
      <c r="E266" s="26" t="n">
        <v>0</v>
      </c>
      <c r="F266" s="26" t="n">
        <v>0</v>
      </c>
      <c r="G266" s="26" t="n">
        <v>131.8</v>
      </c>
      <c r="H266" s="26" t="n">
        <v>0</v>
      </c>
      <c r="I266" s="26" t="n">
        <v>0</v>
      </c>
      <c r="J266" s="26" t="n">
        <v>0</v>
      </c>
      <c r="K266" s="26" t="n">
        <v>0</v>
      </c>
      <c r="L266" s="26" t="n">
        <v>0</v>
      </c>
      <c r="M266" s="26" t="n">
        <v>0</v>
      </c>
    </row>
    <row r="267" customFormat="false" ht="15" hidden="false" customHeight="false" outlineLevel="0" collapsed="false">
      <c r="A267" s="7" t="s">
        <v>85</v>
      </c>
      <c r="B267" s="7" t="n">
        <v>4403031</v>
      </c>
      <c r="C267" s="7" t="s">
        <v>219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0</v>
      </c>
      <c r="J267" s="26" t="n">
        <v>0</v>
      </c>
      <c r="K267" s="26" t="n">
        <v>0</v>
      </c>
      <c r="L267" s="26" t="n">
        <v>0</v>
      </c>
      <c r="M267" s="26" t="n">
        <v>0</v>
      </c>
    </row>
    <row r="268" customFormat="false" ht="15" hidden="false" customHeight="false" outlineLevel="0" collapsed="false">
      <c r="A268" s="7" t="s">
        <v>87</v>
      </c>
      <c r="B268" s="7" t="n">
        <v>4403031</v>
      </c>
      <c r="C268" s="7" t="s">
        <v>219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0</v>
      </c>
      <c r="J268" s="26" t="n">
        <v>0</v>
      </c>
      <c r="K268" s="26" t="n">
        <v>0</v>
      </c>
      <c r="L268" s="26" t="n">
        <v>0</v>
      </c>
      <c r="M268" s="26" t="n">
        <v>0</v>
      </c>
    </row>
    <row r="269" customFormat="false" ht="15" hidden="false" customHeight="false" outlineLevel="0" collapsed="false">
      <c r="A269" s="7" t="s">
        <v>85</v>
      </c>
      <c r="B269" s="7" t="n">
        <v>4403032</v>
      </c>
      <c r="C269" s="7" t="s">
        <v>220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0</v>
      </c>
      <c r="J269" s="26" t="n">
        <v>0</v>
      </c>
      <c r="K269" s="26" t="n">
        <v>0</v>
      </c>
      <c r="L269" s="26" t="n">
        <v>0</v>
      </c>
      <c r="M269" s="26" t="n">
        <v>0</v>
      </c>
    </row>
    <row r="270" customFormat="false" ht="15" hidden="false" customHeight="false" outlineLevel="0" collapsed="false">
      <c r="A270" s="7" t="s">
        <v>87</v>
      </c>
      <c r="B270" s="7" t="n">
        <v>4403032</v>
      </c>
      <c r="C270" s="7" t="s">
        <v>220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0</v>
      </c>
      <c r="J270" s="26" t="n">
        <v>0</v>
      </c>
      <c r="K270" s="26" t="n">
        <v>0</v>
      </c>
      <c r="L270" s="26" t="n">
        <v>0</v>
      </c>
      <c r="M270" s="26" t="n">
        <v>0</v>
      </c>
    </row>
    <row r="271" customFormat="false" ht="15" hidden="false" customHeight="false" outlineLevel="0" collapsed="false">
      <c r="A271" s="7" t="s">
        <v>85</v>
      </c>
      <c r="B271" s="7" t="n">
        <v>4403028</v>
      </c>
      <c r="C271" s="7" t="s">
        <v>221</v>
      </c>
      <c r="D271" s="26" t="n">
        <v>-1</v>
      </c>
      <c r="E271" s="26" t="n">
        <v>0</v>
      </c>
      <c r="F271" s="26" t="n">
        <v>0</v>
      </c>
      <c r="G271" s="26" t="n">
        <v>0</v>
      </c>
      <c r="H271" s="26" t="n">
        <v>-5</v>
      </c>
      <c r="I271" s="26" t="n">
        <v>-2</v>
      </c>
      <c r="J271" s="26" t="n">
        <v>0</v>
      </c>
      <c r="K271" s="26" t="n">
        <v>0</v>
      </c>
      <c r="L271" s="26" t="n">
        <v>0</v>
      </c>
      <c r="M271" s="26" t="n">
        <v>0</v>
      </c>
    </row>
    <row r="272" customFormat="false" ht="15" hidden="false" customHeight="false" outlineLevel="0" collapsed="false">
      <c r="A272" s="7" t="s">
        <v>87</v>
      </c>
      <c r="B272" s="7" t="n">
        <v>4403028</v>
      </c>
      <c r="C272" s="7" t="s">
        <v>221</v>
      </c>
      <c r="D272" s="26" t="n">
        <v>-52.8</v>
      </c>
      <c r="E272" s="26" t="n">
        <v>0</v>
      </c>
      <c r="F272" s="26" t="n">
        <v>0</v>
      </c>
      <c r="G272" s="26" t="n">
        <v>0</v>
      </c>
      <c r="H272" s="26" t="n">
        <v>-258.6</v>
      </c>
      <c r="I272" s="26" t="n">
        <v>-113.7</v>
      </c>
      <c r="J272" s="26" t="n">
        <v>0</v>
      </c>
      <c r="K272" s="26" t="n">
        <v>0</v>
      </c>
      <c r="L272" s="26" t="n">
        <v>0</v>
      </c>
      <c r="M272" s="26" t="n">
        <v>0</v>
      </c>
    </row>
    <row r="273" customFormat="false" ht="15" hidden="false" customHeight="false" outlineLevel="0" collapsed="false">
      <c r="A273" s="7" t="s">
        <v>85</v>
      </c>
      <c r="B273" s="7" t="n">
        <v>4403029</v>
      </c>
      <c r="C273" s="7" t="s">
        <v>222</v>
      </c>
      <c r="D273" s="26" t="n">
        <v>2</v>
      </c>
      <c r="E273" s="26" t="n">
        <v>0</v>
      </c>
      <c r="F273" s="26" t="n">
        <v>0</v>
      </c>
      <c r="G273" s="26" t="n">
        <v>0</v>
      </c>
      <c r="H273" s="26" t="n">
        <v>-3</v>
      </c>
      <c r="I273" s="26" t="n">
        <v>5</v>
      </c>
      <c r="J273" s="26" t="n">
        <v>0</v>
      </c>
      <c r="K273" s="26" t="n">
        <v>0</v>
      </c>
      <c r="L273" s="26" t="n">
        <v>0</v>
      </c>
      <c r="M273" s="26" t="n">
        <v>0</v>
      </c>
    </row>
    <row r="274" customFormat="false" ht="15" hidden="false" customHeight="false" outlineLevel="0" collapsed="false">
      <c r="A274" s="7" t="s">
        <v>87</v>
      </c>
      <c r="B274" s="7" t="n">
        <v>4403029</v>
      </c>
      <c r="C274" s="7" t="s">
        <v>222</v>
      </c>
      <c r="D274" s="26" t="n">
        <v>134.9</v>
      </c>
      <c r="E274" s="26" t="n">
        <v>0</v>
      </c>
      <c r="F274" s="26" t="n">
        <v>0</v>
      </c>
      <c r="G274" s="26" t="n">
        <v>0</v>
      </c>
      <c r="H274" s="26" t="n">
        <v>-153</v>
      </c>
      <c r="I274" s="26" t="n">
        <v>284.2</v>
      </c>
      <c r="J274" s="26" t="n">
        <v>0</v>
      </c>
      <c r="K274" s="26" t="n">
        <v>0</v>
      </c>
      <c r="L274" s="26" t="n">
        <v>0</v>
      </c>
      <c r="M274" s="26" t="n">
        <v>0</v>
      </c>
    </row>
    <row r="275" customFormat="false" ht="15" hidden="false" customHeight="false" outlineLevel="0" collapsed="false">
      <c r="A275" s="7" t="s">
        <v>85</v>
      </c>
      <c r="B275" s="7" t="n">
        <v>4403030</v>
      </c>
      <c r="C275" s="7" t="s">
        <v>223</v>
      </c>
      <c r="D275" s="26" t="n">
        <v>-3</v>
      </c>
      <c r="E275" s="26" t="n">
        <v>0</v>
      </c>
      <c r="F275" s="26" t="n">
        <v>0</v>
      </c>
      <c r="G275" s="26" t="n">
        <v>0</v>
      </c>
      <c r="H275" s="26" t="n">
        <v>-2</v>
      </c>
      <c r="I275" s="26" t="n">
        <v>-2</v>
      </c>
      <c r="J275" s="26" t="n">
        <v>0</v>
      </c>
      <c r="K275" s="26" t="n">
        <v>0</v>
      </c>
      <c r="L275" s="26" t="n">
        <v>0</v>
      </c>
      <c r="M275" s="26" t="n">
        <v>0</v>
      </c>
    </row>
    <row r="276" customFormat="false" ht="15" hidden="false" customHeight="false" outlineLevel="0" collapsed="false">
      <c r="A276" s="7" t="s">
        <v>87</v>
      </c>
      <c r="B276" s="7" t="n">
        <v>4403030</v>
      </c>
      <c r="C276" s="7" t="s">
        <v>223</v>
      </c>
      <c r="D276" s="26" t="n">
        <v>-164.4</v>
      </c>
      <c r="E276" s="26" t="n">
        <v>0</v>
      </c>
      <c r="F276" s="26" t="n">
        <v>0</v>
      </c>
      <c r="G276" s="26" t="n">
        <v>0</v>
      </c>
      <c r="H276" s="26" t="n">
        <v>-102.9</v>
      </c>
      <c r="I276" s="26" t="n">
        <v>-113.7</v>
      </c>
      <c r="J276" s="26" t="n">
        <v>0</v>
      </c>
      <c r="K276" s="26" t="n">
        <v>0</v>
      </c>
      <c r="L276" s="26" t="n">
        <v>0</v>
      </c>
      <c r="M276" s="26" t="n">
        <v>0</v>
      </c>
    </row>
    <row r="277" customFormat="false" ht="15" hidden="false" customHeight="false" outlineLevel="0" collapsed="false">
      <c r="A277" s="7" t="s">
        <v>85</v>
      </c>
      <c r="B277" s="7" t="n">
        <v>4403041</v>
      </c>
      <c r="C277" s="7" t="s">
        <v>224</v>
      </c>
      <c r="D277" s="26" t="n">
        <v>116</v>
      </c>
      <c r="E277" s="26" t="n">
        <v>0</v>
      </c>
      <c r="F277" s="26" t="n">
        <v>0</v>
      </c>
      <c r="G277" s="26" t="n">
        <v>0</v>
      </c>
      <c r="H277" s="26" t="n">
        <v>438</v>
      </c>
      <c r="I277" s="26" t="n">
        <v>0</v>
      </c>
      <c r="J277" s="26" t="n">
        <v>0</v>
      </c>
      <c r="K277" s="26" t="n">
        <v>102</v>
      </c>
      <c r="L277" s="26" t="n">
        <v>0</v>
      </c>
      <c r="M277" s="26" t="n">
        <v>0</v>
      </c>
    </row>
    <row r="278" customFormat="false" ht="15" hidden="false" customHeight="false" outlineLevel="0" collapsed="false">
      <c r="A278" s="7" t="s">
        <v>87</v>
      </c>
      <c r="B278" s="7" t="n">
        <v>4403041</v>
      </c>
      <c r="C278" s="7" t="s">
        <v>224</v>
      </c>
      <c r="D278" s="26" t="n">
        <v>6879.5</v>
      </c>
      <c r="E278" s="26" t="n">
        <v>0</v>
      </c>
      <c r="F278" s="26" t="n">
        <v>0</v>
      </c>
      <c r="G278" s="26" t="n">
        <v>0</v>
      </c>
      <c r="H278" s="26" t="n">
        <v>23933.9</v>
      </c>
      <c r="I278" s="26" t="n">
        <v>0</v>
      </c>
      <c r="J278" s="26" t="n">
        <v>0</v>
      </c>
      <c r="K278" s="26" t="n">
        <v>4264.6</v>
      </c>
      <c r="L278" s="26" t="n">
        <v>0</v>
      </c>
      <c r="M278" s="26" t="n">
        <v>0</v>
      </c>
    </row>
    <row r="279" customFormat="false" ht="15" hidden="false" customHeight="false" outlineLevel="0" collapsed="false">
      <c r="A279" s="7" t="s">
        <v>85</v>
      </c>
      <c r="B279" s="7" t="n">
        <v>4403042</v>
      </c>
      <c r="C279" s="7" t="s">
        <v>225</v>
      </c>
      <c r="D279" s="26" t="n">
        <v>190</v>
      </c>
      <c r="E279" s="26" t="n">
        <v>0</v>
      </c>
      <c r="F279" s="26" t="n">
        <v>0</v>
      </c>
      <c r="G279" s="26" t="n">
        <v>0</v>
      </c>
      <c r="H279" s="26" t="n">
        <v>654</v>
      </c>
      <c r="I279" s="26" t="n">
        <v>0</v>
      </c>
      <c r="J279" s="26" t="n">
        <v>0</v>
      </c>
      <c r="K279" s="26" t="n">
        <v>147</v>
      </c>
      <c r="L279" s="26" t="n">
        <v>0</v>
      </c>
      <c r="M279" s="26" t="n">
        <v>0</v>
      </c>
    </row>
    <row r="280" customFormat="false" ht="15" hidden="false" customHeight="false" outlineLevel="0" collapsed="false">
      <c r="A280" s="7" t="s">
        <v>87</v>
      </c>
      <c r="B280" s="7" t="n">
        <v>4403042</v>
      </c>
      <c r="C280" s="7" t="s">
        <v>225</v>
      </c>
      <c r="D280" s="26" t="n">
        <v>11246.6</v>
      </c>
      <c r="E280" s="26" t="n">
        <v>0</v>
      </c>
      <c r="F280" s="26" t="n">
        <v>0</v>
      </c>
      <c r="G280" s="26" t="n">
        <v>0</v>
      </c>
      <c r="H280" s="26" t="n">
        <v>35726</v>
      </c>
      <c r="I280" s="26" t="n">
        <v>0</v>
      </c>
      <c r="J280" s="26" t="n">
        <v>0</v>
      </c>
      <c r="K280" s="26" t="n">
        <v>6146.1</v>
      </c>
      <c r="L280" s="26" t="n">
        <v>0</v>
      </c>
      <c r="M280" s="26" t="n">
        <v>0</v>
      </c>
    </row>
    <row r="281" customFormat="false" ht="15" hidden="false" customHeight="false" outlineLevel="0" collapsed="false">
      <c r="A281" s="7" t="s">
        <v>85</v>
      </c>
      <c r="B281" s="7" t="n">
        <v>4403043</v>
      </c>
      <c r="C281" s="7" t="s">
        <v>226</v>
      </c>
      <c r="D281" s="26" t="n">
        <v>150</v>
      </c>
      <c r="E281" s="26" t="n">
        <v>0</v>
      </c>
      <c r="F281" s="26" t="n">
        <v>0</v>
      </c>
      <c r="G281" s="26" t="n">
        <v>0</v>
      </c>
      <c r="H281" s="26" t="n">
        <v>480</v>
      </c>
      <c r="I281" s="26" t="n">
        <v>0</v>
      </c>
      <c r="J281" s="26" t="n">
        <v>0</v>
      </c>
      <c r="K281" s="26" t="n">
        <v>167</v>
      </c>
      <c r="L281" s="26" t="n">
        <v>0</v>
      </c>
      <c r="M281" s="26" t="n">
        <v>0</v>
      </c>
    </row>
    <row r="282" customFormat="false" ht="15" hidden="false" customHeight="false" outlineLevel="0" collapsed="false">
      <c r="A282" s="7" t="s">
        <v>87</v>
      </c>
      <c r="B282" s="7" t="n">
        <v>4403043</v>
      </c>
      <c r="C282" s="7" t="s">
        <v>226</v>
      </c>
      <c r="D282" s="26" t="n">
        <v>8894.4</v>
      </c>
      <c r="E282" s="26" t="n">
        <v>0</v>
      </c>
      <c r="F282" s="26" t="n">
        <v>0</v>
      </c>
      <c r="G282" s="26" t="n">
        <v>0</v>
      </c>
      <c r="H282" s="26" t="n">
        <v>26197.1</v>
      </c>
      <c r="I282" s="26" t="n">
        <v>0</v>
      </c>
      <c r="J282" s="26" t="n">
        <v>0</v>
      </c>
      <c r="K282" s="26" t="n">
        <v>6605.9</v>
      </c>
      <c r="L282" s="26" t="n">
        <v>0</v>
      </c>
      <c r="M282" s="26" t="n">
        <v>0</v>
      </c>
    </row>
    <row r="283" customFormat="false" ht="15" hidden="false" customHeight="false" outlineLevel="0" collapsed="false">
      <c r="A283" s="7" t="s">
        <v>85</v>
      </c>
      <c r="B283" s="7" t="n">
        <v>4403005</v>
      </c>
      <c r="C283" s="7" t="s">
        <v>227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18</v>
      </c>
      <c r="I283" s="26" t="n">
        <v>0</v>
      </c>
      <c r="J283" s="26" t="n">
        <v>0</v>
      </c>
      <c r="K283" s="26" t="n">
        <v>3</v>
      </c>
      <c r="L283" s="26" t="n">
        <v>0</v>
      </c>
      <c r="M283" s="26" t="n">
        <v>0</v>
      </c>
    </row>
    <row r="284" customFormat="false" ht="15" hidden="false" customHeight="false" outlineLevel="0" collapsed="false">
      <c r="A284" s="7" t="s">
        <v>87</v>
      </c>
      <c r="B284" s="7" t="n">
        <v>4403005</v>
      </c>
      <c r="C284" s="7" t="s">
        <v>227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530.1</v>
      </c>
      <c r="I284" s="26" t="n">
        <v>0</v>
      </c>
      <c r="J284" s="26" t="n">
        <v>0</v>
      </c>
      <c r="K284" s="26" t="n">
        <v>53.1</v>
      </c>
      <c r="L284" s="26" t="n">
        <v>0</v>
      </c>
      <c r="M284" s="26" t="n">
        <v>0</v>
      </c>
    </row>
    <row r="285" customFormat="false" ht="15" hidden="false" customHeight="false" outlineLevel="0" collapsed="false">
      <c r="A285" s="7" t="s">
        <v>85</v>
      </c>
      <c r="B285" s="7" t="n">
        <v>4403034</v>
      </c>
      <c r="C285" s="7" t="s">
        <v>228</v>
      </c>
      <c r="D285" s="26" t="n">
        <v>2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0</v>
      </c>
      <c r="J285" s="26" t="n">
        <v>0</v>
      </c>
      <c r="K285" s="26" t="n">
        <v>0</v>
      </c>
      <c r="L285" s="26" t="n">
        <v>0</v>
      </c>
      <c r="M285" s="26" t="n">
        <v>0</v>
      </c>
    </row>
    <row r="286" customFormat="false" ht="15" hidden="false" customHeight="false" outlineLevel="0" collapsed="false">
      <c r="A286" s="7" t="s">
        <v>87</v>
      </c>
      <c r="B286" s="7" t="n">
        <v>4403034</v>
      </c>
      <c r="C286" s="7" t="s">
        <v>228</v>
      </c>
      <c r="D286" s="26" t="n">
        <v>184.6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0</v>
      </c>
      <c r="L286" s="26" t="n">
        <v>0</v>
      </c>
      <c r="M286" s="26" t="n">
        <v>0</v>
      </c>
    </row>
    <row r="287" customFormat="false" ht="15" hidden="false" customHeight="false" outlineLevel="0" collapsed="false">
      <c r="A287" s="7" t="s">
        <v>85</v>
      </c>
      <c r="B287" s="7" t="n">
        <v>4403035</v>
      </c>
      <c r="C287" s="7" t="s">
        <v>229</v>
      </c>
      <c r="D287" s="26" t="n">
        <v>1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0</v>
      </c>
      <c r="L287" s="26" t="n">
        <v>0</v>
      </c>
      <c r="M287" s="26" t="n">
        <v>0</v>
      </c>
    </row>
    <row r="288" customFormat="false" ht="15" hidden="false" customHeight="false" outlineLevel="0" collapsed="false">
      <c r="A288" s="7" t="s">
        <v>87</v>
      </c>
      <c r="B288" s="7" t="n">
        <v>4403035</v>
      </c>
      <c r="C288" s="7" t="s">
        <v>229</v>
      </c>
      <c r="D288" s="26" t="n">
        <v>92.3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0</v>
      </c>
      <c r="L288" s="26" t="n">
        <v>0</v>
      </c>
      <c r="M288" s="26" t="n">
        <v>0</v>
      </c>
    </row>
    <row r="289" customFormat="false" ht="15" hidden="false" customHeight="false" outlineLevel="0" collapsed="false">
      <c r="A289" s="7" t="s">
        <v>85</v>
      </c>
      <c r="B289" s="7" t="n">
        <v>4408002</v>
      </c>
      <c r="C289" s="7" t="s">
        <v>230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0</v>
      </c>
      <c r="L289" s="26" t="n">
        <v>0</v>
      </c>
      <c r="M289" s="26" t="n">
        <v>0</v>
      </c>
    </row>
    <row r="290" customFormat="false" ht="15" hidden="false" customHeight="false" outlineLevel="0" collapsed="false">
      <c r="A290" s="7" t="s">
        <v>87</v>
      </c>
      <c r="B290" s="7" t="n">
        <v>4408002</v>
      </c>
      <c r="C290" s="7" t="s">
        <v>230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0</v>
      </c>
      <c r="J290" s="26" t="n">
        <v>0</v>
      </c>
      <c r="K290" s="26" t="n">
        <v>0</v>
      </c>
      <c r="L290" s="26" t="n">
        <v>0</v>
      </c>
      <c r="M290" s="26" t="n">
        <v>0</v>
      </c>
    </row>
    <row r="291" customFormat="false" ht="15" hidden="false" customHeight="false" outlineLevel="0" collapsed="false">
      <c r="A291" s="7" t="s">
        <v>85</v>
      </c>
      <c r="B291" s="7" t="n">
        <v>4408003</v>
      </c>
      <c r="C291" s="7" t="s">
        <v>231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0</v>
      </c>
      <c r="J291" s="26" t="n">
        <v>0</v>
      </c>
      <c r="K291" s="26" t="n">
        <v>0</v>
      </c>
      <c r="L291" s="26" t="n">
        <v>0</v>
      </c>
      <c r="M291" s="26" t="n">
        <v>0</v>
      </c>
    </row>
    <row r="292" customFormat="false" ht="15" hidden="false" customHeight="false" outlineLevel="0" collapsed="false">
      <c r="A292" s="7" t="s">
        <v>87</v>
      </c>
      <c r="B292" s="7" t="n">
        <v>4408003</v>
      </c>
      <c r="C292" s="7" t="s">
        <v>231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0</v>
      </c>
      <c r="J292" s="26" t="n">
        <v>0</v>
      </c>
      <c r="K292" s="26" t="n">
        <v>0</v>
      </c>
      <c r="L292" s="26" t="n">
        <v>0</v>
      </c>
      <c r="M292" s="26" t="n">
        <v>0</v>
      </c>
    </row>
    <row r="293" customFormat="false" ht="15" hidden="false" customHeight="false" outlineLevel="0" collapsed="false">
      <c r="A293" s="7" t="s">
        <v>85</v>
      </c>
      <c r="B293" s="7" t="n">
        <v>4408000</v>
      </c>
      <c r="C293" s="7" t="s">
        <v>232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0</v>
      </c>
      <c r="J293" s="26" t="n">
        <v>0</v>
      </c>
      <c r="K293" s="26" t="n">
        <v>0</v>
      </c>
      <c r="L293" s="26" t="n">
        <v>0</v>
      </c>
      <c r="M293" s="26" t="n">
        <v>0</v>
      </c>
    </row>
    <row r="294" customFormat="false" ht="15" hidden="false" customHeight="false" outlineLevel="0" collapsed="false">
      <c r="A294" s="7" t="s">
        <v>87</v>
      </c>
      <c r="B294" s="7" t="n">
        <v>4408000</v>
      </c>
      <c r="C294" s="7" t="s">
        <v>232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0</v>
      </c>
      <c r="L294" s="26" t="n">
        <v>0</v>
      </c>
      <c r="M294" s="26" t="n">
        <v>0</v>
      </c>
    </row>
    <row r="295" customFormat="false" ht="15" hidden="false" customHeight="false" outlineLevel="0" collapsed="false">
      <c r="A295" s="7" t="s">
        <v>85</v>
      </c>
      <c r="B295" s="7" t="n">
        <v>4408004</v>
      </c>
      <c r="C295" s="7" t="s">
        <v>233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0</v>
      </c>
      <c r="L295" s="26" t="n">
        <v>0</v>
      </c>
      <c r="M295" s="26" t="n">
        <v>0</v>
      </c>
    </row>
    <row r="296" customFormat="false" ht="15" hidden="false" customHeight="false" outlineLevel="0" collapsed="false">
      <c r="A296" s="7" t="s">
        <v>87</v>
      </c>
      <c r="B296" s="7" t="n">
        <v>4408004</v>
      </c>
      <c r="C296" s="7" t="s">
        <v>233</v>
      </c>
      <c r="D296" s="26" t="n">
        <v>0</v>
      </c>
      <c r="E296" s="26" t="n">
        <v>0</v>
      </c>
      <c r="F296" s="26" t="n">
        <v>0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  <c r="L296" s="26" t="n">
        <v>0</v>
      </c>
      <c r="M296" s="26" t="n">
        <v>0</v>
      </c>
    </row>
    <row r="297" customFormat="false" ht="15" hidden="false" customHeight="false" outlineLevel="0" collapsed="false">
      <c r="A297" s="7" t="s">
        <v>85</v>
      </c>
      <c r="B297" s="7" t="n">
        <v>4408005</v>
      </c>
      <c r="C297" s="7" t="s">
        <v>234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  <c r="L297" s="26" t="n">
        <v>0</v>
      </c>
      <c r="M297" s="26" t="n">
        <v>0</v>
      </c>
    </row>
    <row r="298" customFormat="false" ht="15" hidden="false" customHeight="false" outlineLevel="0" collapsed="false">
      <c r="A298" s="7" t="s">
        <v>87</v>
      </c>
      <c r="B298" s="7" t="n">
        <v>4408005</v>
      </c>
      <c r="C298" s="7" t="s">
        <v>234</v>
      </c>
      <c r="D298" s="26" t="n">
        <v>0</v>
      </c>
      <c r="E298" s="26" t="n">
        <v>0</v>
      </c>
      <c r="F298" s="26" t="n">
        <v>0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  <c r="L298" s="26" t="n">
        <v>0</v>
      </c>
      <c r="M298" s="26" t="n">
        <v>0</v>
      </c>
    </row>
    <row r="299" customFormat="false" ht="15" hidden="false" customHeight="false" outlineLevel="0" collapsed="false">
      <c r="A299" s="7" t="s">
        <v>85</v>
      </c>
      <c r="B299" s="7" t="n">
        <v>4408121</v>
      </c>
      <c r="C299" s="7" t="s">
        <v>235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6" t="n">
        <v>0</v>
      </c>
      <c r="J299" s="26" t="n">
        <v>0</v>
      </c>
      <c r="K299" s="26" t="n">
        <v>0</v>
      </c>
      <c r="L299" s="26" t="n">
        <v>0</v>
      </c>
      <c r="M299" s="26" t="n">
        <v>0</v>
      </c>
    </row>
    <row r="300" customFormat="false" ht="15" hidden="false" customHeight="false" outlineLevel="0" collapsed="false">
      <c r="A300" s="7" t="s">
        <v>87</v>
      </c>
      <c r="B300" s="7" t="n">
        <v>4408121</v>
      </c>
      <c r="C300" s="7" t="s">
        <v>235</v>
      </c>
      <c r="D300" s="26" t="n">
        <v>0</v>
      </c>
      <c r="E300" s="26" t="n">
        <v>0</v>
      </c>
      <c r="F300" s="26" t="n">
        <v>0</v>
      </c>
      <c r="G300" s="26" t="n">
        <v>0</v>
      </c>
      <c r="H300" s="26" t="n">
        <v>0</v>
      </c>
      <c r="I300" s="26" t="n">
        <v>0</v>
      </c>
      <c r="J300" s="26" t="n">
        <v>0</v>
      </c>
      <c r="K300" s="26" t="n">
        <v>0</v>
      </c>
      <c r="L300" s="26" t="n">
        <v>0</v>
      </c>
      <c r="M300" s="26" t="n">
        <v>0</v>
      </c>
    </row>
    <row r="301" customFormat="false" ht="15" hidden="false" customHeight="false" outlineLevel="0" collapsed="false">
      <c r="A301" s="7" t="s">
        <v>85</v>
      </c>
      <c r="B301" s="7" t="n">
        <v>4408119</v>
      </c>
      <c r="C301" s="7" t="s">
        <v>236</v>
      </c>
      <c r="D301" s="26" t="n">
        <v>1</v>
      </c>
      <c r="E301" s="26" t="n">
        <v>0</v>
      </c>
      <c r="F301" s="26" t="n">
        <v>0</v>
      </c>
      <c r="G301" s="26" t="n">
        <v>0</v>
      </c>
      <c r="H301" s="26" t="n">
        <v>0</v>
      </c>
      <c r="I301" s="26" t="n">
        <v>0</v>
      </c>
      <c r="J301" s="26" t="n">
        <v>0</v>
      </c>
      <c r="K301" s="26" t="n">
        <v>0</v>
      </c>
      <c r="L301" s="26" t="n">
        <v>0</v>
      </c>
      <c r="M301" s="26" t="n">
        <v>0</v>
      </c>
    </row>
    <row r="302" customFormat="false" ht="15" hidden="false" customHeight="false" outlineLevel="0" collapsed="false">
      <c r="A302" s="7" t="s">
        <v>87</v>
      </c>
      <c r="B302" s="7" t="n">
        <v>4408119</v>
      </c>
      <c r="C302" s="7" t="s">
        <v>236</v>
      </c>
      <c r="D302" s="26" t="n">
        <v>140.6</v>
      </c>
      <c r="E302" s="26" t="n">
        <v>0</v>
      </c>
      <c r="F302" s="26" t="n">
        <v>0</v>
      </c>
      <c r="G302" s="26" t="n">
        <v>0</v>
      </c>
      <c r="H302" s="26" t="n">
        <v>0</v>
      </c>
      <c r="I302" s="26" t="n">
        <v>0</v>
      </c>
      <c r="J302" s="26" t="n">
        <v>0</v>
      </c>
      <c r="K302" s="26" t="n">
        <v>0</v>
      </c>
      <c r="L302" s="26" t="n">
        <v>0</v>
      </c>
      <c r="M302" s="26" t="n">
        <v>0</v>
      </c>
    </row>
    <row r="303" customFormat="false" ht="15" hidden="false" customHeight="false" outlineLevel="0" collapsed="false">
      <c r="A303" s="7" t="s">
        <v>85</v>
      </c>
      <c r="B303" s="7" t="n">
        <v>4408118</v>
      </c>
      <c r="C303" s="7" t="s">
        <v>237</v>
      </c>
      <c r="D303" s="26" t="n">
        <v>0</v>
      </c>
      <c r="E303" s="26" t="n">
        <v>0</v>
      </c>
      <c r="F303" s="26" t="n">
        <v>0</v>
      </c>
      <c r="G303" s="26" t="n">
        <v>0</v>
      </c>
      <c r="H303" s="26" t="n">
        <v>0</v>
      </c>
      <c r="I303" s="26" t="n">
        <v>0</v>
      </c>
      <c r="J303" s="26" t="n">
        <v>0</v>
      </c>
      <c r="K303" s="26" t="n">
        <v>0</v>
      </c>
      <c r="L303" s="26" t="n">
        <v>0</v>
      </c>
      <c r="M303" s="26" t="n">
        <v>0</v>
      </c>
    </row>
    <row r="304" customFormat="false" ht="15" hidden="false" customHeight="false" outlineLevel="0" collapsed="false">
      <c r="A304" s="7" t="s">
        <v>87</v>
      </c>
      <c r="B304" s="7" t="n">
        <v>4408118</v>
      </c>
      <c r="C304" s="7" t="s">
        <v>237</v>
      </c>
      <c r="D304" s="26" t="n">
        <v>0</v>
      </c>
      <c r="E304" s="26" t="n">
        <v>0</v>
      </c>
      <c r="F304" s="26" t="n">
        <v>0</v>
      </c>
      <c r="G304" s="26" t="n">
        <v>0</v>
      </c>
      <c r="H304" s="26" t="n">
        <v>0</v>
      </c>
      <c r="I304" s="26" t="n">
        <v>0</v>
      </c>
      <c r="J304" s="26" t="n">
        <v>0</v>
      </c>
      <c r="K304" s="26" t="n">
        <v>0</v>
      </c>
      <c r="L304" s="26" t="n">
        <v>0</v>
      </c>
      <c r="M304" s="26" t="n">
        <v>0</v>
      </c>
    </row>
    <row r="305" customFormat="false" ht="15" hidden="false" customHeight="false" outlineLevel="0" collapsed="false">
      <c r="A305" s="7" t="s">
        <v>85</v>
      </c>
      <c r="B305" s="7" t="n">
        <v>4408120</v>
      </c>
      <c r="C305" s="7" t="s">
        <v>238</v>
      </c>
      <c r="D305" s="26" t="n">
        <v>1</v>
      </c>
      <c r="E305" s="26" t="n">
        <v>0</v>
      </c>
      <c r="F305" s="26" t="n">
        <v>0</v>
      </c>
      <c r="G305" s="26" t="n">
        <v>0</v>
      </c>
      <c r="H305" s="26" t="n">
        <v>0</v>
      </c>
      <c r="I305" s="26" t="n">
        <v>0</v>
      </c>
      <c r="J305" s="26" t="n">
        <v>0</v>
      </c>
      <c r="K305" s="26" t="n">
        <v>0</v>
      </c>
      <c r="L305" s="26" t="n">
        <v>0</v>
      </c>
      <c r="M305" s="26" t="n">
        <v>0</v>
      </c>
    </row>
    <row r="306" customFormat="false" ht="15" hidden="false" customHeight="false" outlineLevel="0" collapsed="false">
      <c r="A306" s="7" t="s">
        <v>87</v>
      </c>
      <c r="B306" s="7" t="n">
        <v>4408120</v>
      </c>
      <c r="C306" s="7" t="s">
        <v>238</v>
      </c>
      <c r="D306" s="26" t="n">
        <v>112.5</v>
      </c>
      <c r="E306" s="26" t="n">
        <v>0</v>
      </c>
      <c r="F306" s="26" t="n">
        <v>0</v>
      </c>
      <c r="G306" s="26" t="n">
        <v>0</v>
      </c>
      <c r="H306" s="26" t="n">
        <v>0</v>
      </c>
      <c r="I306" s="26" t="n">
        <v>0</v>
      </c>
      <c r="J306" s="26" t="n">
        <v>0</v>
      </c>
      <c r="K306" s="26" t="n">
        <v>0</v>
      </c>
      <c r="L306" s="26" t="n">
        <v>0</v>
      </c>
      <c r="M306" s="26" t="n">
        <v>0</v>
      </c>
    </row>
    <row r="307" customFormat="false" ht="15" hidden="false" customHeight="false" outlineLevel="0" collapsed="false">
      <c r="A307" s="7" t="s">
        <v>85</v>
      </c>
      <c r="B307" s="7" t="n">
        <v>4408140</v>
      </c>
      <c r="C307" s="7" t="s">
        <v>239</v>
      </c>
      <c r="D307" s="26" t="n">
        <v>0</v>
      </c>
      <c r="E307" s="26" t="n">
        <v>0</v>
      </c>
      <c r="F307" s="26" t="n">
        <v>0</v>
      </c>
      <c r="G307" s="26" t="n">
        <v>0</v>
      </c>
      <c r="H307" s="26" t="n">
        <v>0</v>
      </c>
      <c r="I307" s="26" t="n">
        <v>0</v>
      </c>
      <c r="J307" s="26" t="n">
        <v>0</v>
      </c>
      <c r="K307" s="26" t="n">
        <v>0</v>
      </c>
      <c r="L307" s="26" t="n">
        <v>0</v>
      </c>
      <c r="M307" s="26" t="n">
        <v>0</v>
      </c>
    </row>
    <row r="308" customFormat="false" ht="15" hidden="false" customHeight="false" outlineLevel="0" collapsed="false">
      <c r="A308" s="7" t="s">
        <v>87</v>
      </c>
      <c r="B308" s="7" t="n">
        <v>4408140</v>
      </c>
      <c r="C308" s="7" t="s">
        <v>239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0</v>
      </c>
      <c r="L308" s="26" t="n">
        <v>0</v>
      </c>
      <c r="M308" s="26" t="n">
        <v>0</v>
      </c>
    </row>
    <row r="309" customFormat="false" ht="15" hidden="false" customHeight="false" outlineLevel="0" collapsed="false">
      <c r="A309" s="7" t="s">
        <v>85</v>
      </c>
      <c r="B309" s="7" t="n">
        <v>4408245</v>
      </c>
      <c r="C309" s="7" t="s">
        <v>240</v>
      </c>
      <c r="D309" s="26" t="n">
        <v>3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0</v>
      </c>
      <c r="L309" s="26" t="n">
        <v>0</v>
      </c>
      <c r="M309" s="26" t="n">
        <v>0</v>
      </c>
    </row>
    <row r="310" customFormat="false" ht="15" hidden="false" customHeight="false" outlineLevel="0" collapsed="false">
      <c r="A310" s="7" t="s">
        <v>87</v>
      </c>
      <c r="B310" s="7" t="n">
        <v>4408245</v>
      </c>
      <c r="C310" s="7" t="s">
        <v>240</v>
      </c>
      <c r="D310" s="26" t="n">
        <v>520.1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0</v>
      </c>
      <c r="L310" s="26" t="n">
        <v>0</v>
      </c>
      <c r="M310" s="26" t="n">
        <v>0</v>
      </c>
    </row>
    <row r="311" customFormat="false" ht="15" hidden="false" customHeight="false" outlineLevel="0" collapsed="false">
      <c r="A311" s="7" t="s">
        <v>85</v>
      </c>
      <c r="B311" s="7" t="n">
        <v>4408135</v>
      </c>
      <c r="C311" s="7" t="s">
        <v>241</v>
      </c>
      <c r="D311" s="26" t="n">
        <v>8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0</v>
      </c>
      <c r="L311" s="26" t="n">
        <v>0</v>
      </c>
      <c r="M311" s="26" t="n">
        <v>0</v>
      </c>
    </row>
    <row r="312" customFormat="false" ht="15" hidden="false" customHeight="false" outlineLevel="0" collapsed="false">
      <c r="A312" s="7" t="s">
        <v>87</v>
      </c>
      <c r="B312" s="7" t="n">
        <v>4408135</v>
      </c>
      <c r="C312" s="7" t="s">
        <v>241</v>
      </c>
      <c r="D312" s="26" t="n">
        <v>1113.6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0</v>
      </c>
      <c r="L312" s="26" t="n">
        <v>0</v>
      </c>
      <c r="M312" s="26" t="n">
        <v>0</v>
      </c>
    </row>
    <row r="313" customFormat="false" ht="15" hidden="false" customHeight="false" outlineLevel="0" collapsed="false">
      <c r="A313" s="7" t="s">
        <v>85</v>
      </c>
      <c r="B313" s="7" t="n">
        <v>4408134</v>
      </c>
      <c r="C313" s="7" t="s">
        <v>242</v>
      </c>
      <c r="D313" s="26" t="n">
        <v>8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0</v>
      </c>
      <c r="J313" s="26" t="n">
        <v>0</v>
      </c>
      <c r="K313" s="26" t="n">
        <v>0</v>
      </c>
      <c r="L313" s="26" t="n">
        <v>0</v>
      </c>
      <c r="M313" s="26" t="n">
        <v>0</v>
      </c>
    </row>
    <row r="314" customFormat="false" ht="15" hidden="false" customHeight="false" outlineLevel="0" collapsed="false">
      <c r="A314" s="7" t="s">
        <v>87</v>
      </c>
      <c r="B314" s="7" t="n">
        <v>4408134</v>
      </c>
      <c r="C314" s="7" t="s">
        <v>242</v>
      </c>
      <c r="D314" s="26" t="n">
        <v>1093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0</v>
      </c>
      <c r="J314" s="26" t="n">
        <v>0</v>
      </c>
      <c r="K314" s="26" t="n">
        <v>0</v>
      </c>
      <c r="L314" s="26" t="n">
        <v>0</v>
      </c>
      <c r="M314" s="26" t="n">
        <v>0</v>
      </c>
    </row>
    <row r="315" customFormat="false" ht="15" hidden="false" customHeight="false" outlineLevel="0" collapsed="false">
      <c r="A315" s="7" t="s">
        <v>85</v>
      </c>
      <c r="B315" s="7" t="n">
        <v>4408192</v>
      </c>
      <c r="C315" s="7" t="s">
        <v>243</v>
      </c>
      <c r="D315" s="26" t="n">
        <v>55</v>
      </c>
      <c r="E315" s="26" t="n">
        <v>0</v>
      </c>
      <c r="F315" s="26" t="n">
        <v>0</v>
      </c>
      <c r="G315" s="26" t="n">
        <v>0</v>
      </c>
      <c r="H315" s="26" t="n">
        <v>83</v>
      </c>
      <c r="I315" s="26" t="n">
        <v>0</v>
      </c>
      <c r="J315" s="26" t="n">
        <v>0</v>
      </c>
      <c r="K315" s="26" t="n">
        <v>69</v>
      </c>
      <c r="L315" s="26" t="n">
        <v>0</v>
      </c>
      <c r="M315" s="26" t="n">
        <v>0</v>
      </c>
    </row>
    <row r="316" customFormat="false" ht="15" hidden="false" customHeight="false" outlineLevel="0" collapsed="false">
      <c r="A316" s="7" t="s">
        <v>87</v>
      </c>
      <c r="B316" s="7" t="n">
        <v>4408192</v>
      </c>
      <c r="C316" s="7" t="s">
        <v>243</v>
      </c>
      <c r="D316" s="26" t="n">
        <v>6254.8</v>
      </c>
      <c r="E316" s="26" t="n">
        <v>0</v>
      </c>
      <c r="F316" s="26" t="n">
        <v>0</v>
      </c>
      <c r="G316" s="26" t="n">
        <v>0</v>
      </c>
      <c r="H316" s="26" t="n">
        <v>8332.2</v>
      </c>
      <c r="I316" s="26" t="n">
        <v>0</v>
      </c>
      <c r="J316" s="26" t="n">
        <v>0</v>
      </c>
      <c r="K316" s="26" t="n">
        <v>4241.3</v>
      </c>
      <c r="L316" s="26" t="n">
        <v>0</v>
      </c>
      <c r="M316" s="26" t="n">
        <v>0</v>
      </c>
    </row>
    <row r="317" customFormat="false" ht="15" hidden="false" customHeight="false" outlineLevel="0" collapsed="false">
      <c r="A317" s="7" t="s">
        <v>85</v>
      </c>
      <c r="B317" s="7" t="n">
        <v>4408233</v>
      </c>
      <c r="C317" s="7" t="s">
        <v>244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0</v>
      </c>
      <c r="J317" s="26" t="n">
        <v>0</v>
      </c>
      <c r="K317" s="26" t="n">
        <v>0</v>
      </c>
      <c r="L317" s="26" t="n">
        <v>0</v>
      </c>
      <c r="M317" s="26" t="n">
        <v>0</v>
      </c>
    </row>
    <row r="318" customFormat="false" ht="15" hidden="false" customHeight="false" outlineLevel="0" collapsed="false">
      <c r="A318" s="7" t="s">
        <v>87</v>
      </c>
      <c r="B318" s="7" t="n">
        <v>4408233</v>
      </c>
      <c r="C318" s="7" t="s">
        <v>244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0</v>
      </c>
      <c r="J318" s="26" t="n">
        <v>0</v>
      </c>
      <c r="K318" s="26" t="n">
        <v>0</v>
      </c>
      <c r="L318" s="26" t="n">
        <v>0</v>
      </c>
      <c r="M318" s="26" t="n">
        <v>0</v>
      </c>
    </row>
    <row r="319" customFormat="false" ht="15" hidden="false" customHeight="false" outlineLevel="0" collapsed="false">
      <c r="A319" s="7" t="s">
        <v>85</v>
      </c>
      <c r="B319" s="7" t="n">
        <v>4408234</v>
      </c>
      <c r="C319" s="7" t="s">
        <v>245</v>
      </c>
      <c r="D319" s="26" t="n">
        <v>1</v>
      </c>
      <c r="E319" s="26" t="n">
        <v>0</v>
      </c>
      <c r="F319" s="26" t="n">
        <v>0</v>
      </c>
      <c r="G319" s="26" t="n">
        <v>0</v>
      </c>
      <c r="H319" s="26" t="n">
        <v>-2</v>
      </c>
      <c r="I319" s="26" t="n">
        <v>-1</v>
      </c>
      <c r="J319" s="26" t="n">
        <v>0</v>
      </c>
      <c r="K319" s="26" t="n">
        <v>0</v>
      </c>
      <c r="L319" s="26" t="n">
        <v>0</v>
      </c>
      <c r="M319" s="26" t="n">
        <v>-1</v>
      </c>
    </row>
    <row r="320" customFormat="false" ht="15" hidden="false" customHeight="false" outlineLevel="0" collapsed="false">
      <c r="A320" s="7" t="s">
        <v>87</v>
      </c>
      <c r="B320" s="7" t="n">
        <v>4408234</v>
      </c>
      <c r="C320" s="7" t="s">
        <v>245</v>
      </c>
      <c r="D320" s="26" t="n">
        <v>111</v>
      </c>
      <c r="E320" s="26" t="n">
        <v>0</v>
      </c>
      <c r="F320" s="26" t="n">
        <v>0</v>
      </c>
      <c r="G320" s="26" t="n">
        <v>0</v>
      </c>
      <c r="H320" s="26" t="n">
        <v>-179.7</v>
      </c>
      <c r="I320" s="26" t="n">
        <v>-99.2</v>
      </c>
      <c r="J320" s="26" t="n">
        <v>0</v>
      </c>
      <c r="K320" s="26" t="n">
        <v>0</v>
      </c>
      <c r="L320" s="26" t="n">
        <v>0</v>
      </c>
      <c r="M320" s="26" t="n">
        <v>-148.1</v>
      </c>
    </row>
    <row r="321" customFormat="false" ht="15" hidden="false" customHeight="false" outlineLevel="0" collapsed="false">
      <c r="A321" s="7" t="s">
        <v>85</v>
      </c>
      <c r="B321" s="7" t="n">
        <v>4408235</v>
      </c>
      <c r="C321" s="7" t="s">
        <v>246</v>
      </c>
      <c r="D321" s="26" t="n">
        <v>1</v>
      </c>
      <c r="E321" s="26" t="n">
        <v>0</v>
      </c>
      <c r="F321" s="26" t="n">
        <v>0</v>
      </c>
      <c r="G321" s="26" t="n">
        <v>0</v>
      </c>
      <c r="H321" s="26" t="n">
        <v>-14</v>
      </c>
      <c r="I321" s="26" t="n">
        <v>-3</v>
      </c>
      <c r="J321" s="26" t="n">
        <v>0</v>
      </c>
      <c r="K321" s="26" t="n">
        <v>0</v>
      </c>
      <c r="L321" s="26" t="n">
        <v>0</v>
      </c>
      <c r="M321" s="26" t="n">
        <v>0</v>
      </c>
    </row>
    <row r="322" customFormat="false" ht="15" hidden="false" customHeight="false" outlineLevel="0" collapsed="false">
      <c r="A322" s="7" t="s">
        <v>87</v>
      </c>
      <c r="B322" s="7" t="n">
        <v>4408235</v>
      </c>
      <c r="C322" s="7" t="s">
        <v>246</v>
      </c>
      <c r="D322" s="26" t="n">
        <v>111</v>
      </c>
      <c r="E322" s="26" t="n">
        <v>0</v>
      </c>
      <c r="F322" s="26" t="n">
        <v>0</v>
      </c>
      <c r="G322" s="26" t="n">
        <v>0</v>
      </c>
      <c r="H322" s="26" t="n">
        <v>-1290</v>
      </c>
      <c r="I322" s="26" t="n">
        <v>-297.7</v>
      </c>
      <c r="J322" s="26" t="n">
        <v>0</v>
      </c>
      <c r="K322" s="26" t="n">
        <v>0</v>
      </c>
      <c r="L322" s="26" t="n">
        <v>0</v>
      </c>
      <c r="M322" s="26" t="n">
        <v>0</v>
      </c>
    </row>
    <row r="323" customFormat="false" ht="15" hidden="false" customHeight="false" outlineLevel="0" collapsed="false">
      <c r="A323" s="7" t="s">
        <v>85</v>
      </c>
      <c r="B323" s="7" t="n">
        <v>4408236</v>
      </c>
      <c r="C323" s="7" t="s">
        <v>247</v>
      </c>
      <c r="D323" s="26" t="n">
        <v>0</v>
      </c>
      <c r="E323" s="26" t="n">
        <v>0</v>
      </c>
      <c r="F323" s="26" t="n">
        <v>0</v>
      </c>
      <c r="G323" s="26" t="n">
        <v>0</v>
      </c>
      <c r="H323" s="26" t="n">
        <v>-1</v>
      </c>
      <c r="I323" s="26" t="n">
        <v>-1</v>
      </c>
      <c r="J323" s="26" t="n">
        <v>0</v>
      </c>
      <c r="K323" s="26" t="n">
        <v>0</v>
      </c>
      <c r="L323" s="26" t="n">
        <v>0</v>
      </c>
      <c r="M323" s="26" t="n">
        <v>0</v>
      </c>
    </row>
    <row r="324" customFormat="false" ht="15" hidden="false" customHeight="false" outlineLevel="0" collapsed="false">
      <c r="A324" s="7" t="s">
        <v>87</v>
      </c>
      <c r="B324" s="7" t="n">
        <v>4408236</v>
      </c>
      <c r="C324" s="7" t="s">
        <v>247</v>
      </c>
      <c r="D324" s="26" t="n">
        <v>0</v>
      </c>
      <c r="E324" s="26" t="n">
        <v>0</v>
      </c>
      <c r="F324" s="26" t="n">
        <v>0</v>
      </c>
      <c r="G324" s="26" t="n">
        <v>0</v>
      </c>
      <c r="H324" s="26" t="n">
        <v>-92.1</v>
      </c>
      <c r="I324" s="26" t="n">
        <v>-99.2</v>
      </c>
      <c r="J324" s="26" t="n">
        <v>0</v>
      </c>
      <c r="K324" s="26" t="n">
        <v>0</v>
      </c>
      <c r="L324" s="26" t="n">
        <v>0</v>
      </c>
      <c r="M324" s="26" t="n">
        <v>0</v>
      </c>
    </row>
    <row r="325" customFormat="false" ht="15" hidden="false" customHeight="false" outlineLevel="0" collapsed="false">
      <c r="A325" s="7" t="s">
        <v>85</v>
      </c>
      <c r="B325" s="7" t="n">
        <v>4408237</v>
      </c>
      <c r="C325" s="7" t="s">
        <v>248</v>
      </c>
      <c r="D325" s="26" t="n">
        <v>0</v>
      </c>
      <c r="E325" s="26" t="n">
        <v>0</v>
      </c>
      <c r="F325" s="26" t="n">
        <v>0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  <c r="L325" s="26" t="n">
        <v>0</v>
      </c>
      <c r="M325" s="26" t="n">
        <v>0</v>
      </c>
    </row>
    <row r="326" customFormat="false" ht="15" hidden="false" customHeight="false" outlineLevel="0" collapsed="false">
      <c r="A326" s="7" t="s">
        <v>87</v>
      </c>
      <c r="B326" s="7" t="n">
        <v>4408237</v>
      </c>
      <c r="C326" s="7" t="s">
        <v>248</v>
      </c>
      <c r="D326" s="26" t="n">
        <v>0</v>
      </c>
      <c r="E326" s="26" t="n">
        <v>0</v>
      </c>
      <c r="F326" s="26" t="n">
        <v>0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  <c r="L326" s="26" t="n">
        <v>0</v>
      </c>
      <c r="M326" s="26" t="n">
        <v>0</v>
      </c>
    </row>
    <row r="327" customFormat="false" ht="15" hidden="false" customHeight="false" outlineLevel="0" collapsed="false">
      <c r="A327" s="7" t="s">
        <v>85</v>
      </c>
      <c r="B327" s="7" t="n">
        <v>4408221</v>
      </c>
      <c r="C327" s="7" t="s">
        <v>249</v>
      </c>
      <c r="D327" s="26" t="n">
        <v>43</v>
      </c>
      <c r="E327" s="26" t="n">
        <v>0</v>
      </c>
      <c r="F327" s="26" t="n">
        <v>0</v>
      </c>
      <c r="G327" s="26" t="n">
        <v>0</v>
      </c>
      <c r="H327" s="26" t="n">
        <v>1186</v>
      </c>
      <c r="I327" s="26" t="n">
        <v>146</v>
      </c>
      <c r="J327" s="26" t="n">
        <v>0</v>
      </c>
      <c r="K327" s="26" t="n">
        <v>102</v>
      </c>
      <c r="L327" s="26" t="n">
        <v>0</v>
      </c>
      <c r="M327" s="26" t="n">
        <v>0</v>
      </c>
    </row>
    <row r="328" customFormat="false" ht="15" hidden="false" customHeight="false" outlineLevel="0" collapsed="false">
      <c r="A328" s="7" t="s">
        <v>87</v>
      </c>
      <c r="B328" s="7" t="n">
        <v>4408221</v>
      </c>
      <c r="C328" s="7" t="s">
        <v>249</v>
      </c>
      <c r="D328" s="26" t="n">
        <v>4953.8</v>
      </c>
      <c r="E328" s="26" t="n">
        <v>0</v>
      </c>
      <c r="F328" s="26" t="n">
        <v>0</v>
      </c>
      <c r="G328" s="26" t="n">
        <v>0</v>
      </c>
      <c r="H328" s="26" t="n">
        <v>111046.8</v>
      </c>
      <c r="I328" s="26" t="n">
        <v>14487.6</v>
      </c>
      <c r="J328" s="26" t="n">
        <v>0</v>
      </c>
      <c r="K328" s="26" t="n">
        <v>6630</v>
      </c>
      <c r="L328" s="26" t="n">
        <v>0</v>
      </c>
      <c r="M328" s="26" t="n">
        <v>0</v>
      </c>
    </row>
    <row r="329" customFormat="false" ht="15" hidden="false" customHeight="false" outlineLevel="0" collapsed="false">
      <c r="A329" s="7" t="s">
        <v>85</v>
      </c>
      <c r="B329" s="7" t="n">
        <v>4408220</v>
      </c>
      <c r="C329" s="7" t="s">
        <v>250</v>
      </c>
      <c r="D329" s="26" t="n">
        <v>29</v>
      </c>
      <c r="E329" s="26" t="n">
        <v>0</v>
      </c>
      <c r="F329" s="26" t="n">
        <v>0</v>
      </c>
      <c r="G329" s="26" t="n">
        <v>0</v>
      </c>
      <c r="H329" s="26" t="n">
        <v>812</v>
      </c>
      <c r="I329" s="26" t="n">
        <v>59</v>
      </c>
      <c r="J329" s="26" t="n">
        <v>0</v>
      </c>
      <c r="K329" s="26" t="n">
        <v>30</v>
      </c>
      <c r="L329" s="26" t="n">
        <v>0</v>
      </c>
      <c r="M329" s="26" t="n">
        <v>-2</v>
      </c>
    </row>
    <row r="330" customFormat="false" ht="15" hidden="false" customHeight="false" outlineLevel="0" collapsed="false">
      <c r="A330" s="7" t="s">
        <v>87</v>
      </c>
      <c r="B330" s="7" t="n">
        <v>4408220</v>
      </c>
      <c r="C330" s="7" t="s">
        <v>250</v>
      </c>
      <c r="D330" s="26" t="n">
        <v>3321.8</v>
      </c>
      <c r="E330" s="26" t="n">
        <v>0</v>
      </c>
      <c r="F330" s="26" t="n">
        <v>0</v>
      </c>
      <c r="G330" s="26" t="n">
        <v>0</v>
      </c>
      <c r="H330" s="26" t="n">
        <v>76079.9</v>
      </c>
      <c r="I330" s="26" t="n">
        <v>5854.6</v>
      </c>
      <c r="J330" s="26" t="n">
        <v>0</v>
      </c>
      <c r="K330" s="26" t="n">
        <v>1950</v>
      </c>
      <c r="L330" s="26" t="n">
        <v>0</v>
      </c>
      <c r="M330" s="26" t="n">
        <v>-312.4</v>
      </c>
    </row>
    <row r="331" customFormat="false" ht="15" hidden="false" customHeight="false" outlineLevel="0" collapsed="false">
      <c r="A331" s="7" t="s">
        <v>85</v>
      </c>
      <c r="B331" s="7" t="n">
        <v>4408219</v>
      </c>
      <c r="C331" s="7" t="s">
        <v>251</v>
      </c>
      <c r="D331" s="26" t="n">
        <v>5</v>
      </c>
      <c r="E331" s="26" t="n">
        <v>0</v>
      </c>
      <c r="F331" s="26" t="n">
        <v>0</v>
      </c>
      <c r="G331" s="26" t="n">
        <v>0</v>
      </c>
      <c r="H331" s="26" t="n">
        <v>265</v>
      </c>
      <c r="I331" s="26" t="n">
        <v>27</v>
      </c>
      <c r="J331" s="26" t="n">
        <v>0</v>
      </c>
      <c r="K331" s="26" t="n">
        <v>5</v>
      </c>
      <c r="L331" s="26" t="n">
        <v>0</v>
      </c>
      <c r="M331" s="26" t="n">
        <v>0</v>
      </c>
    </row>
    <row r="332" customFormat="false" ht="15" hidden="false" customHeight="false" outlineLevel="0" collapsed="false">
      <c r="A332" s="7" t="s">
        <v>87</v>
      </c>
      <c r="B332" s="7" t="n">
        <v>4408219</v>
      </c>
      <c r="C332" s="7" t="s">
        <v>251</v>
      </c>
      <c r="D332" s="26" t="n">
        <v>554.4</v>
      </c>
      <c r="E332" s="26" t="n">
        <v>0</v>
      </c>
      <c r="F332" s="26" t="n">
        <v>0</v>
      </c>
      <c r="G332" s="26" t="n">
        <v>0</v>
      </c>
      <c r="H332" s="26" t="n">
        <v>24810.8</v>
      </c>
      <c r="I332" s="26" t="n">
        <v>2679.2</v>
      </c>
      <c r="J332" s="26" t="n">
        <v>0</v>
      </c>
      <c r="K332" s="26" t="n">
        <v>325</v>
      </c>
      <c r="L332" s="26" t="n">
        <v>0</v>
      </c>
      <c r="M332" s="26" t="n">
        <v>0</v>
      </c>
    </row>
    <row r="333" customFormat="false" ht="15" hidden="false" customHeight="false" outlineLevel="0" collapsed="false">
      <c r="A333" s="7" t="s">
        <v>85</v>
      </c>
      <c r="B333" s="7" t="n">
        <v>4408222</v>
      </c>
      <c r="C333" s="7" t="s">
        <v>252</v>
      </c>
      <c r="D333" s="26" t="n">
        <v>37</v>
      </c>
      <c r="E333" s="26" t="n">
        <v>0</v>
      </c>
      <c r="F333" s="26" t="n">
        <v>0</v>
      </c>
      <c r="G333" s="26" t="n">
        <v>0</v>
      </c>
      <c r="H333" s="26" t="n">
        <v>904</v>
      </c>
      <c r="I333" s="26" t="n">
        <v>110</v>
      </c>
      <c r="J333" s="26" t="n">
        <v>0</v>
      </c>
      <c r="K333" s="26" t="n">
        <v>54</v>
      </c>
      <c r="L333" s="26" t="n">
        <v>0</v>
      </c>
      <c r="M333" s="26" t="n">
        <v>-2</v>
      </c>
    </row>
    <row r="334" customFormat="false" ht="15" hidden="false" customHeight="false" outlineLevel="0" collapsed="false">
      <c r="A334" s="7" t="s">
        <v>87</v>
      </c>
      <c r="B334" s="7" t="n">
        <v>4408222</v>
      </c>
      <c r="C334" s="7" t="s">
        <v>252</v>
      </c>
      <c r="D334" s="26" t="n">
        <v>4126.1</v>
      </c>
      <c r="E334" s="26" t="n">
        <v>0</v>
      </c>
      <c r="F334" s="26" t="n">
        <v>0</v>
      </c>
      <c r="G334" s="26" t="n">
        <v>0</v>
      </c>
      <c r="H334" s="26" t="n">
        <v>84771</v>
      </c>
      <c r="I334" s="26" t="n">
        <v>10915.3</v>
      </c>
      <c r="J334" s="26" t="n">
        <v>0</v>
      </c>
      <c r="K334" s="26" t="n">
        <v>3510</v>
      </c>
      <c r="L334" s="26" t="n">
        <v>0</v>
      </c>
      <c r="M334" s="26" t="n">
        <v>-312.4</v>
      </c>
    </row>
    <row r="335" customFormat="false" ht="15" hidden="false" customHeight="false" outlineLevel="0" collapsed="false">
      <c r="A335" s="7" t="s">
        <v>85</v>
      </c>
      <c r="B335" s="7" t="n">
        <v>4408223</v>
      </c>
      <c r="C335" s="7" t="s">
        <v>253</v>
      </c>
      <c r="D335" s="26" t="n">
        <v>22</v>
      </c>
      <c r="E335" s="26" t="n">
        <v>0</v>
      </c>
      <c r="F335" s="26" t="n">
        <v>0</v>
      </c>
      <c r="G335" s="26" t="n">
        <v>0</v>
      </c>
      <c r="H335" s="26" t="n">
        <v>97</v>
      </c>
      <c r="I335" s="26" t="n">
        <v>46</v>
      </c>
      <c r="J335" s="26" t="n">
        <v>0</v>
      </c>
      <c r="K335" s="26" t="n">
        <v>39</v>
      </c>
      <c r="L335" s="26" t="n">
        <v>0</v>
      </c>
      <c r="M335" s="26" t="n">
        <v>0</v>
      </c>
    </row>
    <row r="336" customFormat="false" ht="15" hidden="false" customHeight="false" outlineLevel="0" collapsed="false">
      <c r="A336" s="7" t="s">
        <v>87</v>
      </c>
      <c r="B336" s="7" t="n">
        <v>4408223</v>
      </c>
      <c r="C336" s="7" t="s">
        <v>253</v>
      </c>
      <c r="D336" s="26" t="n">
        <v>2494.1</v>
      </c>
      <c r="E336" s="26" t="n">
        <v>0</v>
      </c>
      <c r="F336" s="26" t="n">
        <v>0</v>
      </c>
      <c r="G336" s="26" t="n">
        <v>0</v>
      </c>
      <c r="H336" s="26" t="n">
        <v>9097.8</v>
      </c>
      <c r="I336" s="26" t="n">
        <v>4564.6</v>
      </c>
      <c r="J336" s="26" t="n">
        <v>0</v>
      </c>
      <c r="K336" s="26" t="n">
        <v>2535</v>
      </c>
      <c r="L336" s="26" t="n">
        <v>0</v>
      </c>
      <c r="M336" s="26" t="n">
        <v>0</v>
      </c>
    </row>
    <row r="337" customFormat="false" ht="15" hidden="false" customHeight="false" outlineLevel="0" collapsed="false">
      <c r="A337" s="7" t="s">
        <v>85</v>
      </c>
      <c r="B337" s="7" t="n">
        <v>4408218</v>
      </c>
      <c r="C337" s="7" t="s">
        <v>254</v>
      </c>
      <c r="D337" s="26" t="n">
        <v>52</v>
      </c>
      <c r="E337" s="26" t="n">
        <v>0</v>
      </c>
      <c r="F337" s="26" t="n">
        <v>0</v>
      </c>
      <c r="G337" s="26" t="n">
        <v>0</v>
      </c>
      <c r="H337" s="26" t="n">
        <v>42</v>
      </c>
      <c r="I337" s="26" t="n">
        <v>0</v>
      </c>
      <c r="J337" s="26" t="n">
        <v>0</v>
      </c>
      <c r="K337" s="26" t="n">
        <v>54</v>
      </c>
      <c r="L337" s="26" t="n">
        <v>0</v>
      </c>
      <c r="M337" s="26" t="n">
        <v>0</v>
      </c>
    </row>
    <row r="338" customFormat="false" ht="15" hidden="false" customHeight="false" outlineLevel="0" collapsed="false">
      <c r="A338" s="7" t="s">
        <v>87</v>
      </c>
      <c r="B338" s="7" t="n">
        <v>4408218</v>
      </c>
      <c r="C338" s="7" t="s">
        <v>254</v>
      </c>
      <c r="D338" s="26" t="n">
        <v>5965.9</v>
      </c>
      <c r="E338" s="26" t="n">
        <v>0</v>
      </c>
      <c r="F338" s="26" t="n">
        <v>0</v>
      </c>
      <c r="G338" s="26" t="n">
        <v>0</v>
      </c>
      <c r="H338" s="26" t="n">
        <v>4263.8</v>
      </c>
      <c r="I338" s="26" t="n">
        <v>0</v>
      </c>
      <c r="J338" s="26" t="n">
        <v>0</v>
      </c>
      <c r="K338" s="26" t="n">
        <v>3510</v>
      </c>
      <c r="L338" s="26" t="n">
        <v>0</v>
      </c>
      <c r="M338" s="26" t="n">
        <v>0</v>
      </c>
    </row>
    <row r="339" customFormat="false" ht="15" hidden="false" customHeight="false" outlineLevel="0" collapsed="false">
      <c r="A339" s="7" t="s">
        <v>85</v>
      </c>
      <c r="B339" s="7" t="n">
        <v>4408265</v>
      </c>
      <c r="C339" s="7" t="s">
        <v>255</v>
      </c>
      <c r="D339" s="26" t="n">
        <v>32</v>
      </c>
      <c r="E339" s="26" t="n">
        <v>0</v>
      </c>
      <c r="F339" s="26" t="n">
        <v>0</v>
      </c>
      <c r="G339" s="26" t="n">
        <v>0</v>
      </c>
      <c r="H339" s="26" t="n">
        <v>26</v>
      </c>
      <c r="I339" s="26" t="n">
        <v>0</v>
      </c>
      <c r="J339" s="26" t="n">
        <v>0</v>
      </c>
      <c r="K339" s="26" t="n">
        <v>0</v>
      </c>
      <c r="L339" s="26" t="n">
        <v>0</v>
      </c>
      <c r="M339" s="26" t="n">
        <v>0</v>
      </c>
    </row>
    <row r="340" customFormat="false" ht="15" hidden="false" customHeight="false" outlineLevel="0" collapsed="false">
      <c r="A340" s="7" t="s">
        <v>87</v>
      </c>
      <c r="B340" s="7" t="n">
        <v>4408265</v>
      </c>
      <c r="C340" s="7" t="s">
        <v>255</v>
      </c>
      <c r="D340" s="26" t="n">
        <v>3393.7</v>
      </c>
      <c r="E340" s="26" t="n">
        <v>0</v>
      </c>
      <c r="F340" s="26" t="n">
        <v>0</v>
      </c>
      <c r="G340" s="26" t="n">
        <v>0</v>
      </c>
      <c r="H340" s="26" t="n">
        <v>2509.6</v>
      </c>
      <c r="I340" s="26" t="n">
        <v>0</v>
      </c>
      <c r="J340" s="26" t="n">
        <v>0</v>
      </c>
      <c r="K340" s="26" t="n">
        <v>0</v>
      </c>
      <c r="L340" s="26" t="n">
        <v>0</v>
      </c>
      <c r="M340" s="26" t="n">
        <v>0</v>
      </c>
    </row>
    <row r="341" customFormat="false" ht="15" hidden="false" customHeight="false" outlineLevel="0" collapsed="false">
      <c r="A341" s="7" t="s">
        <v>85</v>
      </c>
      <c r="B341" s="7" t="n">
        <v>4408011</v>
      </c>
      <c r="C341" s="7" t="s">
        <v>256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-2</v>
      </c>
      <c r="I341" s="26" t="n">
        <v>-1</v>
      </c>
      <c r="J341" s="26" t="n">
        <v>0</v>
      </c>
      <c r="K341" s="26" t="n">
        <v>0</v>
      </c>
      <c r="L341" s="26" t="n">
        <v>0</v>
      </c>
      <c r="M341" s="26" t="n">
        <v>0</v>
      </c>
    </row>
    <row r="342" customFormat="false" ht="15" hidden="false" customHeight="false" outlineLevel="0" collapsed="false">
      <c r="A342" s="7" t="s">
        <v>87</v>
      </c>
      <c r="B342" s="7" t="n">
        <v>4408011</v>
      </c>
      <c r="C342" s="7" t="s">
        <v>256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-173.2</v>
      </c>
      <c r="I342" s="26" t="n">
        <v>-99.2</v>
      </c>
      <c r="J342" s="26" t="n">
        <v>0</v>
      </c>
      <c r="K342" s="26" t="n">
        <v>0</v>
      </c>
      <c r="L342" s="26" t="n">
        <v>0</v>
      </c>
      <c r="M342" s="26" t="n">
        <v>0</v>
      </c>
    </row>
    <row r="343" customFormat="false" ht="15" hidden="false" customHeight="false" outlineLevel="0" collapsed="false">
      <c r="A343" s="7" t="s">
        <v>85</v>
      </c>
      <c r="B343" s="7" t="n">
        <v>4408010</v>
      </c>
      <c r="C343" s="7" t="s">
        <v>257</v>
      </c>
      <c r="D343" s="26" t="n">
        <v>1</v>
      </c>
      <c r="E343" s="26" t="n">
        <v>0</v>
      </c>
      <c r="F343" s="26" t="n">
        <v>0</v>
      </c>
      <c r="G343" s="26" t="n">
        <v>0</v>
      </c>
      <c r="H343" s="26" t="n">
        <v>-3</v>
      </c>
      <c r="I343" s="26" t="n">
        <v>-1</v>
      </c>
      <c r="J343" s="26" t="n">
        <v>0</v>
      </c>
      <c r="K343" s="26" t="n">
        <v>0</v>
      </c>
      <c r="L343" s="26" t="n">
        <v>0</v>
      </c>
      <c r="M343" s="26" t="n">
        <v>0</v>
      </c>
    </row>
    <row r="344" customFormat="false" ht="15" hidden="false" customHeight="false" outlineLevel="0" collapsed="false">
      <c r="A344" s="7" t="s">
        <v>87</v>
      </c>
      <c r="B344" s="7" t="n">
        <v>4408010</v>
      </c>
      <c r="C344" s="7" t="s">
        <v>257</v>
      </c>
      <c r="D344" s="26" t="n">
        <v>101.5</v>
      </c>
      <c r="E344" s="26" t="n">
        <v>0</v>
      </c>
      <c r="F344" s="26" t="n">
        <v>0</v>
      </c>
      <c r="G344" s="26" t="n">
        <v>0</v>
      </c>
      <c r="H344" s="26" t="n">
        <v>-276.4</v>
      </c>
      <c r="I344" s="26" t="n">
        <v>-99.2</v>
      </c>
      <c r="J344" s="26" t="n">
        <v>0</v>
      </c>
      <c r="K344" s="26" t="n">
        <v>0</v>
      </c>
      <c r="L344" s="26" t="n">
        <v>0</v>
      </c>
      <c r="M344" s="26" t="n">
        <v>0</v>
      </c>
    </row>
    <row r="345" customFormat="false" ht="15" hidden="false" customHeight="false" outlineLevel="0" collapsed="false">
      <c r="A345" s="7" t="s">
        <v>85</v>
      </c>
      <c r="B345" s="7" t="n">
        <v>4408009</v>
      </c>
      <c r="C345" s="7" t="s">
        <v>258</v>
      </c>
      <c r="D345" s="26" t="n">
        <v>0</v>
      </c>
      <c r="E345" s="26" t="n">
        <v>0</v>
      </c>
      <c r="F345" s="26" t="n">
        <v>0</v>
      </c>
      <c r="G345" s="26" t="n">
        <v>0</v>
      </c>
      <c r="H345" s="26" t="n">
        <v>-6</v>
      </c>
      <c r="I345" s="26" t="n">
        <v>-2</v>
      </c>
      <c r="J345" s="26" t="n">
        <v>0</v>
      </c>
      <c r="K345" s="26" t="n">
        <v>0</v>
      </c>
      <c r="L345" s="26" t="n">
        <v>0</v>
      </c>
      <c r="M345" s="26" t="n">
        <v>0</v>
      </c>
    </row>
    <row r="346" customFormat="false" ht="15" hidden="false" customHeight="false" outlineLevel="0" collapsed="false">
      <c r="A346" s="7" t="s">
        <v>87</v>
      </c>
      <c r="B346" s="7" t="n">
        <v>4408009</v>
      </c>
      <c r="C346" s="7" t="s">
        <v>258</v>
      </c>
      <c r="D346" s="26" t="n">
        <v>7.2</v>
      </c>
      <c r="E346" s="26" t="n">
        <v>0</v>
      </c>
      <c r="F346" s="26" t="n">
        <v>0</v>
      </c>
      <c r="G346" s="26" t="n">
        <v>0</v>
      </c>
      <c r="H346" s="26" t="n">
        <v>-539</v>
      </c>
      <c r="I346" s="26" t="n">
        <v>-198.5</v>
      </c>
      <c r="J346" s="26" t="n">
        <v>0</v>
      </c>
      <c r="K346" s="26" t="n">
        <v>0</v>
      </c>
      <c r="L346" s="26" t="n">
        <v>0</v>
      </c>
      <c r="M346" s="26" t="n">
        <v>0</v>
      </c>
    </row>
    <row r="347" customFormat="false" ht="15" hidden="false" customHeight="false" outlineLevel="0" collapsed="false">
      <c r="A347" s="7" t="s">
        <v>85</v>
      </c>
      <c r="B347" s="7" t="n">
        <v>4408012</v>
      </c>
      <c r="C347" s="7" t="s">
        <v>259</v>
      </c>
      <c r="D347" s="26" t="n">
        <v>1</v>
      </c>
      <c r="E347" s="26" t="n">
        <v>0</v>
      </c>
      <c r="F347" s="26" t="n">
        <v>0</v>
      </c>
      <c r="G347" s="26" t="n">
        <v>0</v>
      </c>
      <c r="H347" s="26" t="n">
        <v>-3</v>
      </c>
      <c r="I347" s="26" t="n">
        <v>0</v>
      </c>
      <c r="J347" s="26" t="n">
        <v>0</v>
      </c>
      <c r="K347" s="26" t="n">
        <v>0</v>
      </c>
      <c r="L347" s="26" t="n">
        <v>0</v>
      </c>
      <c r="M347" s="26" t="n">
        <v>0</v>
      </c>
    </row>
    <row r="348" customFormat="false" ht="15" hidden="false" customHeight="false" outlineLevel="0" collapsed="false">
      <c r="A348" s="7" t="s">
        <v>87</v>
      </c>
      <c r="B348" s="7" t="n">
        <v>4408012</v>
      </c>
      <c r="C348" s="7" t="s">
        <v>259</v>
      </c>
      <c r="D348" s="26" t="n">
        <v>108.7</v>
      </c>
      <c r="E348" s="26" t="n">
        <v>0</v>
      </c>
      <c r="F348" s="26" t="n">
        <v>0</v>
      </c>
      <c r="G348" s="26" t="n">
        <v>0</v>
      </c>
      <c r="H348" s="26" t="n">
        <v>-270</v>
      </c>
      <c r="I348" s="26" t="n">
        <v>0</v>
      </c>
      <c r="J348" s="26" t="n">
        <v>0</v>
      </c>
      <c r="K348" s="26" t="n">
        <v>0</v>
      </c>
      <c r="L348" s="26" t="n">
        <v>0</v>
      </c>
      <c r="M348" s="26" t="n">
        <v>0</v>
      </c>
    </row>
    <row r="349" customFormat="false" ht="15" hidden="false" customHeight="false" outlineLevel="0" collapsed="false">
      <c r="A349" s="7" t="s">
        <v>85</v>
      </c>
      <c r="B349" s="7" t="n">
        <v>4408013</v>
      </c>
      <c r="C349" s="7" t="s">
        <v>260</v>
      </c>
      <c r="D349" s="26" t="n">
        <v>0</v>
      </c>
      <c r="E349" s="26" t="n">
        <v>0</v>
      </c>
      <c r="F349" s="26" t="n">
        <v>0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  <c r="L349" s="26" t="n">
        <v>0</v>
      </c>
      <c r="M349" s="26" t="n">
        <v>0</v>
      </c>
    </row>
    <row r="350" customFormat="false" ht="15" hidden="false" customHeight="false" outlineLevel="0" collapsed="false">
      <c r="A350" s="7" t="s">
        <v>87</v>
      </c>
      <c r="B350" s="7" t="n">
        <v>4408013</v>
      </c>
      <c r="C350" s="7" t="s">
        <v>260</v>
      </c>
      <c r="D350" s="26" t="n">
        <v>0</v>
      </c>
      <c r="E350" s="26" t="n">
        <v>0</v>
      </c>
      <c r="F350" s="26" t="n">
        <v>0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  <c r="L350" s="26" t="n">
        <v>0</v>
      </c>
      <c r="M350" s="26" t="n">
        <v>0</v>
      </c>
    </row>
    <row r="351" customFormat="false" ht="15" hidden="false" customHeight="false" outlineLevel="0" collapsed="false">
      <c r="A351" s="7" t="s">
        <v>85</v>
      </c>
      <c r="B351" s="7" t="n">
        <v>4408015</v>
      </c>
      <c r="C351" s="7" t="s">
        <v>261</v>
      </c>
      <c r="D351" s="26" t="n">
        <v>-3</v>
      </c>
      <c r="E351" s="26" t="n">
        <v>0</v>
      </c>
      <c r="F351" s="26" t="n">
        <v>0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7</v>
      </c>
      <c r="L351" s="26" t="n">
        <v>0</v>
      </c>
      <c r="M351" s="26" t="n">
        <v>0</v>
      </c>
    </row>
    <row r="352" customFormat="false" ht="15" hidden="false" customHeight="false" outlineLevel="0" collapsed="false">
      <c r="A352" s="7" t="s">
        <v>87</v>
      </c>
      <c r="B352" s="7" t="n">
        <v>4408015</v>
      </c>
      <c r="C352" s="7" t="s">
        <v>261</v>
      </c>
      <c r="D352" s="26" t="n">
        <v>-710.5</v>
      </c>
      <c r="E352" s="26" t="n">
        <v>0</v>
      </c>
      <c r="F352" s="26" t="n">
        <v>0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1096.9</v>
      </c>
      <c r="L352" s="26" t="n">
        <v>0</v>
      </c>
      <c r="M352" s="26" t="n">
        <v>0</v>
      </c>
    </row>
    <row r="353" customFormat="false" ht="15" hidden="false" customHeight="false" outlineLevel="0" collapsed="false">
      <c r="A353" s="7" t="s">
        <v>85</v>
      </c>
      <c r="B353" s="7" t="n">
        <v>4408016</v>
      </c>
      <c r="C353" s="7" t="s">
        <v>262</v>
      </c>
      <c r="D353" s="26" t="n">
        <v>-2</v>
      </c>
      <c r="E353" s="26" t="n">
        <v>0</v>
      </c>
      <c r="F353" s="26" t="n">
        <v>0</v>
      </c>
      <c r="G353" s="26" t="n">
        <v>0</v>
      </c>
      <c r="H353" s="26" t="n">
        <v>0</v>
      </c>
      <c r="I353" s="26" t="n">
        <v>0</v>
      </c>
      <c r="J353" s="26" t="n">
        <v>0</v>
      </c>
      <c r="K353" s="26" t="n">
        <v>2</v>
      </c>
      <c r="L353" s="26" t="n">
        <v>0</v>
      </c>
      <c r="M353" s="26" t="n">
        <v>0</v>
      </c>
    </row>
    <row r="354" customFormat="false" ht="15" hidden="false" customHeight="false" outlineLevel="0" collapsed="false">
      <c r="A354" s="7" t="s">
        <v>87</v>
      </c>
      <c r="B354" s="7" t="n">
        <v>4408016</v>
      </c>
      <c r="C354" s="7" t="s">
        <v>262</v>
      </c>
      <c r="D354" s="26" t="n">
        <v>-485.2</v>
      </c>
      <c r="E354" s="26" t="n">
        <v>0</v>
      </c>
      <c r="F354" s="26" t="n">
        <v>0</v>
      </c>
      <c r="G354" s="26" t="n">
        <v>0</v>
      </c>
      <c r="H354" s="26" t="n">
        <v>0</v>
      </c>
      <c r="I354" s="26" t="n">
        <v>0</v>
      </c>
      <c r="J354" s="26" t="n">
        <v>0</v>
      </c>
      <c r="K354" s="26" t="n">
        <v>351</v>
      </c>
      <c r="L354" s="26" t="n">
        <v>0</v>
      </c>
      <c r="M354" s="26" t="n">
        <v>0</v>
      </c>
    </row>
    <row r="355" customFormat="false" ht="15" hidden="false" customHeight="false" outlineLevel="0" collapsed="false">
      <c r="A355" s="7" t="s">
        <v>85</v>
      </c>
      <c r="B355" s="7" t="n">
        <v>4408014</v>
      </c>
      <c r="C355" s="7" t="s">
        <v>263</v>
      </c>
      <c r="D355" s="26" t="n">
        <v>1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0</v>
      </c>
      <c r="J355" s="26" t="n">
        <v>0</v>
      </c>
      <c r="K355" s="26" t="n">
        <v>0</v>
      </c>
      <c r="L355" s="26" t="n">
        <v>0</v>
      </c>
      <c r="M355" s="26" t="n">
        <v>0</v>
      </c>
    </row>
    <row r="356" customFormat="false" ht="15" hidden="false" customHeight="false" outlineLevel="0" collapsed="false">
      <c r="A356" s="7" t="s">
        <v>87</v>
      </c>
      <c r="B356" s="7" t="n">
        <v>4408014</v>
      </c>
      <c r="C356" s="7" t="s">
        <v>263</v>
      </c>
      <c r="D356" s="26" t="n">
        <v>262.4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0</v>
      </c>
      <c r="L356" s="26" t="n">
        <v>0</v>
      </c>
      <c r="M356" s="26" t="n">
        <v>0</v>
      </c>
    </row>
    <row r="357" customFormat="false" ht="15" hidden="false" customHeight="false" outlineLevel="0" collapsed="false">
      <c r="A357" s="7" t="s">
        <v>85</v>
      </c>
      <c r="B357" s="7" t="n">
        <v>4408017</v>
      </c>
      <c r="C357" s="7" t="s">
        <v>264</v>
      </c>
      <c r="D357" s="26" t="n">
        <v>2</v>
      </c>
      <c r="E357" s="26" t="n">
        <v>0</v>
      </c>
      <c r="F357" s="26" t="n">
        <v>0</v>
      </c>
      <c r="G357" s="26" t="n">
        <v>0</v>
      </c>
      <c r="H357" s="26" t="n">
        <v>-1</v>
      </c>
      <c r="I357" s="26" t="n">
        <v>0</v>
      </c>
      <c r="J357" s="26" t="n">
        <v>0</v>
      </c>
      <c r="K357" s="26" t="n">
        <v>5</v>
      </c>
      <c r="L357" s="26" t="n">
        <v>0</v>
      </c>
      <c r="M357" s="26" t="n">
        <v>0</v>
      </c>
    </row>
    <row r="358" customFormat="false" ht="15" hidden="false" customHeight="false" outlineLevel="0" collapsed="false">
      <c r="A358" s="7" t="s">
        <v>87</v>
      </c>
      <c r="B358" s="7" t="n">
        <v>4408017</v>
      </c>
      <c r="C358" s="7" t="s">
        <v>264</v>
      </c>
      <c r="D358" s="26" t="n">
        <v>454.9</v>
      </c>
      <c r="E358" s="26" t="n">
        <v>0</v>
      </c>
      <c r="F358" s="26" t="n">
        <v>0</v>
      </c>
      <c r="G358" s="26" t="n">
        <v>0</v>
      </c>
      <c r="H358" s="26" t="n">
        <v>-215.4</v>
      </c>
      <c r="I358" s="26" t="n">
        <v>0</v>
      </c>
      <c r="J358" s="26" t="n">
        <v>0</v>
      </c>
      <c r="K358" s="26" t="n">
        <v>745.9</v>
      </c>
      <c r="L358" s="26" t="n">
        <v>0</v>
      </c>
      <c r="M358" s="26" t="n">
        <v>0</v>
      </c>
    </row>
    <row r="359" customFormat="false" ht="15" hidden="false" customHeight="false" outlineLevel="0" collapsed="false">
      <c r="A359" s="7" t="s">
        <v>85</v>
      </c>
      <c r="B359" s="7" t="n">
        <v>4408018</v>
      </c>
      <c r="C359" s="7" t="s">
        <v>265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7</v>
      </c>
      <c r="L359" s="26" t="n">
        <v>0</v>
      </c>
      <c r="M359" s="26" t="n">
        <v>0</v>
      </c>
    </row>
    <row r="360" customFormat="false" ht="15" hidden="false" customHeight="false" outlineLevel="0" collapsed="false">
      <c r="A360" s="7" t="s">
        <v>87</v>
      </c>
      <c r="B360" s="7" t="n">
        <v>4408018</v>
      </c>
      <c r="C360" s="7" t="s">
        <v>265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1009.1</v>
      </c>
      <c r="L360" s="26" t="n">
        <v>0</v>
      </c>
      <c r="M360" s="26" t="n">
        <v>0</v>
      </c>
    </row>
    <row r="361" customFormat="false" ht="15" hidden="false" customHeight="false" outlineLevel="0" collapsed="false">
      <c r="A361" s="7" t="s">
        <v>85</v>
      </c>
      <c r="B361" s="7" t="n">
        <v>4408024</v>
      </c>
      <c r="C361" s="7" t="s">
        <v>266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0</v>
      </c>
      <c r="J361" s="26" t="n">
        <v>0</v>
      </c>
      <c r="K361" s="26" t="n">
        <v>0</v>
      </c>
      <c r="L361" s="26" t="n">
        <v>0</v>
      </c>
      <c r="M361" s="26" t="n">
        <v>0</v>
      </c>
    </row>
    <row r="362" customFormat="false" ht="15" hidden="false" customHeight="false" outlineLevel="0" collapsed="false">
      <c r="A362" s="7" t="s">
        <v>87</v>
      </c>
      <c r="B362" s="7" t="n">
        <v>4408024</v>
      </c>
      <c r="C362" s="7" t="s">
        <v>266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0</v>
      </c>
      <c r="J362" s="26" t="n">
        <v>0</v>
      </c>
      <c r="K362" s="26" t="n">
        <v>0</v>
      </c>
      <c r="L362" s="26" t="n">
        <v>0</v>
      </c>
      <c r="M362" s="26" t="n">
        <v>0</v>
      </c>
    </row>
    <row r="363" customFormat="false" ht="15" hidden="false" customHeight="false" outlineLevel="0" collapsed="false">
      <c r="A363" s="7" t="s">
        <v>85</v>
      </c>
      <c r="B363" s="7" t="n">
        <v>4408027</v>
      </c>
      <c r="C363" s="7" t="s">
        <v>267</v>
      </c>
      <c r="D363" s="26" t="n">
        <v>16</v>
      </c>
      <c r="E363" s="26" t="n">
        <v>0</v>
      </c>
      <c r="F363" s="26" t="n">
        <v>0</v>
      </c>
      <c r="G363" s="26" t="n">
        <v>1</v>
      </c>
      <c r="H363" s="26" t="n">
        <v>14</v>
      </c>
      <c r="I363" s="26" t="n">
        <v>3</v>
      </c>
      <c r="J363" s="26" t="n">
        <v>0</v>
      </c>
      <c r="K363" s="26" t="n">
        <v>0</v>
      </c>
      <c r="L363" s="26" t="n">
        <v>0</v>
      </c>
      <c r="M363" s="26" t="n">
        <v>0</v>
      </c>
    </row>
    <row r="364" customFormat="false" ht="15" hidden="false" customHeight="false" outlineLevel="0" collapsed="false">
      <c r="A364" s="7" t="s">
        <v>87</v>
      </c>
      <c r="B364" s="7" t="n">
        <v>4408027</v>
      </c>
      <c r="C364" s="7" t="s">
        <v>267</v>
      </c>
      <c r="D364" s="26" t="n">
        <v>2395.7</v>
      </c>
      <c r="E364" s="26" t="n">
        <v>0</v>
      </c>
      <c r="F364" s="26" t="n">
        <v>0</v>
      </c>
      <c r="G364" s="26" t="n">
        <v>134</v>
      </c>
      <c r="H364" s="26" t="n">
        <v>1877.2</v>
      </c>
      <c r="I364" s="26" t="n">
        <v>423.5</v>
      </c>
      <c r="J364" s="26" t="n">
        <v>0</v>
      </c>
      <c r="K364" s="26" t="n">
        <v>0</v>
      </c>
      <c r="L364" s="26" t="n">
        <v>0</v>
      </c>
      <c r="M364" s="26" t="n">
        <v>0</v>
      </c>
    </row>
    <row r="365" customFormat="false" ht="15" hidden="false" customHeight="false" outlineLevel="0" collapsed="false">
      <c r="A365" s="7" t="s">
        <v>85</v>
      </c>
      <c r="B365" s="7" t="n">
        <v>4408028</v>
      </c>
      <c r="C365" s="7" t="s">
        <v>268</v>
      </c>
      <c r="D365" s="26" t="n">
        <v>7</v>
      </c>
      <c r="E365" s="26" t="n">
        <v>0</v>
      </c>
      <c r="F365" s="26" t="n">
        <v>0</v>
      </c>
      <c r="G365" s="26" t="n">
        <v>1</v>
      </c>
      <c r="H365" s="26" t="n">
        <v>8</v>
      </c>
      <c r="I365" s="26" t="n">
        <v>3</v>
      </c>
      <c r="J365" s="26" t="n">
        <v>0</v>
      </c>
      <c r="K365" s="26" t="n">
        <v>0</v>
      </c>
      <c r="L365" s="26" t="n">
        <v>0</v>
      </c>
      <c r="M365" s="26" t="n">
        <v>0</v>
      </c>
    </row>
    <row r="366" customFormat="false" ht="15" hidden="false" customHeight="false" outlineLevel="0" collapsed="false">
      <c r="A366" s="7" t="s">
        <v>87</v>
      </c>
      <c r="B366" s="7" t="n">
        <v>4408028</v>
      </c>
      <c r="C366" s="7" t="s">
        <v>268</v>
      </c>
      <c r="D366" s="26" t="n">
        <v>1024</v>
      </c>
      <c r="E366" s="26" t="n">
        <v>0</v>
      </c>
      <c r="F366" s="26" t="n">
        <v>0</v>
      </c>
      <c r="G366" s="26" t="n">
        <v>134</v>
      </c>
      <c r="H366" s="26" t="n">
        <v>1093.8</v>
      </c>
      <c r="I366" s="26" t="n">
        <v>423.5</v>
      </c>
      <c r="J366" s="26" t="n">
        <v>0</v>
      </c>
      <c r="K366" s="26" t="n">
        <v>0</v>
      </c>
      <c r="L366" s="26" t="n">
        <v>0</v>
      </c>
      <c r="M366" s="26" t="n">
        <v>0</v>
      </c>
    </row>
    <row r="367" customFormat="false" ht="15" hidden="false" customHeight="false" outlineLevel="0" collapsed="false">
      <c r="A367" s="7" t="s">
        <v>85</v>
      </c>
      <c r="B367" s="7" t="n">
        <v>4408026</v>
      </c>
      <c r="C367" s="7" t="s">
        <v>269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-4</v>
      </c>
      <c r="I367" s="26" t="n">
        <v>0</v>
      </c>
      <c r="J367" s="26" t="n">
        <v>0</v>
      </c>
      <c r="K367" s="26" t="n">
        <v>0</v>
      </c>
      <c r="L367" s="26" t="n">
        <v>0</v>
      </c>
      <c r="M367" s="26" t="n">
        <v>0</v>
      </c>
    </row>
    <row r="368" customFormat="false" ht="15" hidden="false" customHeight="false" outlineLevel="0" collapsed="false">
      <c r="A368" s="7" t="s">
        <v>87</v>
      </c>
      <c r="B368" s="7" t="n">
        <v>4408026</v>
      </c>
      <c r="C368" s="7" t="s">
        <v>269</v>
      </c>
      <c r="D368" s="26" t="n">
        <v>13.7</v>
      </c>
      <c r="E368" s="26" t="n">
        <v>0</v>
      </c>
      <c r="F368" s="26" t="n">
        <v>0</v>
      </c>
      <c r="G368" s="26" t="n">
        <v>0</v>
      </c>
      <c r="H368" s="26" t="n">
        <v>-524.2</v>
      </c>
      <c r="I368" s="26" t="n">
        <v>0</v>
      </c>
      <c r="J368" s="26" t="n">
        <v>0</v>
      </c>
      <c r="K368" s="26" t="n">
        <v>0</v>
      </c>
      <c r="L368" s="26" t="n">
        <v>0</v>
      </c>
      <c r="M368" s="26" t="n">
        <v>0</v>
      </c>
    </row>
    <row r="369" customFormat="false" ht="15" hidden="false" customHeight="false" outlineLevel="0" collapsed="false">
      <c r="A369" s="7" t="s">
        <v>85</v>
      </c>
      <c r="B369" s="7" t="n">
        <v>4408029</v>
      </c>
      <c r="C369" s="7" t="s">
        <v>270</v>
      </c>
      <c r="D369" s="26" t="n">
        <v>12</v>
      </c>
      <c r="E369" s="26" t="n">
        <v>0</v>
      </c>
      <c r="F369" s="26" t="n">
        <v>0</v>
      </c>
      <c r="G369" s="26" t="n">
        <v>1</v>
      </c>
      <c r="H369" s="26" t="n">
        <v>28</v>
      </c>
      <c r="I369" s="26" t="n">
        <v>6</v>
      </c>
      <c r="J369" s="26" t="n">
        <v>0</v>
      </c>
      <c r="K369" s="26" t="n">
        <v>0</v>
      </c>
      <c r="L369" s="26" t="n">
        <v>0</v>
      </c>
      <c r="M369" s="26" t="n">
        <v>0</v>
      </c>
    </row>
    <row r="370" customFormat="false" ht="15" hidden="false" customHeight="false" outlineLevel="0" collapsed="false">
      <c r="A370" s="7" t="s">
        <v>87</v>
      </c>
      <c r="B370" s="7" t="n">
        <v>4408029</v>
      </c>
      <c r="C370" s="7" t="s">
        <v>270</v>
      </c>
      <c r="D370" s="26" t="n">
        <v>1762.8</v>
      </c>
      <c r="E370" s="26" t="n">
        <v>0</v>
      </c>
      <c r="F370" s="26" t="n">
        <v>0</v>
      </c>
      <c r="G370" s="26" t="n">
        <v>134</v>
      </c>
      <c r="H370" s="26" t="n">
        <v>3719</v>
      </c>
      <c r="I370" s="26" t="n">
        <v>846.9</v>
      </c>
      <c r="J370" s="26" t="n">
        <v>0</v>
      </c>
      <c r="K370" s="26" t="n">
        <v>0</v>
      </c>
      <c r="L370" s="26" t="n">
        <v>0</v>
      </c>
      <c r="M370" s="26" t="n">
        <v>0</v>
      </c>
    </row>
    <row r="371" customFormat="false" ht="15" hidden="false" customHeight="false" outlineLevel="0" collapsed="false">
      <c r="A371" s="7" t="s">
        <v>85</v>
      </c>
      <c r="B371" s="7" t="n">
        <v>4408030</v>
      </c>
      <c r="C371" s="7" t="s">
        <v>271</v>
      </c>
      <c r="D371" s="26" t="n">
        <v>1</v>
      </c>
      <c r="E371" s="26" t="n">
        <v>0</v>
      </c>
      <c r="F371" s="26" t="n">
        <v>0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  <c r="L371" s="26" t="n">
        <v>0</v>
      </c>
      <c r="M371" s="26" t="n">
        <v>0</v>
      </c>
    </row>
    <row r="372" customFormat="false" ht="15" hidden="false" customHeight="false" outlineLevel="0" collapsed="false">
      <c r="A372" s="7" t="s">
        <v>87</v>
      </c>
      <c r="B372" s="7" t="n">
        <v>4408030</v>
      </c>
      <c r="C372" s="7" t="s">
        <v>271</v>
      </c>
      <c r="D372" s="26" t="n">
        <v>148.4</v>
      </c>
      <c r="E372" s="26" t="n">
        <v>0</v>
      </c>
      <c r="F372" s="26" t="n">
        <v>0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  <c r="L372" s="26" t="n">
        <v>0</v>
      </c>
      <c r="M372" s="26" t="n">
        <v>0</v>
      </c>
    </row>
    <row r="373" customFormat="false" ht="15" hidden="false" customHeight="false" outlineLevel="0" collapsed="false">
      <c r="A373" s="7" t="s">
        <v>85</v>
      </c>
      <c r="B373" s="7" t="n">
        <v>4408032</v>
      </c>
      <c r="C373" s="7" t="s">
        <v>272</v>
      </c>
      <c r="D373" s="26" t="n">
        <v>26</v>
      </c>
      <c r="E373" s="26" t="n">
        <v>0</v>
      </c>
      <c r="F373" s="26" t="n">
        <v>0</v>
      </c>
      <c r="G373" s="26" t="n">
        <v>0</v>
      </c>
      <c r="H373" s="26" t="n">
        <v>252</v>
      </c>
      <c r="I373" s="26" t="n">
        <v>49</v>
      </c>
      <c r="J373" s="26" t="n">
        <v>0</v>
      </c>
      <c r="K373" s="26" t="n">
        <v>29</v>
      </c>
      <c r="L373" s="26" t="n">
        <v>0</v>
      </c>
      <c r="M373" s="26" t="n">
        <v>-1</v>
      </c>
    </row>
    <row r="374" customFormat="false" ht="15" hidden="false" customHeight="false" outlineLevel="0" collapsed="false">
      <c r="A374" s="7" t="s">
        <v>87</v>
      </c>
      <c r="B374" s="7" t="n">
        <v>4408032</v>
      </c>
      <c r="C374" s="7" t="s">
        <v>272</v>
      </c>
      <c r="D374" s="26" t="n">
        <v>2773</v>
      </c>
      <c r="E374" s="26" t="n">
        <v>0</v>
      </c>
      <c r="F374" s="26" t="n">
        <v>0</v>
      </c>
      <c r="G374" s="26" t="n">
        <v>0</v>
      </c>
      <c r="H374" s="26" t="n">
        <v>22844.8</v>
      </c>
      <c r="I374" s="26" t="n">
        <v>4754.5</v>
      </c>
      <c r="J374" s="26" t="n">
        <v>0</v>
      </c>
      <c r="K374" s="26" t="n">
        <v>2043.6</v>
      </c>
      <c r="L374" s="26" t="n">
        <v>0</v>
      </c>
      <c r="M374" s="26" t="n">
        <v>-143.7</v>
      </c>
    </row>
    <row r="375" customFormat="false" ht="15" hidden="false" customHeight="false" outlineLevel="0" collapsed="false">
      <c r="A375" s="7" t="s">
        <v>85</v>
      </c>
      <c r="B375" s="7" t="n">
        <v>4408033</v>
      </c>
      <c r="C375" s="7" t="s">
        <v>273</v>
      </c>
      <c r="D375" s="26" t="n">
        <v>26</v>
      </c>
      <c r="E375" s="26" t="n">
        <v>0</v>
      </c>
      <c r="F375" s="26" t="n">
        <v>0</v>
      </c>
      <c r="G375" s="26" t="n">
        <v>0</v>
      </c>
      <c r="H375" s="26" t="n">
        <v>178</v>
      </c>
      <c r="I375" s="26" t="n">
        <v>33</v>
      </c>
      <c r="J375" s="26" t="n">
        <v>0</v>
      </c>
      <c r="K375" s="26" t="n">
        <v>20</v>
      </c>
      <c r="L375" s="26" t="n">
        <v>0</v>
      </c>
      <c r="M375" s="26" t="n">
        <v>-2</v>
      </c>
    </row>
    <row r="376" customFormat="false" ht="15" hidden="false" customHeight="false" outlineLevel="0" collapsed="false">
      <c r="A376" s="7" t="s">
        <v>87</v>
      </c>
      <c r="B376" s="7" t="n">
        <v>4408033</v>
      </c>
      <c r="C376" s="7" t="s">
        <v>273</v>
      </c>
      <c r="D376" s="26" t="n">
        <v>2754.3</v>
      </c>
      <c r="E376" s="26" t="n">
        <v>0</v>
      </c>
      <c r="F376" s="26" t="n">
        <v>0</v>
      </c>
      <c r="G376" s="26" t="n">
        <v>0</v>
      </c>
      <c r="H376" s="26" t="n">
        <v>16109.9</v>
      </c>
      <c r="I376" s="26" t="n">
        <v>3202</v>
      </c>
      <c r="J376" s="26" t="n">
        <v>0</v>
      </c>
      <c r="K376" s="26" t="n">
        <v>1446.8</v>
      </c>
      <c r="L376" s="26" t="n">
        <v>0</v>
      </c>
      <c r="M376" s="26" t="n">
        <v>-287.4</v>
      </c>
    </row>
    <row r="377" customFormat="false" ht="15" hidden="false" customHeight="false" outlineLevel="0" collapsed="false">
      <c r="A377" s="7" t="s">
        <v>85</v>
      </c>
      <c r="B377" s="7" t="n">
        <v>4408031</v>
      </c>
      <c r="C377" s="7" t="s">
        <v>274</v>
      </c>
      <c r="D377" s="26" t="n">
        <v>5</v>
      </c>
      <c r="E377" s="26" t="n">
        <v>0</v>
      </c>
      <c r="F377" s="26" t="n">
        <v>0</v>
      </c>
      <c r="G377" s="26" t="n">
        <v>0</v>
      </c>
      <c r="H377" s="26" t="n">
        <v>92</v>
      </c>
      <c r="I377" s="26" t="n">
        <v>19</v>
      </c>
      <c r="J377" s="26" t="n">
        <v>0</v>
      </c>
      <c r="K377" s="26" t="n">
        <v>2</v>
      </c>
      <c r="L377" s="26" t="n">
        <v>0</v>
      </c>
      <c r="M377" s="26" t="n">
        <v>0</v>
      </c>
    </row>
    <row r="378" customFormat="false" ht="15" hidden="false" customHeight="false" outlineLevel="0" collapsed="false">
      <c r="A378" s="7" t="s">
        <v>87</v>
      </c>
      <c r="B378" s="7" t="n">
        <v>4408031</v>
      </c>
      <c r="C378" s="7" t="s">
        <v>274</v>
      </c>
      <c r="D378" s="26" t="n">
        <v>534.5</v>
      </c>
      <c r="E378" s="26" t="n">
        <v>0</v>
      </c>
      <c r="F378" s="26" t="n">
        <v>0</v>
      </c>
      <c r="G378" s="26" t="n">
        <v>0</v>
      </c>
      <c r="H378" s="26" t="n">
        <v>8511.5</v>
      </c>
      <c r="I378" s="26" t="n">
        <v>1843.6</v>
      </c>
      <c r="J378" s="26" t="n">
        <v>0</v>
      </c>
      <c r="K378" s="26" t="n">
        <v>144.7</v>
      </c>
      <c r="L378" s="26" t="n">
        <v>0</v>
      </c>
      <c r="M378" s="26" t="n">
        <v>0</v>
      </c>
    </row>
    <row r="379" customFormat="false" ht="15" hidden="false" customHeight="false" outlineLevel="0" collapsed="false">
      <c r="A379" s="7" t="s">
        <v>85</v>
      </c>
      <c r="B379" s="7" t="n">
        <v>4408034</v>
      </c>
      <c r="C379" s="7" t="s">
        <v>275</v>
      </c>
      <c r="D379" s="26" t="n">
        <v>25</v>
      </c>
      <c r="E379" s="26" t="n">
        <v>0</v>
      </c>
      <c r="F379" s="26" t="n">
        <v>0</v>
      </c>
      <c r="G379" s="26" t="n">
        <v>0</v>
      </c>
      <c r="H379" s="26" t="n">
        <v>242</v>
      </c>
      <c r="I379" s="26" t="n">
        <v>57</v>
      </c>
      <c r="J379" s="26" t="n">
        <v>0</v>
      </c>
      <c r="K379" s="26" t="n">
        <v>36</v>
      </c>
      <c r="L379" s="26" t="n">
        <v>0</v>
      </c>
      <c r="M379" s="26" t="n">
        <v>-1</v>
      </c>
    </row>
    <row r="380" customFormat="false" ht="15" hidden="false" customHeight="false" outlineLevel="0" collapsed="false">
      <c r="A380" s="7" t="s">
        <v>87</v>
      </c>
      <c r="B380" s="7" t="n">
        <v>4408034</v>
      </c>
      <c r="C380" s="7" t="s">
        <v>275</v>
      </c>
      <c r="D380" s="26" t="n">
        <v>2646.6</v>
      </c>
      <c r="E380" s="26" t="n">
        <v>0</v>
      </c>
      <c r="F380" s="26" t="n">
        <v>0</v>
      </c>
      <c r="G380" s="26" t="n">
        <v>0</v>
      </c>
      <c r="H380" s="26" t="n">
        <v>21810.8</v>
      </c>
      <c r="I380" s="26" t="n">
        <v>5530.7</v>
      </c>
      <c r="J380" s="26" t="n">
        <v>0</v>
      </c>
      <c r="K380" s="26" t="n">
        <v>2531.9</v>
      </c>
      <c r="L380" s="26" t="n">
        <v>0</v>
      </c>
      <c r="M380" s="26" t="n">
        <v>-143.7</v>
      </c>
    </row>
    <row r="381" customFormat="false" ht="15" hidden="false" customHeight="false" outlineLevel="0" collapsed="false">
      <c r="A381" s="7" t="s">
        <v>85</v>
      </c>
      <c r="B381" s="7" t="n">
        <v>4408175</v>
      </c>
      <c r="C381" s="7" t="s">
        <v>276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0</v>
      </c>
      <c r="L381" s="26" t="n">
        <v>0</v>
      </c>
      <c r="M381" s="26" t="n">
        <v>0</v>
      </c>
    </row>
    <row r="382" customFormat="false" ht="15" hidden="false" customHeight="false" outlineLevel="0" collapsed="false">
      <c r="A382" s="7" t="s">
        <v>87</v>
      </c>
      <c r="B382" s="7" t="n">
        <v>4408175</v>
      </c>
      <c r="C382" s="7" t="s">
        <v>276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0</v>
      </c>
      <c r="L382" s="26" t="n">
        <v>0</v>
      </c>
      <c r="M382" s="26" t="n">
        <v>0</v>
      </c>
    </row>
    <row r="383" customFormat="false" ht="15" hidden="false" customHeight="false" outlineLevel="0" collapsed="false">
      <c r="A383" s="7" t="s">
        <v>85</v>
      </c>
      <c r="B383" s="7" t="n">
        <v>4408035</v>
      </c>
      <c r="C383" s="7" t="s">
        <v>277</v>
      </c>
      <c r="D383" s="26" t="n">
        <v>10</v>
      </c>
      <c r="E383" s="26" t="n">
        <v>0</v>
      </c>
      <c r="F383" s="26" t="n">
        <v>0</v>
      </c>
      <c r="G383" s="26" t="n">
        <v>0</v>
      </c>
      <c r="H383" s="26" t="n">
        <v>46</v>
      </c>
      <c r="I383" s="26" t="n">
        <v>37</v>
      </c>
      <c r="J383" s="26" t="n">
        <v>0</v>
      </c>
      <c r="K383" s="26" t="n">
        <v>20</v>
      </c>
      <c r="L383" s="26" t="n">
        <v>0</v>
      </c>
      <c r="M383" s="26" t="n">
        <v>0</v>
      </c>
    </row>
    <row r="384" customFormat="false" ht="15" hidden="false" customHeight="false" outlineLevel="0" collapsed="false">
      <c r="A384" s="7" t="s">
        <v>87</v>
      </c>
      <c r="B384" s="7" t="n">
        <v>4408035</v>
      </c>
      <c r="C384" s="7" t="s">
        <v>277</v>
      </c>
      <c r="D384" s="26" t="n">
        <v>1077.6</v>
      </c>
      <c r="E384" s="26" t="n">
        <v>0</v>
      </c>
      <c r="F384" s="26" t="n">
        <v>0</v>
      </c>
      <c r="G384" s="26" t="n">
        <v>0</v>
      </c>
      <c r="H384" s="26" t="n">
        <v>4137.7</v>
      </c>
      <c r="I384" s="26" t="n">
        <v>3590.1</v>
      </c>
      <c r="J384" s="26" t="n">
        <v>0</v>
      </c>
      <c r="K384" s="26" t="n">
        <v>1410.6</v>
      </c>
      <c r="L384" s="26" t="n">
        <v>0</v>
      </c>
      <c r="M384" s="26" t="n">
        <v>0</v>
      </c>
    </row>
    <row r="385" customFormat="false" ht="15" hidden="false" customHeight="false" outlineLevel="0" collapsed="false">
      <c r="A385" s="7" t="s">
        <v>85</v>
      </c>
      <c r="B385" s="7" t="n">
        <v>4408115</v>
      </c>
      <c r="C385" s="7" t="s">
        <v>278</v>
      </c>
      <c r="D385" s="26" t="n">
        <v>10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24</v>
      </c>
      <c r="J385" s="26" t="n">
        <v>0</v>
      </c>
      <c r="K385" s="26" t="n">
        <v>0</v>
      </c>
      <c r="L385" s="26" t="n">
        <v>0</v>
      </c>
      <c r="M385" s="26" t="n">
        <v>0</v>
      </c>
    </row>
    <row r="386" customFormat="false" ht="15" hidden="false" customHeight="false" outlineLevel="0" collapsed="false">
      <c r="A386" s="7" t="s">
        <v>87</v>
      </c>
      <c r="B386" s="7" t="n">
        <v>4408115</v>
      </c>
      <c r="C386" s="7" t="s">
        <v>278</v>
      </c>
      <c r="D386" s="26" t="n">
        <v>1108.4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2328.7</v>
      </c>
      <c r="J386" s="26" t="n">
        <v>0</v>
      </c>
      <c r="K386" s="26" t="n">
        <v>0</v>
      </c>
      <c r="L386" s="26" t="n">
        <v>0</v>
      </c>
      <c r="M386" s="26" t="n">
        <v>0</v>
      </c>
    </row>
    <row r="387" customFormat="false" ht="15" hidden="false" customHeight="false" outlineLevel="0" collapsed="false">
      <c r="A387" s="7" t="s">
        <v>85</v>
      </c>
      <c r="B387" s="7" t="n">
        <v>4408114</v>
      </c>
      <c r="C387" s="7" t="s">
        <v>279</v>
      </c>
      <c r="D387" s="26" t="n">
        <v>6</v>
      </c>
      <c r="E387" s="26" t="n">
        <v>0</v>
      </c>
      <c r="F387" s="26" t="n">
        <v>0</v>
      </c>
      <c r="G387" s="26" t="n">
        <v>0</v>
      </c>
      <c r="H387" s="26" t="n">
        <v>14</v>
      </c>
      <c r="I387" s="26" t="n">
        <v>0</v>
      </c>
      <c r="J387" s="26" t="n">
        <v>0</v>
      </c>
      <c r="K387" s="26" t="n">
        <v>0</v>
      </c>
      <c r="L387" s="26" t="n">
        <v>0</v>
      </c>
      <c r="M387" s="26" t="n">
        <v>0</v>
      </c>
    </row>
    <row r="388" customFormat="false" ht="15" hidden="false" customHeight="false" outlineLevel="0" collapsed="false">
      <c r="A388" s="7" t="s">
        <v>87</v>
      </c>
      <c r="B388" s="7" t="n">
        <v>4408114</v>
      </c>
      <c r="C388" s="7" t="s">
        <v>279</v>
      </c>
      <c r="D388" s="26" t="n">
        <v>660.6</v>
      </c>
      <c r="E388" s="26" t="n">
        <v>0</v>
      </c>
      <c r="F388" s="26" t="n">
        <v>0</v>
      </c>
      <c r="G388" s="26" t="n">
        <v>0</v>
      </c>
      <c r="H388" s="26" t="n">
        <v>1249.8</v>
      </c>
      <c r="I388" s="26" t="n">
        <v>0</v>
      </c>
      <c r="J388" s="26" t="n">
        <v>0</v>
      </c>
      <c r="K388" s="26" t="n">
        <v>0</v>
      </c>
      <c r="L388" s="26" t="n">
        <v>0</v>
      </c>
      <c r="M388" s="26" t="n">
        <v>0</v>
      </c>
    </row>
    <row r="389" customFormat="false" ht="15" hidden="false" customHeight="false" outlineLevel="0" collapsed="false">
      <c r="A389" s="7" t="s">
        <v>85</v>
      </c>
      <c r="B389" s="7" t="n">
        <v>4408113</v>
      </c>
      <c r="C389" s="7" t="s">
        <v>280</v>
      </c>
      <c r="D389" s="26" t="n">
        <v>1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0</v>
      </c>
      <c r="J389" s="26" t="n">
        <v>0</v>
      </c>
      <c r="K389" s="26" t="n">
        <v>0</v>
      </c>
      <c r="L389" s="26" t="n">
        <v>0</v>
      </c>
      <c r="M389" s="26" t="n">
        <v>0</v>
      </c>
    </row>
    <row r="390" customFormat="false" ht="15" hidden="false" customHeight="false" outlineLevel="0" collapsed="false">
      <c r="A390" s="7" t="s">
        <v>87</v>
      </c>
      <c r="B390" s="7" t="n">
        <v>4408113</v>
      </c>
      <c r="C390" s="7" t="s">
        <v>280</v>
      </c>
      <c r="D390" s="26" t="n">
        <v>102.8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0</v>
      </c>
      <c r="J390" s="26" t="n">
        <v>0</v>
      </c>
      <c r="K390" s="26" t="n">
        <v>0</v>
      </c>
      <c r="L390" s="26" t="n">
        <v>0</v>
      </c>
      <c r="M390" s="26" t="n">
        <v>0</v>
      </c>
    </row>
    <row r="391" customFormat="false" ht="15" hidden="false" customHeight="false" outlineLevel="0" collapsed="false">
      <c r="A391" s="7" t="s">
        <v>85</v>
      </c>
      <c r="B391" s="7" t="n">
        <v>4408116</v>
      </c>
      <c r="C391" s="7" t="s">
        <v>281</v>
      </c>
      <c r="D391" s="26" t="n">
        <v>9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0</v>
      </c>
      <c r="J391" s="26" t="n">
        <v>0</v>
      </c>
      <c r="K391" s="26" t="n">
        <v>0</v>
      </c>
      <c r="L391" s="26" t="n">
        <v>0</v>
      </c>
      <c r="M391" s="26" t="n">
        <v>0</v>
      </c>
    </row>
    <row r="392" customFormat="false" ht="15" hidden="false" customHeight="false" outlineLevel="0" collapsed="false">
      <c r="A392" s="7" t="s">
        <v>87</v>
      </c>
      <c r="B392" s="7" t="n">
        <v>4408116</v>
      </c>
      <c r="C392" s="7" t="s">
        <v>281</v>
      </c>
      <c r="D392" s="26" t="n">
        <v>990.9</v>
      </c>
      <c r="E392" s="26" t="n">
        <v>0</v>
      </c>
      <c r="F392" s="26" t="n">
        <v>0</v>
      </c>
      <c r="G392" s="26" t="n">
        <v>0</v>
      </c>
      <c r="H392" s="26" t="n">
        <v>0</v>
      </c>
      <c r="I392" s="26" t="n">
        <v>0</v>
      </c>
      <c r="J392" s="26" t="n">
        <v>0</v>
      </c>
      <c r="K392" s="26" t="n">
        <v>0</v>
      </c>
      <c r="L392" s="26" t="n">
        <v>0</v>
      </c>
      <c r="M392" s="26" t="n">
        <v>0</v>
      </c>
    </row>
    <row r="393" customFormat="false" ht="15" hidden="false" customHeight="false" outlineLevel="0" collapsed="false">
      <c r="A393" s="7" t="s">
        <v>85</v>
      </c>
      <c r="B393" s="7" t="n">
        <v>4408132</v>
      </c>
      <c r="C393" s="7" t="s">
        <v>282</v>
      </c>
      <c r="D393" s="26" t="n">
        <v>18</v>
      </c>
      <c r="E393" s="26" t="n">
        <v>0</v>
      </c>
      <c r="F393" s="26" t="n">
        <v>0</v>
      </c>
      <c r="G393" s="26" t="n">
        <v>0</v>
      </c>
      <c r="H393" s="26" t="n">
        <v>0</v>
      </c>
      <c r="I393" s="26" t="n">
        <v>65</v>
      </c>
      <c r="J393" s="26" t="n">
        <v>0</v>
      </c>
      <c r="K393" s="26" t="n">
        <v>0</v>
      </c>
      <c r="L393" s="26" t="n">
        <v>0</v>
      </c>
      <c r="M393" s="26" t="n">
        <v>0</v>
      </c>
    </row>
    <row r="394" customFormat="false" ht="15" hidden="false" customHeight="false" outlineLevel="0" collapsed="false">
      <c r="A394" s="7" t="s">
        <v>87</v>
      </c>
      <c r="B394" s="7" t="n">
        <v>4408132</v>
      </c>
      <c r="C394" s="7" t="s">
        <v>282</v>
      </c>
      <c r="D394" s="26" t="n">
        <v>1981.8</v>
      </c>
      <c r="E394" s="26" t="n">
        <v>0</v>
      </c>
      <c r="F394" s="26" t="n">
        <v>0</v>
      </c>
      <c r="G394" s="26" t="n">
        <v>0</v>
      </c>
      <c r="H394" s="26" t="n">
        <v>0</v>
      </c>
      <c r="I394" s="26" t="n">
        <v>6240</v>
      </c>
      <c r="J394" s="26" t="n">
        <v>0</v>
      </c>
      <c r="K394" s="26" t="n">
        <v>0</v>
      </c>
      <c r="L394" s="26" t="n">
        <v>0</v>
      </c>
      <c r="M394" s="26" t="n">
        <v>0</v>
      </c>
    </row>
    <row r="395" customFormat="false" ht="15" hidden="false" customHeight="false" outlineLevel="0" collapsed="false">
      <c r="A395" s="7" t="s">
        <v>85</v>
      </c>
      <c r="B395" s="7" t="n">
        <v>4408147</v>
      </c>
      <c r="C395" s="7" t="s">
        <v>283</v>
      </c>
      <c r="D395" s="26" t="n">
        <v>1</v>
      </c>
      <c r="E395" s="26" t="n">
        <v>0</v>
      </c>
      <c r="F395" s="26" t="n">
        <v>0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  <c r="L395" s="26" t="n">
        <v>0</v>
      </c>
      <c r="M395" s="26" t="n">
        <v>0</v>
      </c>
    </row>
    <row r="396" customFormat="false" ht="15" hidden="false" customHeight="false" outlineLevel="0" collapsed="false">
      <c r="A396" s="7" t="s">
        <v>87</v>
      </c>
      <c r="B396" s="7" t="n">
        <v>4408147</v>
      </c>
      <c r="C396" s="7" t="s">
        <v>283</v>
      </c>
      <c r="D396" s="26" t="n">
        <v>135.9</v>
      </c>
      <c r="E396" s="26" t="n">
        <v>0</v>
      </c>
      <c r="F396" s="26" t="n">
        <v>0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  <c r="L396" s="26" t="n">
        <v>0</v>
      </c>
      <c r="M396" s="26" t="n">
        <v>0</v>
      </c>
    </row>
    <row r="397" customFormat="false" ht="15" hidden="false" customHeight="false" outlineLevel="0" collapsed="false">
      <c r="A397" s="7" t="s">
        <v>85</v>
      </c>
      <c r="B397" s="7" t="n">
        <v>4408146</v>
      </c>
      <c r="C397" s="7" t="s">
        <v>284</v>
      </c>
      <c r="D397" s="26" t="n">
        <v>0</v>
      </c>
      <c r="E397" s="26" t="n">
        <v>0</v>
      </c>
      <c r="F397" s="26" t="n">
        <v>0</v>
      </c>
      <c r="G397" s="26" t="n">
        <v>0</v>
      </c>
      <c r="H397" s="26" t="n">
        <v>0</v>
      </c>
      <c r="I397" s="26" t="n">
        <v>0</v>
      </c>
      <c r="J397" s="26" t="n">
        <v>0</v>
      </c>
      <c r="K397" s="26" t="n">
        <v>0</v>
      </c>
      <c r="L397" s="26" t="n">
        <v>0</v>
      </c>
      <c r="M397" s="26" t="n">
        <v>0</v>
      </c>
    </row>
    <row r="398" customFormat="false" ht="15" hidden="false" customHeight="false" outlineLevel="0" collapsed="false">
      <c r="A398" s="7" t="s">
        <v>87</v>
      </c>
      <c r="B398" s="7" t="n">
        <v>4408146</v>
      </c>
      <c r="C398" s="7" t="s">
        <v>284</v>
      </c>
      <c r="D398" s="26" t="n">
        <v>0</v>
      </c>
      <c r="E398" s="26" t="n">
        <v>0</v>
      </c>
      <c r="F398" s="26" t="n">
        <v>0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  <c r="L398" s="26" t="n">
        <v>0</v>
      </c>
      <c r="M398" s="26" t="n">
        <v>0</v>
      </c>
    </row>
    <row r="399" customFormat="false" ht="15" hidden="false" customHeight="false" outlineLevel="0" collapsed="false">
      <c r="A399" s="7" t="s">
        <v>85</v>
      </c>
      <c r="B399" s="7" t="n">
        <v>4408145</v>
      </c>
      <c r="C399" s="7" t="s">
        <v>285</v>
      </c>
      <c r="D399" s="26" t="n">
        <v>0</v>
      </c>
      <c r="E399" s="26" t="n">
        <v>0</v>
      </c>
      <c r="F399" s="26" t="n">
        <v>0</v>
      </c>
      <c r="G399" s="26" t="n">
        <v>0</v>
      </c>
      <c r="H399" s="26" t="n">
        <v>1</v>
      </c>
      <c r="I399" s="26" t="n">
        <v>0</v>
      </c>
      <c r="J399" s="26" t="n">
        <v>0</v>
      </c>
      <c r="K399" s="26" t="n">
        <v>0</v>
      </c>
      <c r="L399" s="26" t="n">
        <v>0</v>
      </c>
      <c r="M399" s="26" t="n">
        <v>0</v>
      </c>
    </row>
    <row r="400" customFormat="false" ht="15" hidden="false" customHeight="false" outlineLevel="0" collapsed="false">
      <c r="A400" s="7" t="s">
        <v>87</v>
      </c>
      <c r="B400" s="7" t="n">
        <v>4408145</v>
      </c>
      <c r="C400" s="7" t="s">
        <v>285</v>
      </c>
      <c r="D400" s="26" t="n">
        <v>0</v>
      </c>
      <c r="E400" s="26" t="n">
        <v>0</v>
      </c>
      <c r="F400" s="26" t="n">
        <v>0</v>
      </c>
      <c r="G400" s="26" t="n">
        <v>0</v>
      </c>
      <c r="H400" s="26" t="n">
        <v>104.7</v>
      </c>
      <c r="I400" s="26" t="n">
        <v>0</v>
      </c>
      <c r="J400" s="26" t="n">
        <v>0</v>
      </c>
      <c r="K400" s="26" t="n">
        <v>0</v>
      </c>
      <c r="L400" s="26" t="n">
        <v>0</v>
      </c>
      <c r="M400" s="26" t="n">
        <v>0</v>
      </c>
    </row>
    <row r="401" customFormat="false" ht="15" hidden="false" customHeight="false" outlineLevel="0" collapsed="false">
      <c r="A401" s="7" t="s">
        <v>85</v>
      </c>
      <c r="B401" s="7" t="n">
        <v>4408148</v>
      </c>
      <c r="C401" s="7" t="s">
        <v>286</v>
      </c>
      <c r="D401" s="26" t="n">
        <v>0</v>
      </c>
      <c r="E401" s="26" t="n">
        <v>0</v>
      </c>
      <c r="F401" s="26" t="n">
        <v>0</v>
      </c>
      <c r="G401" s="26" t="n">
        <v>0</v>
      </c>
      <c r="H401" s="26" t="n">
        <v>0</v>
      </c>
      <c r="I401" s="26" t="n">
        <v>0</v>
      </c>
      <c r="J401" s="26" t="n">
        <v>0</v>
      </c>
      <c r="K401" s="26" t="n">
        <v>0</v>
      </c>
      <c r="L401" s="26" t="n">
        <v>0</v>
      </c>
      <c r="M401" s="26" t="n">
        <v>0</v>
      </c>
    </row>
    <row r="402" customFormat="false" ht="15" hidden="false" customHeight="false" outlineLevel="0" collapsed="false">
      <c r="A402" s="7" t="s">
        <v>87</v>
      </c>
      <c r="B402" s="7" t="n">
        <v>4408148</v>
      </c>
      <c r="C402" s="7" t="s">
        <v>286</v>
      </c>
      <c r="D402" s="26" t="n">
        <v>0</v>
      </c>
      <c r="E402" s="26" t="n">
        <v>0</v>
      </c>
      <c r="F402" s="26" t="n">
        <v>0</v>
      </c>
      <c r="G402" s="26" t="n">
        <v>0</v>
      </c>
      <c r="H402" s="26" t="n">
        <v>-5.5</v>
      </c>
      <c r="I402" s="26" t="n">
        <v>0</v>
      </c>
      <c r="J402" s="26" t="n">
        <v>0</v>
      </c>
      <c r="K402" s="26" t="n">
        <v>0</v>
      </c>
      <c r="L402" s="26" t="n">
        <v>0</v>
      </c>
      <c r="M402" s="26" t="n">
        <v>0</v>
      </c>
    </row>
    <row r="403" customFormat="false" ht="15" hidden="false" customHeight="false" outlineLevel="0" collapsed="false">
      <c r="A403" s="7" t="s">
        <v>85</v>
      </c>
      <c r="B403" s="7" t="n">
        <v>4408149</v>
      </c>
      <c r="C403" s="7" t="s">
        <v>287</v>
      </c>
      <c r="D403" s="26" t="n">
        <v>1</v>
      </c>
      <c r="E403" s="26" t="n">
        <v>0</v>
      </c>
      <c r="F403" s="26" t="n">
        <v>0</v>
      </c>
      <c r="G403" s="26" t="n">
        <v>0</v>
      </c>
      <c r="H403" s="26" t="n">
        <v>0</v>
      </c>
      <c r="I403" s="26" t="n">
        <v>3</v>
      </c>
      <c r="J403" s="26" t="n">
        <v>0</v>
      </c>
      <c r="K403" s="26" t="n">
        <v>0</v>
      </c>
      <c r="L403" s="26" t="n">
        <v>0</v>
      </c>
      <c r="M403" s="26" t="n">
        <v>0</v>
      </c>
    </row>
    <row r="404" customFormat="false" ht="15" hidden="false" customHeight="false" outlineLevel="0" collapsed="false">
      <c r="A404" s="7" t="s">
        <v>87</v>
      </c>
      <c r="B404" s="7" t="n">
        <v>4408149</v>
      </c>
      <c r="C404" s="7" t="s">
        <v>287</v>
      </c>
      <c r="D404" s="26" t="n">
        <v>135.9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355.9</v>
      </c>
      <c r="J404" s="26" t="n">
        <v>0</v>
      </c>
      <c r="K404" s="26" t="n">
        <v>0</v>
      </c>
      <c r="L404" s="26" t="n">
        <v>0</v>
      </c>
      <c r="M404" s="26" t="n">
        <v>0</v>
      </c>
    </row>
    <row r="405" customFormat="false" ht="15" hidden="false" customHeight="false" outlineLevel="0" collapsed="false">
      <c r="A405" s="7" t="s">
        <v>85</v>
      </c>
      <c r="B405" s="7" t="n">
        <v>4408261</v>
      </c>
      <c r="C405" s="7" t="s">
        <v>288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</v>
      </c>
      <c r="L405" s="26" t="n">
        <v>0</v>
      </c>
      <c r="M405" s="26" t="n">
        <v>0</v>
      </c>
    </row>
    <row r="406" customFormat="false" ht="15" hidden="false" customHeight="false" outlineLevel="0" collapsed="false">
      <c r="A406" s="7" t="s">
        <v>87</v>
      </c>
      <c r="B406" s="7" t="n">
        <v>4408261</v>
      </c>
      <c r="C406" s="7" t="s">
        <v>288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0</v>
      </c>
      <c r="J406" s="26" t="n">
        <v>0</v>
      </c>
      <c r="K406" s="26" t="n">
        <v>113.6</v>
      </c>
      <c r="L406" s="26" t="n">
        <v>0</v>
      </c>
      <c r="M406" s="26" t="n">
        <v>0</v>
      </c>
    </row>
    <row r="407" customFormat="false" ht="15" hidden="false" customHeight="false" outlineLevel="0" collapsed="false">
      <c r="A407" s="7" t="s">
        <v>85</v>
      </c>
      <c r="B407" s="7" t="n">
        <v>4408260</v>
      </c>
      <c r="C407" s="7" t="s">
        <v>289</v>
      </c>
      <c r="D407" s="26" t="n">
        <v>1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</v>
      </c>
      <c r="L407" s="26" t="n">
        <v>0</v>
      </c>
      <c r="M407" s="26" t="n">
        <v>0</v>
      </c>
    </row>
    <row r="408" customFormat="false" ht="15" hidden="false" customHeight="false" outlineLevel="0" collapsed="false">
      <c r="A408" s="7" t="s">
        <v>87</v>
      </c>
      <c r="B408" s="7" t="n">
        <v>4408260</v>
      </c>
      <c r="C408" s="7" t="s">
        <v>289</v>
      </c>
      <c r="D408" s="26" t="n">
        <v>166.4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113.6</v>
      </c>
      <c r="L408" s="26" t="n">
        <v>0</v>
      </c>
      <c r="M408" s="26" t="n">
        <v>0</v>
      </c>
    </row>
    <row r="409" customFormat="false" ht="15" hidden="false" customHeight="false" outlineLevel="0" collapsed="false">
      <c r="A409" s="7" t="s">
        <v>85</v>
      </c>
      <c r="B409" s="7" t="n">
        <v>4408259</v>
      </c>
      <c r="C409" s="7" t="s">
        <v>290</v>
      </c>
      <c r="D409" s="26" t="n">
        <v>1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0</v>
      </c>
      <c r="J409" s="26" t="n">
        <v>0</v>
      </c>
      <c r="K409" s="26" t="n">
        <v>2</v>
      </c>
      <c r="L409" s="26" t="n">
        <v>0</v>
      </c>
      <c r="M409" s="26" t="n">
        <v>0</v>
      </c>
    </row>
    <row r="410" customFormat="false" ht="15" hidden="false" customHeight="false" outlineLevel="0" collapsed="false">
      <c r="A410" s="7" t="s">
        <v>87</v>
      </c>
      <c r="B410" s="7" t="n">
        <v>4408259</v>
      </c>
      <c r="C410" s="7" t="s">
        <v>290</v>
      </c>
      <c r="D410" s="26" t="n">
        <v>166.4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0</v>
      </c>
      <c r="J410" s="26" t="n">
        <v>0</v>
      </c>
      <c r="K410" s="26" t="n">
        <v>227.2</v>
      </c>
      <c r="L410" s="26" t="n">
        <v>0</v>
      </c>
      <c r="M410" s="26" t="n">
        <v>0</v>
      </c>
    </row>
    <row r="411" customFormat="false" ht="15" hidden="false" customHeight="false" outlineLevel="0" collapsed="false">
      <c r="A411" s="7" t="s">
        <v>85</v>
      </c>
      <c r="B411" s="7" t="n">
        <v>4408262</v>
      </c>
      <c r="C411" s="7" t="s">
        <v>291</v>
      </c>
      <c r="D411" s="26" t="n">
        <v>2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0</v>
      </c>
      <c r="J411" s="26" t="n">
        <v>0</v>
      </c>
      <c r="K411" s="26" t="n">
        <v>4</v>
      </c>
      <c r="L411" s="26" t="n">
        <v>0</v>
      </c>
      <c r="M411" s="26" t="n">
        <v>0</v>
      </c>
    </row>
    <row r="412" customFormat="false" ht="15" hidden="false" customHeight="false" outlineLevel="0" collapsed="false">
      <c r="A412" s="7" t="s">
        <v>87</v>
      </c>
      <c r="B412" s="7" t="n">
        <v>4408262</v>
      </c>
      <c r="C412" s="7" t="s">
        <v>291</v>
      </c>
      <c r="D412" s="26" t="n">
        <v>332.7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0</v>
      </c>
      <c r="J412" s="26" t="n">
        <v>0</v>
      </c>
      <c r="K412" s="26" t="n">
        <v>454.3</v>
      </c>
      <c r="L412" s="26" t="n">
        <v>0</v>
      </c>
      <c r="M412" s="26" t="n">
        <v>0</v>
      </c>
    </row>
    <row r="413" customFormat="false" ht="15" hidden="false" customHeight="false" outlineLevel="0" collapsed="false">
      <c r="A413" s="7" t="s">
        <v>85</v>
      </c>
      <c r="B413" s="7" t="n">
        <v>4408263</v>
      </c>
      <c r="C413" s="7" t="s">
        <v>292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0</v>
      </c>
      <c r="J413" s="26" t="n">
        <v>0</v>
      </c>
      <c r="K413" s="26" t="n">
        <v>1</v>
      </c>
      <c r="L413" s="26" t="n">
        <v>0</v>
      </c>
      <c r="M413" s="26" t="n">
        <v>0</v>
      </c>
    </row>
    <row r="414" customFormat="false" ht="15" hidden="false" customHeight="false" outlineLevel="0" collapsed="false">
      <c r="A414" s="7" t="s">
        <v>87</v>
      </c>
      <c r="B414" s="7" t="n">
        <v>4408263</v>
      </c>
      <c r="C414" s="7" t="s">
        <v>292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0</v>
      </c>
      <c r="J414" s="26" t="n">
        <v>0</v>
      </c>
      <c r="K414" s="26" t="n">
        <v>113.6</v>
      </c>
      <c r="L414" s="26" t="n">
        <v>0</v>
      </c>
      <c r="M414" s="26" t="n">
        <v>0</v>
      </c>
    </row>
    <row r="415" customFormat="false" ht="15" hidden="false" customHeight="false" outlineLevel="0" collapsed="false">
      <c r="A415" s="7" t="s">
        <v>85</v>
      </c>
      <c r="B415" s="7" t="n">
        <v>4408152</v>
      </c>
      <c r="C415" s="7" t="s">
        <v>293</v>
      </c>
      <c r="D415" s="26" t="n">
        <v>6</v>
      </c>
      <c r="E415" s="26" t="n">
        <v>0</v>
      </c>
      <c r="F415" s="26" t="n">
        <v>0</v>
      </c>
      <c r="G415" s="26" t="n">
        <v>0</v>
      </c>
      <c r="H415" s="26" t="n">
        <v>23</v>
      </c>
      <c r="I415" s="26" t="n">
        <v>49</v>
      </c>
      <c r="J415" s="26" t="n">
        <v>0</v>
      </c>
      <c r="K415" s="26" t="n">
        <v>10</v>
      </c>
      <c r="L415" s="26" t="n">
        <v>0</v>
      </c>
      <c r="M415" s="26" t="n">
        <v>0</v>
      </c>
    </row>
    <row r="416" customFormat="false" ht="15" hidden="false" customHeight="false" outlineLevel="0" collapsed="false">
      <c r="A416" s="7" t="s">
        <v>87</v>
      </c>
      <c r="B416" s="7" t="n">
        <v>4408152</v>
      </c>
      <c r="C416" s="7" t="s">
        <v>293</v>
      </c>
      <c r="D416" s="26" t="n">
        <v>920.9</v>
      </c>
      <c r="E416" s="26" t="n">
        <v>0</v>
      </c>
      <c r="F416" s="26" t="n">
        <v>0</v>
      </c>
      <c r="G416" s="26" t="n">
        <v>0</v>
      </c>
      <c r="H416" s="26" t="n">
        <v>3060.8</v>
      </c>
      <c r="I416" s="26" t="n">
        <v>7132.4</v>
      </c>
      <c r="J416" s="26" t="n">
        <v>0</v>
      </c>
      <c r="K416" s="26" t="n">
        <v>1017.3</v>
      </c>
      <c r="L416" s="26" t="n">
        <v>0</v>
      </c>
      <c r="M416" s="26" t="n">
        <v>0</v>
      </c>
    </row>
    <row r="417" customFormat="false" ht="15" hidden="false" customHeight="false" outlineLevel="0" collapsed="false">
      <c r="A417" s="7" t="s">
        <v>85</v>
      </c>
      <c r="B417" s="7" t="n">
        <v>4408151</v>
      </c>
      <c r="C417" s="7" t="s">
        <v>294</v>
      </c>
      <c r="D417" s="26" t="n">
        <v>0</v>
      </c>
      <c r="E417" s="26" t="n">
        <v>0</v>
      </c>
      <c r="F417" s="26" t="n">
        <v>0</v>
      </c>
      <c r="G417" s="26" t="n">
        <v>0</v>
      </c>
      <c r="H417" s="26" t="n">
        <v>9</v>
      </c>
      <c r="I417" s="26" t="n">
        <v>27</v>
      </c>
      <c r="J417" s="26" t="n">
        <v>0</v>
      </c>
      <c r="K417" s="26" t="n">
        <v>1</v>
      </c>
      <c r="L417" s="26" t="n">
        <v>0</v>
      </c>
      <c r="M417" s="26" t="n">
        <v>0</v>
      </c>
    </row>
    <row r="418" customFormat="false" ht="15" hidden="false" customHeight="false" outlineLevel="0" collapsed="false">
      <c r="A418" s="7" t="s">
        <v>87</v>
      </c>
      <c r="B418" s="7" t="n">
        <v>4408151</v>
      </c>
      <c r="C418" s="7" t="s">
        <v>294</v>
      </c>
      <c r="D418" s="26" t="n">
        <v>31.4</v>
      </c>
      <c r="E418" s="26" t="n">
        <v>0</v>
      </c>
      <c r="F418" s="26" t="n">
        <v>0</v>
      </c>
      <c r="G418" s="26" t="n">
        <v>0</v>
      </c>
      <c r="H418" s="26" t="n">
        <v>1185.2</v>
      </c>
      <c r="I418" s="26" t="n">
        <v>3930.1</v>
      </c>
      <c r="J418" s="26" t="n">
        <v>0</v>
      </c>
      <c r="K418" s="26" t="n">
        <v>107.1</v>
      </c>
      <c r="L418" s="26" t="n">
        <v>0</v>
      </c>
      <c r="M418" s="26" t="n">
        <v>0</v>
      </c>
    </row>
    <row r="419" customFormat="false" ht="15" hidden="false" customHeight="false" outlineLevel="0" collapsed="false">
      <c r="A419" s="7" t="s">
        <v>85</v>
      </c>
      <c r="B419" s="7" t="n">
        <v>4408150</v>
      </c>
      <c r="C419" s="7" t="s">
        <v>295</v>
      </c>
      <c r="D419" s="26" t="n">
        <v>0</v>
      </c>
      <c r="E419" s="26" t="n">
        <v>0</v>
      </c>
      <c r="F419" s="26" t="n">
        <v>0</v>
      </c>
      <c r="G419" s="26" t="n">
        <v>0</v>
      </c>
      <c r="H419" s="26" t="n">
        <v>-1</v>
      </c>
      <c r="I419" s="26" t="n">
        <v>12</v>
      </c>
      <c r="J419" s="26" t="n">
        <v>0</v>
      </c>
      <c r="K419" s="26" t="n">
        <v>0</v>
      </c>
      <c r="L419" s="26" t="n">
        <v>0</v>
      </c>
      <c r="M419" s="26" t="n">
        <v>0</v>
      </c>
    </row>
    <row r="420" customFormat="false" ht="15" hidden="false" customHeight="false" outlineLevel="0" collapsed="false">
      <c r="A420" s="7" t="s">
        <v>87</v>
      </c>
      <c r="B420" s="7" t="n">
        <v>4408150</v>
      </c>
      <c r="C420" s="7" t="s">
        <v>295</v>
      </c>
      <c r="D420" s="26" t="n">
        <v>0</v>
      </c>
      <c r="E420" s="26" t="n">
        <v>0</v>
      </c>
      <c r="F420" s="26" t="n">
        <v>0</v>
      </c>
      <c r="G420" s="26" t="n">
        <v>0</v>
      </c>
      <c r="H420" s="26" t="n">
        <v>-128.4</v>
      </c>
      <c r="I420" s="26" t="n">
        <v>1746.7</v>
      </c>
      <c r="J420" s="26" t="n">
        <v>0</v>
      </c>
      <c r="K420" s="26" t="n">
        <v>0</v>
      </c>
      <c r="L420" s="26" t="n">
        <v>0</v>
      </c>
      <c r="M420" s="26" t="n">
        <v>0</v>
      </c>
    </row>
    <row r="421" customFormat="false" ht="15" hidden="false" customHeight="false" outlineLevel="0" collapsed="false">
      <c r="A421" s="7" t="s">
        <v>85</v>
      </c>
      <c r="B421" s="7" t="n">
        <v>4408153</v>
      </c>
      <c r="C421" s="7" t="s">
        <v>296</v>
      </c>
      <c r="D421" s="26" t="n">
        <v>11</v>
      </c>
      <c r="E421" s="26" t="n">
        <v>0</v>
      </c>
      <c r="F421" s="26" t="n">
        <v>0</v>
      </c>
      <c r="G421" s="26" t="n">
        <v>0</v>
      </c>
      <c r="H421" s="26" t="n">
        <v>23</v>
      </c>
      <c r="I421" s="26" t="n">
        <v>59</v>
      </c>
      <c r="J421" s="26" t="n">
        <v>0</v>
      </c>
      <c r="K421" s="26" t="n">
        <v>4</v>
      </c>
      <c r="L421" s="26" t="n">
        <v>0</v>
      </c>
      <c r="M421" s="26" t="n">
        <v>0</v>
      </c>
    </row>
    <row r="422" customFormat="false" ht="15" hidden="false" customHeight="false" outlineLevel="0" collapsed="false">
      <c r="A422" s="7" t="s">
        <v>87</v>
      </c>
      <c r="B422" s="7" t="n">
        <v>4408153</v>
      </c>
      <c r="C422" s="7" t="s">
        <v>296</v>
      </c>
      <c r="D422" s="26" t="n">
        <v>1726.7</v>
      </c>
      <c r="E422" s="26" t="n">
        <v>0</v>
      </c>
      <c r="F422" s="26" t="n">
        <v>0</v>
      </c>
      <c r="G422" s="26" t="n">
        <v>0</v>
      </c>
      <c r="H422" s="26" t="n">
        <v>3051.3</v>
      </c>
      <c r="I422" s="26" t="n">
        <v>8588</v>
      </c>
      <c r="J422" s="26" t="n">
        <v>0</v>
      </c>
      <c r="K422" s="26" t="n">
        <v>401.6</v>
      </c>
      <c r="L422" s="26" t="n">
        <v>0</v>
      </c>
      <c r="M422" s="26" t="n">
        <v>0</v>
      </c>
    </row>
    <row r="423" customFormat="false" ht="15" hidden="false" customHeight="false" outlineLevel="0" collapsed="false">
      <c r="A423" s="7" t="s">
        <v>85</v>
      </c>
      <c r="B423" s="7" t="n">
        <v>4408154</v>
      </c>
      <c r="C423" s="7" t="s">
        <v>297</v>
      </c>
      <c r="D423" s="26" t="n">
        <v>5</v>
      </c>
      <c r="E423" s="26" t="n">
        <v>0</v>
      </c>
      <c r="F423" s="26" t="n">
        <v>0</v>
      </c>
      <c r="G423" s="26" t="n">
        <v>0</v>
      </c>
      <c r="H423" s="26" t="n">
        <v>41</v>
      </c>
      <c r="I423" s="26" t="n">
        <v>83</v>
      </c>
      <c r="J423" s="26" t="n">
        <v>0</v>
      </c>
      <c r="K423" s="26" t="n">
        <v>7</v>
      </c>
      <c r="L423" s="26" t="n">
        <v>0</v>
      </c>
      <c r="M423" s="26" t="n">
        <v>0</v>
      </c>
    </row>
    <row r="424" customFormat="false" ht="15" hidden="false" customHeight="false" outlineLevel="0" collapsed="false">
      <c r="A424" s="7" t="s">
        <v>87</v>
      </c>
      <c r="B424" s="7" t="n">
        <v>4408154</v>
      </c>
      <c r="C424" s="7" t="s">
        <v>297</v>
      </c>
      <c r="D424" s="26" t="n">
        <v>763.9</v>
      </c>
      <c r="E424" s="26" t="n">
        <v>0</v>
      </c>
      <c r="F424" s="26" t="n">
        <v>0</v>
      </c>
      <c r="G424" s="26" t="n">
        <v>0</v>
      </c>
      <c r="H424" s="26" t="n">
        <v>5469.3</v>
      </c>
      <c r="I424" s="26" t="n">
        <v>12081.5</v>
      </c>
      <c r="J424" s="26" t="n">
        <v>0</v>
      </c>
      <c r="K424" s="26" t="n">
        <v>642.5</v>
      </c>
      <c r="L424" s="26" t="n">
        <v>0</v>
      </c>
      <c r="M424" s="26" t="n">
        <v>0</v>
      </c>
    </row>
    <row r="425" customFormat="false" ht="15" hidden="false" customHeight="false" outlineLevel="0" collapsed="false">
      <c r="A425" s="7" t="s">
        <v>85</v>
      </c>
      <c r="B425" s="7" t="n">
        <v>4408100</v>
      </c>
      <c r="C425" s="7" t="s">
        <v>298</v>
      </c>
      <c r="D425" s="26" t="n">
        <v>0</v>
      </c>
      <c r="E425" s="26" t="n">
        <v>0</v>
      </c>
      <c r="F425" s="26" t="n">
        <v>0</v>
      </c>
      <c r="G425" s="26" t="n">
        <v>0</v>
      </c>
      <c r="H425" s="26" t="n">
        <v>0</v>
      </c>
      <c r="I425" s="26" t="n">
        <v>0</v>
      </c>
      <c r="J425" s="26" t="n">
        <v>0</v>
      </c>
      <c r="K425" s="26" t="n">
        <v>0</v>
      </c>
      <c r="L425" s="26" t="n">
        <v>0</v>
      </c>
      <c r="M425" s="26" t="n">
        <v>0</v>
      </c>
    </row>
    <row r="426" customFormat="false" ht="15" hidden="false" customHeight="false" outlineLevel="0" collapsed="false">
      <c r="A426" s="7" t="s">
        <v>87</v>
      </c>
      <c r="B426" s="7" t="n">
        <v>4408100</v>
      </c>
      <c r="C426" s="7" t="s">
        <v>298</v>
      </c>
      <c r="D426" s="26" t="n">
        <v>0</v>
      </c>
      <c r="E426" s="26" t="n">
        <v>0</v>
      </c>
      <c r="F426" s="26" t="n">
        <v>0</v>
      </c>
      <c r="G426" s="26" t="n">
        <v>0</v>
      </c>
      <c r="H426" s="26" t="n">
        <v>0</v>
      </c>
      <c r="I426" s="26" t="n">
        <v>0</v>
      </c>
      <c r="J426" s="26" t="n">
        <v>0</v>
      </c>
      <c r="K426" s="26" t="n">
        <v>0</v>
      </c>
      <c r="L426" s="26" t="n">
        <v>0</v>
      </c>
      <c r="M426" s="26" t="n">
        <v>0</v>
      </c>
    </row>
    <row r="427" customFormat="false" ht="15" hidden="false" customHeight="false" outlineLevel="0" collapsed="false">
      <c r="A427" s="7" t="s">
        <v>85</v>
      </c>
      <c r="B427" s="7" t="n">
        <v>4408101</v>
      </c>
      <c r="C427" s="7" t="s">
        <v>299</v>
      </c>
      <c r="D427" s="26" t="n">
        <v>0</v>
      </c>
      <c r="E427" s="26" t="n">
        <v>0</v>
      </c>
      <c r="F427" s="26" t="n">
        <v>0</v>
      </c>
      <c r="G427" s="26" t="n">
        <v>0</v>
      </c>
      <c r="H427" s="26" t="n">
        <v>0</v>
      </c>
      <c r="I427" s="26" t="n">
        <v>0</v>
      </c>
      <c r="J427" s="26" t="n">
        <v>0</v>
      </c>
      <c r="K427" s="26" t="n">
        <v>0</v>
      </c>
      <c r="L427" s="26" t="n">
        <v>0</v>
      </c>
      <c r="M427" s="26" t="n">
        <v>0</v>
      </c>
    </row>
    <row r="428" customFormat="false" ht="15" hidden="false" customHeight="false" outlineLevel="0" collapsed="false">
      <c r="A428" s="7" t="s">
        <v>87</v>
      </c>
      <c r="B428" s="7" t="n">
        <v>4408101</v>
      </c>
      <c r="C428" s="7" t="s">
        <v>299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0</v>
      </c>
      <c r="J428" s="26" t="n">
        <v>0</v>
      </c>
      <c r="K428" s="26" t="n">
        <v>0</v>
      </c>
      <c r="L428" s="26" t="n">
        <v>0</v>
      </c>
      <c r="M428" s="26" t="n">
        <v>0</v>
      </c>
    </row>
    <row r="429" customFormat="false" ht="15" hidden="false" customHeight="false" outlineLevel="0" collapsed="false">
      <c r="A429" s="7" t="s">
        <v>85</v>
      </c>
      <c r="B429" s="7" t="n">
        <v>4408103</v>
      </c>
      <c r="C429" s="7" t="s">
        <v>300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0</v>
      </c>
      <c r="L429" s="26" t="n">
        <v>0</v>
      </c>
      <c r="M429" s="26" t="n">
        <v>0</v>
      </c>
    </row>
    <row r="430" customFormat="false" ht="15" hidden="false" customHeight="false" outlineLevel="0" collapsed="false">
      <c r="A430" s="7" t="s">
        <v>87</v>
      </c>
      <c r="B430" s="7" t="n">
        <v>4408103</v>
      </c>
      <c r="C430" s="7" t="s">
        <v>300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0</v>
      </c>
      <c r="L430" s="26" t="n">
        <v>0</v>
      </c>
      <c r="M430" s="26" t="n">
        <v>0</v>
      </c>
    </row>
    <row r="431" customFormat="false" ht="15" hidden="false" customHeight="false" outlineLevel="0" collapsed="false">
      <c r="A431" s="7" t="s">
        <v>85</v>
      </c>
      <c r="B431" s="7" t="n">
        <v>4408239</v>
      </c>
      <c r="C431" s="7" t="s">
        <v>301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0</v>
      </c>
      <c r="L431" s="26" t="n">
        <v>0</v>
      </c>
      <c r="M431" s="26" t="n">
        <v>0</v>
      </c>
    </row>
    <row r="432" customFormat="false" ht="15" hidden="false" customHeight="false" outlineLevel="0" collapsed="false">
      <c r="A432" s="7" t="s">
        <v>87</v>
      </c>
      <c r="B432" s="7" t="n">
        <v>4408239</v>
      </c>
      <c r="C432" s="7" t="s">
        <v>301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0</v>
      </c>
      <c r="J432" s="26" t="n">
        <v>0</v>
      </c>
      <c r="K432" s="26" t="n">
        <v>0</v>
      </c>
      <c r="L432" s="26" t="n">
        <v>0</v>
      </c>
      <c r="M432" s="26" t="n">
        <v>0</v>
      </c>
    </row>
    <row r="433" customFormat="false" ht="15" hidden="false" customHeight="false" outlineLevel="0" collapsed="false">
      <c r="A433" s="7" t="s">
        <v>85</v>
      </c>
      <c r="B433" s="7" t="n">
        <v>4408240</v>
      </c>
      <c r="C433" s="7" t="s">
        <v>302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-1</v>
      </c>
      <c r="I433" s="26" t="n">
        <v>0</v>
      </c>
      <c r="J433" s="26" t="n">
        <v>0</v>
      </c>
      <c r="K433" s="26" t="n">
        <v>0</v>
      </c>
      <c r="L433" s="26" t="n">
        <v>0</v>
      </c>
      <c r="M433" s="26" t="n">
        <v>0</v>
      </c>
    </row>
    <row r="434" customFormat="false" ht="15" hidden="false" customHeight="false" outlineLevel="0" collapsed="false">
      <c r="A434" s="7" t="s">
        <v>87</v>
      </c>
      <c r="B434" s="7" t="n">
        <v>4408240</v>
      </c>
      <c r="C434" s="7" t="s">
        <v>302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-77.8</v>
      </c>
      <c r="I434" s="26" t="n">
        <v>0</v>
      </c>
      <c r="J434" s="26" t="n">
        <v>0</v>
      </c>
      <c r="K434" s="26" t="n">
        <v>0</v>
      </c>
      <c r="L434" s="26" t="n">
        <v>0</v>
      </c>
      <c r="M434" s="26" t="n">
        <v>0</v>
      </c>
    </row>
    <row r="435" customFormat="false" ht="15" hidden="false" customHeight="false" outlineLevel="0" collapsed="false">
      <c r="A435" s="7" t="s">
        <v>85</v>
      </c>
      <c r="B435" s="7" t="n">
        <v>4408241</v>
      </c>
      <c r="C435" s="7" t="s">
        <v>303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0</v>
      </c>
      <c r="J435" s="26" t="n">
        <v>0</v>
      </c>
      <c r="K435" s="26" t="n">
        <v>0</v>
      </c>
      <c r="L435" s="26" t="n">
        <v>0</v>
      </c>
      <c r="M435" s="26" t="n">
        <v>0</v>
      </c>
    </row>
    <row r="436" customFormat="false" ht="15" hidden="false" customHeight="false" outlineLevel="0" collapsed="false">
      <c r="A436" s="7" t="s">
        <v>87</v>
      </c>
      <c r="B436" s="7" t="n">
        <v>4408241</v>
      </c>
      <c r="C436" s="7" t="s">
        <v>303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0</v>
      </c>
      <c r="J436" s="26" t="n">
        <v>0</v>
      </c>
      <c r="K436" s="26" t="n">
        <v>0</v>
      </c>
      <c r="L436" s="26" t="n">
        <v>0</v>
      </c>
      <c r="M436" s="26" t="n">
        <v>0</v>
      </c>
    </row>
    <row r="437" customFormat="false" ht="15" hidden="false" customHeight="false" outlineLevel="0" collapsed="false">
      <c r="A437" s="7" t="s">
        <v>85</v>
      </c>
      <c r="B437" s="7" t="n">
        <v>4408037</v>
      </c>
      <c r="C437" s="7" t="s">
        <v>304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0</v>
      </c>
      <c r="J437" s="26" t="n">
        <v>0</v>
      </c>
      <c r="K437" s="26" t="n">
        <v>0</v>
      </c>
      <c r="L437" s="26" t="n">
        <v>0</v>
      </c>
      <c r="M437" s="26" t="n">
        <v>0</v>
      </c>
    </row>
    <row r="438" customFormat="false" ht="15" hidden="false" customHeight="false" outlineLevel="0" collapsed="false">
      <c r="A438" s="7" t="s">
        <v>87</v>
      </c>
      <c r="B438" s="7" t="n">
        <v>4408037</v>
      </c>
      <c r="C438" s="7" t="s">
        <v>304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0</v>
      </c>
      <c r="J438" s="26" t="n">
        <v>0</v>
      </c>
      <c r="K438" s="26" t="n">
        <v>0</v>
      </c>
      <c r="L438" s="26" t="n">
        <v>0</v>
      </c>
      <c r="M438" s="26" t="n">
        <v>0</v>
      </c>
    </row>
    <row r="439" customFormat="false" ht="15" hidden="false" customHeight="false" outlineLevel="0" collapsed="false">
      <c r="A439" s="7" t="s">
        <v>85</v>
      </c>
      <c r="B439" s="7" t="n">
        <v>4408038</v>
      </c>
      <c r="C439" s="7" t="s">
        <v>305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0</v>
      </c>
      <c r="J439" s="26" t="n">
        <v>0</v>
      </c>
      <c r="K439" s="26" t="n">
        <v>0</v>
      </c>
      <c r="L439" s="26" t="n">
        <v>0</v>
      </c>
      <c r="M439" s="26" t="n">
        <v>0</v>
      </c>
    </row>
    <row r="440" customFormat="false" ht="15" hidden="false" customHeight="false" outlineLevel="0" collapsed="false">
      <c r="A440" s="7" t="s">
        <v>87</v>
      </c>
      <c r="B440" s="7" t="n">
        <v>4408038</v>
      </c>
      <c r="C440" s="7" t="s">
        <v>305</v>
      </c>
      <c r="D440" s="26" t="n">
        <v>0</v>
      </c>
      <c r="E440" s="26" t="n">
        <v>0</v>
      </c>
      <c r="F440" s="26" t="n">
        <v>0</v>
      </c>
      <c r="G440" s="26" t="n">
        <v>0</v>
      </c>
      <c r="H440" s="26" t="n">
        <v>0</v>
      </c>
      <c r="I440" s="26" t="n">
        <v>0</v>
      </c>
      <c r="J440" s="26" t="n">
        <v>0</v>
      </c>
      <c r="K440" s="26" t="n">
        <v>0</v>
      </c>
      <c r="L440" s="26" t="n">
        <v>0</v>
      </c>
      <c r="M440" s="26" t="n">
        <v>0</v>
      </c>
    </row>
    <row r="441" customFormat="false" ht="15" hidden="false" customHeight="false" outlineLevel="0" collapsed="false">
      <c r="A441" s="7" t="s">
        <v>85</v>
      </c>
      <c r="B441" s="7" t="n">
        <v>4408036</v>
      </c>
      <c r="C441" s="7" t="s">
        <v>306</v>
      </c>
      <c r="D441" s="26" t="n">
        <v>0</v>
      </c>
      <c r="E441" s="26" t="n">
        <v>0</v>
      </c>
      <c r="F441" s="26" t="n">
        <v>0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  <c r="L441" s="26" t="n">
        <v>0</v>
      </c>
      <c r="M441" s="26" t="n">
        <v>0</v>
      </c>
    </row>
    <row r="442" customFormat="false" ht="15" hidden="false" customHeight="false" outlineLevel="0" collapsed="false">
      <c r="A442" s="7" t="s">
        <v>87</v>
      </c>
      <c r="B442" s="7" t="n">
        <v>4408036</v>
      </c>
      <c r="C442" s="7" t="s">
        <v>306</v>
      </c>
      <c r="D442" s="26" t="n">
        <v>0</v>
      </c>
      <c r="E442" s="26" t="n">
        <v>0</v>
      </c>
      <c r="F442" s="26" t="n">
        <v>0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  <c r="L442" s="26" t="n">
        <v>0</v>
      </c>
      <c r="M442" s="26" t="n">
        <v>0</v>
      </c>
    </row>
    <row r="443" customFormat="false" ht="15" hidden="false" customHeight="false" outlineLevel="0" collapsed="false">
      <c r="A443" s="7" t="s">
        <v>85</v>
      </c>
      <c r="B443" s="7" t="n">
        <v>4408039</v>
      </c>
      <c r="C443" s="7" t="s">
        <v>307</v>
      </c>
      <c r="D443" s="26" t="n">
        <v>0</v>
      </c>
      <c r="E443" s="26" t="n">
        <v>0</v>
      </c>
      <c r="F443" s="26" t="n">
        <v>0</v>
      </c>
      <c r="G443" s="26" t="n">
        <v>0</v>
      </c>
      <c r="H443" s="26" t="n">
        <v>-1</v>
      </c>
      <c r="I443" s="26" t="n">
        <v>0</v>
      </c>
      <c r="J443" s="26" t="n">
        <v>0</v>
      </c>
      <c r="K443" s="26" t="n">
        <v>0</v>
      </c>
      <c r="L443" s="26" t="n">
        <v>0</v>
      </c>
      <c r="M443" s="26" t="n">
        <v>0</v>
      </c>
    </row>
    <row r="444" customFormat="false" ht="15" hidden="false" customHeight="false" outlineLevel="0" collapsed="false">
      <c r="A444" s="7" t="s">
        <v>87</v>
      </c>
      <c r="B444" s="7" t="n">
        <v>4408039</v>
      </c>
      <c r="C444" s="7" t="s">
        <v>307</v>
      </c>
      <c r="D444" s="26" t="n">
        <v>0</v>
      </c>
      <c r="E444" s="26" t="n">
        <v>0</v>
      </c>
      <c r="F444" s="26" t="n">
        <v>0</v>
      </c>
      <c r="G444" s="26" t="n">
        <v>0</v>
      </c>
      <c r="H444" s="26" t="n">
        <v>-178.6</v>
      </c>
      <c r="I444" s="26" t="n">
        <v>0</v>
      </c>
      <c r="J444" s="26" t="n">
        <v>0</v>
      </c>
      <c r="K444" s="26" t="n">
        <v>0</v>
      </c>
      <c r="L444" s="26" t="n">
        <v>0</v>
      </c>
      <c r="M444" s="26" t="n">
        <v>0</v>
      </c>
    </row>
    <row r="445" customFormat="false" ht="15" hidden="false" customHeight="false" outlineLevel="0" collapsed="false">
      <c r="A445" s="7" t="s">
        <v>85</v>
      </c>
      <c r="B445" s="7" t="n">
        <v>4408178</v>
      </c>
      <c r="C445" s="7" t="s">
        <v>308</v>
      </c>
      <c r="D445" s="26" t="n">
        <v>0</v>
      </c>
      <c r="E445" s="26" t="n">
        <v>0</v>
      </c>
      <c r="F445" s="26" t="n">
        <v>0</v>
      </c>
      <c r="G445" s="26" t="n">
        <v>0</v>
      </c>
      <c r="H445" s="26" t="n">
        <v>-1</v>
      </c>
      <c r="I445" s="26" t="n">
        <v>0</v>
      </c>
      <c r="J445" s="26" t="n">
        <v>0</v>
      </c>
      <c r="K445" s="26" t="n">
        <v>0</v>
      </c>
      <c r="L445" s="26" t="n">
        <v>0</v>
      </c>
      <c r="M445" s="26" t="n">
        <v>0</v>
      </c>
    </row>
    <row r="446" customFormat="false" ht="15" hidden="false" customHeight="false" outlineLevel="0" collapsed="false">
      <c r="A446" s="7" t="s">
        <v>87</v>
      </c>
      <c r="B446" s="7" t="n">
        <v>4408178</v>
      </c>
      <c r="C446" s="7" t="s">
        <v>308</v>
      </c>
      <c r="D446" s="26" t="n">
        <v>0</v>
      </c>
      <c r="E446" s="26" t="n">
        <v>0</v>
      </c>
      <c r="F446" s="26" t="n">
        <v>0</v>
      </c>
      <c r="G446" s="26" t="n">
        <v>0</v>
      </c>
      <c r="H446" s="26" t="n">
        <v>-135</v>
      </c>
      <c r="I446" s="26" t="n">
        <v>0</v>
      </c>
      <c r="J446" s="26" t="n">
        <v>0</v>
      </c>
      <c r="K446" s="26" t="n">
        <v>0</v>
      </c>
      <c r="L446" s="26" t="n">
        <v>0</v>
      </c>
      <c r="M446" s="26" t="n">
        <v>0</v>
      </c>
    </row>
    <row r="447" customFormat="false" ht="15" hidden="false" customHeight="false" outlineLevel="0" collapsed="false">
      <c r="A447" s="7" t="s">
        <v>85</v>
      </c>
      <c r="B447" s="7" t="n">
        <v>4408177</v>
      </c>
      <c r="C447" s="7" t="s">
        <v>309</v>
      </c>
      <c r="D447" s="26" t="n">
        <v>0</v>
      </c>
      <c r="E447" s="26" t="n">
        <v>0</v>
      </c>
      <c r="F447" s="26" t="n">
        <v>0</v>
      </c>
      <c r="G447" s="26" t="n">
        <v>0</v>
      </c>
      <c r="H447" s="26" t="n">
        <v>0</v>
      </c>
      <c r="I447" s="26" t="n">
        <v>0</v>
      </c>
      <c r="J447" s="26" t="n">
        <v>0</v>
      </c>
      <c r="K447" s="26" t="n">
        <v>0</v>
      </c>
      <c r="L447" s="26" t="n">
        <v>0</v>
      </c>
      <c r="M447" s="26" t="n">
        <v>0</v>
      </c>
    </row>
    <row r="448" customFormat="false" ht="15" hidden="false" customHeight="false" outlineLevel="0" collapsed="false">
      <c r="A448" s="7" t="s">
        <v>87</v>
      </c>
      <c r="B448" s="7" t="n">
        <v>4408177</v>
      </c>
      <c r="C448" s="7" t="s">
        <v>309</v>
      </c>
      <c r="D448" s="26" t="n">
        <v>0</v>
      </c>
      <c r="E448" s="26" t="n">
        <v>0</v>
      </c>
      <c r="F448" s="26" t="n">
        <v>0</v>
      </c>
      <c r="G448" s="26" t="n">
        <v>0</v>
      </c>
      <c r="H448" s="26" t="n">
        <v>0</v>
      </c>
      <c r="I448" s="26" t="n">
        <v>0</v>
      </c>
      <c r="J448" s="26" t="n">
        <v>0</v>
      </c>
      <c r="K448" s="26" t="n">
        <v>0</v>
      </c>
      <c r="L448" s="26" t="n">
        <v>0</v>
      </c>
      <c r="M448" s="26" t="n">
        <v>0</v>
      </c>
    </row>
    <row r="449" customFormat="false" ht="15" hidden="false" customHeight="false" outlineLevel="0" collapsed="false">
      <c r="A449" s="7" t="s">
        <v>85</v>
      </c>
      <c r="B449" s="7" t="n">
        <v>4408176</v>
      </c>
      <c r="C449" s="7" t="s">
        <v>310</v>
      </c>
      <c r="D449" s="26" t="n">
        <v>0</v>
      </c>
      <c r="E449" s="26" t="n">
        <v>0</v>
      </c>
      <c r="F449" s="26" t="n">
        <v>0</v>
      </c>
      <c r="G449" s="26" t="n">
        <v>0</v>
      </c>
      <c r="H449" s="26" t="n">
        <v>0</v>
      </c>
      <c r="I449" s="26" t="n">
        <v>0</v>
      </c>
      <c r="J449" s="26" t="n">
        <v>0</v>
      </c>
      <c r="K449" s="26" t="n">
        <v>0</v>
      </c>
      <c r="L449" s="26" t="n">
        <v>0</v>
      </c>
      <c r="M449" s="26" t="n">
        <v>0</v>
      </c>
    </row>
    <row r="450" customFormat="false" ht="15" hidden="false" customHeight="false" outlineLevel="0" collapsed="false">
      <c r="A450" s="7" t="s">
        <v>87</v>
      </c>
      <c r="B450" s="7" t="n">
        <v>4408176</v>
      </c>
      <c r="C450" s="7" t="s">
        <v>310</v>
      </c>
      <c r="D450" s="26" t="n">
        <v>0</v>
      </c>
      <c r="E450" s="26" t="n">
        <v>0</v>
      </c>
      <c r="F450" s="26" t="n">
        <v>0</v>
      </c>
      <c r="G450" s="26" t="n">
        <v>0</v>
      </c>
      <c r="H450" s="26" t="n">
        <v>0</v>
      </c>
      <c r="I450" s="26" t="n">
        <v>0</v>
      </c>
      <c r="J450" s="26" t="n">
        <v>0</v>
      </c>
      <c r="K450" s="26" t="n">
        <v>0</v>
      </c>
      <c r="L450" s="26" t="n">
        <v>0</v>
      </c>
      <c r="M450" s="26" t="n">
        <v>0</v>
      </c>
    </row>
    <row r="451" customFormat="false" ht="15" hidden="false" customHeight="false" outlineLevel="0" collapsed="false">
      <c r="A451" s="7" t="s">
        <v>85</v>
      </c>
      <c r="B451" s="7" t="n">
        <v>4408179</v>
      </c>
      <c r="C451" s="7" t="s">
        <v>311</v>
      </c>
      <c r="D451" s="26" t="n">
        <v>1</v>
      </c>
      <c r="E451" s="26" t="n">
        <v>0</v>
      </c>
      <c r="F451" s="26" t="n">
        <v>0</v>
      </c>
      <c r="G451" s="26" t="n">
        <v>0</v>
      </c>
      <c r="H451" s="26" t="n">
        <v>0</v>
      </c>
      <c r="I451" s="26" t="n">
        <v>0</v>
      </c>
      <c r="J451" s="26" t="n">
        <v>0</v>
      </c>
      <c r="K451" s="26" t="n">
        <v>0</v>
      </c>
      <c r="L451" s="26" t="n">
        <v>0</v>
      </c>
      <c r="M451" s="26" t="n">
        <v>0</v>
      </c>
    </row>
    <row r="452" customFormat="false" ht="15" hidden="false" customHeight="false" outlineLevel="0" collapsed="false">
      <c r="A452" s="7" t="s">
        <v>87</v>
      </c>
      <c r="B452" s="7" t="n">
        <v>4408179</v>
      </c>
      <c r="C452" s="7" t="s">
        <v>311</v>
      </c>
      <c r="D452" s="26" t="n">
        <v>157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0</v>
      </c>
      <c r="J452" s="26" t="n">
        <v>0</v>
      </c>
      <c r="K452" s="26" t="n">
        <v>0</v>
      </c>
      <c r="L452" s="26" t="n">
        <v>0</v>
      </c>
      <c r="M452" s="26" t="n">
        <v>0</v>
      </c>
    </row>
    <row r="453" customFormat="false" ht="15" hidden="false" customHeight="false" outlineLevel="0" collapsed="false">
      <c r="A453" s="7" t="s">
        <v>85</v>
      </c>
      <c r="B453" s="7" t="n">
        <v>4408180</v>
      </c>
      <c r="C453" s="7" t="s">
        <v>312</v>
      </c>
      <c r="D453" s="26" t="n">
        <v>1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0</v>
      </c>
      <c r="J453" s="26" t="n">
        <v>0</v>
      </c>
      <c r="K453" s="26" t="n">
        <v>0</v>
      </c>
      <c r="L453" s="26" t="n">
        <v>0</v>
      </c>
      <c r="M453" s="26" t="n">
        <v>0</v>
      </c>
    </row>
    <row r="454" customFormat="false" ht="15" hidden="false" customHeight="false" outlineLevel="0" collapsed="false">
      <c r="A454" s="7" t="s">
        <v>87</v>
      </c>
      <c r="B454" s="7" t="n">
        <v>4408180</v>
      </c>
      <c r="C454" s="7" t="s">
        <v>312</v>
      </c>
      <c r="D454" s="26" t="n">
        <v>157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0</v>
      </c>
      <c r="J454" s="26" t="n">
        <v>0</v>
      </c>
      <c r="K454" s="26" t="n">
        <v>0</v>
      </c>
      <c r="L454" s="26" t="n">
        <v>0</v>
      </c>
      <c r="M454" s="26" t="n">
        <v>0</v>
      </c>
    </row>
    <row r="455" customFormat="false" ht="15" hidden="false" customHeight="false" outlineLevel="0" collapsed="false">
      <c r="A455" s="7" t="s">
        <v>85</v>
      </c>
      <c r="B455" s="7" t="n">
        <v>4408203</v>
      </c>
      <c r="C455" s="7" t="s">
        <v>313</v>
      </c>
      <c r="D455" s="26" t="n">
        <v>3</v>
      </c>
      <c r="E455" s="26" t="n">
        <v>0</v>
      </c>
      <c r="F455" s="26" t="n">
        <v>0</v>
      </c>
      <c r="G455" s="26" t="n">
        <v>0</v>
      </c>
      <c r="H455" s="26" t="n">
        <v>11</v>
      </c>
      <c r="I455" s="26" t="n">
        <v>2</v>
      </c>
      <c r="J455" s="26" t="n">
        <v>0</v>
      </c>
      <c r="K455" s="26" t="n">
        <v>3</v>
      </c>
      <c r="L455" s="26" t="n">
        <v>0</v>
      </c>
      <c r="M455" s="26" t="n">
        <v>0</v>
      </c>
    </row>
    <row r="456" customFormat="false" ht="15" hidden="false" customHeight="false" outlineLevel="0" collapsed="false">
      <c r="A456" s="7" t="s">
        <v>87</v>
      </c>
      <c r="B456" s="7" t="n">
        <v>4408203</v>
      </c>
      <c r="C456" s="7" t="s">
        <v>313</v>
      </c>
      <c r="D456" s="26" t="n">
        <v>774.8</v>
      </c>
      <c r="E456" s="26" t="n">
        <v>0</v>
      </c>
      <c r="F456" s="26" t="n">
        <v>0</v>
      </c>
      <c r="G456" s="26" t="n">
        <v>0</v>
      </c>
      <c r="H456" s="26" t="n">
        <v>1896.4</v>
      </c>
      <c r="I456" s="26" t="n">
        <v>502.9</v>
      </c>
      <c r="J456" s="26" t="n">
        <v>0</v>
      </c>
      <c r="K456" s="26" t="n">
        <v>480</v>
      </c>
      <c r="L456" s="26" t="n">
        <v>0</v>
      </c>
      <c r="M456" s="26" t="n">
        <v>0</v>
      </c>
    </row>
    <row r="457" customFormat="false" ht="15" hidden="false" customHeight="false" outlineLevel="0" collapsed="false">
      <c r="A457" s="7" t="s">
        <v>85</v>
      </c>
      <c r="B457" s="7" t="n">
        <v>4408122</v>
      </c>
      <c r="C457" s="7" t="s">
        <v>314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0</v>
      </c>
      <c r="L457" s="26" t="n">
        <v>0</v>
      </c>
      <c r="M457" s="26" t="n">
        <v>0</v>
      </c>
    </row>
    <row r="458" customFormat="false" ht="15" hidden="false" customHeight="false" outlineLevel="0" collapsed="false">
      <c r="A458" s="7" t="s">
        <v>87</v>
      </c>
      <c r="B458" s="7" t="n">
        <v>4408122</v>
      </c>
      <c r="C458" s="7" t="s">
        <v>314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0</v>
      </c>
      <c r="J458" s="26" t="n">
        <v>0</v>
      </c>
      <c r="K458" s="26" t="n">
        <v>0</v>
      </c>
      <c r="L458" s="26" t="n">
        <v>0</v>
      </c>
      <c r="M458" s="26" t="n">
        <v>0</v>
      </c>
    </row>
    <row r="459" customFormat="false" ht="15" hidden="false" customHeight="false" outlineLevel="0" collapsed="false">
      <c r="A459" s="7" t="s">
        <v>85</v>
      </c>
      <c r="B459" s="7" t="n">
        <v>4408129</v>
      </c>
      <c r="C459" s="7" t="s">
        <v>315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0</v>
      </c>
      <c r="J459" s="26" t="n">
        <v>0</v>
      </c>
      <c r="K459" s="26" t="n">
        <v>0</v>
      </c>
      <c r="L459" s="26" t="n">
        <v>0</v>
      </c>
      <c r="M459" s="26" t="n">
        <v>0</v>
      </c>
    </row>
    <row r="460" customFormat="false" ht="15" hidden="false" customHeight="false" outlineLevel="0" collapsed="false">
      <c r="A460" s="7" t="s">
        <v>87</v>
      </c>
      <c r="B460" s="7" t="n">
        <v>4408129</v>
      </c>
      <c r="C460" s="7" t="s">
        <v>315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0</v>
      </c>
      <c r="J460" s="26" t="n">
        <v>0</v>
      </c>
      <c r="K460" s="26" t="n">
        <v>0</v>
      </c>
      <c r="L460" s="26" t="n">
        <v>0</v>
      </c>
      <c r="M460" s="26" t="n">
        <v>0</v>
      </c>
    </row>
    <row r="461" customFormat="false" ht="15" hidden="false" customHeight="false" outlineLevel="0" collapsed="false">
      <c r="A461" s="7" t="s">
        <v>85</v>
      </c>
      <c r="B461" s="7" t="n">
        <v>4408123</v>
      </c>
      <c r="C461" s="7" t="s">
        <v>316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0</v>
      </c>
      <c r="J461" s="26" t="n">
        <v>0</v>
      </c>
      <c r="K461" s="26" t="n">
        <v>0</v>
      </c>
      <c r="L461" s="26" t="n">
        <v>0</v>
      </c>
      <c r="M461" s="26" t="n">
        <v>0</v>
      </c>
    </row>
    <row r="462" customFormat="false" ht="15" hidden="false" customHeight="false" outlineLevel="0" collapsed="false">
      <c r="A462" s="7" t="s">
        <v>87</v>
      </c>
      <c r="B462" s="7" t="n">
        <v>4408123</v>
      </c>
      <c r="C462" s="7" t="s">
        <v>316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0</v>
      </c>
      <c r="J462" s="26" t="n">
        <v>0</v>
      </c>
      <c r="K462" s="26" t="n">
        <v>0</v>
      </c>
      <c r="L462" s="26" t="n">
        <v>0</v>
      </c>
      <c r="M462" s="26" t="n">
        <v>0</v>
      </c>
    </row>
    <row r="463" customFormat="false" ht="15" hidden="false" customHeight="false" outlineLevel="0" collapsed="false">
      <c r="A463" s="7" t="s">
        <v>85</v>
      </c>
      <c r="B463" s="7" t="n">
        <v>4408131</v>
      </c>
      <c r="C463" s="7" t="s">
        <v>317</v>
      </c>
      <c r="D463" s="26" t="n">
        <v>1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0</v>
      </c>
      <c r="J463" s="26" t="n">
        <v>0</v>
      </c>
      <c r="K463" s="26" t="n">
        <v>0</v>
      </c>
      <c r="L463" s="26" t="n">
        <v>0</v>
      </c>
      <c r="M463" s="26" t="n">
        <v>0</v>
      </c>
    </row>
    <row r="464" customFormat="false" ht="15" hidden="false" customHeight="false" outlineLevel="0" collapsed="false">
      <c r="A464" s="7" t="s">
        <v>87</v>
      </c>
      <c r="B464" s="7" t="n">
        <v>4408131</v>
      </c>
      <c r="C464" s="7" t="s">
        <v>317</v>
      </c>
      <c r="D464" s="26" t="n">
        <v>140.6</v>
      </c>
      <c r="E464" s="26" t="n">
        <v>0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0</v>
      </c>
      <c r="L464" s="26" t="n">
        <v>0</v>
      </c>
      <c r="M464" s="26" t="n">
        <v>0</v>
      </c>
    </row>
    <row r="465" customFormat="false" ht="15" hidden="false" customHeight="false" outlineLevel="0" collapsed="false">
      <c r="A465" s="7" t="s">
        <v>85</v>
      </c>
      <c r="B465" s="7" t="n">
        <v>4408130</v>
      </c>
      <c r="C465" s="7" t="s">
        <v>318</v>
      </c>
      <c r="D465" s="26" t="n">
        <v>-1</v>
      </c>
      <c r="E465" s="26" t="n">
        <v>0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0</v>
      </c>
      <c r="L465" s="26" t="n">
        <v>0</v>
      </c>
      <c r="M465" s="26" t="n">
        <v>0</v>
      </c>
    </row>
    <row r="466" customFormat="false" ht="15" hidden="false" customHeight="false" outlineLevel="0" collapsed="false">
      <c r="A466" s="7" t="s">
        <v>87</v>
      </c>
      <c r="B466" s="7" t="n">
        <v>4408130</v>
      </c>
      <c r="C466" s="7" t="s">
        <v>318</v>
      </c>
      <c r="D466" s="26" t="n">
        <v>-140.6</v>
      </c>
      <c r="E466" s="26" t="n">
        <v>0</v>
      </c>
      <c r="F466" s="26" t="n">
        <v>0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  <c r="L466" s="26" t="n">
        <v>0</v>
      </c>
      <c r="M466" s="26" t="n">
        <v>0</v>
      </c>
    </row>
    <row r="467" customFormat="false" ht="15" hidden="false" customHeight="false" outlineLevel="0" collapsed="false">
      <c r="A467" s="7" t="s">
        <v>85</v>
      </c>
      <c r="B467" s="7" t="n">
        <v>4408126</v>
      </c>
      <c r="C467" s="7" t="s">
        <v>319</v>
      </c>
      <c r="D467" s="26" t="n">
        <v>0</v>
      </c>
      <c r="E467" s="26" t="n">
        <v>0</v>
      </c>
      <c r="F467" s="26" t="n">
        <v>0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  <c r="L467" s="26" t="n">
        <v>0</v>
      </c>
      <c r="M467" s="26" t="n">
        <v>0</v>
      </c>
    </row>
    <row r="468" customFormat="false" ht="15" hidden="false" customHeight="false" outlineLevel="0" collapsed="false">
      <c r="A468" s="7" t="s">
        <v>87</v>
      </c>
      <c r="B468" s="7" t="n">
        <v>4408126</v>
      </c>
      <c r="C468" s="7" t="s">
        <v>319</v>
      </c>
      <c r="D468" s="26" t="n">
        <v>0</v>
      </c>
      <c r="E468" s="26" t="n">
        <v>0</v>
      </c>
      <c r="F468" s="26" t="n">
        <v>0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  <c r="L468" s="26" t="n">
        <v>0</v>
      </c>
      <c r="M468" s="26" t="n">
        <v>0</v>
      </c>
    </row>
    <row r="469" customFormat="false" ht="15" hidden="false" customHeight="false" outlineLevel="0" collapsed="false">
      <c r="A469" s="7" t="s">
        <v>85</v>
      </c>
      <c r="B469" s="7" t="n">
        <v>4408127</v>
      </c>
      <c r="C469" s="7" t="s">
        <v>320</v>
      </c>
      <c r="D469" s="26" t="n">
        <v>0</v>
      </c>
      <c r="E469" s="26" t="n">
        <v>0</v>
      </c>
      <c r="F469" s="26" t="n">
        <v>0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  <c r="L469" s="26" t="n">
        <v>0</v>
      </c>
      <c r="M469" s="26" t="n">
        <v>0</v>
      </c>
    </row>
    <row r="470" customFormat="false" ht="15" hidden="false" customHeight="false" outlineLevel="0" collapsed="false">
      <c r="A470" s="7" t="s">
        <v>87</v>
      </c>
      <c r="B470" s="7" t="n">
        <v>4408127</v>
      </c>
      <c r="C470" s="7" t="s">
        <v>320</v>
      </c>
      <c r="D470" s="26" t="n">
        <v>0</v>
      </c>
      <c r="E470" s="26" t="n">
        <v>0</v>
      </c>
      <c r="F470" s="26" t="n">
        <v>0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  <c r="L470" s="26" t="n">
        <v>0</v>
      </c>
      <c r="M470" s="26" t="n">
        <v>0</v>
      </c>
    </row>
    <row r="471" customFormat="false" ht="15" hidden="false" customHeight="false" outlineLevel="0" collapsed="false">
      <c r="A471" s="7" t="s">
        <v>85</v>
      </c>
      <c r="B471" s="7" t="n">
        <v>4408230</v>
      </c>
      <c r="C471" s="7" t="s">
        <v>321</v>
      </c>
      <c r="D471" s="26" t="n">
        <v>17</v>
      </c>
      <c r="E471" s="26" t="n">
        <v>0</v>
      </c>
      <c r="F471" s="26" t="n">
        <v>0</v>
      </c>
      <c r="G471" s="26" t="n">
        <v>0</v>
      </c>
      <c r="H471" s="26" t="n">
        <v>30</v>
      </c>
      <c r="I471" s="26" t="n">
        <v>10</v>
      </c>
      <c r="J471" s="26" t="n">
        <v>0</v>
      </c>
      <c r="K471" s="26" t="n">
        <v>31</v>
      </c>
      <c r="L471" s="26" t="n">
        <v>0</v>
      </c>
      <c r="M471" s="26" t="n">
        <v>0</v>
      </c>
    </row>
    <row r="472" customFormat="false" ht="15" hidden="false" customHeight="false" outlineLevel="0" collapsed="false">
      <c r="A472" s="7" t="s">
        <v>87</v>
      </c>
      <c r="B472" s="7" t="n">
        <v>4408230</v>
      </c>
      <c r="C472" s="7" t="s">
        <v>321</v>
      </c>
      <c r="D472" s="26" t="n">
        <v>2074.7</v>
      </c>
      <c r="E472" s="26" t="n">
        <v>0</v>
      </c>
      <c r="F472" s="26" t="n">
        <v>0</v>
      </c>
      <c r="G472" s="26" t="n">
        <v>0</v>
      </c>
      <c r="H472" s="26" t="n">
        <v>3110.5</v>
      </c>
      <c r="I472" s="26" t="n">
        <v>1089.3</v>
      </c>
      <c r="J472" s="26" t="n">
        <v>0</v>
      </c>
      <c r="K472" s="26" t="n">
        <v>2411.8</v>
      </c>
      <c r="L472" s="26" t="n">
        <v>0</v>
      </c>
      <c r="M472" s="26" t="n">
        <v>0</v>
      </c>
    </row>
    <row r="473" customFormat="false" ht="15" hidden="false" customHeight="false" outlineLevel="0" collapsed="false">
      <c r="A473" s="7" t="s">
        <v>85</v>
      </c>
      <c r="B473" s="7" t="n">
        <v>4408231</v>
      </c>
      <c r="C473" s="7" t="s">
        <v>322</v>
      </c>
      <c r="D473" s="26" t="n">
        <v>10</v>
      </c>
      <c r="E473" s="26" t="n">
        <v>0</v>
      </c>
      <c r="F473" s="26" t="n">
        <v>2</v>
      </c>
      <c r="G473" s="26" t="n">
        <v>0</v>
      </c>
      <c r="H473" s="26" t="n">
        <v>14</v>
      </c>
      <c r="I473" s="26" t="n">
        <v>10</v>
      </c>
      <c r="J473" s="26" t="n">
        <v>0</v>
      </c>
      <c r="K473" s="26" t="n">
        <v>17</v>
      </c>
      <c r="L473" s="26" t="n">
        <v>0</v>
      </c>
      <c r="M473" s="26" t="n">
        <v>0</v>
      </c>
    </row>
    <row r="474" customFormat="false" ht="15" hidden="false" customHeight="false" outlineLevel="0" collapsed="false">
      <c r="A474" s="7" t="s">
        <v>87</v>
      </c>
      <c r="B474" s="7" t="n">
        <v>4408231</v>
      </c>
      <c r="C474" s="7" t="s">
        <v>322</v>
      </c>
      <c r="D474" s="26" t="n">
        <v>1222.9</v>
      </c>
      <c r="E474" s="26" t="n">
        <v>0</v>
      </c>
      <c r="F474" s="26" t="n">
        <v>253</v>
      </c>
      <c r="G474" s="26" t="n">
        <v>0</v>
      </c>
      <c r="H474" s="26" t="n">
        <v>1394.5</v>
      </c>
      <c r="I474" s="26" t="n">
        <v>1089.3</v>
      </c>
      <c r="J474" s="26" t="n">
        <v>0</v>
      </c>
      <c r="K474" s="26" t="n">
        <v>1322.6</v>
      </c>
      <c r="L474" s="26" t="n">
        <v>0</v>
      </c>
      <c r="M474" s="26" t="n">
        <v>0</v>
      </c>
    </row>
    <row r="475" customFormat="false" ht="15" hidden="false" customHeight="false" outlineLevel="0" collapsed="false">
      <c r="A475" s="7" t="s">
        <v>85</v>
      </c>
      <c r="B475" s="7" t="n">
        <v>4408232</v>
      </c>
      <c r="C475" s="7" t="s">
        <v>323</v>
      </c>
      <c r="D475" s="26" t="n">
        <v>4</v>
      </c>
      <c r="E475" s="26" t="n">
        <v>0</v>
      </c>
      <c r="F475" s="26" t="n">
        <v>0</v>
      </c>
      <c r="G475" s="26" t="n">
        <v>0</v>
      </c>
      <c r="H475" s="26" t="n">
        <v>0</v>
      </c>
      <c r="I475" s="26" t="n">
        <v>0</v>
      </c>
      <c r="J475" s="26" t="n">
        <v>0</v>
      </c>
      <c r="K475" s="26" t="n">
        <v>2</v>
      </c>
      <c r="L475" s="26" t="n">
        <v>0</v>
      </c>
      <c r="M475" s="26" t="n">
        <v>0</v>
      </c>
    </row>
    <row r="476" customFormat="false" ht="15" hidden="false" customHeight="false" outlineLevel="0" collapsed="false">
      <c r="A476" s="7" t="s">
        <v>87</v>
      </c>
      <c r="B476" s="7" t="n">
        <v>4408232</v>
      </c>
      <c r="C476" s="7" t="s">
        <v>323</v>
      </c>
      <c r="D476" s="26" t="n">
        <v>489.2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155.6</v>
      </c>
      <c r="L476" s="26" t="n">
        <v>0</v>
      </c>
      <c r="M476" s="26" t="n">
        <v>0</v>
      </c>
    </row>
    <row r="477" customFormat="false" ht="15" hidden="false" customHeight="false" outlineLevel="0" collapsed="false">
      <c r="A477" s="7" t="s">
        <v>85</v>
      </c>
      <c r="B477" s="7" t="n">
        <v>4408044</v>
      </c>
      <c r="C477" s="7" t="s">
        <v>324</v>
      </c>
      <c r="D477" s="26" t="n">
        <v>-1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-1</v>
      </c>
      <c r="J477" s="26" t="n">
        <v>0</v>
      </c>
      <c r="K477" s="26" t="n">
        <v>0</v>
      </c>
      <c r="L477" s="26" t="n">
        <v>0</v>
      </c>
      <c r="M477" s="26" t="n">
        <v>0</v>
      </c>
    </row>
    <row r="478" customFormat="false" ht="15" hidden="false" customHeight="false" outlineLevel="0" collapsed="false">
      <c r="A478" s="7" t="s">
        <v>87</v>
      </c>
      <c r="B478" s="7" t="n">
        <v>4408044</v>
      </c>
      <c r="C478" s="7" t="s">
        <v>324</v>
      </c>
      <c r="D478" s="26" t="n">
        <v>-247.5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-286.8</v>
      </c>
      <c r="J478" s="26" t="n">
        <v>0</v>
      </c>
      <c r="K478" s="26" t="n">
        <v>0</v>
      </c>
      <c r="L478" s="26" t="n">
        <v>0</v>
      </c>
      <c r="M478" s="26" t="n">
        <v>0</v>
      </c>
    </row>
    <row r="479" customFormat="false" ht="15" hidden="false" customHeight="false" outlineLevel="0" collapsed="false">
      <c r="A479" s="7" t="s">
        <v>85</v>
      </c>
      <c r="B479" s="7" t="n">
        <v>4408042</v>
      </c>
      <c r="C479" s="7" t="s">
        <v>325</v>
      </c>
      <c r="D479" s="26" t="n">
        <v>-1</v>
      </c>
      <c r="E479" s="26" t="n">
        <v>0</v>
      </c>
      <c r="F479" s="26" t="n">
        <v>0</v>
      </c>
      <c r="G479" s="26" t="n">
        <v>0</v>
      </c>
      <c r="H479" s="26" t="n">
        <v>-1</v>
      </c>
      <c r="I479" s="26" t="n">
        <v>0</v>
      </c>
      <c r="J479" s="26" t="n">
        <v>0</v>
      </c>
      <c r="K479" s="26" t="n">
        <v>0</v>
      </c>
      <c r="L479" s="26" t="n">
        <v>0</v>
      </c>
      <c r="M479" s="26" t="n">
        <v>0</v>
      </c>
    </row>
    <row r="480" customFormat="false" ht="15" hidden="false" customHeight="false" outlineLevel="0" collapsed="false">
      <c r="A480" s="7" t="s">
        <v>87</v>
      </c>
      <c r="B480" s="7" t="n">
        <v>4408042</v>
      </c>
      <c r="C480" s="7" t="s">
        <v>325</v>
      </c>
      <c r="D480" s="26" t="n">
        <v>-247.5</v>
      </c>
      <c r="E480" s="26" t="n">
        <v>0</v>
      </c>
      <c r="F480" s="26" t="n">
        <v>0</v>
      </c>
      <c r="G480" s="26" t="n">
        <v>0</v>
      </c>
      <c r="H480" s="26" t="n">
        <v>-266.2</v>
      </c>
      <c r="I480" s="26" t="n">
        <v>0</v>
      </c>
      <c r="J480" s="26" t="n">
        <v>0</v>
      </c>
      <c r="K480" s="26" t="n">
        <v>0</v>
      </c>
      <c r="L480" s="26" t="n">
        <v>0</v>
      </c>
      <c r="M480" s="26" t="n">
        <v>0</v>
      </c>
    </row>
    <row r="481" customFormat="false" ht="15" hidden="false" customHeight="false" outlineLevel="0" collapsed="false">
      <c r="A481" s="7" t="s">
        <v>85</v>
      </c>
      <c r="B481" s="7" t="n">
        <v>4408043</v>
      </c>
      <c r="C481" s="7" t="s">
        <v>326</v>
      </c>
      <c r="D481" s="26" t="n">
        <v>-1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0</v>
      </c>
      <c r="J481" s="26" t="n">
        <v>0</v>
      </c>
      <c r="K481" s="26" t="n">
        <v>0</v>
      </c>
      <c r="L481" s="26" t="n">
        <v>0</v>
      </c>
      <c r="M481" s="26" t="n">
        <v>0</v>
      </c>
    </row>
    <row r="482" customFormat="false" ht="15" hidden="false" customHeight="false" outlineLevel="0" collapsed="false">
      <c r="A482" s="7" t="s">
        <v>87</v>
      </c>
      <c r="B482" s="7" t="n">
        <v>4408043</v>
      </c>
      <c r="C482" s="7" t="s">
        <v>326</v>
      </c>
      <c r="D482" s="26" t="n">
        <v>-247.5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0</v>
      </c>
      <c r="J482" s="26" t="n">
        <v>0</v>
      </c>
      <c r="K482" s="26" t="n">
        <v>0</v>
      </c>
      <c r="L482" s="26" t="n">
        <v>0</v>
      </c>
      <c r="M482" s="26" t="n">
        <v>0</v>
      </c>
    </row>
    <row r="483" customFormat="false" ht="15" hidden="false" customHeight="false" outlineLevel="0" collapsed="false">
      <c r="A483" s="7" t="s">
        <v>85</v>
      </c>
      <c r="B483" s="7" t="n">
        <v>4408041</v>
      </c>
      <c r="C483" s="7" t="s">
        <v>327</v>
      </c>
      <c r="D483" s="26" t="n">
        <v>-1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0</v>
      </c>
      <c r="J483" s="26" t="n">
        <v>0</v>
      </c>
      <c r="K483" s="26" t="n">
        <v>0</v>
      </c>
      <c r="L483" s="26" t="n">
        <v>0</v>
      </c>
      <c r="M483" s="26" t="n">
        <v>0</v>
      </c>
    </row>
    <row r="484" customFormat="false" ht="15" hidden="false" customHeight="false" outlineLevel="0" collapsed="false">
      <c r="A484" s="7" t="s">
        <v>87</v>
      </c>
      <c r="B484" s="7" t="n">
        <v>4408041</v>
      </c>
      <c r="C484" s="7" t="s">
        <v>327</v>
      </c>
      <c r="D484" s="26" t="n">
        <v>-247.5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0</v>
      </c>
      <c r="J484" s="26" t="n">
        <v>0</v>
      </c>
      <c r="K484" s="26" t="n">
        <v>0</v>
      </c>
      <c r="L484" s="26" t="n">
        <v>0</v>
      </c>
      <c r="M484" s="26" t="n">
        <v>0</v>
      </c>
    </row>
    <row r="485" customFormat="false" ht="15" hidden="false" customHeight="false" outlineLevel="0" collapsed="false">
      <c r="A485" s="7" t="s">
        <v>85</v>
      </c>
      <c r="B485" s="7" t="n">
        <v>4408104</v>
      </c>
      <c r="C485" s="7" t="s">
        <v>328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-1</v>
      </c>
      <c r="I485" s="26" t="n">
        <v>-1</v>
      </c>
      <c r="J485" s="26" t="n">
        <v>0</v>
      </c>
      <c r="K485" s="26" t="n">
        <v>0</v>
      </c>
      <c r="L485" s="26" t="n">
        <v>0</v>
      </c>
      <c r="M485" s="26" t="n">
        <v>0</v>
      </c>
    </row>
    <row r="486" customFormat="false" ht="15" hidden="false" customHeight="false" outlineLevel="0" collapsed="false">
      <c r="A486" s="7" t="s">
        <v>87</v>
      </c>
      <c r="B486" s="7" t="n">
        <v>4408104</v>
      </c>
      <c r="C486" s="7" t="s">
        <v>328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-207.2</v>
      </c>
      <c r="I486" s="26" t="n">
        <v>-223.2</v>
      </c>
      <c r="J486" s="26" t="n">
        <v>0</v>
      </c>
      <c r="K486" s="26" t="n">
        <v>0</v>
      </c>
      <c r="L486" s="26" t="n">
        <v>0</v>
      </c>
      <c r="M486" s="26" t="n">
        <v>0</v>
      </c>
    </row>
    <row r="487" customFormat="false" ht="15" hidden="false" customHeight="false" outlineLevel="0" collapsed="false">
      <c r="A487" s="7" t="s">
        <v>85</v>
      </c>
      <c r="B487" s="7" t="n">
        <v>4408105</v>
      </c>
      <c r="C487" s="7" t="s">
        <v>329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0</v>
      </c>
      <c r="J487" s="26" t="n">
        <v>0</v>
      </c>
      <c r="K487" s="26" t="n">
        <v>0</v>
      </c>
      <c r="L487" s="26" t="n">
        <v>0</v>
      </c>
      <c r="M487" s="26" t="n">
        <v>0</v>
      </c>
    </row>
    <row r="488" customFormat="false" ht="15" hidden="false" customHeight="false" outlineLevel="0" collapsed="false">
      <c r="A488" s="7" t="s">
        <v>87</v>
      </c>
      <c r="B488" s="7" t="n">
        <v>4408105</v>
      </c>
      <c r="C488" s="7" t="s">
        <v>329</v>
      </c>
      <c r="D488" s="26" t="n">
        <v>0</v>
      </c>
      <c r="E488" s="26" t="n">
        <v>0</v>
      </c>
      <c r="F488" s="26" t="n">
        <v>0</v>
      </c>
      <c r="G488" s="26" t="n">
        <v>0</v>
      </c>
      <c r="H488" s="26" t="n">
        <v>0</v>
      </c>
      <c r="I488" s="26" t="n">
        <v>0</v>
      </c>
      <c r="J488" s="26" t="n">
        <v>0</v>
      </c>
      <c r="K488" s="26" t="n">
        <v>0</v>
      </c>
      <c r="L488" s="26" t="n">
        <v>0</v>
      </c>
      <c r="M488" s="26" t="n">
        <v>0</v>
      </c>
    </row>
    <row r="489" customFormat="false" ht="15" hidden="false" customHeight="false" outlineLevel="0" collapsed="false">
      <c r="A489" s="7" t="s">
        <v>85</v>
      </c>
      <c r="B489" s="7" t="n">
        <v>4408109</v>
      </c>
      <c r="C489" s="7" t="s">
        <v>330</v>
      </c>
      <c r="D489" s="26" t="n">
        <v>0</v>
      </c>
      <c r="E489" s="26" t="n">
        <v>0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0</v>
      </c>
      <c r="L489" s="26" t="n">
        <v>0</v>
      </c>
      <c r="M489" s="26" t="n">
        <v>0</v>
      </c>
    </row>
    <row r="490" customFormat="false" ht="15" hidden="false" customHeight="false" outlineLevel="0" collapsed="false">
      <c r="A490" s="7" t="s">
        <v>87</v>
      </c>
      <c r="B490" s="7" t="n">
        <v>4408109</v>
      </c>
      <c r="C490" s="7" t="s">
        <v>330</v>
      </c>
      <c r="D490" s="26" t="n">
        <v>0</v>
      </c>
      <c r="E490" s="26" t="n">
        <v>0</v>
      </c>
      <c r="F490" s="26" t="n">
        <v>0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  <c r="L490" s="26" t="n">
        <v>0</v>
      </c>
      <c r="M490" s="26" t="n">
        <v>0</v>
      </c>
    </row>
    <row r="491" customFormat="false" ht="15" hidden="false" customHeight="false" outlineLevel="0" collapsed="false">
      <c r="A491" s="7" t="s">
        <v>85</v>
      </c>
      <c r="B491" s="7" t="n">
        <v>4408108</v>
      </c>
      <c r="C491" s="7" t="s">
        <v>331</v>
      </c>
      <c r="D491" s="26" t="n">
        <v>0</v>
      </c>
      <c r="E491" s="26" t="n">
        <v>0</v>
      </c>
      <c r="F491" s="26" t="n">
        <v>0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  <c r="L491" s="26" t="n">
        <v>0</v>
      </c>
      <c r="M491" s="26" t="n">
        <v>0</v>
      </c>
    </row>
    <row r="492" customFormat="false" ht="15" hidden="false" customHeight="false" outlineLevel="0" collapsed="false">
      <c r="A492" s="7" t="s">
        <v>87</v>
      </c>
      <c r="B492" s="7" t="n">
        <v>4408108</v>
      </c>
      <c r="C492" s="7" t="s">
        <v>331</v>
      </c>
      <c r="D492" s="26" t="n">
        <v>0</v>
      </c>
      <c r="E492" s="26" t="n">
        <v>0</v>
      </c>
      <c r="F492" s="26" t="n">
        <v>0</v>
      </c>
      <c r="G492" s="26" t="n">
        <v>0</v>
      </c>
      <c r="H492" s="26" t="n">
        <v>0</v>
      </c>
      <c r="I492" s="26" t="n">
        <v>0</v>
      </c>
      <c r="J492" s="26" t="n">
        <v>0</v>
      </c>
      <c r="K492" s="26" t="n">
        <v>0</v>
      </c>
      <c r="L492" s="26" t="n">
        <v>0</v>
      </c>
      <c r="M492" s="26" t="n">
        <v>0</v>
      </c>
    </row>
    <row r="493" customFormat="false" ht="15" hidden="false" customHeight="false" outlineLevel="0" collapsed="false">
      <c r="A493" s="7" t="s">
        <v>85</v>
      </c>
      <c r="B493" s="7" t="n">
        <v>4408107</v>
      </c>
      <c r="C493" s="7" t="s">
        <v>332</v>
      </c>
      <c r="D493" s="26" t="n">
        <v>0</v>
      </c>
      <c r="E493" s="26" t="n">
        <v>0</v>
      </c>
      <c r="F493" s="26" t="n">
        <v>0</v>
      </c>
      <c r="G493" s="26" t="n">
        <v>0</v>
      </c>
      <c r="H493" s="26" t="n">
        <v>0</v>
      </c>
      <c r="I493" s="26" t="n">
        <v>0</v>
      </c>
      <c r="J493" s="26" t="n">
        <v>0</v>
      </c>
      <c r="K493" s="26" t="n">
        <v>0</v>
      </c>
      <c r="L493" s="26" t="n">
        <v>0</v>
      </c>
      <c r="M493" s="26" t="n">
        <v>0</v>
      </c>
    </row>
    <row r="494" customFormat="false" ht="15" hidden="false" customHeight="false" outlineLevel="0" collapsed="false">
      <c r="A494" s="7" t="s">
        <v>87</v>
      </c>
      <c r="B494" s="7" t="n">
        <v>4408107</v>
      </c>
      <c r="C494" s="7" t="s">
        <v>332</v>
      </c>
      <c r="D494" s="26" t="n">
        <v>0</v>
      </c>
      <c r="E494" s="26" t="n">
        <v>0</v>
      </c>
      <c r="F494" s="26" t="n">
        <v>0</v>
      </c>
      <c r="G494" s="26" t="n">
        <v>0</v>
      </c>
      <c r="H494" s="26" t="n">
        <v>0</v>
      </c>
      <c r="I494" s="26" t="n">
        <v>0</v>
      </c>
      <c r="J494" s="26" t="n">
        <v>0</v>
      </c>
      <c r="K494" s="26" t="n">
        <v>0</v>
      </c>
      <c r="L494" s="26" t="n">
        <v>0</v>
      </c>
      <c r="M494" s="26" t="n">
        <v>0</v>
      </c>
    </row>
    <row r="495" customFormat="false" ht="15" hidden="false" customHeight="false" outlineLevel="0" collapsed="false">
      <c r="A495" s="7" t="s">
        <v>85</v>
      </c>
      <c r="B495" s="7" t="n">
        <v>4408274</v>
      </c>
      <c r="C495" s="7" t="s">
        <v>333</v>
      </c>
      <c r="D495" s="26" t="n">
        <v>1</v>
      </c>
      <c r="E495" s="26" t="n">
        <v>0</v>
      </c>
      <c r="F495" s="26" t="n">
        <v>0</v>
      </c>
      <c r="G495" s="26" t="n">
        <v>0</v>
      </c>
      <c r="H495" s="26" t="n">
        <v>12</v>
      </c>
      <c r="I495" s="26" t="n">
        <v>0</v>
      </c>
      <c r="J495" s="26" t="n">
        <v>0</v>
      </c>
      <c r="K495" s="26" t="n">
        <v>0</v>
      </c>
      <c r="L495" s="26" t="n">
        <v>1</v>
      </c>
      <c r="M495" s="26" t="n">
        <v>0</v>
      </c>
    </row>
    <row r="496" customFormat="false" ht="15" hidden="false" customHeight="false" outlineLevel="0" collapsed="false">
      <c r="A496" s="7" t="s">
        <v>87</v>
      </c>
      <c r="B496" s="7" t="n">
        <v>4408274</v>
      </c>
      <c r="C496" s="7" t="s">
        <v>333</v>
      </c>
      <c r="D496" s="26" t="n">
        <v>323.4</v>
      </c>
      <c r="E496" s="26" t="n">
        <v>0</v>
      </c>
      <c r="F496" s="26" t="n">
        <v>0</v>
      </c>
      <c r="G496" s="26" t="n">
        <v>0</v>
      </c>
      <c r="H496" s="26" t="n">
        <v>3349.1</v>
      </c>
      <c r="I496" s="26" t="n">
        <v>0</v>
      </c>
      <c r="J496" s="26" t="n">
        <v>0</v>
      </c>
      <c r="K496" s="26" t="n">
        <v>0</v>
      </c>
      <c r="L496" s="26" t="n">
        <v>222</v>
      </c>
      <c r="M496" s="26" t="n">
        <v>0</v>
      </c>
    </row>
    <row r="497" customFormat="false" ht="15" hidden="false" customHeight="false" outlineLevel="0" collapsed="false">
      <c r="A497" s="7" t="s">
        <v>85</v>
      </c>
      <c r="B497" s="7" t="n">
        <v>4408273</v>
      </c>
      <c r="C497" s="7" t="s">
        <v>334</v>
      </c>
      <c r="D497" s="26" t="n">
        <v>1</v>
      </c>
      <c r="E497" s="26" t="n">
        <v>0</v>
      </c>
      <c r="F497" s="26" t="n">
        <v>0</v>
      </c>
      <c r="G497" s="26" t="n">
        <v>0</v>
      </c>
      <c r="H497" s="26" t="n">
        <v>13</v>
      </c>
      <c r="I497" s="26" t="n">
        <v>0</v>
      </c>
      <c r="J497" s="26" t="n">
        <v>0</v>
      </c>
      <c r="K497" s="26" t="n">
        <v>0</v>
      </c>
      <c r="L497" s="26" t="n">
        <v>1</v>
      </c>
      <c r="M497" s="26" t="n">
        <v>0</v>
      </c>
    </row>
    <row r="498" customFormat="false" ht="15" hidden="false" customHeight="false" outlineLevel="0" collapsed="false">
      <c r="A498" s="7" t="s">
        <v>87</v>
      </c>
      <c r="B498" s="7" t="n">
        <v>4408273</v>
      </c>
      <c r="C498" s="7" t="s">
        <v>334</v>
      </c>
      <c r="D498" s="26" t="n">
        <v>323.4</v>
      </c>
      <c r="E498" s="26" t="n">
        <v>0</v>
      </c>
      <c r="F498" s="26" t="n">
        <v>0</v>
      </c>
      <c r="G498" s="26" t="n">
        <v>0</v>
      </c>
      <c r="H498" s="26" t="n">
        <v>3629.4</v>
      </c>
      <c r="I498" s="26" t="n">
        <v>0</v>
      </c>
      <c r="J498" s="26" t="n">
        <v>0</v>
      </c>
      <c r="K498" s="26" t="n">
        <v>0</v>
      </c>
      <c r="L498" s="26" t="n">
        <v>222</v>
      </c>
      <c r="M498" s="26" t="n">
        <v>0</v>
      </c>
    </row>
    <row r="499" customFormat="false" ht="15" hidden="false" customHeight="false" outlineLevel="0" collapsed="false">
      <c r="A499" s="7" t="s">
        <v>85</v>
      </c>
      <c r="B499" s="7" t="n">
        <v>4408272</v>
      </c>
      <c r="C499" s="7" t="s">
        <v>335</v>
      </c>
      <c r="D499" s="26" t="n">
        <v>1</v>
      </c>
      <c r="E499" s="26" t="n">
        <v>0</v>
      </c>
      <c r="F499" s="26" t="n">
        <v>0</v>
      </c>
      <c r="G499" s="26" t="n">
        <v>0</v>
      </c>
      <c r="H499" s="26" t="n">
        <v>11</v>
      </c>
      <c r="I499" s="26" t="n">
        <v>0</v>
      </c>
      <c r="J499" s="26" t="n">
        <v>0</v>
      </c>
      <c r="K499" s="26" t="n">
        <v>1</v>
      </c>
      <c r="L499" s="26" t="n">
        <v>1</v>
      </c>
      <c r="M499" s="26" t="n">
        <v>0</v>
      </c>
    </row>
    <row r="500" customFormat="false" ht="15" hidden="false" customHeight="false" outlineLevel="0" collapsed="false">
      <c r="A500" s="7" t="s">
        <v>87</v>
      </c>
      <c r="B500" s="7" t="n">
        <v>4408272</v>
      </c>
      <c r="C500" s="7" t="s">
        <v>335</v>
      </c>
      <c r="D500" s="26" t="n">
        <v>323.4</v>
      </c>
      <c r="E500" s="26" t="n">
        <v>0</v>
      </c>
      <c r="F500" s="26" t="n">
        <v>0</v>
      </c>
      <c r="G500" s="26" t="n">
        <v>0</v>
      </c>
      <c r="H500" s="26" t="n">
        <v>3082.9</v>
      </c>
      <c r="I500" s="26" t="n">
        <v>0</v>
      </c>
      <c r="J500" s="26" t="n">
        <v>0</v>
      </c>
      <c r="K500" s="26" t="n">
        <v>209</v>
      </c>
      <c r="L500" s="26" t="n">
        <v>222</v>
      </c>
      <c r="M500" s="26" t="n">
        <v>0</v>
      </c>
    </row>
    <row r="501" customFormat="false" ht="15" hidden="false" customHeight="false" outlineLevel="0" collapsed="false">
      <c r="A501" s="7" t="s">
        <v>85</v>
      </c>
      <c r="B501" s="7" t="n">
        <v>4408271</v>
      </c>
      <c r="C501" s="7" t="s">
        <v>336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11</v>
      </c>
      <c r="I501" s="26" t="n">
        <v>0</v>
      </c>
      <c r="J501" s="26" t="n">
        <v>0</v>
      </c>
      <c r="K501" s="26" t="n">
        <v>8</v>
      </c>
      <c r="L501" s="26" t="n">
        <v>0</v>
      </c>
      <c r="M501" s="26" t="n">
        <v>0</v>
      </c>
    </row>
    <row r="502" customFormat="false" ht="15" hidden="false" customHeight="false" outlineLevel="0" collapsed="false">
      <c r="A502" s="7" t="s">
        <v>87</v>
      </c>
      <c r="B502" s="7" t="n">
        <v>4408271</v>
      </c>
      <c r="C502" s="7" t="s">
        <v>336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3068.9</v>
      </c>
      <c r="I502" s="26" t="n">
        <v>0</v>
      </c>
      <c r="J502" s="26" t="n">
        <v>0</v>
      </c>
      <c r="K502" s="26" t="n">
        <v>1672</v>
      </c>
      <c r="L502" s="26" t="n">
        <v>0</v>
      </c>
      <c r="M502" s="26" t="n">
        <v>0</v>
      </c>
    </row>
    <row r="503" customFormat="false" ht="15" hidden="false" customHeight="false" outlineLevel="0" collapsed="false">
      <c r="A503" s="7" t="s">
        <v>85</v>
      </c>
      <c r="B503" s="7" t="n">
        <v>4408143</v>
      </c>
      <c r="C503" s="7" t="s">
        <v>337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0</v>
      </c>
      <c r="L503" s="26" t="n">
        <v>0</v>
      </c>
      <c r="M503" s="26" t="n">
        <v>0</v>
      </c>
    </row>
    <row r="504" customFormat="false" ht="15" hidden="false" customHeight="false" outlineLevel="0" collapsed="false">
      <c r="A504" s="7" t="s">
        <v>87</v>
      </c>
      <c r="B504" s="7" t="n">
        <v>4408143</v>
      </c>
      <c r="C504" s="7" t="s">
        <v>337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0</v>
      </c>
      <c r="L504" s="26" t="n">
        <v>0</v>
      </c>
      <c r="M504" s="26" t="n">
        <v>0</v>
      </c>
    </row>
    <row r="505" customFormat="false" ht="15" hidden="false" customHeight="false" outlineLevel="0" collapsed="false">
      <c r="A505" s="7" t="s">
        <v>85</v>
      </c>
      <c r="B505" s="7" t="n">
        <v>4408142</v>
      </c>
      <c r="C505" s="7" t="s">
        <v>338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0</v>
      </c>
      <c r="J505" s="26" t="n">
        <v>0</v>
      </c>
      <c r="K505" s="26" t="n">
        <v>0</v>
      </c>
      <c r="L505" s="26" t="n">
        <v>0</v>
      </c>
      <c r="M505" s="26" t="n">
        <v>0</v>
      </c>
    </row>
    <row r="506" customFormat="false" ht="15" hidden="false" customHeight="false" outlineLevel="0" collapsed="false">
      <c r="A506" s="7" t="s">
        <v>87</v>
      </c>
      <c r="B506" s="7" t="n">
        <v>4408142</v>
      </c>
      <c r="C506" s="7" t="s">
        <v>338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0</v>
      </c>
      <c r="J506" s="26" t="n">
        <v>0</v>
      </c>
      <c r="K506" s="26" t="n">
        <v>0</v>
      </c>
      <c r="L506" s="26" t="n">
        <v>0</v>
      </c>
      <c r="M506" s="26" t="n">
        <v>0</v>
      </c>
    </row>
    <row r="507" customFormat="false" ht="15" hidden="false" customHeight="false" outlineLevel="0" collapsed="false">
      <c r="A507" s="7" t="s">
        <v>85</v>
      </c>
      <c r="B507" s="7" t="n">
        <v>4408144</v>
      </c>
      <c r="C507" s="7" t="s">
        <v>339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0</v>
      </c>
      <c r="J507" s="26" t="n">
        <v>0</v>
      </c>
      <c r="K507" s="26" t="n">
        <v>0</v>
      </c>
      <c r="L507" s="26" t="n">
        <v>0</v>
      </c>
      <c r="M507" s="26" t="n">
        <v>0</v>
      </c>
    </row>
    <row r="508" customFormat="false" ht="15" hidden="false" customHeight="false" outlineLevel="0" collapsed="false">
      <c r="A508" s="7" t="s">
        <v>87</v>
      </c>
      <c r="B508" s="7" t="n">
        <v>4408144</v>
      </c>
      <c r="C508" s="7" t="s">
        <v>339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0</v>
      </c>
      <c r="J508" s="26" t="n">
        <v>0</v>
      </c>
      <c r="K508" s="26" t="n">
        <v>0</v>
      </c>
      <c r="L508" s="26" t="n">
        <v>0</v>
      </c>
      <c r="M508" s="26" t="n">
        <v>0</v>
      </c>
    </row>
    <row r="509" customFormat="false" ht="15" hidden="false" customHeight="false" outlineLevel="0" collapsed="false">
      <c r="A509" s="7" t="s">
        <v>85</v>
      </c>
      <c r="B509" s="7" t="n">
        <v>4408205</v>
      </c>
      <c r="C509" s="7" t="s">
        <v>340</v>
      </c>
      <c r="D509" s="26" t="n">
        <v>797</v>
      </c>
      <c r="E509" s="26" t="n">
        <v>5</v>
      </c>
      <c r="F509" s="26" t="n">
        <v>0</v>
      </c>
      <c r="G509" s="26" t="n">
        <v>0</v>
      </c>
      <c r="H509" s="26" t="n">
        <v>0</v>
      </c>
      <c r="I509" s="26" t="n">
        <v>22</v>
      </c>
      <c r="J509" s="26" t="n">
        <v>0</v>
      </c>
      <c r="K509" s="26" t="n">
        <v>0</v>
      </c>
      <c r="L509" s="26" t="n">
        <v>0</v>
      </c>
      <c r="M509" s="26" t="n">
        <v>0</v>
      </c>
    </row>
    <row r="510" customFormat="false" ht="15" hidden="false" customHeight="false" outlineLevel="0" collapsed="false">
      <c r="A510" s="7" t="s">
        <v>87</v>
      </c>
      <c r="B510" s="7" t="n">
        <v>4408205</v>
      </c>
      <c r="C510" s="7" t="s">
        <v>340</v>
      </c>
      <c r="D510" s="26" t="n">
        <v>68622.4</v>
      </c>
      <c r="E510" s="26" t="n">
        <v>468.5</v>
      </c>
      <c r="F510" s="26" t="n">
        <v>0</v>
      </c>
      <c r="G510" s="26" t="n">
        <v>0</v>
      </c>
      <c r="H510" s="26" t="n">
        <v>0</v>
      </c>
      <c r="I510" s="26" t="n">
        <v>1940.2</v>
      </c>
      <c r="J510" s="26" t="n">
        <v>0</v>
      </c>
      <c r="K510" s="26" t="n">
        <v>0</v>
      </c>
      <c r="L510" s="26" t="n">
        <v>0</v>
      </c>
      <c r="M510" s="26" t="n">
        <v>0</v>
      </c>
    </row>
    <row r="511" customFormat="false" ht="15" hidden="false" customHeight="false" outlineLevel="0" collapsed="false">
      <c r="A511" s="7" t="s">
        <v>85</v>
      </c>
      <c r="B511" s="7" t="n">
        <v>4408206</v>
      </c>
      <c r="C511" s="7" t="s">
        <v>341</v>
      </c>
      <c r="D511" s="26" t="n">
        <v>161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</v>
      </c>
      <c r="J511" s="26" t="n">
        <v>0</v>
      </c>
      <c r="K511" s="26" t="n">
        <v>0</v>
      </c>
      <c r="L511" s="26" t="n">
        <v>0</v>
      </c>
      <c r="M511" s="26" t="n">
        <v>0</v>
      </c>
    </row>
    <row r="512" customFormat="false" ht="15" hidden="false" customHeight="false" outlineLevel="0" collapsed="false">
      <c r="A512" s="7" t="s">
        <v>87</v>
      </c>
      <c r="B512" s="7" t="n">
        <v>4408206</v>
      </c>
      <c r="C512" s="7" t="s">
        <v>341</v>
      </c>
      <c r="D512" s="26" t="n">
        <v>10810.9</v>
      </c>
      <c r="E512" s="26" t="n">
        <v>0</v>
      </c>
      <c r="F512" s="26" t="n">
        <v>0</v>
      </c>
      <c r="G512" s="26" t="n">
        <v>0</v>
      </c>
      <c r="H512" s="26" t="n">
        <v>0</v>
      </c>
      <c r="I512" s="26" t="n">
        <v>150.5</v>
      </c>
      <c r="J512" s="26" t="n">
        <v>0</v>
      </c>
      <c r="K512" s="26" t="n">
        <v>0</v>
      </c>
      <c r="L512" s="26" t="n">
        <v>0</v>
      </c>
      <c r="M512" s="26" t="n">
        <v>0</v>
      </c>
    </row>
    <row r="513" customFormat="false" ht="15" hidden="false" customHeight="false" outlineLevel="0" collapsed="false">
      <c r="A513" s="7" t="s">
        <v>85</v>
      </c>
      <c r="B513" s="7" t="n">
        <v>4408252</v>
      </c>
      <c r="C513" s="7" t="s">
        <v>342</v>
      </c>
      <c r="D513" s="26" t="n">
        <v>0</v>
      </c>
      <c r="E513" s="26" t="n">
        <v>0</v>
      </c>
      <c r="F513" s="26" t="n">
        <v>0</v>
      </c>
      <c r="G513" s="26" t="n">
        <v>0</v>
      </c>
      <c r="H513" s="26" t="n">
        <v>-1</v>
      </c>
      <c r="I513" s="26" t="n">
        <v>-1</v>
      </c>
      <c r="J513" s="26" t="n">
        <v>0</v>
      </c>
      <c r="K513" s="26" t="n">
        <v>0</v>
      </c>
      <c r="L513" s="26" t="n">
        <v>0</v>
      </c>
      <c r="M513" s="26" t="n">
        <v>0</v>
      </c>
    </row>
    <row r="514" customFormat="false" ht="15" hidden="false" customHeight="false" outlineLevel="0" collapsed="false">
      <c r="A514" s="7" t="s">
        <v>87</v>
      </c>
      <c r="B514" s="7" t="n">
        <v>4408252</v>
      </c>
      <c r="C514" s="7" t="s">
        <v>342</v>
      </c>
      <c r="D514" s="26" t="n">
        <v>0</v>
      </c>
      <c r="E514" s="26" t="n">
        <v>0</v>
      </c>
      <c r="F514" s="26" t="n">
        <v>0</v>
      </c>
      <c r="G514" s="26" t="n">
        <v>0</v>
      </c>
      <c r="H514" s="26" t="n">
        <v>-118.8</v>
      </c>
      <c r="I514" s="26" t="n">
        <v>-121.5</v>
      </c>
      <c r="J514" s="26" t="n">
        <v>0</v>
      </c>
      <c r="K514" s="26" t="n">
        <v>0</v>
      </c>
      <c r="L514" s="26" t="n">
        <v>0</v>
      </c>
      <c r="M514" s="26" t="n">
        <v>0</v>
      </c>
    </row>
    <row r="515" customFormat="false" ht="15" hidden="false" customHeight="false" outlineLevel="0" collapsed="false">
      <c r="A515" s="7" t="s">
        <v>85</v>
      </c>
      <c r="B515" s="7" t="n">
        <v>4408226</v>
      </c>
      <c r="C515" s="7" t="s">
        <v>343</v>
      </c>
      <c r="D515" s="26" t="n">
        <v>0</v>
      </c>
      <c r="E515" s="26" t="n">
        <v>0</v>
      </c>
      <c r="F515" s="26" t="n">
        <v>0</v>
      </c>
      <c r="G515" s="26" t="n">
        <v>0</v>
      </c>
      <c r="H515" s="26" t="n">
        <v>2</v>
      </c>
      <c r="I515" s="26" t="n">
        <v>0</v>
      </c>
      <c r="J515" s="26" t="n">
        <v>0</v>
      </c>
      <c r="K515" s="26" t="n">
        <v>0</v>
      </c>
      <c r="L515" s="26" t="n">
        <v>0</v>
      </c>
      <c r="M515" s="26" t="n">
        <v>0</v>
      </c>
    </row>
    <row r="516" customFormat="false" ht="15" hidden="false" customHeight="false" outlineLevel="0" collapsed="false">
      <c r="A516" s="7" t="s">
        <v>87</v>
      </c>
      <c r="B516" s="7" t="n">
        <v>4408226</v>
      </c>
      <c r="C516" s="7" t="s">
        <v>343</v>
      </c>
      <c r="D516" s="26" t="n">
        <v>0</v>
      </c>
      <c r="E516" s="26" t="n">
        <v>0</v>
      </c>
      <c r="F516" s="26" t="n">
        <v>0</v>
      </c>
      <c r="G516" s="26" t="n">
        <v>0</v>
      </c>
      <c r="H516" s="26" t="n">
        <v>203.1</v>
      </c>
      <c r="I516" s="26" t="n">
        <v>0</v>
      </c>
      <c r="J516" s="26" t="n">
        <v>0</v>
      </c>
      <c r="K516" s="26" t="n">
        <v>0</v>
      </c>
      <c r="L516" s="26" t="n">
        <v>0</v>
      </c>
      <c r="M516" s="26" t="n">
        <v>0</v>
      </c>
    </row>
    <row r="517" customFormat="false" ht="15" hidden="false" customHeight="false" outlineLevel="0" collapsed="false">
      <c r="A517" s="7" t="s">
        <v>85</v>
      </c>
      <c r="B517" s="7" t="n">
        <v>4408225</v>
      </c>
      <c r="C517" s="7" t="s">
        <v>344</v>
      </c>
      <c r="D517" s="26" t="n">
        <v>0</v>
      </c>
      <c r="E517" s="26" t="n">
        <v>0</v>
      </c>
      <c r="F517" s="26" t="n">
        <v>0</v>
      </c>
      <c r="G517" s="26" t="n">
        <v>0</v>
      </c>
      <c r="H517" s="26" t="n">
        <v>1</v>
      </c>
      <c r="I517" s="26" t="n">
        <v>0</v>
      </c>
      <c r="J517" s="26" t="n">
        <v>0</v>
      </c>
      <c r="K517" s="26" t="n">
        <v>0</v>
      </c>
      <c r="L517" s="26" t="n">
        <v>0</v>
      </c>
      <c r="M517" s="26" t="n">
        <v>0</v>
      </c>
    </row>
    <row r="518" customFormat="false" ht="15" hidden="false" customHeight="false" outlineLevel="0" collapsed="false">
      <c r="A518" s="7" t="s">
        <v>87</v>
      </c>
      <c r="B518" s="7" t="n">
        <v>4408225</v>
      </c>
      <c r="C518" s="7" t="s">
        <v>344</v>
      </c>
      <c r="D518" s="26" t="n">
        <v>0</v>
      </c>
      <c r="E518" s="26" t="n">
        <v>0</v>
      </c>
      <c r="F518" s="26" t="n">
        <v>0</v>
      </c>
      <c r="G518" s="26" t="n">
        <v>0</v>
      </c>
      <c r="H518" s="26" t="n">
        <v>157</v>
      </c>
      <c r="I518" s="26" t="n">
        <v>0</v>
      </c>
      <c r="J518" s="26" t="n">
        <v>0</v>
      </c>
      <c r="K518" s="26" t="n">
        <v>0</v>
      </c>
      <c r="L518" s="26" t="n">
        <v>0</v>
      </c>
      <c r="M518" s="26" t="n">
        <v>0</v>
      </c>
    </row>
    <row r="519" customFormat="false" ht="15" hidden="false" customHeight="false" outlineLevel="0" collapsed="false">
      <c r="A519" s="7" t="s">
        <v>85</v>
      </c>
      <c r="B519" s="7" t="n">
        <v>4408190</v>
      </c>
      <c r="C519" s="7" t="s">
        <v>345</v>
      </c>
      <c r="D519" s="26" t="n">
        <v>32</v>
      </c>
      <c r="E519" s="26" t="n">
        <v>0</v>
      </c>
      <c r="F519" s="26" t="n">
        <v>0</v>
      </c>
      <c r="G519" s="26" t="n">
        <v>1</v>
      </c>
      <c r="H519" s="26" t="n">
        <v>36</v>
      </c>
      <c r="I519" s="26" t="n">
        <v>0</v>
      </c>
      <c r="J519" s="26" t="n">
        <v>0</v>
      </c>
      <c r="K519" s="26" t="n">
        <v>35</v>
      </c>
      <c r="L519" s="26" t="n">
        <v>0</v>
      </c>
      <c r="M519" s="26" t="n">
        <v>0</v>
      </c>
    </row>
    <row r="520" customFormat="false" ht="15" hidden="false" customHeight="false" outlineLevel="0" collapsed="false">
      <c r="A520" s="7" t="s">
        <v>87</v>
      </c>
      <c r="B520" s="7" t="n">
        <v>4408190</v>
      </c>
      <c r="C520" s="7" t="s">
        <v>345</v>
      </c>
      <c r="D520" s="26" t="n">
        <v>3634.2</v>
      </c>
      <c r="E520" s="26" t="n">
        <v>0</v>
      </c>
      <c r="F520" s="26" t="n">
        <v>0</v>
      </c>
      <c r="G520" s="26" t="n">
        <v>101.5</v>
      </c>
      <c r="H520" s="26" t="n">
        <v>3644.6</v>
      </c>
      <c r="I520" s="26" t="n">
        <v>0</v>
      </c>
      <c r="J520" s="26" t="n">
        <v>0</v>
      </c>
      <c r="K520" s="26" t="n">
        <v>2193.8</v>
      </c>
      <c r="L520" s="26" t="n">
        <v>0</v>
      </c>
      <c r="M520" s="26" t="n">
        <v>0</v>
      </c>
    </row>
    <row r="521" customFormat="false" ht="15" hidden="false" customHeight="false" outlineLevel="0" collapsed="false">
      <c r="A521" s="7" t="s">
        <v>85</v>
      </c>
      <c r="B521" s="7" t="n">
        <v>4408251</v>
      </c>
      <c r="C521" s="7" t="s">
        <v>346</v>
      </c>
      <c r="D521" s="26" t="n">
        <v>0</v>
      </c>
      <c r="E521" s="26" t="n">
        <v>0</v>
      </c>
      <c r="F521" s="26" t="n">
        <v>0</v>
      </c>
      <c r="G521" s="26" t="n">
        <v>0</v>
      </c>
      <c r="H521" s="26" t="n">
        <v>-1</v>
      </c>
      <c r="I521" s="26" t="n">
        <v>0</v>
      </c>
      <c r="J521" s="26" t="n">
        <v>0</v>
      </c>
      <c r="K521" s="26" t="n">
        <v>0</v>
      </c>
      <c r="L521" s="26" t="n">
        <v>0</v>
      </c>
      <c r="M521" s="26" t="n">
        <v>0</v>
      </c>
    </row>
    <row r="522" customFormat="false" ht="15" hidden="false" customHeight="false" outlineLevel="0" collapsed="false">
      <c r="A522" s="7" t="s">
        <v>87</v>
      </c>
      <c r="B522" s="7" t="n">
        <v>4408251</v>
      </c>
      <c r="C522" s="7" t="s">
        <v>346</v>
      </c>
      <c r="D522" s="26" t="n">
        <v>0</v>
      </c>
      <c r="E522" s="26" t="n">
        <v>0</v>
      </c>
      <c r="F522" s="26" t="n">
        <v>0</v>
      </c>
      <c r="G522" s="26" t="n">
        <v>0</v>
      </c>
      <c r="H522" s="26" t="n">
        <v>-118.8</v>
      </c>
      <c r="I522" s="26" t="n">
        <v>0</v>
      </c>
      <c r="J522" s="26" t="n">
        <v>0</v>
      </c>
      <c r="K522" s="26" t="n">
        <v>0</v>
      </c>
      <c r="L522" s="26" t="n">
        <v>0</v>
      </c>
      <c r="M522" s="26" t="n">
        <v>0</v>
      </c>
    </row>
    <row r="523" customFormat="false" ht="15" hidden="false" customHeight="false" outlineLevel="0" collapsed="false">
      <c r="A523" s="7" t="s">
        <v>85</v>
      </c>
      <c r="B523" s="7" t="n">
        <v>4408224</v>
      </c>
      <c r="C523" s="7" t="s">
        <v>347</v>
      </c>
      <c r="D523" s="26" t="n">
        <v>0</v>
      </c>
      <c r="E523" s="26" t="n">
        <v>0</v>
      </c>
      <c r="F523" s="26" t="n">
        <v>0</v>
      </c>
      <c r="G523" s="26" t="n">
        <v>0</v>
      </c>
      <c r="H523" s="26" t="n">
        <v>0</v>
      </c>
      <c r="I523" s="26" t="n">
        <v>0</v>
      </c>
      <c r="J523" s="26" t="n">
        <v>0</v>
      </c>
      <c r="K523" s="26" t="n">
        <v>0</v>
      </c>
      <c r="L523" s="26" t="n">
        <v>0</v>
      </c>
      <c r="M523" s="26" t="n">
        <v>0</v>
      </c>
    </row>
    <row r="524" customFormat="false" ht="15" hidden="false" customHeight="false" outlineLevel="0" collapsed="false">
      <c r="A524" s="7" t="s">
        <v>87</v>
      </c>
      <c r="B524" s="7" t="n">
        <v>4408224</v>
      </c>
      <c r="C524" s="7" t="s">
        <v>347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25.9</v>
      </c>
      <c r="I524" s="26" t="n">
        <v>0</v>
      </c>
      <c r="J524" s="26" t="n">
        <v>0</v>
      </c>
      <c r="K524" s="26" t="n">
        <v>0</v>
      </c>
      <c r="L524" s="26" t="n">
        <v>0</v>
      </c>
      <c r="M524" s="26" t="n">
        <v>0</v>
      </c>
    </row>
    <row r="525" customFormat="false" ht="15" hidden="false" customHeight="false" outlineLevel="0" collapsed="false">
      <c r="A525" s="7" t="s">
        <v>85</v>
      </c>
      <c r="B525" s="7" t="n">
        <v>4408217</v>
      </c>
      <c r="C525" s="7" t="s">
        <v>348</v>
      </c>
      <c r="D525" s="26" t="n">
        <v>8</v>
      </c>
      <c r="E525" s="26" t="n">
        <v>0</v>
      </c>
      <c r="F525" s="26" t="n">
        <v>0</v>
      </c>
      <c r="G525" s="26" t="n">
        <v>0</v>
      </c>
      <c r="H525" s="26" t="n">
        <v>3</v>
      </c>
      <c r="I525" s="26" t="n">
        <v>0</v>
      </c>
      <c r="J525" s="26" t="n">
        <v>0</v>
      </c>
      <c r="K525" s="26" t="n">
        <v>4</v>
      </c>
      <c r="L525" s="26" t="n">
        <v>0</v>
      </c>
      <c r="M525" s="26" t="n">
        <v>0</v>
      </c>
    </row>
    <row r="526" customFormat="false" ht="15" hidden="false" customHeight="false" outlineLevel="0" collapsed="false">
      <c r="A526" s="7" t="s">
        <v>87</v>
      </c>
      <c r="B526" s="7" t="n">
        <v>4408217</v>
      </c>
      <c r="C526" s="7" t="s">
        <v>348</v>
      </c>
      <c r="D526" s="26" t="n">
        <v>858.9</v>
      </c>
      <c r="E526" s="26" t="n">
        <v>0</v>
      </c>
      <c r="F526" s="26" t="n">
        <v>0</v>
      </c>
      <c r="G526" s="26" t="n">
        <v>0</v>
      </c>
      <c r="H526" s="26" t="n">
        <v>314.7</v>
      </c>
      <c r="I526" s="26" t="n">
        <v>0</v>
      </c>
      <c r="J526" s="26" t="n">
        <v>0</v>
      </c>
      <c r="K526" s="26" t="n">
        <v>260</v>
      </c>
      <c r="L526" s="26" t="n">
        <v>0</v>
      </c>
      <c r="M526" s="26" t="n">
        <v>0</v>
      </c>
    </row>
    <row r="527" customFormat="false" ht="15" hidden="false" customHeight="false" outlineLevel="0" collapsed="false">
      <c r="A527" s="7" t="s">
        <v>85</v>
      </c>
      <c r="B527" s="7" t="n">
        <v>4408270</v>
      </c>
      <c r="C527" s="7" t="s">
        <v>349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0</v>
      </c>
      <c r="J527" s="26" t="n">
        <v>0</v>
      </c>
      <c r="K527" s="26" t="n">
        <v>5</v>
      </c>
      <c r="L527" s="26" t="n">
        <v>0</v>
      </c>
      <c r="M527" s="26" t="n">
        <v>0</v>
      </c>
    </row>
    <row r="528" customFormat="false" ht="15" hidden="false" customHeight="false" outlineLevel="0" collapsed="false">
      <c r="A528" s="7" t="s">
        <v>87</v>
      </c>
      <c r="B528" s="7" t="n">
        <v>4408270</v>
      </c>
      <c r="C528" s="7" t="s">
        <v>349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0</v>
      </c>
      <c r="J528" s="26" t="n">
        <v>0</v>
      </c>
      <c r="K528" s="26" t="n">
        <v>171</v>
      </c>
      <c r="L528" s="26" t="n">
        <v>0</v>
      </c>
      <c r="M528" s="26" t="n">
        <v>0</v>
      </c>
    </row>
    <row r="529" customFormat="false" ht="15" hidden="false" customHeight="false" outlineLevel="0" collapsed="false">
      <c r="A529" s="7" t="s">
        <v>85</v>
      </c>
      <c r="B529" s="7" t="n">
        <v>4408090</v>
      </c>
      <c r="C529" s="7" t="s">
        <v>350</v>
      </c>
      <c r="D529" s="26" t="n">
        <v>4</v>
      </c>
      <c r="E529" s="26" t="n">
        <v>0</v>
      </c>
      <c r="F529" s="26" t="n">
        <v>0</v>
      </c>
      <c r="G529" s="26" t="n">
        <v>0</v>
      </c>
      <c r="H529" s="26" t="n">
        <v>2</v>
      </c>
      <c r="I529" s="26" t="n">
        <v>2</v>
      </c>
      <c r="J529" s="26" t="n">
        <v>0</v>
      </c>
      <c r="K529" s="26" t="n">
        <v>0</v>
      </c>
      <c r="L529" s="26" t="n">
        <v>0</v>
      </c>
      <c r="M529" s="26" t="n">
        <v>0</v>
      </c>
    </row>
    <row r="530" customFormat="false" ht="15" hidden="false" customHeight="false" outlineLevel="0" collapsed="false">
      <c r="A530" s="7" t="s">
        <v>87</v>
      </c>
      <c r="B530" s="7" t="n">
        <v>4408090</v>
      </c>
      <c r="C530" s="7" t="s">
        <v>350</v>
      </c>
      <c r="D530" s="26" t="n">
        <v>365.9</v>
      </c>
      <c r="E530" s="26" t="n">
        <v>0</v>
      </c>
      <c r="F530" s="26" t="n">
        <v>0</v>
      </c>
      <c r="G530" s="26" t="n">
        <v>0</v>
      </c>
      <c r="H530" s="26" t="n">
        <v>159.8</v>
      </c>
      <c r="I530" s="26" t="n">
        <v>176.4</v>
      </c>
      <c r="J530" s="26" t="n">
        <v>0</v>
      </c>
      <c r="K530" s="26" t="n">
        <v>0</v>
      </c>
      <c r="L530" s="26" t="n">
        <v>0</v>
      </c>
      <c r="M530" s="26" t="n">
        <v>0</v>
      </c>
    </row>
    <row r="531" customFormat="false" ht="15" hidden="false" customHeight="false" outlineLevel="0" collapsed="false">
      <c r="A531" s="7" t="s">
        <v>85</v>
      </c>
      <c r="B531" s="7" t="n">
        <v>4408091</v>
      </c>
      <c r="C531" s="7" t="s">
        <v>351</v>
      </c>
      <c r="D531" s="26" t="n">
        <v>2</v>
      </c>
      <c r="E531" s="26" t="n">
        <v>0</v>
      </c>
      <c r="F531" s="26" t="n">
        <v>0</v>
      </c>
      <c r="G531" s="26" t="n">
        <v>0</v>
      </c>
      <c r="H531" s="26" t="n">
        <v>5</v>
      </c>
      <c r="I531" s="26" t="n">
        <v>2</v>
      </c>
      <c r="J531" s="26" t="n">
        <v>0</v>
      </c>
      <c r="K531" s="26" t="n">
        <v>0</v>
      </c>
      <c r="L531" s="26" t="n">
        <v>0</v>
      </c>
      <c r="M531" s="26" t="n">
        <v>0</v>
      </c>
    </row>
    <row r="532" customFormat="false" ht="15" hidden="false" customHeight="false" outlineLevel="0" collapsed="false">
      <c r="A532" s="7" t="s">
        <v>87</v>
      </c>
      <c r="B532" s="7" t="n">
        <v>4408091</v>
      </c>
      <c r="C532" s="7" t="s">
        <v>351</v>
      </c>
      <c r="D532" s="26" t="n">
        <v>189.3</v>
      </c>
      <c r="E532" s="26" t="n">
        <v>0</v>
      </c>
      <c r="F532" s="26" t="n">
        <v>0</v>
      </c>
      <c r="G532" s="26" t="n">
        <v>0</v>
      </c>
      <c r="H532" s="26" t="n">
        <v>401.3</v>
      </c>
      <c r="I532" s="26" t="n">
        <v>176.4</v>
      </c>
      <c r="J532" s="26" t="n">
        <v>0</v>
      </c>
      <c r="K532" s="26" t="n">
        <v>0</v>
      </c>
      <c r="L532" s="26" t="n">
        <v>0</v>
      </c>
      <c r="M532" s="26" t="n">
        <v>0</v>
      </c>
    </row>
    <row r="533" customFormat="false" ht="15" hidden="false" customHeight="false" outlineLevel="0" collapsed="false">
      <c r="A533" s="7" t="s">
        <v>85</v>
      </c>
      <c r="B533" s="7" t="n">
        <v>4408089</v>
      </c>
      <c r="C533" s="7" t="s">
        <v>352</v>
      </c>
      <c r="D533" s="26" t="n">
        <v>1</v>
      </c>
      <c r="E533" s="26" t="n">
        <v>0</v>
      </c>
      <c r="F533" s="26" t="n">
        <v>0</v>
      </c>
      <c r="G533" s="26" t="n">
        <v>0</v>
      </c>
      <c r="H533" s="26" t="n">
        <v>-1</v>
      </c>
      <c r="I533" s="26" t="n">
        <v>1</v>
      </c>
      <c r="J533" s="26" t="n">
        <v>0</v>
      </c>
      <c r="K533" s="26" t="n">
        <v>0</v>
      </c>
      <c r="L533" s="26" t="n">
        <v>0</v>
      </c>
      <c r="M533" s="26" t="n">
        <v>0</v>
      </c>
    </row>
    <row r="534" customFormat="false" ht="15" hidden="false" customHeight="false" outlineLevel="0" collapsed="false">
      <c r="A534" s="7" t="s">
        <v>87</v>
      </c>
      <c r="B534" s="7" t="n">
        <v>4408089</v>
      </c>
      <c r="C534" s="7" t="s">
        <v>352</v>
      </c>
      <c r="D534" s="26" t="n">
        <v>107.4</v>
      </c>
      <c r="E534" s="26" t="n">
        <v>0</v>
      </c>
      <c r="F534" s="26" t="n">
        <v>0</v>
      </c>
      <c r="G534" s="26" t="n">
        <v>0</v>
      </c>
      <c r="H534" s="26" t="n">
        <v>-81.9</v>
      </c>
      <c r="I534" s="26" t="n">
        <v>88.2</v>
      </c>
      <c r="J534" s="26" t="n">
        <v>0</v>
      </c>
      <c r="K534" s="26" t="n">
        <v>0</v>
      </c>
      <c r="L534" s="26" t="n">
        <v>0</v>
      </c>
      <c r="M534" s="26" t="n">
        <v>0</v>
      </c>
    </row>
    <row r="535" customFormat="false" ht="15" hidden="false" customHeight="false" outlineLevel="0" collapsed="false">
      <c r="A535" s="7" t="s">
        <v>85</v>
      </c>
      <c r="B535" s="7" t="n">
        <v>4408092</v>
      </c>
      <c r="C535" s="7" t="s">
        <v>353</v>
      </c>
      <c r="D535" s="26" t="n">
        <v>5</v>
      </c>
      <c r="E535" s="26" t="n">
        <v>0</v>
      </c>
      <c r="F535" s="26" t="n">
        <v>0</v>
      </c>
      <c r="G535" s="26" t="n">
        <v>2</v>
      </c>
      <c r="H535" s="26" t="n">
        <v>3</v>
      </c>
      <c r="I535" s="26" t="n">
        <v>2</v>
      </c>
      <c r="J535" s="26" t="n">
        <v>0</v>
      </c>
      <c r="K535" s="26" t="n">
        <v>0</v>
      </c>
      <c r="L535" s="26" t="n">
        <v>0</v>
      </c>
      <c r="M535" s="26" t="n">
        <v>0</v>
      </c>
    </row>
    <row r="536" customFormat="false" ht="15" hidden="false" customHeight="false" outlineLevel="0" collapsed="false">
      <c r="A536" s="7" t="s">
        <v>87</v>
      </c>
      <c r="B536" s="7" t="n">
        <v>4408092</v>
      </c>
      <c r="C536" s="7" t="s">
        <v>353</v>
      </c>
      <c r="D536" s="26" t="n">
        <v>473.3</v>
      </c>
      <c r="E536" s="26" t="n">
        <v>0</v>
      </c>
      <c r="F536" s="26" t="n">
        <v>0</v>
      </c>
      <c r="G536" s="26" t="n">
        <v>164</v>
      </c>
      <c r="H536" s="26" t="n">
        <v>249.8</v>
      </c>
      <c r="I536" s="26" t="n">
        <v>176.4</v>
      </c>
      <c r="J536" s="26" t="n">
        <v>0</v>
      </c>
      <c r="K536" s="26" t="n">
        <v>0</v>
      </c>
      <c r="L536" s="26" t="n">
        <v>0</v>
      </c>
      <c r="M536" s="26" t="n">
        <v>0</v>
      </c>
    </row>
    <row r="537" customFormat="false" ht="15" hidden="false" customHeight="false" outlineLevel="0" collapsed="false">
      <c r="A537" s="7" t="s">
        <v>85</v>
      </c>
      <c r="B537" s="7" t="n">
        <v>4408093</v>
      </c>
      <c r="C537" s="7" t="s">
        <v>354</v>
      </c>
      <c r="D537" s="26" t="n">
        <v>4</v>
      </c>
      <c r="E537" s="26" t="n">
        <v>0</v>
      </c>
      <c r="F537" s="26" t="n">
        <v>0</v>
      </c>
      <c r="G537" s="26" t="n">
        <v>1</v>
      </c>
      <c r="H537" s="26" t="n">
        <v>-1</v>
      </c>
      <c r="I537" s="26" t="n">
        <v>1</v>
      </c>
      <c r="J537" s="26" t="n">
        <v>0</v>
      </c>
      <c r="K537" s="26" t="n">
        <v>0</v>
      </c>
      <c r="L537" s="26" t="n">
        <v>0</v>
      </c>
      <c r="M537" s="26" t="n">
        <v>0</v>
      </c>
    </row>
    <row r="538" customFormat="false" ht="15" hidden="false" customHeight="false" outlineLevel="0" collapsed="false">
      <c r="A538" s="7" t="s">
        <v>87</v>
      </c>
      <c r="B538" s="7" t="n">
        <v>4408093</v>
      </c>
      <c r="C538" s="7" t="s">
        <v>354</v>
      </c>
      <c r="D538" s="26" t="n">
        <v>378.5</v>
      </c>
      <c r="E538" s="26" t="n">
        <v>0</v>
      </c>
      <c r="F538" s="26" t="n">
        <v>0</v>
      </c>
      <c r="G538" s="26" t="n">
        <v>82</v>
      </c>
      <c r="H538" s="26" t="n">
        <v>-81.9</v>
      </c>
      <c r="I538" s="26" t="n">
        <v>88.2</v>
      </c>
      <c r="J538" s="26" t="n">
        <v>0</v>
      </c>
      <c r="K538" s="26" t="n">
        <v>0</v>
      </c>
      <c r="L538" s="26" t="n">
        <v>0</v>
      </c>
      <c r="M538" s="26" t="n">
        <v>0</v>
      </c>
    </row>
    <row r="539" customFormat="false" ht="15" hidden="false" customHeight="false" outlineLevel="0" collapsed="false">
      <c r="A539" s="7" t="s">
        <v>85</v>
      </c>
      <c r="B539" s="7" t="n">
        <v>4408227</v>
      </c>
      <c r="C539" s="7" t="s">
        <v>355</v>
      </c>
      <c r="D539" s="26" t="n">
        <v>0</v>
      </c>
      <c r="E539" s="26" t="n">
        <v>0</v>
      </c>
      <c r="F539" s="26" t="n">
        <v>0</v>
      </c>
      <c r="G539" s="26" t="n">
        <v>0</v>
      </c>
      <c r="H539" s="26" t="n">
        <v>1</v>
      </c>
      <c r="I539" s="26" t="n">
        <v>0</v>
      </c>
      <c r="J539" s="26" t="n">
        <v>0</v>
      </c>
      <c r="K539" s="26" t="n">
        <v>0</v>
      </c>
      <c r="L539" s="26" t="n">
        <v>0</v>
      </c>
      <c r="M539" s="26" t="n">
        <v>0</v>
      </c>
    </row>
    <row r="540" customFormat="false" ht="15" hidden="false" customHeight="false" outlineLevel="0" collapsed="false">
      <c r="A540" s="7" t="s">
        <v>87</v>
      </c>
      <c r="B540" s="7" t="n">
        <v>4408227</v>
      </c>
      <c r="C540" s="7" t="s">
        <v>355</v>
      </c>
      <c r="D540" s="26" t="n">
        <v>0</v>
      </c>
      <c r="E540" s="26" t="n">
        <v>0</v>
      </c>
      <c r="F540" s="26" t="n">
        <v>0</v>
      </c>
      <c r="G540" s="26" t="n">
        <v>0</v>
      </c>
      <c r="H540" s="26" t="n">
        <v>132.3</v>
      </c>
      <c r="I540" s="26" t="n">
        <v>0</v>
      </c>
      <c r="J540" s="26" t="n">
        <v>0</v>
      </c>
      <c r="K540" s="26" t="n">
        <v>0</v>
      </c>
      <c r="L540" s="26" t="n">
        <v>0</v>
      </c>
      <c r="M540" s="26" t="n">
        <v>0</v>
      </c>
    </row>
    <row r="541" customFormat="false" ht="15" hidden="false" customHeight="false" outlineLevel="0" collapsed="false">
      <c r="A541" s="7" t="s">
        <v>85</v>
      </c>
      <c r="B541" s="7" t="n">
        <v>4408229</v>
      </c>
      <c r="C541" s="7" t="s">
        <v>356</v>
      </c>
      <c r="D541" s="26" t="n">
        <v>-1</v>
      </c>
      <c r="E541" s="26" t="n">
        <v>0</v>
      </c>
      <c r="F541" s="26" t="n">
        <v>0</v>
      </c>
      <c r="G541" s="26" t="n">
        <v>0</v>
      </c>
      <c r="H541" s="26" t="n">
        <v>0</v>
      </c>
      <c r="I541" s="26" t="n">
        <v>0</v>
      </c>
      <c r="J541" s="26" t="n">
        <v>0</v>
      </c>
      <c r="K541" s="26" t="n">
        <v>0</v>
      </c>
      <c r="L541" s="26" t="n">
        <v>0</v>
      </c>
      <c r="M541" s="26" t="n">
        <v>0</v>
      </c>
    </row>
    <row r="542" customFormat="false" ht="15" hidden="false" customHeight="false" outlineLevel="0" collapsed="false">
      <c r="A542" s="7" t="s">
        <v>87</v>
      </c>
      <c r="B542" s="7" t="n">
        <v>4408229</v>
      </c>
      <c r="C542" s="7" t="s">
        <v>356</v>
      </c>
      <c r="D542" s="26" t="n">
        <v>-92.8</v>
      </c>
      <c r="E542" s="26" t="n">
        <v>0</v>
      </c>
      <c r="F542" s="26" t="n">
        <v>0</v>
      </c>
      <c r="G542" s="26" t="n">
        <v>0</v>
      </c>
      <c r="H542" s="26" t="n">
        <v>17</v>
      </c>
      <c r="I542" s="26" t="n">
        <v>0</v>
      </c>
      <c r="J542" s="26" t="n">
        <v>0</v>
      </c>
      <c r="K542" s="26" t="n">
        <v>0</v>
      </c>
      <c r="L542" s="26" t="n">
        <v>0</v>
      </c>
      <c r="M542" s="26" t="n">
        <v>0</v>
      </c>
    </row>
    <row r="543" customFormat="false" ht="15" hidden="false" customHeight="false" outlineLevel="0" collapsed="false">
      <c r="A543" s="7" t="s">
        <v>85</v>
      </c>
      <c r="B543" s="7" t="n">
        <v>4409011</v>
      </c>
      <c r="C543" s="7" t="s">
        <v>357</v>
      </c>
      <c r="D543" s="26" t="n">
        <v>56</v>
      </c>
      <c r="E543" s="26" t="n">
        <v>0</v>
      </c>
      <c r="F543" s="26" t="n">
        <v>0</v>
      </c>
      <c r="G543" s="26" t="n">
        <v>0</v>
      </c>
      <c r="H543" s="26" t="n">
        <v>0</v>
      </c>
      <c r="I543" s="26" t="n">
        <v>189</v>
      </c>
      <c r="J543" s="26" t="n">
        <v>0</v>
      </c>
      <c r="K543" s="26" t="n">
        <v>0</v>
      </c>
      <c r="L543" s="26" t="n">
        <v>0</v>
      </c>
      <c r="M543" s="26" t="n">
        <v>0</v>
      </c>
    </row>
    <row r="544" customFormat="false" ht="15" hidden="false" customHeight="false" outlineLevel="0" collapsed="false">
      <c r="A544" s="7" t="s">
        <v>87</v>
      </c>
      <c r="B544" s="7" t="n">
        <v>4409011</v>
      </c>
      <c r="C544" s="7" t="s">
        <v>357</v>
      </c>
      <c r="D544" s="26" t="n">
        <v>966.2</v>
      </c>
      <c r="E544" s="26" t="n">
        <v>0</v>
      </c>
      <c r="F544" s="26" t="n">
        <v>0</v>
      </c>
      <c r="G544" s="26" t="n">
        <v>0</v>
      </c>
      <c r="H544" s="26" t="n">
        <v>0</v>
      </c>
      <c r="I544" s="26" t="n">
        <v>2910.6</v>
      </c>
      <c r="J544" s="26" t="n">
        <v>0</v>
      </c>
      <c r="K544" s="26" t="n">
        <v>0</v>
      </c>
      <c r="L544" s="26" t="n">
        <v>0</v>
      </c>
      <c r="M544" s="26" t="n">
        <v>0</v>
      </c>
    </row>
    <row r="545" customFormat="false" ht="15" hidden="false" customHeight="false" outlineLevel="0" collapsed="false">
      <c r="A545" s="7" t="s">
        <v>85</v>
      </c>
      <c r="B545" s="7" t="n">
        <v>4409013</v>
      </c>
      <c r="C545" s="7" t="s">
        <v>358</v>
      </c>
      <c r="D545" s="26" t="n">
        <v>26</v>
      </c>
      <c r="E545" s="26" t="n">
        <v>0</v>
      </c>
      <c r="F545" s="26" t="n">
        <v>0</v>
      </c>
      <c r="G545" s="26" t="n">
        <v>0</v>
      </c>
      <c r="H545" s="26" t="n">
        <v>0</v>
      </c>
      <c r="I545" s="26" t="n">
        <v>168</v>
      </c>
      <c r="J545" s="26" t="n">
        <v>0</v>
      </c>
      <c r="K545" s="26" t="n">
        <v>0</v>
      </c>
      <c r="L545" s="26" t="n">
        <v>0</v>
      </c>
      <c r="M545" s="26" t="n">
        <v>0</v>
      </c>
    </row>
    <row r="546" customFormat="false" ht="15" hidden="false" customHeight="false" outlineLevel="0" collapsed="false">
      <c r="A546" s="7" t="s">
        <v>87</v>
      </c>
      <c r="B546" s="7" t="n">
        <v>4409013</v>
      </c>
      <c r="C546" s="7" t="s">
        <v>358</v>
      </c>
      <c r="D546" s="26" t="n">
        <v>449.7</v>
      </c>
      <c r="E546" s="26" t="n">
        <v>0</v>
      </c>
      <c r="F546" s="26" t="n">
        <v>0</v>
      </c>
      <c r="G546" s="26" t="n">
        <v>0</v>
      </c>
      <c r="H546" s="26" t="n">
        <v>0</v>
      </c>
      <c r="I546" s="26" t="n">
        <v>2587.2</v>
      </c>
      <c r="J546" s="26" t="n">
        <v>0</v>
      </c>
      <c r="K546" s="26" t="n">
        <v>0</v>
      </c>
      <c r="L546" s="26" t="n">
        <v>0</v>
      </c>
      <c r="M546" s="26" t="n">
        <v>0</v>
      </c>
    </row>
    <row r="547" customFormat="false" ht="15" hidden="false" customHeight="false" outlineLevel="0" collapsed="false">
      <c r="A547" s="7" t="s">
        <v>85</v>
      </c>
      <c r="B547" s="7" t="n">
        <v>4409012</v>
      </c>
      <c r="C547" s="7" t="s">
        <v>359</v>
      </c>
      <c r="D547" s="26" t="n">
        <v>35</v>
      </c>
      <c r="E547" s="26" t="n">
        <v>0</v>
      </c>
      <c r="F547" s="26" t="n">
        <v>0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0</v>
      </c>
      <c r="L547" s="26" t="n">
        <v>0</v>
      </c>
      <c r="M547" s="26" t="n">
        <v>0</v>
      </c>
    </row>
    <row r="548" customFormat="false" ht="15" hidden="false" customHeight="false" outlineLevel="0" collapsed="false">
      <c r="A548" s="7" t="s">
        <v>87</v>
      </c>
      <c r="B548" s="7" t="n">
        <v>4409012</v>
      </c>
      <c r="C548" s="7" t="s">
        <v>359</v>
      </c>
      <c r="D548" s="26" t="n">
        <v>600.7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0</v>
      </c>
      <c r="L548" s="26" t="n">
        <v>0</v>
      </c>
      <c r="M548" s="26" t="n">
        <v>0</v>
      </c>
    </row>
    <row r="549" customFormat="false" ht="15" hidden="false" customHeight="false" outlineLevel="0" collapsed="false">
      <c r="A549" s="7" t="s">
        <v>85</v>
      </c>
      <c r="B549" s="7" t="n">
        <v>4409010</v>
      </c>
      <c r="C549" s="7" t="s">
        <v>360</v>
      </c>
      <c r="D549" s="26" t="n">
        <v>5</v>
      </c>
      <c r="E549" s="26" t="n">
        <v>0</v>
      </c>
      <c r="F549" s="26" t="n">
        <v>3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0</v>
      </c>
      <c r="L549" s="26" t="n">
        <v>0</v>
      </c>
      <c r="M549" s="26" t="n">
        <v>0</v>
      </c>
    </row>
    <row r="550" customFormat="false" ht="15" hidden="false" customHeight="false" outlineLevel="0" collapsed="false">
      <c r="A550" s="7" t="s">
        <v>87</v>
      </c>
      <c r="B550" s="7" t="n">
        <v>4409010</v>
      </c>
      <c r="C550" s="7" t="s">
        <v>360</v>
      </c>
      <c r="D550" s="26" t="n">
        <v>84.2</v>
      </c>
      <c r="E550" s="26" t="n">
        <v>0</v>
      </c>
      <c r="F550" s="26" t="n">
        <v>51.9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0</v>
      </c>
      <c r="L550" s="26" t="n">
        <v>0</v>
      </c>
      <c r="M550" s="26" t="n">
        <v>0</v>
      </c>
    </row>
    <row r="551" customFormat="false" ht="15" hidden="false" customHeight="false" outlineLevel="0" collapsed="false">
      <c r="A551" s="7" t="s">
        <v>85</v>
      </c>
      <c r="B551" s="7" t="n">
        <v>4401012</v>
      </c>
      <c r="C551" s="7" t="s">
        <v>361</v>
      </c>
      <c r="D551" s="26" t="n">
        <v>21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0</v>
      </c>
      <c r="L551" s="26" t="n">
        <v>0</v>
      </c>
      <c r="M551" s="26" t="n">
        <v>0</v>
      </c>
    </row>
    <row r="552" customFormat="false" ht="15" hidden="false" customHeight="false" outlineLevel="0" collapsed="false">
      <c r="A552" s="7" t="s">
        <v>87</v>
      </c>
      <c r="B552" s="7" t="n">
        <v>4401012</v>
      </c>
      <c r="C552" s="7" t="s">
        <v>361</v>
      </c>
      <c r="D552" s="26" t="n">
        <v>358.6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0</v>
      </c>
      <c r="L552" s="26" t="n">
        <v>0</v>
      </c>
      <c r="M552" s="26" t="n">
        <v>0</v>
      </c>
    </row>
    <row r="553" customFormat="false" ht="15" hidden="false" customHeight="false" outlineLevel="0" collapsed="false">
      <c r="A553" s="7" t="s">
        <v>85</v>
      </c>
      <c r="B553" s="7" t="n">
        <v>4401013</v>
      </c>
      <c r="C553" s="7" t="s">
        <v>362</v>
      </c>
      <c r="D553" s="26" t="n">
        <v>19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0</v>
      </c>
      <c r="J553" s="26" t="n">
        <v>0</v>
      </c>
      <c r="K553" s="26" t="n">
        <v>0</v>
      </c>
      <c r="L553" s="26" t="n">
        <v>0</v>
      </c>
      <c r="M553" s="26" t="n">
        <v>0</v>
      </c>
    </row>
    <row r="554" customFormat="false" ht="15" hidden="false" customHeight="false" outlineLevel="0" collapsed="false">
      <c r="A554" s="7" t="s">
        <v>87</v>
      </c>
      <c r="B554" s="7" t="n">
        <v>4401013</v>
      </c>
      <c r="C554" s="7" t="s">
        <v>362</v>
      </c>
      <c r="D554" s="26" t="n">
        <v>319.4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0</v>
      </c>
      <c r="J554" s="26" t="n">
        <v>0</v>
      </c>
      <c r="K554" s="26" t="n">
        <v>0</v>
      </c>
      <c r="L554" s="26" t="n">
        <v>0</v>
      </c>
      <c r="M554" s="26" t="n">
        <v>0</v>
      </c>
    </row>
    <row r="555" customFormat="false" ht="15" hidden="false" customHeight="false" outlineLevel="0" collapsed="false">
      <c r="A555" s="7" t="s">
        <v>85</v>
      </c>
      <c r="B555" s="7" t="n">
        <v>4401011</v>
      </c>
      <c r="C555" s="7" t="s">
        <v>363</v>
      </c>
      <c r="D555" s="26" t="n">
        <v>48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0</v>
      </c>
      <c r="J555" s="26" t="n">
        <v>0</v>
      </c>
      <c r="K555" s="26" t="n">
        <v>0</v>
      </c>
      <c r="L555" s="26" t="n">
        <v>0</v>
      </c>
      <c r="M555" s="26" t="n">
        <v>0</v>
      </c>
    </row>
    <row r="556" customFormat="false" ht="15" hidden="false" customHeight="false" outlineLevel="0" collapsed="false">
      <c r="A556" s="7" t="s">
        <v>87</v>
      </c>
      <c r="B556" s="7" t="n">
        <v>4401011</v>
      </c>
      <c r="C556" s="7" t="s">
        <v>363</v>
      </c>
      <c r="D556" s="26" t="n">
        <v>788.6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0</v>
      </c>
      <c r="J556" s="26" t="n">
        <v>0</v>
      </c>
      <c r="K556" s="26" t="n">
        <v>0</v>
      </c>
      <c r="L556" s="26" t="n">
        <v>0</v>
      </c>
      <c r="M556" s="26" t="n">
        <v>0</v>
      </c>
    </row>
    <row r="557" customFormat="false" ht="15" hidden="false" customHeight="false" outlineLevel="0" collapsed="false">
      <c r="A557" s="7" t="s">
        <v>85</v>
      </c>
      <c r="B557" s="7" t="n">
        <v>4401014</v>
      </c>
      <c r="C557" s="7" t="s">
        <v>364</v>
      </c>
      <c r="D557" s="26" t="n">
        <v>41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0</v>
      </c>
      <c r="J557" s="26" t="n">
        <v>0</v>
      </c>
      <c r="K557" s="26" t="n">
        <v>0</v>
      </c>
      <c r="L557" s="26" t="n">
        <v>0</v>
      </c>
      <c r="M557" s="26" t="n">
        <v>0</v>
      </c>
    </row>
    <row r="558" customFormat="false" ht="15" hidden="false" customHeight="false" outlineLevel="0" collapsed="false">
      <c r="A558" s="7" t="s">
        <v>87</v>
      </c>
      <c r="B558" s="7" t="n">
        <v>4401014</v>
      </c>
      <c r="C558" s="7" t="s">
        <v>364</v>
      </c>
      <c r="D558" s="26" t="n">
        <v>665.2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0</v>
      </c>
      <c r="J558" s="26" t="n">
        <v>0</v>
      </c>
      <c r="K558" s="26" t="n">
        <v>0</v>
      </c>
      <c r="L558" s="26" t="n">
        <v>0</v>
      </c>
      <c r="M558" s="26" t="n">
        <v>0</v>
      </c>
    </row>
    <row r="559" customFormat="false" ht="15" hidden="false" customHeight="false" outlineLevel="0" collapsed="false">
      <c r="A559" s="7" t="s">
        <v>85</v>
      </c>
      <c r="B559" s="7" t="n">
        <v>4409017</v>
      </c>
      <c r="C559" s="7" t="s">
        <v>365</v>
      </c>
      <c r="D559" s="26" t="n">
        <v>180</v>
      </c>
      <c r="E559" s="26" t="n">
        <v>0</v>
      </c>
      <c r="F559" s="26" t="n">
        <v>0</v>
      </c>
      <c r="G559" s="26" t="n">
        <v>0</v>
      </c>
      <c r="H559" s="26" t="n">
        <v>710</v>
      </c>
      <c r="I559" s="26" t="n">
        <v>-1</v>
      </c>
      <c r="J559" s="26" t="n">
        <v>0</v>
      </c>
      <c r="K559" s="26" t="n">
        <v>60</v>
      </c>
      <c r="L559" s="26" t="n">
        <v>0</v>
      </c>
      <c r="M559" s="26" t="n">
        <v>0</v>
      </c>
    </row>
    <row r="560" customFormat="false" ht="15" hidden="false" customHeight="false" outlineLevel="0" collapsed="false">
      <c r="A560" s="7" t="s">
        <v>87</v>
      </c>
      <c r="B560" s="7" t="n">
        <v>4409017</v>
      </c>
      <c r="C560" s="7" t="s">
        <v>365</v>
      </c>
      <c r="D560" s="26" t="n">
        <v>6434.5</v>
      </c>
      <c r="E560" s="26" t="n">
        <v>0</v>
      </c>
      <c r="F560" s="26" t="n">
        <v>0</v>
      </c>
      <c r="G560" s="26" t="n">
        <v>0</v>
      </c>
      <c r="H560" s="26" t="n">
        <v>28458.3</v>
      </c>
      <c r="I560" s="26" t="n">
        <v>-44.1</v>
      </c>
      <c r="J560" s="26" t="n">
        <v>0</v>
      </c>
      <c r="K560" s="26" t="n">
        <v>1500</v>
      </c>
      <c r="L560" s="26" t="n">
        <v>0</v>
      </c>
      <c r="M560" s="26" t="n">
        <v>0</v>
      </c>
    </row>
    <row r="561" customFormat="false" ht="15" hidden="false" customHeight="false" outlineLevel="0" collapsed="false">
      <c r="A561" s="7" t="s">
        <v>85</v>
      </c>
      <c r="B561" s="7" t="n">
        <v>4409015</v>
      </c>
      <c r="C561" s="7" t="s">
        <v>366</v>
      </c>
      <c r="D561" s="26" t="n">
        <v>117</v>
      </c>
      <c r="E561" s="26" t="n">
        <v>0</v>
      </c>
      <c r="F561" s="26" t="n">
        <v>0</v>
      </c>
      <c r="G561" s="26" t="n">
        <v>0</v>
      </c>
      <c r="H561" s="26" t="n">
        <v>718</v>
      </c>
      <c r="I561" s="26" t="n">
        <v>0</v>
      </c>
      <c r="J561" s="26" t="n">
        <v>0</v>
      </c>
      <c r="K561" s="26" t="n">
        <v>35</v>
      </c>
      <c r="L561" s="26" t="n">
        <v>0</v>
      </c>
      <c r="M561" s="26" t="n">
        <v>0</v>
      </c>
    </row>
    <row r="562" customFormat="false" ht="15" hidden="false" customHeight="false" outlineLevel="0" collapsed="false">
      <c r="A562" s="7" t="s">
        <v>87</v>
      </c>
      <c r="B562" s="7" t="n">
        <v>4409015</v>
      </c>
      <c r="C562" s="7" t="s">
        <v>366</v>
      </c>
      <c r="D562" s="26" t="n">
        <v>4205</v>
      </c>
      <c r="E562" s="26" t="n">
        <v>0</v>
      </c>
      <c r="F562" s="26" t="n">
        <v>0</v>
      </c>
      <c r="G562" s="26" t="n">
        <v>0</v>
      </c>
      <c r="H562" s="26" t="n">
        <v>28969.5</v>
      </c>
      <c r="I562" s="26" t="n">
        <v>0</v>
      </c>
      <c r="J562" s="26" t="n">
        <v>0</v>
      </c>
      <c r="K562" s="26" t="n">
        <v>875</v>
      </c>
      <c r="L562" s="26" t="n">
        <v>0</v>
      </c>
      <c r="M562" s="26" t="n">
        <v>0</v>
      </c>
    </row>
    <row r="563" customFormat="false" ht="15" hidden="false" customHeight="false" outlineLevel="0" collapsed="false">
      <c r="A563" s="7" t="s">
        <v>85</v>
      </c>
      <c r="B563" s="7" t="n">
        <v>4409016</v>
      </c>
      <c r="C563" s="7" t="s">
        <v>367</v>
      </c>
      <c r="D563" s="26" t="n">
        <v>278</v>
      </c>
      <c r="E563" s="26" t="n">
        <v>0</v>
      </c>
      <c r="F563" s="26" t="n">
        <v>0</v>
      </c>
      <c r="G563" s="26" t="n">
        <v>0</v>
      </c>
      <c r="H563" s="26" t="n">
        <v>783</v>
      </c>
      <c r="I563" s="26" t="n">
        <v>0</v>
      </c>
      <c r="J563" s="26" t="n">
        <v>0</v>
      </c>
      <c r="K563" s="26" t="n">
        <v>57</v>
      </c>
      <c r="L563" s="26" t="n">
        <v>0</v>
      </c>
      <c r="M563" s="26" t="n">
        <v>0</v>
      </c>
    </row>
    <row r="564" customFormat="false" ht="15" hidden="false" customHeight="false" outlineLevel="0" collapsed="false">
      <c r="A564" s="7" t="s">
        <v>87</v>
      </c>
      <c r="B564" s="7" t="n">
        <v>4409016</v>
      </c>
      <c r="C564" s="7" t="s">
        <v>367</v>
      </c>
      <c r="D564" s="26" t="n">
        <v>9297.7</v>
      </c>
      <c r="E564" s="26" t="n">
        <v>0</v>
      </c>
      <c r="F564" s="26" t="n">
        <v>0</v>
      </c>
      <c r="G564" s="26" t="n">
        <v>0</v>
      </c>
      <c r="H564" s="26" t="n">
        <v>31325.5</v>
      </c>
      <c r="I564" s="26" t="n">
        <v>0</v>
      </c>
      <c r="J564" s="26" t="n">
        <v>0</v>
      </c>
      <c r="K564" s="26" t="n">
        <v>1425</v>
      </c>
      <c r="L564" s="26" t="n">
        <v>0</v>
      </c>
      <c r="M564" s="26" t="n">
        <v>0</v>
      </c>
    </row>
    <row r="565" customFormat="false" ht="15" hidden="false" customHeight="false" outlineLevel="0" collapsed="false">
      <c r="A565" s="7" t="s">
        <v>85</v>
      </c>
      <c r="B565" s="7" t="n">
        <v>4409014</v>
      </c>
      <c r="C565" s="7" t="s">
        <v>368</v>
      </c>
      <c r="D565" s="26" t="n">
        <v>60</v>
      </c>
      <c r="E565" s="26" t="n">
        <v>0</v>
      </c>
      <c r="F565" s="26" t="n">
        <v>3</v>
      </c>
      <c r="G565" s="26" t="n">
        <v>0</v>
      </c>
      <c r="H565" s="26" t="n">
        <v>388</v>
      </c>
      <c r="I565" s="26" t="n">
        <v>173</v>
      </c>
      <c r="J565" s="26" t="n">
        <v>0</v>
      </c>
      <c r="K565" s="26" t="n">
        <v>31</v>
      </c>
      <c r="L565" s="26" t="n">
        <v>0</v>
      </c>
      <c r="M565" s="26" t="n">
        <v>0</v>
      </c>
    </row>
    <row r="566" customFormat="false" ht="15" hidden="false" customHeight="false" outlineLevel="0" collapsed="false">
      <c r="A566" s="7" t="s">
        <v>87</v>
      </c>
      <c r="B566" s="7" t="n">
        <v>4409014</v>
      </c>
      <c r="C566" s="7" t="s">
        <v>368</v>
      </c>
      <c r="D566" s="26" t="n">
        <v>2259.1</v>
      </c>
      <c r="E566" s="26" t="n">
        <v>0</v>
      </c>
      <c r="F566" s="26" t="n">
        <v>141.9</v>
      </c>
      <c r="G566" s="26" t="n">
        <v>0</v>
      </c>
      <c r="H566" s="26" t="n">
        <v>15665.8</v>
      </c>
      <c r="I566" s="26" t="n">
        <v>7625.8</v>
      </c>
      <c r="J566" s="26" t="n">
        <v>0</v>
      </c>
      <c r="K566" s="26" t="n">
        <v>775</v>
      </c>
      <c r="L566" s="26" t="n">
        <v>0</v>
      </c>
      <c r="M566" s="26" t="n">
        <v>0</v>
      </c>
    </row>
    <row r="567" customFormat="false" ht="15" hidden="false" customHeight="false" outlineLevel="0" collapsed="false">
      <c r="A567" s="7" t="s">
        <v>85</v>
      </c>
      <c r="B567" s="7" t="n">
        <v>4419013</v>
      </c>
      <c r="C567" s="7" t="s">
        <v>369</v>
      </c>
      <c r="D567" s="26" t="n">
        <v>6</v>
      </c>
      <c r="E567" s="26" t="n">
        <v>0</v>
      </c>
      <c r="F567" s="26" t="n">
        <v>0</v>
      </c>
      <c r="G567" s="26" t="n">
        <v>0</v>
      </c>
      <c r="H567" s="26" t="n">
        <v>48</v>
      </c>
      <c r="I567" s="26" t="n">
        <v>0</v>
      </c>
      <c r="J567" s="26" t="n">
        <v>0</v>
      </c>
      <c r="K567" s="26" t="n">
        <v>0</v>
      </c>
      <c r="L567" s="26" t="n">
        <v>0</v>
      </c>
      <c r="M567" s="26" t="n">
        <v>0</v>
      </c>
    </row>
    <row r="568" customFormat="false" ht="15" hidden="false" customHeight="false" outlineLevel="0" collapsed="false">
      <c r="A568" s="7" t="s">
        <v>87</v>
      </c>
      <c r="B568" s="7" t="n">
        <v>4419013</v>
      </c>
      <c r="C568" s="7" t="s">
        <v>369</v>
      </c>
      <c r="D568" s="26" t="n">
        <v>115</v>
      </c>
      <c r="E568" s="26" t="n">
        <v>0</v>
      </c>
      <c r="F568" s="26" t="n">
        <v>0</v>
      </c>
      <c r="G568" s="26" t="n">
        <v>0</v>
      </c>
      <c r="H568" s="26" t="n">
        <v>874.8</v>
      </c>
      <c r="I568" s="26" t="n">
        <v>0</v>
      </c>
      <c r="J568" s="26" t="n">
        <v>0</v>
      </c>
      <c r="K568" s="26" t="n">
        <v>0</v>
      </c>
      <c r="L568" s="26" t="n">
        <v>0</v>
      </c>
      <c r="M568" s="26" t="n">
        <v>0</v>
      </c>
    </row>
    <row r="569" customFormat="false" ht="15" hidden="false" customHeight="false" outlineLevel="0" collapsed="false">
      <c r="A569" s="7" t="s">
        <v>85</v>
      </c>
      <c r="B569" s="7" t="n">
        <v>4419011</v>
      </c>
      <c r="C569" s="7" t="s">
        <v>370</v>
      </c>
      <c r="D569" s="26" t="n">
        <v>12</v>
      </c>
      <c r="E569" s="26" t="n">
        <v>0</v>
      </c>
      <c r="F569" s="26" t="n">
        <v>0</v>
      </c>
      <c r="G569" s="26" t="n">
        <v>0</v>
      </c>
      <c r="H569" s="26" t="n">
        <v>41</v>
      </c>
      <c r="I569" s="26" t="n">
        <v>0</v>
      </c>
      <c r="J569" s="26" t="n">
        <v>0</v>
      </c>
      <c r="K569" s="26" t="n">
        <v>0</v>
      </c>
      <c r="L569" s="26" t="n">
        <v>0</v>
      </c>
      <c r="M569" s="26" t="n">
        <v>0</v>
      </c>
    </row>
    <row r="570" customFormat="false" ht="15" hidden="false" customHeight="false" outlineLevel="0" collapsed="false">
      <c r="A570" s="7" t="s">
        <v>87</v>
      </c>
      <c r="B570" s="7" t="n">
        <v>4419011</v>
      </c>
      <c r="C570" s="7" t="s">
        <v>370</v>
      </c>
      <c r="D570" s="26" t="n">
        <v>230</v>
      </c>
      <c r="E570" s="26" t="n">
        <v>0</v>
      </c>
      <c r="F570" s="26" t="n">
        <v>0</v>
      </c>
      <c r="G570" s="26" t="n">
        <v>0</v>
      </c>
      <c r="H570" s="26" t="n">
        <v>737.4</v>
      </c>
      <c r="I570" s="26" t="n">
        <v>0</v>
      </c>
      <c r="J570" s="26" t="n">
        <v>0</v>
      </c>
      <c r="K570" s="26" t="n">
        <v>0</v>
      </c>
      <c r="L570" s="26" t="n">
        <v>0</v>
      </c>
      <c r="M570" s="26" t="n">
        <v>0</v>
      </c>
    </row>
    <row r="571" customFormat="false" ht="15" hidden="false" customHeight="false" outlineLevel="0" collapsed="false">
      <c r="A571" s="7" t="s">
        <v>85</v>
      </c>
      <c r="B571" s="7" t="n">
        <v>4419012</v>
      </c>
      <c r="C571" s="7" t="s">
        <v>371</v>
      </c>
      <c r="D571" s="26" t="n">
        <v>0</v>
      </c>
      <c r="E571" s="26" t="n">
        <v>0</v>
      </c>
      <c r="F571" s="26" t="n">
        <v>0</v>
      </c>
      <c r="G571" s="26" t="n">
        <v>0</v>
      </c>
      <c r="H571" s="26" t="n">
        <v>-57</v>
      </c>
      <c r="I571" s="26" t="n">
        <v>0</v>
      </c>
      <c r="J571" s="26" t="n">
        <v>0</v>
      </c>
      <c r="K571" s="26" t="n">
        <v>0</v>
      </c>
      <c r="L571" s="26" t="n">
        <v>0</v>
      </c>
      <c r="M571" s="26" t="n">
        <v>0</v>
      </c>
    </row>
    <row r="572" customFormat="false" ht="15" hidden="false" customHeight="false" outlineLevel="0" collapsed="false">
      <c r="A572" s="7" t="s">
        <v>87</v>
      </c>
      <c r="B572" s="7" t="n">
        <v>4419012</v>
      </c>
      <c r="C572" s="7" t="s">
        <v>371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-564.6</v>
      </c>
      <c r="I572" s="26" t="n">
        <v>0</v>
      </c>
      <c r="J572" s="26" t="n">
        <v>0</v>
      </c>
      <c r="K572" s="26" t="n">
        <v>0</v>
      </c>
      <c r="L572" s="26" t="n">
        <v>0</v>
      </c>
      <c r="M572" s="26" t="n">
        <v>0</v>
      </c>
    </row>
    <row r="573" customFormat="false" ht="15" hidden="false" customHeight="false" outlineLevel="0" collapsed="false">
      <c r="A573" s="7" t="s">
        <v>85</v>
      </c>
      <c r="B573" s="7" t="n">
        <v>4419014</v>
      </c>
      <c r="C573" s="7" t="s">
        <v>372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118</v>
      </c>
      <c r="I573" s="26" t="n">
        <v>0</v>
      </c>
      <c r="J573" s="26" t="n">
        <v>0</v>
      </c>
      <c r="K573" s="26" t="n">
        <v>6</v>
      </c>
      <c r="L573" s="26" t="n">
        <v>0</v>
      </c>
      <c r="M573" s="26" t="n">
        <v>0</v>
      </c>
    </row>
    <row r="574" customFormat="false" ht="15" hidden="false" customHeight="false" outlineLevel="0" collapsed="false">
      <c r="A574" s="7" t="s">
        <v>87</v>
      </c>
      <c r="B574" s="7" t="n">
        <v>4419014</v>
      </c>
      <c r="C574" s="7" t="s">
        <v>372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1978.2</v>
      </c>
      <c r="I574" s="26" t="n">
        <v>0</v>
      </c>
      <c r="J574" s="26" t="n">
        <v>0</v>
      </c>
      <c r="K574" s="26" t="n">
        <v>66</v>
      </c>
      <c r="L574" s="26" t="n">
        <v>0</v>
      </c>
      <c r="M574" s="26" t="n">
        <v>0</v>
      </c>
    </row>
    <row r="575" customFormat="false" ht="15" hidden="false" customHeight="false" outlineLevel="0" collapsed="false">
      <c r="A575" s="7" t="s">
        <v>85</v>
      </c>
      <c r="B575" s="7" t="n">
        <v>4411002</v>
      </c>
      <c r="C575" s="7" t="s">
        <v>373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0</v>
      </c>
      <c r="J575" s="26" t="n">
        <v>0</v>
      </c>
      <c r="K575" s="26" t="n">
        <v>0</v>
      </c>
      <c r="L575" s="26" t="n">
        <v>0</v>
      </c>
      <c r="M575" s="26" t="n">
        <v>0</v>
      </c>
    </row>
    <row r="576" customFormat="false" ht="15" hidden="false" customHeight="false" outlineLevel="0" collapsed="false">
      <c r="A576" s="7" t="s">
        <v>87</v>
      </c>
      <c r="B576" s="7" t="n">
        <v>4411002</v>
      </c>
      <c r="C576" s="7" t="s">
        <v>373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0</v>
      </c>
      <c r="L576" s="26" t="n">
        <v>0</v>
      </c>
      <c r="M576" s="26" t="n">
        <v>0</v>
      </c>
    </row>
    <row r="577" customFormat="false" ht="15" hidden="false" customHeight="false" outlineLevel="0" collapsed="false">
      <c r="A577" s="7" t="s">
        <v>85</v>
      </c>
      <c r="B577" s="7" t="n">
        <v>4414000</v>
      </c>
      <c r="C577" s="7" t="s">
        <v>374</v>
      </c>
      <c r="D577" s="26" t="n">
        <v>419</v>
      </c>
      <c r="E577" s="26" t="n">
        <v>0</v>
      </c>
      <c r="F577" s="26" t="n">
        <v>6</v>
      </c>
      <c r="G577" s="26" t="n">
        <v>0</v>
      </c>
      <c r="H577" s="26" t="n">
        <v>1443</v>
      </c>
      <c r="I577" s="26" t="n">
        <v>164</v>
      </c>
      <c r="J577" s="26" t="n">
        <v>0</v>
      </c>
      <c r="K577" s="26" t="n">
        <v>0</v>
      </c>
      <c r="L577" s="26" t="n">
        <v>0</v>
      </c>
      <c r="M577" s="26" t="n">
        <v>0</v>
      </c>
    </row>
    <row r="578" customFormat="false" ht="15" hidden="false" customHeight="false" outlineLevel="0" collapsed="false">
      <c r="A578" s="7" t="s">
        <v>87</v>
      </c>
      <c r="B578" s="7" t="n">
        <v>4414000</v>
      </c>
      <c r="C578" s="7" t="s">
        <v>374</v>
      </c>
      <c r="D578" s="26" t="n">
        <v>14900.5</v>
      </c>
      <c r="E578" s="26" t="n">
        <v>0</v>
      </c>
      <c r="F578" s="26" t="n">
        <v>219.1</v>
      </c>
      <c r="G578" s="26" t="n">
        <v>0</v>
      </c>
      <c r="H578" s="26" t="n">
        <v>45100.3</v>
      </c>
      <c r="I578" s="26" t="n">
        <v>5523.8</v>
      </c>
      <c r="J578" s="26" t="n">
        <v>0</v>
      </c>
      <c r="K578" s="26" t="n">
        <v>0</v>
      </c>
      <c r="L578" s="26" t="n">
        <v>0</v>
      </c>
      <c r="M578" s="26" t="n">
        <v>0</v>
      </c>
    </row>
    <row r="579" customFormat="false" ht="15" hidden="false" customHeight="false" outlineLevel="0" collapsed="false">
      <c r="A579" s="7" t="s">
        <v>85</v>
      </c>
      <c r="B579" s="7" t="n">
        <v>4415024</v>
      </c>
      <c r="C579" s="7" t="s">
        <v>375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0</v>
      </c>
      <c r="J579" s="26" t="n">
        <v>0</v>
      </c>
      <c r="K579" s="26" t="n">
        <v>0</v>
      </c>
      <c r="L579" s="26" t="n">
        <v>0</v>
      </c>
      <c r="M579" s="26" t="n">
        <v>0</v>
      </c>
    </row>
    <row r="580" customFormat="false" ht="15" hidden="false" customHeight="false" outlineLevel="0" collapsed="false">
      <c r="A580" s="7" t="s">
        <v>87</v>
      </c>
      <c r="B580" s="7" t="n">
        <v>4415024</v>
      </c>
      <c r="C580" s="7" t="s">
        <v>375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0</v>
      </c>
      <c r="J580" s="26" t="n">
        <v>0</v>
      </c>
      <c r="K580" s="26" t="n">
        <v>0</v>
      </c>
      <c r="L580" s="26" t="n">
        <v>0</v>
      </c>
      <c r="M580" s="26" t="n">
        <v>0</v>
      </c>
    </row>
    <row r="581" customFormat="false" ht="15" hidden="false" customHeight="false" outlineLevel="0" collapsed="false">
      <c r="A581" s="7" t="s">
        <v>85</v>
      </c>
      <c r="B581" s="7" t="n">
        <v>4419015</v>
      </c>
      <c r="C581" s="7" t="s">
        <v>376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0</v>
      </c>
      <c r="J581" s="26" t="n">
        <v>0</v>
      </c>
      <c r="K581" s="26" t="n">
        <v>0</v>
      </c>
      <c r="L581" s="26" t="n">
        <v>0</v>
      </c>
      <c r="M581" s="26" t="n">
        <v>0</v>
      </c>
    </row>
    <row r="582" customFormat="false" ht="15" hidden="false" customHeight="false" outlineLevel="0" collapsed="false">
      <c r="A582" s="7" t="s">
        <v>87</v>
      </c>
      <c r="B582" s="7" t="n">
        <v>4419015</v>
      </c>
      <c r="C582" s="7" t="s">
        <v>376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0</v>
      </c>
      <c r="J582" s="26" t="n">
        <v>0</v>
      </c>
      <c r="K582" s="26" t="n">
        <v>0</v>
      </c>
      <c r="L582" s="26" t="n">
        <v>0</v>
      </c>
      <c r="M582" s="26" t="n">
        <v>0</v>
      </c>
    </row>
    <row r="583" customFormat="false" ht="15" hidden="false" customHeight="false" outlineLevel="0" collapsed="false">
      <c r="A583" s="7" t="s">
        <v>85</v>
      </c>
      <c r="B583" s="7" t="n">
        <v>4421008</v>
      </c>
      <c r="C583" s="7" t="s">
        <v>377</v>
      </c>
      <c r="D583" s="26" t="n">
        <v>83</v>
      </c>
      <c r="E583" s="26" t="n">
        <v>0</v>
      </c>
      <c r="F583" s="26" t="n">
        <v>0</v>
      </c>
      <c r="G583" s="26" t="n">
        <v>0</v>
      </c>
      <c r="H583" s="26" t="n">
        <v>306</v>
      </c>
      <c r="I583" s="26" t="n">
        <v>0</v>
      </c>
      <c r="J583" s="26" t="n">
        <v>0</v>
      </c>
      <c r="K583" s="26" t="n">
        <v>0</v>
      </c>
      <c r="L583" s="26" t="n">
        <v>0</v>
      </c>
      <c r="M583" s="26" t="n">
        <v>0</v>
      </c>
    </row>
    <row r="584" customFormat="false" ht="15" hidden="false" customHeight="false" outlineLevel="0" collapsed="false">
      <c r="A584" s="7" t="s">
        <v>87</v>
      </c>
      <c r="B584" s="7" t="n">
        <v>4421008</v>
      </c>
      <c r="C584" s="7" t="s">
        <v>377</v>
      </c>
      <c r="D584" s="26" t="n">
        <v>3714.4</v>
      </c>
      <c r="E584" s="26" t="n">
        <v>0</v>
      </c>
      <c r="F584" s="26" t="n">
        <v>0</v>
      </c>
      <c r="G584" s="26" t="n">
        <v>0</v>
      </c>
      <c r="H584" s="26" t="n">
        <v>11810</v>
      </c>
      <c r="I584" s="26" t="n">
        <v>0</v>
      </c>
      <c r="J584" s="26" t="n">
        <v>0</v>
      </c>
      <c r="K584" s="26" t="n">
        <v>0</v>
      </c>
      <c r="L584" s="26" t="n">
        <v>0</v>
      </c>
      <c r="M584" s="26" t="n">
        <v>0</v>
      </c>
    </row>
    <row r="585" customFormat="false" ht="15" hidden="false" customHeight="false" outlineLevel="0" collapsed="false">
      <c r="A585" s="7" t="s">
        <v>85</v>
      </c>
      <c r="B585" s="7" t="n">
        <v>4421007</v>
      </c>
      <c r="C585" s="7" t="s">
        <v>378</v>
      </c>
      <c r="D585" s="26" t="n">
        <v>59</v>
      </c>
      <c r="E585" s="26" t="n">
        <v>0</v>
      </c>
      <c r="F585" s="26" t="n">
        <v>0</v>
      </c>
      <c r="G585" s="26" t="n">
        <v>0</v>
      </c>
      <c r="H585" s="26" t="n">
        <v>317</v>
      </c>
      <c r="I585" s="26" t="n">
        <v>0</v>
      </c>
      <c r="J585" s="26" t="n">
        <v>0</v>
      </c>
      <c r="K585" s="26" t="n">
        <v>0</v>
      </c>
      <c r="L585" s="26" t="n">
        <v>0</v>
      </c>
      <c r="M585" s="26" t="n">
        <v>0</v>
      </c>
    </row>
    <row r="586" customFormat="false" ht="15" hidden="false" customHeight="false" outlineLevel="0" collapsed="false">
      <c r="A586" s="7" t="s">
        <v>87</v>
      </c>
      <c r="B586" s="7" t="n">
        <v>4421007</v>
      </c>
      <c r="C586" s="7" t="s">
        <v>378</v>
      </c>
      <c r="D586" s="26" t="n">
        <v>2570.8</v>
      </c>
      <c r="E586" s="26" t="n">
        <v>0</v>
      </c>
      <c r="F586" s="26" t="n">
        <v>0</v>
      </c>
      <c r="G586" s="26" t="n">
        <v>0</v>
      </c>
      <c r="H586" s="26" t="n">
        <v>11625.4</v>
      </c>
      <c r="I586" s="26" t="n">
        <v>0</v>
      </c>
      <c r="J586" s="26" t="n">
        <v>0</v>
      </c>
      <c r="K586" s="26" t="n">
        <v>0</v>
      </c>
      <c r="L586" s="26" t="n">
        <v>0</v>
      </c>
      <c r="M586" s="26" t="n">
        <v>0</v>
      </c>
    </row>
    <row r="587" customFormat="false" ht="15" hidden="false" customHeight="false" outlineLevel="0" collapsed="false">
      <c r="A587" s="7" t="s">
        <v>85</v>
      </c>
      <c r="B587" s="7" t="n">
        <v>4413149</v>
      </c>
      <c r="C587" s="7" t="s">
        <v>379</v>
      </c>
      <c r="D587" s="26" t="n">
        <v>95</v>
      </c>
      <c r="E587" s="26" t="n">
        <v>0</v>
      </c>
      <c r="F587" s="26" t="n">
        <v>0</v>
      </c>
      <c r="G587" s="26" t="n">
        <v>0</v>
      </c>
      <c r="H587" s="26" t="n">
        <v>320</v>
      </c>
      <c r="I587" s="26" t="n">
        <v>157</v>
      </c>
      <c r="J587" s="26" t="n">
        <v>0</v>
      </c>
      <c r="K587" s="26" t="n">
        <v>33</v>
      </c>
      <c r="L587" s="26" t="n">
        <v>0</v>
      </c>
      <c r="M587" s="26" t="n">
        <v>0</v>
      </c>
    </row>
    <row r="588" customFormat="false" ht="15" hidden="false" customHeight="false" outlineLevel="0" collapsed="false">
      <c r="A588" s="7" t="s">
        <v>87</v>
      </c>
      <c r="B588" s="7" t="n">
        <v>4413149</v>
      </c>
      <c r="C588" s="7" t="s">
        <v>379</v>
      </c>
      <c r="D588" s="26" t="n">
        <v>1292.3</v>
      </c>
      <c r="E588" s="26" t="n">
        <v>0</v>
      </c>
      <c r="F588" s="26" t="n">
        <v>0</v>
      </c>
      <c r="G588" s="26" t="n">
        <v>0</v>
      </c>
      <c r="H588" s="26" t="n">
        <v>3240.5</v>
      </c>
      <c r="I588" s="26" t="n">
        <v>1717.6</v>
      </c>
      <c r="J588" s="26" t="n">
        <v>0</v>
      </c>
      <c r="K588" s="26" t="n">
        <v>270.6</v>
      </c>
      <c r="L588" s="26" t="n">
        <v>0</v>
      </c>
      <c r="M588" s="26" t="n">
        <v>0</v>
      </c>
    </row>
    <row r="589" customFormat="false" ht="15" hidden="false" customHeight="false" outlineLevel="0" collapsed="false">
      <c r="A589" s="7" t="s">
        <v>85</v>
      </c>
      <c r="B589" s="7" t="n">
        <v>4422036</v>
      </c>
      <c r="C589" s="7" t="s">
        <v>380</v>
      </c>
      <c r="D589" s="26" t="n">
        <v>468</v>
      </c>
      <c r="E589" s="26" t="n">
        <v>0</v>
      </c>
      <c r="F589" s="26" t="n">
        <v>0</v>
      </c>
      <c r="G589" s="26" t="n">
        <v>0</v>
      </c>
      <c r="H589" s="26" t="n">
        <v>536</v>
      </c>
      <c r="I589" s="26" t="n">
        <v>0</v>
      </c>
      <c r="J589" s="26" t="n">
        <v>0</v>
      </c>
      <c r="K589" s="26" t="n">
        <v>29</v>
      </c>
      <c r="L589" s="26" t="n">
        <v>0</v>
      </c>
      <c r="M589" s="26" t="n">
        <v>0</v>
      </c>
    </row>
    <row r="590" customFormat="false" ht="15" hidden="false" customHeight="false" outlineLevel="0" collapsed="false">
      <c r="A590" s="7" t="s">
        <v>87</v>
      </c>
      <c r="B590" s="7" t="n">
        <v>4422036</v>
      </c>
      <c r="C590" s="7" t="s">
        <v>380</v>
      </c>
      <c r="D590" s="26" t="n">
        <v>9873.9</v>
      </c>
      <c r="E590" s="26" t="n">
        <v>0</v>
      </c>
      <c r="F590" s="26" t="n">
        <v>0</v>
      </c>
      <c r="G590" s="26" t="n">
        <v>0</v>
      </c>
      <c r="H590" s="26" t="n">
        <v>10680.7</v>
      </c>
      <c r="I590" s="26" t="n">
        <v>0</v>
      </c>
      <c r="J590" s="26" t="n">
        <v>0</v>
      </c>
      <c r="K590" s="26" t="n">
        <v>429.2</v>
      </c>
      <c r="L590" s="26" t="n">
        <v>0</v>
      </c>
      <c r="M590" s="26" t="n">
        <v>0</v>
      </c>
    </row>
    <row r="591" customFormat="false" ht="15" hidden="false" customHeight="false" outlineLevel="0" collapsed="false">
      <c r="A591" s="7" t="s">
        <v>85</v>
      </c>
      <c r="B591" s="7" t="n">
        <v>4409004</v>
      </c>
      <c r="C591" s="7" t="s">
        <v>381</v>
      </c>
      <c r="D591" s="26" t="n">
        <v>261</v>
      </c>
      <c r="E591" s="26" t="n">
        <v>3</v>
      </c>
      <c r="F591" s="26" t="n">
        <v>3</v>
      </c>
      <c r="G591" s="26" t="n">
        <v>11</v>
      </c>
      <c r="H591" s="26" t="n">
        <v>562</v>
      </c>
      <c r="I591" s="26" t="n">
        <v>735</v>
      </c>
      <c r="J591" s="26" t="n">
        <v>0</v>
      </c>
      <c r="K591" s="26" t="n">
        <v>276</v>
      </c>
      <c r="L591" s="26" t="n">
        <v>0</v>
      </c>
      <c r="M591" s="26" t="n">
        <v>0</v>
      </c>
    </row>
    <row r="592" customFormat="false" ht="15" hidden="false" customHeight="false" outlineLevel="0" collapsed="false">
      <c r="A592" s="7" t="s">
        <v>87</v>
      </c>
      <c r="B592" s="7" t="n">
        <v>4409004</v>
      </c>
      <c r="C592" s="7" t="s">
        <v>381</v>
      </c>
      <c r="D592" s="26" t="n">
        <v>6005.5</v>
      </c>
      <c r="E592" s="26" t="n">
        <v>70.2</v>
      </c>
      <c r="F592" s="26" t="n">
        <v>70.2</v>
      </c>
      <c r="G592" s="26" t="n">
        <v>223</v>
      </c>
      <c r="H592" s="26" t="n">
        <v>9322</v>
      </c>
      <c r="I592" s="26" t="n">
        <v>12652.2</v>
      </c>
      <c r="J592" s="26" t="n">
        <v>0</v>
      </c>
      <c r="K592" s="26" t="n">
        <v>3534.3</v>
      </c>
      <c r="L592" s="26" t="n">
        <v>0</v>
      </c>
      <c r="M592" s="26" t="n">
        <v>0</v>
      </c>
    </row>
    <row r="593" customFormat="false" ht="15" hidden="false" customHeight="false" outlineLevel="0" collapsed="false">
      <c r="A593" s="7" t="s">
        <v>85</v>
      </c>
      <c r="B593" s="7" t="n">
        <v>4422035</v>
      </c>
      <c r="C593" s="7" t="s">
        <v>382</v>
      </c>
      <c r="D593" s="26" t="n">
        <v>341</v>
      </c>
      <c r="E593" s="26" t="n">
        <v>0</v>
      </c>
      <c r="F593" s="26" t="n">
        <v>0</v>
      </c>
      <c r="G593" s="26" t="n">
        <v>0</v>
      </c>
      <c r="H593" s="26" t="n">
        <v>1295</v>
      </c>
      <c r="I593" s="26" t="n">
        <v>0</v>
      </c>
      <c r="J593" s="26" t="n">
        <v>0</v>
      </c>
      <c r="K593" s="26" t="n">
        <v>156</v>
      </c>
      <c r="L593" s="26" t="n">
        <v>0</v>
      </c>
      <c r="M593" s="26" t="n">
        <v>0</v>
      </c>
    </row>
    <row r="594" customFormat="false" ht="15" hidden="false" customHeight="false" outlineLevel="0" collapsed="false">
      <c r="A594" s="7" t="s">
        <v>87</v>
      </c>
      <c r="B594" s="7" t="n">
        <v>4422035</v>
      </c>
      <c r="C594" s="7" t="s">
        <v>382</v>
      </c>
      <c r="D594" s="26" t="n">
        <v>6493.3</v>
      </c>
      <c r="E594" s="26" t="n">
        <v>0</v>
      </c>
      <c r="F594" s="26" t="n">
        <v>0</v>
      </c>
      <c r="G594" s="26" t="n">
        <v>0</v>
      </c>
      <c r="H594" s="26" t="n">
        <v>22421.6</v>
      </c>
      <c r="I594" s="26" t="n">
        <v>0</v>
      </c>
      <c r="J594" s="26" t="n">
        <v>0</v>
      </c>
      <c r="K594" s="26" t="n">
        <v>2308.8</v>
      </c>
      <c r="L594" s="26" t="n">
        <v>0</v>
      </c>
      <c r="M594" s="26" t="n">
        <v>0</v>
      </c>
    </row>
    <row r="595" customFormat="false" ht="15" hidden="false" customHeight="false" outlineLevel="0" collapsed="false">
      <c r="A595" s="7" t="s">
        <v>85</v>
      </c>
      <c r="B595" s="7" t="n">
        <v>4421006</v>
      </c>
      <c r="C595" s="7" t="s">
        <v>383</v>
      </c>
      <c r="D595" s="26" t="n">
        <v>112</v>
      </c>
      <c r="E595" s="26" t="n">
        <v>0</v>
      </c>
      <c r="F595" s="26" t="n">
        <v>0</v>
      </c>
      <c r="G595" s="26" t="n">
        <v>0</v>
      </c>
      <c r="H595" s="26" t="n">
        <v>594</v>
      </c>
      <c r="I595" s="26" t="n">
        <v>0</v>
      </c>
      <c r="J595" s="26" t="n">
        <v>0</v>
      </c>
      <c r="K595" s="26" t="n">
        <v>0</v>
      </c>
      <c r="L595" s="26" t="n">
        <v>0</v>
      </c>
      <c r="M595" s="26" t="n">
        <v>0</v>
      </c>
    </row>
    <row r="596" customFormat="false" ht="15" hidden="false" customHeight="false" outlineLevel="0" collapsed="false">
      <c r="A596" s="7" t="s">
        <v>87</v>
      </c>
      <c r="B596" s="7" t="n">
        <v>4421006</v>
      </c>
      <c r="C596" s="7" t="s">
        <v>383</v>
      </c>
      <c r="D596" s="26" t="n">
        <v>4558.6</v>
      </c>
      <c r="E596" s="26" t="n">
        <v>0</v>
      </c>
      <c r="F596" s="26" t="n">
        <v>0</v>
      </c>
      <c r="G596" s="26" t="n">
        <v>0</v>
      </c>
      <c r="H596" s="26" t="n">
        <v>18385.1</v>
      </c>
      <c r="I596" s="26" t="n">
        <v>0</v>
      </c>
      <c r="J596" s="26" t="n">
        <v>0</v>
      </c>
      <c r="K596" s="26" t="n">
        <v>0</v>
      </c>
      <c r="L596" s="26" t="n">
        <v>0</v>
      </c>
      <c r="M596" s="26" t="n">
        <v>0</v>
      </c>
    </row>
    <row r="597" customFormat="false" ht="15" hidden="false" customHeight="false" outlineLevel="0" collapsed="false">
      <c r="A597" s="7" t="s">
        <v>85</v>
      </c>
      <c r="B597" s="7" t="n">
        <v>4421005</v>
      </c>
      <c r="C597" s="7" t="s">
        <v>384</v>
      </c>
      <c r="D597" s="26" t="n">
        <v>76</v>
      </c>
      <c r="E597" s="26" t="n">
        <v>0</v>
      </c>
      <c r="F597" s="26" t="n">
        <v>0</v>
      </c>
      <c r="G597" s="26" t="n">
        <v>0</v>
      </c>
      <c r="H597" s="26" t="n">
        <v>404</v>
      </c>
      <c r="I597" s="26" t="n">
        <v>0</v>
      </c>
      <c r="J597" s="26" t="n">
        <v>0</v>
      </c>
      <c r="K597" s="26" t="n">
        <v>0</v>
      </c>
      <c r="L597" s="26" t="n">
        <v>0</v>
      </c>
      <c r="M597" s="26" t="n">
        <v>0</v>
      </c>
    </row>
    <row r="598" customFormat="false" ht="15" hidden="false" customHeight="false" outlineLevel="0" collapsed="false">
      <c r="A598" s="7" t="s">
        <v>87</v>
      </c>
      <c r="B598" s="7" t="n">
        <v>4421005</v>
      </c>
      <c r="C598" s="7" t="s">
        <v>384</v>
      </c>
      <c r="D598" s="26" t="n">
        <v>2942</v>
      </c>
      <c r="E598" s="26" t="n">
        <v>0</v>
      </c>
      <c r="F598" s="26" t="n">
        <v>0</v>
      </c>
      <c r="G598" s="26" t="n">
        <v>0</v>
      </c>
      <c r="H598" s="26" t="n">
        <v>11516.2</v>
      </c>
      <c r="I598" s="26" t="n">
        <v>0</v>
      </c>
      <c r="J598" s="26" t="n">
        <v>0</v>
      </c>
      <c r="K598" s="26" t="n">
        <v>0</v>
      </c>
      <c r="L598" s="26" t="n">
        <v>0</v>
      </c>
      <c r="M598" s="26" t="n">
        <v>0</v>
      </c>
    </row>
    <row r="599" customFormat="false" ht="15" hidden="false" customHeight="false" outlineLevel="0" collapsed="false">
      <c r="A599" s="7" t="s">
        <v>85</v>
      </c>
      <c r="B599" s="7" t="n">
        <v>4413164</v>
      </c>
      <c r="C599" s="7" t="s">
        <v>385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0</v>
      </c>
      <c r="L599" s="26" t="n">
        <v>0</v>
      </c>
      <c r="M599" s="26" t="n">
        <v>0</v>
      </c>
    </row>
    <row r="600" customFormat="false" ht="15" hidden="false" customHeight="false" outlineLevel="0" collapsed="false">
      <c r="A600" s="7" t="s">
        <v>87</v>
      </c>
      <c r="B600" s="7" t="n">
        <v>4413164</v>
      </c>
      <c r="C600" s="7" t="s">
        <v>385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0</v>
      </c>
      <c r="L600" s="26" t="n">
        <v>0</v>
      </c>
      <c r="M600" s="26" t="n">
        <v>0</v>
      </c>
    </row>
    <row r="601" customFormat="false" ht="15" hidden="false" customHeight="false" outlineLevel="0" collapsed="false">
      <c r="A601" s="7" t="s">
        <v>85</v>
      </c>
      <c r="B601" s="7" t="n">
        <v>4413165</v>
      </c>
      <c r="C601" s="7" t="s">
        <v>386</v>
      </c>
      <c r="D601" s="26" t="n">
        <v>1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0</v>
      </c>
      <c r="J601" s="26" t="n">
        <v>0</v>
      </c>
      <c r="K601" s="26" t="n">
        <v>0</v>
      </c>
      <c r="L601" s="26" t="n">
        <v>0</v>
      </c>
      <c r="M601" s="26" t="n">
        <v>0</v>
      </c>
    </row>
    <row r="602" customFormat="false" ht="15" hidden="false" customHeight="false" outlineLevel="0" collapsed="false">
      <c r="A602" s="7" t="s">
        <v>87</v>
      </c>
      <c r="B602" s="7" t="n">
        <v>4413165</v>
      </c>
      <c r="C602" s="7" t="s">
        <v>386</v>
      </c>
      <c r="D602" s="26" t="n">
        <v>168.5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0</v>
      </c>
      <c r="J602" s="26" t="n">
        <v>0</v>
      </c>
      <c r="K602" s="26" t="n">
        <v>0</v>
      </c>
      <c r="L602" s="26" t="n">
        <v>0</v>
      </c>
      <c r="M602" s="26" t="n">
        <v>0</v>
      </c>
    </row>
    <row r="603" customFormat="false" ht="15" hidden="false" customHeight="false" outlineLevel="0" collapsed="false">
      <c r="A603" s="7" t="s">
        <v>85</v>
      </c>
      <c r="B603" s="7" t="n">
        <v>4413130</v>
      </c>
      <c r="C603" s="7" t="s">
        <v>387</v>
      </c>
      <c r="D603" s="26" t="n">
        <v>2</v>
      </c>
      <c r="E603" s="26" t="n">
        <v>0</v>
      </c>
      <c r="F603" s="26" t="n">
        <v>0</v>
      </c>
      <c r="G603" s="26" t="n">
        <v>0</v>
      </c>
      <c r="H603" s="26" t="n">
        <v>-1</v>
      </c>
      <c r="I603" s="26" t="n">
        <v>17</v>
      </c>
      <c r="J603" s="26" t="n">
        <v>0</v>
      </c>
      <c r="K603" s="26" t="n">
        <v>0</v>
      </c>
      <c r="L603" s="26" t="n">
        <v>0</v>
      </c>
      <c r="M603" s="26" t="n">
        <v>0</v>
      </c>
    </row>
    <row r="604" customFormat="false" ht="15" hidden="false" customHeight="false" outlineLevel="0" collapsed="false">
      <c r="A604" s="7" t="s">
        <v>87</v>
      </c>
      <c r="B604" s="7" t="n">
        <v>4413130</v>
      </c>
      <c r="C604" s="7" t="s">
        <v>387</v>
      </c>
      <c r="D604" s="26" t="n">
        <v>371.8</v>
      </c>
      <c r="E604" s="26" t="n">
        <v>0</v>
      </c>
      <c r="F604" s="26" t="n">
        <v>0</v>
      </c>
      <c r="G604" s="26" t="n">
        <v>0</v>
      </c>
      <c r="H604" s="26" t="n">
        <v>-131.1</v>
      </c>
      <c r="I604" s="26" t="n">
        <v>2399.6</v>
      </c>
      <c r="J604" s="26" t="n">
        <v>0</v>
      </c>
      <c r="K604" s="26" t="n">
        <v>0</v>
      </c>
      <c r="L604" s="26" t="n">
        <v>0</v>
      </c>
      <c r="M604" s="26" t="n">
        <v>0</v>
      </c>
    </row>
    <row r="605" customFormat="false" ht="15" hidden="false" customHeight="false" outlineLevel="0" collapsed="false">
      <c r="A605" s="7" t="s">
        <v>85</v>
      </c>
      <c r="B605" s="7" t="n">
        <v>4413127</v>
      </c>
      <c r="C605" s="7" t="s">
        <v>388</v>
      </c>
      <c r="D605" s="26" t="n">
        <v>16</v>
      </c>
      <c r="E605" s="26" t="n">
        <v>0</v>
      </c>
      <c r="F605" s="26" t="n">
        <v>0</v>
      </c>
      <c r="G605" s="26" t="n">
        <v>0</v>
      </c>
      <c r="H605" s="26" t="n">
        <v>15</v>
      </c>
      <c r="I605" s="26" t="n">
        <v>42</v>
      </c>
      <c r="J605" s="26" t="n">
        <v>0</v>
      </c>
      <c r="K605" s="26" t="n">
        <v>0</v>
      </c>
      <c r="L605" s="26" t="n">
        <v>0</v>
      </c>
      <c r="M605" s="26" t="n">
        <v>0</v>
      </c>
    </row>
    <row r="606" customFormat="false" ht="15" hidden="false" customHeight="false" outlineLevel="0" collapsed="false">
      <c r="A606" s="7" t="s">
        <v>87</v>
      </c>
      <c r="B606" s="7" t="n">
        <v>4413127</v>
      </c>
      <c r="C606" s="7" t="s">
        <v>388</v>
      </c>
      <c r="D606" s="26" t="n">
        <v>2547.6</v>
      </c>
      <c r="E606" s="26" t="n">
        <v>0</v>
      </c>
      <c r="F606" s="26" t="n">
        <v>0</v>
      </c>
      <c r="G606" s="26" t="n">
        <v>0</v>
      </c>
      <c r="H606" s="26" t="n">
        <v>2067.3</v>
      </c>
      <c r="I606" s="26" t="n">
        <v>5928.3</v>
      </c>
      <c r="J606" s="26" t="n">
        <v>0</v>
      </c>
      <c r="K606" s="26" t="n">
        <v>0</v>
      </c>
      <c r="L606" s="26" t="n">
        <v>0</v>
      </c>
      <c r="M606" s="26" t="n">
        <v>0</v>
      </c>
    </row>
    <row r="607" customFormat="false" ht="15" hidden="false" customHeight="false" outlineLevel="0" collapsed="false">
      <c r="A607" s="7" t="s">
        <v>85</v>
      </c>
      <c r="B607" s="7" t="n">
        <v>4413128</v>
      </c>
      <c r="C607" s="7" t="s">
        <v>389</v>
      </c>
      <c r="D607" s="26" t="n">
        <v>7</v>
      </c>
      <c r="E607" s="26" t="n">
        <v>0</v>
      </c>
      <c r="F607" s="26" t="n">
        <v>0</v>
      </c>
      <c r="G607" s="26" t="n">
        <v>1</v>
      </c>
      <c r="H607" s="26" t="n">
        <v>25</v>
      </c>
      <c r="I607" s="26" t="n">
        <v>37</v>
      </c>
      <c r="J607" s="26" t="n">
        <v>0</v>
      </c>
      <c r="K607" s="26" t="n">
        <v>0</v>
      </c>
      <c r="L607" s="26" t="n">
        <v>0</v>
      </c>
      <c r="M607" s="26" t="n">
        <v>-1</v>
      </c>
    </row>
    <row r="608" customFormat="false" ht="15" hidden="false" customHeight="false" outlineLevel="0" collapsed="false">
      <c r="A608" s="7" t="s">
        <v>87</v>
      </c>
      <c r="B608" s="7" t="n">
        <v>4413128</v>
      </c>
      <c r="C608" s="7" t="s">
        <v>389</v>
      </c>
      <c r="D608" s="26" t="n">
        <v>1137.1</v>
      </c>
      <c r="E608" s="26" t="n">
        <v>0</v>
      </c>
      <c r="F608" s="26" t="n">
        <v>0</v>
      </c>
      <c r="G608" s="26" t="n">
        <v>142.1</v>
      </c>
      <c r="H608" s="26" t="n">
        <v>3475.1</v>
      </c>
      <c r="I608" s="26" t="n">
        <v>5222.6</v>
      </c>
      <c r="J608" s="26" t="n">
        <v>0</v>
      </c>
      <c r="K608" s="26" t="n">
        <v>0</v>
      </c>
      <c r="L608" s="26" t="n">
        <v>0</v>
      </c>
      <c r="M608" s="26" t="n">
        <v>-218.7</v>
      </c>
    </row>
    <row r="609" customFormat="false" ht="15" hidden="false" customHeight="false" outlineLevel="0" collapsed="false">
      <c r="A609" s="7" t="s">
        <v>85</v>
      </c>
      <c r="B609" s="7" t="n">
        <v>4413126</v>
      </c>
      <c r="C609" s="7" t="s">
        <v>390</v>
      </c>
      <c r="D609" s="26" t="n">
        <v>5</v>
      </c>
      <c r="E609" s="26" t="n">
        <v>0</v>
      </c>
      <c r="F609" s="26" t="n">
        <v>0</v>
      </c>
      <c r="G609" s="26" t="n">
        <v>0</v>
      </c>
      <c r="H609" s="26" t="n">
        <v>14</v>
      </c>
      <c r="I609" s="26" t="n">
        <v>8</v>
      </c>
      <c r="J609" s="26" t="n">
        <v>0</v>
      </c>
      <c r="K609" s="26" t="n">
        <v>0</v>
      </c>
      <c r="L609" s="26" t="n">
        <v>0</v>
      </c>
      <c r="M609" s="26" t="n">
        <v>0</v>
      </c>
    </row>
    <row r="610" customFormat="false" ht="15" hidden="false" customHeight="false" outlineLevel="0" collapsed="false">
      <c r="A610" s="7" t="s">
        <v>87</v>
      </c>
      <c r="B610" s="7" t="n">
        <v>4413126</v>
      </c>
      <c r="C610" s="7" t="s">
        <v>390</v>
      </c>
      <c r="D610" s="26" t="n">
        <v>820.1</v>
      </c>
      <c r="E610" s="26" t="n">
        <v>0</v>
      </c>
      <c r="F610" s="26" t="n">
        <v>0</v>
      </c>
      <c r="G610" s="26" t="n">
        <v>0</v>
      </c>
      <c r="H610" s="26" t="n">
        <v>2567.5</v>
      </c>
      <c r="I610" s="26" t="n">
        <v>1051.7</v>
      </c>
      <c r="J610" s="26" t="n">
        <v>0</v>
      </c>
      <c r="K610" s="26" t="n">
        <v>0</v>
      </c>
      <c r="L610" s="26" t="n">
        <v>0</v>
      </c>
      <c r="M610" s="26" t="n">
        <v>0</v>
      </c>
    </row>
    <row r="611" customFormat="false" ht="15" hidden="false" customHeight="false" outlineLevel="0" collapsed="false">
      <c r="A611" s="7" t="s">
        <v>85</v>
      </c>
      <c r="B611" s="7" t="n">
        <v>4413129</v>
      </c>
      <c r="C611" s="7" t="s">
        <v>391</v>
      </c>
      <c r="D611" s="26" t="n">
        <v>2</v>
      </c>
      <c r="E611" s="26" t="n">
        <v>0</v>
      </c>
      <c r="F611" s="26" t="n">
        <v>0</v>
      </c>
      <c r="G611" s="26" t="n">
        <v>0</v>
      </c>
      <c r="H611" s="26" t="n">
        <v>-1</v>
      </c>
      <c r="I611" s="26" t="n">
        <v>15</v>
      </c>
      <c r="J611" s="26" t="n">
        <v>0</v>
      </c>
      <c r="K611" s="26" t="n">
        <v>0</v>
      </c>
      <c r="L611" s="26" t="n">
        <v>0</v>
      </c>
      <c r="M611" s="26" t="n">
        <v>0</v>
      </c>
    </row>
    <row r="612" customFormat="false" ht="15" hidden="false" customHeight="false" outlineLevel="0" collapsed="false">
      <c r="A612" s="7" t="s">
        <v>87</v>
      </c>
      <c r="B612" s="7" t="n">
        <v>4413129</v>
      </c>
      <c r="C612" s="7" t="s">
        <v>391</v>
      </c>
      <c r="D612" s="26" t="n">
        <v>320.8</v>
      </c>
      <c r="E612" s="26" t="n">
        <v>0</v>
      </c>
      <c r="F612" s="26" t="n">
        <v>0</v>
      </c>
      <c r="G612" s="26" t="n">
        <v>0</v>
      </c>
      <c r="H612" s="26" t="n">
        <v>-67.6</v>
      </c>
      <c r="I612" s="26" t="n">
        <v>2117.3</v>
      </c>
      <c r="J612" s="26" t="n">
        <v>0</v>
      </c>
      <c r="K612" s="26" t="n">
        <v>0</v>
      </c>
      <c r="L612" s="26" t="n">
        <v>0</v>
      </c>
      <c r="M612" s="26" t="n">
        <v>0</v>
      </c>
    </row>
    <row r="613" customFormat="false" ht="15" hidden="false" customHeight="false" outlineLevel="0" collapsed="false">
      <c r="A613" s="7" t="s">
        <v>85</v>
      </c>
      <c r="B613" s="7" t="n">
        <v>4413132</v>
      </c>
      <c r="C613" s="7" t="s">
        <v>392</v>
      </c>
      <c r="D613" s="26" t="n">
        <v>20</v>
      </c>
      <c r="E613" s="26" t="n">
        <v>0</v>
      </c>
      <c r="F613" s="26" t="n">
        <v>0</v>
      </c>
      <c r="G613" s="26" t="n">
        <v>0</v>
      </c>
      <c r="H613" s="26" t="n">
        <v>5</v>
      </c>
      <c r="I613" s="26" t="n">
        <v>4</v>
      </c>
      <c r="J613" s="26" t="n">
        <v>0</v>
      </c>
      <c r="K613" s="26" t="n">
        <v>2</v>
      </c>
      <c r="L613" s="26" t="n">
        <v>0</v>
      </c>
      <c r="M613" s="26" t="n">
        <v>0</v>
      </c>
    </row>
    <row r="614" customFormat="false" ht="15" hidden="false" customHeight="false" outlineLevel="0" collapsed="false">
      <c r="A614" s="7" t="s">
        <v>87</v>
      </c>
      <c r="B614" s="7" t="n">
        <v>4413132</v>
      </c>
      <c r="C614" s="7" t="s">
        <v>392</v>
      </c>
      <c r="D614" s="26" t="n">
        <v>4146.3</v>
      </c>
      <c r="E614" s="26" t="n">
        <v>0</v>
      </c>
      <c r="F614" s="26" t="n">
        <v>0</v>
      </c>
      <c r="G614" s="26" t="n">
        <v>0</v>
      </c>
      <c r="H614" s="26" t="n">
        <v>829</v>
      </c>
      <c r="I614" s="26" t="n">
        <v>615.7</v>
      </c>
      <c r="J614" s="26" t="n">
        <v>0</v>
      </c>
      <c r="K614" s="26" t="n">
        <v>272.6</v>
      </c>
      <c r="L614" s="26" t="n">
        <v>0</v>
      </c>
      <c r="M614" s="26" t="n">
        <v>0</v>
      </c>
    </row>
    <row r="615" customFormat="false" ht="15" hidden="false" customHeight="false" outlineLevel="0" collapsed="false">
      <c r="A615" s="7" t="s">
        <v>85</v>
      </c>
      <c r="B615" s="7" t="n">
        <v>4413133</v>
      </c>
      <c r="C615" s="7" t="s">
        <v>393</v>
      </c>
      <c r="D615" s="26" t="n">
        <v>17</v>
      </c>
      <c r="E615" s="26" t="n">
        <v>0</v>
      </c>
      <c r="F615" s="26" t="n">
        <v>0</v>
      </c>
      <c r="G615" s="26" t="n">
        <v>0</v>
      </c>
      <c r="H615" s="26" t="n">
        <v>12</v>
      </c>
      <c r="I615" s="26" t="n">
        <v>2</v>
      </c>
      <c r="J615" s="26" t="n">
        <v>0</v>
      </c>
      <c r="K615" s="26" t="n">
        <v>6</v>
      </c>
      <c r="L615" s="26" t="n">
        <v>0</v>
      </c>
      <c r="M615" s="26" t="n">
        <v>0</v>
      </c>
    </row>
    <row r="616" customFormat="false" ht="15" hidden="false" customHeight="false" outlineLevel="0" collapsed="false">
      <c r="A616" s="7" t="s">
        <v>87</v>
      </c>
      <c r="B616" s="7" t="n">
        <v>4413133</v>
      </c>
      <c r="C616" s="7" t="s">
        <v>393</v>
      </c>
      <c r="D616" s="26" t="n">
        <v>3514.6</v>
      </c>
      <c r="E616" s="26" t="n">
        <v>0</v>
      </c>
      <c r="F616" s="26" t="n">
        <v>0</v>
      </c>
      <c r="G616" s="26" t="n">
        <v>0</v>
      </c>
      <c r="H616" s="26" t="n">
        <v>2060.7</v>
      </c>
      <c r="I616" s="26" t="n">
        <v>352.9</v>
      </c>
      <c r="J616" s="26" t="n">
        <v>0</v>
      </c>
      <c r="K616" s="26" t="n">
        <v>817.8</v>
      </c>
      <c r="L616" s="26" t="n">
        <v>0</v>
      </c>
      <c r="M616" s="26" t="n">
        <v>0</v>
      </c>
    </row>
    <row r="617" customFormat="false" ht="15" hidden="false" customHeight="false" outlineLevel="0" collapsed="false">
      <c r="A617" s="7" t="s">
        <v>85</v>
      </c>
      <c r="B617" s="7" t="n">
        <v>4413131</v>
      </c>
      <c r="C617" s="7" t="s">
        <v>394</v>
      </c>
      <c r="D617" s="26" t="n">
        <v>9</v>
      </c>
      <c r="E617" s="26" t="n">
        <v>0</v>
      </c>
      <c r="F617" s="26" t="n">
        <v>0</v>
      </c>
      <c r="G617" s="26" t="n">
        <v>0</v>
      </c>
      <c r="H617" s="26" t="n">
        <v>1</v>
      </c>
      <c r="I617" s="26" t="n">
        <v>0</v>
      </c>
      <c r="J617" s="26" t="n">
        <v>0</v>
      </c>
      <c r="K617" s="26" t="n">
        <v>4</v>
      </c>
      <c r="L617" s="26" t="n">
        <v>0</v>
      </c>
      <c r="M617" s="26" t="n">
        <v>0</v>
      </c>
    </row>
    <row r="618" customFormat="false" ht="15" hidden="false" customHeight="false" outlineLevel="0" collapsed="false">
      <c r="A618" s="7" t="s">
        <v>87</v>
      </c>
      <c r="B618" s="7" t="n">
        <v>4413131</v>
      </c>
      <c r="C618" s="7" t="s">
        <v>394</v>
      </c>
      <c r="D618" s="26" t="n">
        <v>1869.7</v>
      </c>
      <c r="E618" s="26" t="n">
        <v>0</v>
      </c>
      <c r="F618" s="26" t="n">
        <v>0</v>
      </c>
      <c r="G618" s="26" t="n">
        <v>0</v>
      </c>
      <c r="H618" s="26" t="n">
        <v>163.8</v>
      </c>
      <c r="I618" s="26" t="n">
        <v>0</v>
      </c>
      <c r="J618" s="26" t="n">
        <v>0</v>
      </c>
      <c r="K618" s="26" t="n">
        <v>545.2</v>
      </c>
      <c r="L618" s="26" t="n">
        <v>0</v>
      </c>
      <c r="M618" s="26" t="n">
        <v>0</v>
      </c>
    </row>
    <row r="619" customFormat="false" ht="15" hidden="false" customHeight="false" outlineLevel="0" collapsed="false">
      <c r="A619" s="7" t="s">
        <v>85</v>
      </c>
      <c r="B619" s="7" t="n">
        <v>4413134</v>
      </c>
      <c r="C619" s="7" t="s">
        <v>395</v>
      </c>
      <c r="D619" s="26" t="n">
        <v>14</v>
      </c>
      <c r="E619" s="26" t="n">
        <v>0</v>
      </c>
      <c r="F619" s="26" t="n">
        <v>0</v>
      </c>
      <c r="G619" s="26" t="n">
        <v>0</v>
      </c>
      <c r="H619" s="26" t="n">
        <v>9</v>
      </c>
      <c r="I619" s="26" t="n">
        <v>0</v>
      </c>
      <c r="J619" s="26" t="n">
        <v>0</v>
      </c>
      <c r="K619" s="26" t="n">
        <v>7</v>
      </c>
      <c r="L619" s="26" t="n">
        <v>0</v>
      </c>
      <c r="M619" s="26" t="n">
        <v>0</v>
      </c>
    </row>
    <row r="620" customFormat="false" ht="15" hidden="false" customHeight="false" outlineLevel="0" collapsed="false">
      <c r="A620" s="7" t="s">
        <v>87</v>
      </c>
      <c r="B620" s="7" t="n">
        <v>4413134</v>
      </c>
      <c r="C620" s="7" t="s">
        <v>395</v>
      </c>
      <c r="D620" s="26" t="n">
        <v>2910</v>
      </c>
      <c r="E620" s="26" t="n">
        <v>0</v>
      </c>
      <c r="F620" s="26" t="n">
        <v>0</v>
      </c>
      <c r="G620" s="26" t="n">
        <v>0</v>
      </c>
      <c r="H620" s="26" t="n">
        <v>1622.9</v>
      </c>
      <c r="I620" s="26" t="n">
        <v>0</v>
      </c>
      <c r="J620" s="26" t="n">
        <v>0</v>
      </c>
      <c r="K620" s="26" t="n">
        <v>954.1</v>
      </c>
      <c r="L620" s="26" t="n">
        <v>0</v>
      </c>
      <c r="M620" s="26" t="n">
        <v>0</v>
      </c>
    </row>
    <row r="621" customFormat="false" ht="15" hidden="false" customHeight="false" outlineLevel="0" collapsed="false">
      <c r="A621" s="7" t="s">
        <v>85</v>
      </c>
      <c r="B621" s="7" t="n">
        <v>4413262</v>
      </c>
      <c r="C621" s="7" t="s">
        <v>396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0</v>
      </c>
      <c r="L621" s="26" t="n">
        <v>0</v>
      </c>
      <c r="M621" s="26" t="n">
        <v>0</v>
      </c>
    </row>
    <row r="622" customFormat="false" ht="15" hidden="false" customHeight="false" outlineLevel="0" collapsed="false">
      <c r="A622" s="7" t="s">
        <v>87</v>
      </c>
      <c r="B622" s="7" t="n">
        <v>4413262</v>
      </c>
      <c r="C622" s="7" t="s">
        <v>396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0</v>
      </c>
      <c r="L622" s="26" t="n">
        <v>0</v>
      </c>
      <c r="M622" s="26" t="n">
        <v>0</v>
      </c>
    </row>
    <row r="623" customFormat="false" ht="15" hidden="false" customHeight="false" outlineLevel="0" collapsed="false">
      <c r="A623" s="7" t="s">
        <v>85</v>
      </c>
      <c r="B623" s="7" t="n">
        <v>4408141</v>
      </c>
      <c r="C623" s="7" t="s">
        <v>397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0</v>
      </c>
      <c r="L623" s="26" t="n">
        <v>0</v>
      </c>
      <c r="M623" s="26" t="n">
        <v>0</v>
      </c>
    </row>
    <row r="624" customFormat="false" ht="15" hidden="false" customHeight="false" outlineLevel="0" collapsed="false">
      <c r="A624" s="7" t="s">
        <v>87</v>
      </c>
      <c r="B624" s="7" t="n">
        <v>4408141</v>
      </c>
      <c r="C624" s="7" t="s">
        <v>397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0</v>
      </c>
      <c r="L624" s="26" t="n">
        <v>0</v>
      </c>
      <c r="M624" s="26" t="n">
        <v>0</v>
      </c>
    </row>
    <row r="625" customFormat="false" ht="15" hidden="false" customHeight="false" outlineLevel="0" collapsed="false">
      <c r="A625" s="7" t="s">
        <v>85</v>
      </c>
      <c r="B625" s="7" t="n">
        <v>4413191</v>
      </c>
      <c r="C625" s="7" t="s">
        <v>398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0</v>
      </c>
      <c r="L625" s="26" t="n">
        <v>0</v>
      </c>
      <c r="M625" s="26" t="n">
        <v>0</v>
      </c>
    </row>
    <row r="626" customFormat="false" ht="15" hidden="false" customHeight="false" outlineLevel="0" collapsed="false">
      <c r="A626" s="7" t="s">
        <v>87</v>
      </c>
      <c r="B626" s="7" t="n">
        <v>4413191</v>
      </c>
      <c r="C626" s="7" t="s">
        <v>398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0</v>
      </c>
      <c r="J626" s="26" t="n">
        <v>0</v>
      </c>
      <c r="K626" s="26" t="n">
        <v>0</v>
      </c>
      <c r="L626" s="26" t="n">
        <v>0</v>
      </c>
      <c r="M626" s="26" t="n">
        <v>0</v>
      </c>
    </row>
    <row r="627" customFormat="false" ht="15" hidden="false" customHeight="false" outlineLevel="0" collapsed="false">
      <c r="A627" s="7" t="s">
        <v>85</v>
      </c>
      <c r="B627" s="7" t="n">
        <v>4413194</v>
      </c>
      <c r="C627" s="7" t="s">
        <v>399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0</v>
      </c>
      <c r="J627" s="26" t="n">
        <v>0</v>
      </c>
      <c r="K627" s="26" t="n">
        <v>0</v>
      </c>
      <c r="L627" s="26" t="n">
        <v>0</v>
      </c>
      <c r="M627" s="26" t="n">
        <v>0</v>
      </c>
    </row>
    <row r="628" customFormat="false" ht="15" hidden="false" customHeight="false" outlineLevel="0" collapsed="false">
      <c r="A628" s="7" t="s">
        <v>87</v>
      </c>
      <c r="B628" s="7" t="n">
        <v>4413194</v>
      </c>
      <c r="C628" s="7" t="s">
        <v>399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0</v>
      </c>
      <c r="J628" s="26" t="n">
        <v>0</v>
      </c>
      <c r="K628" s="26" t="n">
        <v>0</v>
      </c>
      <c r="L628" s="26" t="n">
        <v>0</v>
      </c>
      <c r="M628" s="26" t="n">
        <v>0</v>
      </c>
    </row>
    <row r="629" customFormat="false" ht="15" hidden="false" customHeight="false" outlineLevel="0" collapsed="false">
      <c r="A629" s="7" t="s">
        <v>85</v>
      </c>
      <c r="B629" s="7" t="n">
        <v>4413485</v>
      </c>
      <c r="C629" s="7" t="s">
        <v>400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0</v>
      </c>
      <c r="J629" s="26" t="n">
        <v>0</v>
      </c>
      <c r="K629" s="26" t="n">
        <v>0</v>
      </c>
      <c r="L629" s="26" t="n">
        <v>0</v>
      </c>
      <c r="M629" s="26" t="n">
        <v>0</v>
      </c>
    </row>
    <row r="630" customFormat="false" ht="15" hidden="false" customHeight="false" outlineLevel="0" collapsed="false">
      <c r="A630" s="7" t="s">
        <v>87</v>
      </c>
      <c r="B630" s="7" t="n">
        <v>4413485</v>
      </c>
      <c r="C630" s="7" t="s">
        <v>400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0</v>
      </c>
      <c r="L630" s="26" t="n">
        <v>0</v>
      </c>
      <c r="M630" s="26" t="n">
        <v>0</v>
      </c>
    </row>
    <row r="631" customFormat="false" ht="15" hidden="false" customHeight="false" outlineLevel="0" collapsed="false">
      <c r="A631" s="7" t="s">
        <v>85</v>
      </c>
      <c r="B631" s="7" t="n">
        <v>4413403</v>
      </c>
      <c r="C631" s="7" t="s">
        <v>401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-1</v>
      </c>
      <c r="I631" s="26" t="n">
        <v>0</v>
      </c>
      <c r="J631" s="26" t="n">
        <v>0</v>
      </c>
      <c r="K631" s="26" t="n">
        <v>0</v>
      </c>
      <c r="L631" s="26" t="n">
        <v>0</v>
      </c>
      <c r="M631" s="26" t="n">
        <v>0</v>
      </c>
    </row>
    <row r="632" customFormat="false" ht="15" hidden="false" customHeight="false" outlineLevel="0" collapsed="false">
      <c r="A632" s="7" t="s">
        <v>87</v>
      </c>
      <c r="B632" s="7" t="n">
        <v>4413403</v>
      </c>
      <c r="C632" s="7" t="s">
        <v>401</v>
      </c>
      <c r="D632" s="26" t="n">
        <v>0</v>
      </c>
      <c r="E632" s="26" t="n">
        <v>0</v>
      </c>
      <c r="F632" s="26" t="n">
        <v>0</v>
      </c>
      <c r="G632" s="26" t="n">
        <v>0</v>
      </c>
      <c r="H632" s="26" t="n">
        <v>-208.4</v>
      </c>
      <c r="I632" s="26" t="n">
        <v>0</v>
      </c>
      <c r="J632" s="26" t="n">
        <v>0</v>
      </c>
      <c r="K632" s="26" t="n">
        <v>0</v>
      </c>
      <c r="L632" s="26" t="n">
        <v>0</v>
      </c>
      <c r="M632" s="26" t="n">
        <v>0</v>
      </c>
    </row>
    <row r="633" customFormat="false" ht="15" hidden="false" customHeight="false" outlineLevel="0" collapsed="false">
      <c r="A633" s="7" t="s">
        <v>85</v>
      </c>
      <c r="B633" s="7" t="n">
        <v>4413486</v>
      </c>
      <c r="C633" s="7" t="s">
        <v>402</v>
      </c>
      <c r="D633" s="26" t="n">
        <v>0</v>
      </c>
      <c r="E633" s="26" t="n">
        <v>0</v>
      </c>
      <c r="F633" s="26" t="n">
        <v>0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  <c r="L633" s="26" t="n">
        <v>0</v>
      </c>
      <c r="M633" s="26" t="n">
        <v>0</v>
      </c>
    </row>
    <row r="634" customFormat="false" ht="15" hidden="false" customHeight="false" outlineLevel="0" collapsed="false">
      <c r="A634" s="7" t="s">
        <v>87</v>
      </c>
      <c r="B634" s="7" t="n">
        <v>4413486</v>
      </c>
      <c r="C634" s="7" t="s">
        <v>402</v>
      </c>
      <c r="D634" s="26" t="n">
        <v>0</v>
      </c>
      <c r="E634" s="26" t="n">
        <v>0</v>
      </c>
      <c r="F634" s="26" t="n">
        <v>0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  <c r="L634" s="26" t="n">
        <v>0</v>
      </c>
      <c r="M634" s="26" t="n">
        <v>0</v>
      </c>
    </row>
    <row r="635" customFormat="false" ht="15" hidden="false" customHeight="false" outlineLevel="0" collapsed="false">
      <c r="A635" s="7" t="s">
        <v>85</v>
      </c>
      <c r="B635" s="7" t="n">
        <v>4413404</v>
      </c>
      <c r="C635" s="7" t="s">
        <v>403</v>
      </c>
      <c r="D635" s="26" t="n">
        <v>0</v>
      </c>
      <c r="E635" s="26" t="n">
        <v>0</v>
      </c>
      <c r="F635" s="26" t="n">
        <v>0</v>
      </c>
      <c r="G635" s="26" t="n">
        <v>0</v>
      </c>
      <c r="H635" s="26" t="n">
        <v>0</v>
      </c>
      <c r="I635" s="26" t="n">
        <v>0</v>
      </c>
      <c r="J635" s="26" t="n">
        <v>0</v>
      </c>
      <c r="K635" s="26" t="n">
        <v>0</v>
      </c>
      <c r="L635" s="26" t="n">
        <v>0</v>
      </c>
      <c r="M635" s="26" t="n">
        <v>0</v>
      </c>
    </row>
    <row r="636" customFormat="false" ht="15" hidden="false" customHeight="false" outlineLevel="0" collapsed="false">
      <c r="A636" s="7" t="s">
        <v>87</v>
      </c>
      <c r="B636" s="7" t="n">
        <v>4413404</v>
      </c>
      <c r="C636" s="7" t="s">
        <v>403</v>
      </c>
      <c r="D636" s="26" t="n">
        <v>0</v>
      </c>
      <c r="E636" s="26" t="n">
        <v>0</v>
      </c>
      <c r="F636" s="26" t="n">
        <v>0</v>
      </c>
      <c r="G636" s="26" t="n">
        <v>0</v>
      </c>
      <c r="H636" s="26" t="n">
        <v>0</v>
      </c>
      <c r="I636" s="26" t="n">
        <v>0</v>
      </c>
      <c r="J636" s="26" t="n">
        <v>0</v>
      </c>
      <c r="K636" s="26" t="n">
        <v>0</v>
      </c>
      <c r="L636" s="26" t="n">
        <v>0</v>
      </c>
      <c r="M636" s="26" t="n">
        <v>0</v>
      </c>
    </row>
    <row r="637" customFormat="false" ht="15" hidden="false" customHeight="false" outlineLevel="0" collapsed="false">
      <c r="A637" s="7" t="s">
        <v>85</v>
      </c>
      <c r="B637" s="7" t="n">
        <v>4413443</v>
      </c>
      <c r="C637" s="7" t="s">
        <v>404</v>
      </c>
      <c r="D637" s="26" t="n">
        <v>0</v>
      </c>
      <c r="E637" s="26" t="n">
        <v>0</v>
      </c>
      <c r="F637" s="26" t="n">
        <v>0</v>
      </c>
      <c r="G637" s="26" t="n">
        <v>0</v>
      </c>
      <c r="H637" s="26" t="n">
        <v>0</v>
      </c>
      <c r="I637" s="26" t="n">
        <v>0</v>
      </c>
      <c r="J637" s="26" t="n">
        <v>0</v>
      </c>
      <c r="K637" s="26" t="n">
        <v>0</v>
      </c>
      <c r="L637" s="26" t="n">
        <v>0</v>
      </c>
      <c r="M637" s="26" t="n">
        <v>0</v>
      </c>
    </row>
    <row r="638" customFormat="false" ht="15" hidden="false" customHeight="false" outlineLevel="0" collapsed="false">
      <c r="A638" s="7" t="s">
        <v>87</v>
      </c>
      <c r="B638" s="7" t="n">
        <v>4413443</v>
      </c>
      <c r="C638" s="7" t="s">
        <v>404</v>
      </c>
      <c r="D638" s="26" t="n">
        <v>0</v>
      </c>
      <c r="E638" s="26" t="n">
        <v>0</v>
      </c>
      <c r="F638" s="26" t="n">
        <v>0</v>
      </c>
      <c r="G638" s="26" t="n">
        <v>0</v>
      </c>
      <c r="H638" s="26" t="n">
        <v>0</v>
      </c>
      <c r="I638" s="26" t="n">
        <v>0</v>
      </c>
      <c r="J638" s="26" t="n">
        <v>0</v>
      </c>
      <c r="K638" s="26" t="n">
        <v>0</v>
      </c>
      <c r="L638" s="26" t="n">
        <v>0</v>
      </c>
      <c r="M638" s="26" t="n">
        <v>0</v>
      </c>
    </row>
    <row r="639" customFormat="false" ht="15" hidden="false" customHeight="false" outlineLevel="0" collapsed="false">
      <c r="A639" s="7" t="s">
        <v>85</v>
      </c>
      <c r="B639" s="7" t="n">
        <v>4413197</v>
      </c>
      <c r="C639" s="7" t="s">
        <v>405</v>
      </c>
      <c r="D639" s="26" t="n">
        <v>27</v>
      </c>
      <c r="E639" s="26" t="n">
        <v>0</v>
      </c>
      <c r="F639" s="26" t="n">
        <v>0</v>
      </c>
      <c r="G639" s="26" t="n">
        <v>0</v>
      </c>
      <c r="H639" s="26" t="n">
        <v>128</v>
      </c>
      <c r="I639" s="26" t="n">
        <v>10</v>
      </c>
      <c r="J639" s="26" t="n">
        <v>0</v>
      </c>
      <c r="K639" s="26" t="n">
        <v>19</v>
      </c>
      <c r="L639" s="26" t="n">
        <v>0</v>
      </c>
      <c r="M639" s="26" t="n">
        <v>0</v>
      </c>
    </row>
    <row r="640" customFormat="false" ht="15" hidden="false" customHeight="false" outlineLevel="0" collapsed="false">
      <c r="A640" s="7" t="s">
        <v>87</v>
      </c>
      <c r="B640" s="7" t="n">
        <v>4413197</v>
      </c>
      <c r="C640" s="7" t="s">
        <v>405</v>
      </c>
      <c r="D640" s="26" t="n">
        <v>5346.4</v>
      </c>
      <c r="E640" s="26" t="n">
        <v>0</v>
      </c>
      <c r="F640" s="26" t="n">
        <v>0</v>
      </c>
      <c r="G640" s="26" t="n">
        <v>0</v>
      </c>
      <c r="H640" s="26" t="n">
        <v>20666.2</v>
      </c>
      <c r="I640" s="26" t="n">
        <v>1764.4</v>
      </c>
      <c r="J640" s="26" t="n">
        <v>0</v>
      </c>
      <c r="K640" s="26" t="n">
        <v>2340.3</v>
      </c>
      <c r="L640" s="26" t="n">
        <v>0</v>
      </c>
      <c r="M640" s="26" t="n">
        <v>0</v>
      </c>
    </row>
    <row r="641" customFormat="false" ht="15" hidden="false" customHeight="false" outlineLevel="0" collapsed="false">
      <c r="A641" s="7" t="s">
        <v>85</v>
      </c>
      <c r="B641" s="7" t="n">
        <v>4413196</v>
      </c>
      <c r="C641" s="7" t="s">
        <v>406</v>
      </c>
      <c r="D641" s="26" t="n">
        <v>11</v>
      </c>
      <c r="E641" s="26" t="n">
        <v>0</v>
      </c>
      <c r="F641" s="26" t="n">
        <v>0</v>
      </c>
      <c r="G641" s="26" t="n">
        <v>0</v>
      </c>
      <c r="H641" s="26" t="n">
        <v>105</v>
      </c>
      <c r="I641" s="26" t="n">
        <v>5</v>
      </c>
      <c r="J641" s="26" t="n">
        <v>0</v>
      </c>
      <c r="K641" s="26" t="n">
        <v>21</v>
      </c>
      <c r="L641" s="26" t="n">
        <v>0</v>
      </c>
      <c r="M641" s="26" t="n">
        <v>0</v>
      </c>
    </row>
    <row r="642" customFormat="false" ht="15" hidden="false" customHeight="false" outlineLevel="0" collapsed="false">
      <c r="A642" s="7" t="s">
        <v>87</v>
      </c>
      <c r="B642" s="7" t="n">
        <v>4413196</v>
      </c>
      <c r="C642" s="7" t="s">
        <v>406</v>
      </c>
      <c r="D642" s="26" t="n">
        <v>2216.5</v>
      </c>
      <c r="E642" s="26" t="n">
        <v>0</v>
      </c>
      <c r="F642" s="26" t="n">
        <v>0</v>
      </c>
      <c r="G642" s="26" t="n">
        <v>0</v>
      </c>
      <c r="H642" s="26" t="n">
        <v>16961.5</v>
      </c>
      <c r="I642" s="26" t="n">
        <v>882.2</v>
      </c>
      <c r="J642" s="26" t="n">
        <v>0</v>
      </c>
      <c r="K642" s="26" t="n">
        <v>2498.4</v>
      </c>
      <c r="L642" s="26" t="n">
        <v>0</v>
      </c>
      <c r="M642" s="26" t="n">
        <v>0</v>
      </c>
    </row>
    <row r="643" customFormat="false" ht="15" hidden="false" customHeight="false" outlineLevel="0" collapsed="false">
      <c r="A643" s="7" t="s">
        <v>85</v>
      </c>
      <c r="B643" s="7" t="n">
        <v>4413195</v>
      </c>
      <c r="C643" s="7" t="s">
        <v>407</v>
      </c>
      <c r="D643" s="26" t="n">
        <v>4</v>
      </c>
      <c r="E643" s="26" t="n">
        <v>0</v>
      </c>
      <c r="F643" s="26" t="n">
        <v>0</v>
      </c>
      <c r="G643" s="26" t="n">
        <v>0</v>
      </c>
      <c r="H643" s="26" t="n">
        <v>17</v>
      </c>
      <c r="I643" s="26" t="n">
        <v>2</v>
      </c>
      <c r="J643" s="26" t="n">
        <v>0</v>
      </c>
      <c r="K643" s="26" t="n">
        <v>4</v>
      </c>
      <c r="L643" s="26" t="n">
        <v>0</v>
      </c>
      <c r="M643" s="26" t="n">
        <v>0</v>
      </c>
    </row>
    <row r="644" customFormat="false" ht="15" hidden="false" customHeight="false" outlineLevel="0" collapsed="false">
      <c r="A644" s="7" t="s">
        <v>87</v>
      </c>
      <c r="B644" s="7" t="n">
        <v>4413195</v>
      </c>
      <c r="C644" s="7" t="s">
        <v>407</v>
      </c>
      <c r="D644" s="26" t="n">
        <v>806</v>
      </c>
      <c r="E644" s="26" t="n">
        <v>0</v>
      </c>
      <c r="F644" s="26" t="n">
        <v>0</v>
      </c>
      <c r="G644" s="26" t="n">
        <v>0</v>
      </c>
      <c r="H644" s="26" t="n">
        <v>2774.1</v>
      </c>
      <c r="I644" s="26" t="n">
        <v>352.9</v>
      </c>
      <c r="J644" s="26" t="n">
        <v>0</v>
      </c>
      <c r="K644" s="26" t="n">
        <v>506</v>
      </c>
      <c r="L644" s="26" t="n">
        <v>0</v>
      </c>
      <c r="M644" s="26" t="n">
        <v>0</v>
      </c>
    </row>
    <row r="645" customFormat="false" ht="15" hidden="false" customHeight="false" outlineLevel="0" collapsed="false">
      <c r="A645" s="7" t="s">
        <v>85</v>
      </c>
      <c r="B645" s="7" t="n">
        <v>4413198</v>
      </c>
      <c r="C645" s="7" t="s">
        <v>408</v>
      </c>
      <c r="D645" s="26" t="n">
        <v>14</v>
      </c>
      <c r="E645" s="26" t="n">
        <v>0</v>
      </c>
      <c r="F645" s="26" t="n">
        <v>0</v>
      </c>
      <c r="G645" s="26" t="n">
        <v>0</v>
      </c>
      <c r="H645" s="26" t="n">
        <v>134</v>
      </c>
      <c r="I645" s="26" t="n">
        <v>9</v>
      </c>
      <c r="J645" s="26" t="n">
        <v>0</v>
      </c>
      <c r="K645" s="26" t="n">
        <v>14</v>
      </c>
      <c r="L645" s="26" t="n">
        <v>0</v>
      </c>
      <c r="M645" s="26" t="n">
        <v>0</v>
      </c>
    </row>
    <row r="646" customFormat="false" ht="15" hidden="false" customHeight="false" outlineLevel="0" collapsed="false">
      <c r="A646" s="7" t="s">
        <v>87</v>
      </c>
      <c r="B646" s="7" t="n">
        <v>4413198</v>
      </c>
      <c r="C646" s="7" t="s">
        <v>408</v>
      </c>
      <c r="D646" s="26" t="n">
        <v>2793.2</v>
      </c>
      <c r="E646" s="26" t="n">
        <v>0</v>
      </c>
      <c r="F646" s="26" t="n">
        <v>0</v>
      </c>
      <c r="G646" s="26" t="n">
        <v>0</v>
      </c>
      <c r="H646" s="26" t="n">
        <v>21496.9</v>
      </c>
      <c r="I646" s="26" t="n">
        <v>1588</v>
      </c>
      <c r="J646" s="26" t="n">
        <v>0</v>
      </c>
      <c r="K646" s="26" t="n">
        <v>1771</v>
      </c>
      <c r="L646" s="26" t="n">
        <v>0</v>
      </c>
      <c r="M646" s="26" t="n">
        <v>0</v>
      </c>
    </row>
    <row r="647" customFormat="false" ht="15" hidden="false" customHeight="false" outlineLevel="0" collapsed="false">
      <c r="A647" s="7" t="s">
        <v>85</v>
      </c>
      <c r="B647" s="7" t="n">
        <v>4413204</v>
      </c>
      <c r="C647" s="7" t="s">
        <v>409</v>
      </c>
      <c r="D647" s="26" t="n">
        <v>7</v>
      </c>
      <c r="E647" s="26" t="n">
        <v>0</v>
      </c>
      <c r="F647" s="26" t="n">
        <v>0</v>
      </c>
      <c r="G647" s="26" t="n">
        <v>0</v>
      </c>
      <c r="H647" s="26" t="n">
        <v>52</v>
      </c>
      <c r="I647" s="26" t="n">
        <v>3</v>
      </c>
      <c r="J647" s="26" t="n">
        <v>0</v>
      </c>
      <c r="K647" s="26" t="n">
        <v>7</v>
      </c>
      <c r="L647" s="26" t="n">
        <v>0</v>
      </c>
      <c r="M647" s="26" t="n">
        <v>0</v>
      </c>
    </row>
    <row r="648" customFormat="false" ht="15" hidden="false" customHeight="false" outlineLevel="0" collapsed="false">
      <c r="A648" s="7" t="s">
        <v>87</v>
      </c>
      <c r="B648" s="7" t="n">
        <v>4413204</v>
      </c>
      <c r="C648" s="7" t="s">
        <v>409</v>
      </c>
      <c r="D648" s="26" t="n">
        <v>1410.5</v>
      </c>
      <c r="E648" s="26" t="n">
        <v>0</v>
      </c>
      <c r="F648" s="26" t="n">
        <v>0</v>
      </c>
      <c r="G648" s="26" t="n">
        <v>0</v>
      </c>
      <c r="H648" s="26" t="n">
        <v>8408.2</v>
      </c>
      <c r="I648" s="26" t="n">
        <v>529.3</v>
      </c>
      <c r="J648" s="26" t="n">
        <v>0</v>
      </c>
      <c r="K648" s="26" t="n">
        <v>885.5</v>
      </c>
      <c r="L648" s="26" t="n">
        <v>0</v>
      </c>
      <c r="M648" s="26" t="n">
        <v>0</v>
      </c>
    </row>
    <row r="649" customFormat="false" ht="15" hidden="false" customHeight="false" outlineLevel="0" collapsed="false">
      <c r="A649" s="7" t="s">
        <v>85</v>
      </c>
      <c r="B649" s="7" t="n">
        <v>4413456</v>
      </c>
      <c r="C649" s="7" t="s">
        <v>410</v>
      </c>
      <c r="D649" s="26" t="n">
        <v>49</v>
      </c>
      <c r="E649" s="26" t="n">
        <v>0</v>
      </c>
      <c r="F649" s="26" t="n">
        <v>0</v>
      </c>
      <c r="G649" s="26" t="n">
        <v>0</v>
      </c>
      <c r="H649" s="26" t="n">
        <v>426</v>
      </c>
      <c r="I649" s="26" t="n">
        <v>0</v>
      </c>
      <c r="J649" s="26" t="n">
        <v>0</v>
      </c>
      <c r="K649" s="26" t="n">
        <v>0</v>
      </c>
      <c r="L649" s="26" t="n">
        <v>0</v>
      </c>
      <c r="M649" s="26" t="n">
        <v>0</v>
      </c>
    </row>
    <row r="650" customFormat="false" ht="15" hidden="false" customHeight="false" outlineLevel="0" collapsed="false">
      <c r="A650" s="7" t="s">
        <v>87</v>
      </c>
      <c r="B650" s="7" t="n">
        <v>4413456</v>
      </c>
      <c r="C650" s="7" t="s">
        <v>410</v>
      </c>
      <c r="D650" s="26" t="n">
        <v>3860</v>
      </c>
      <c r="E650" s="26" t="n">
        <v>0</v>
      </c>
      <c r="F650" s="26" t="n">
        <v>0</v>
      </c>
      <c r="G650" s="26" t="n">
        <v>0</v>
      </c>
      <c r="H650" s="26" t="n">
        <v>27607.7</v>
      </c>
      <c r="I650" s="26" t="n">
        <v>0</v>
      </c>
      <c r="J650" s="26" t="n">
        <v>0</v>
      </c>
      <c r="K650" s="26" t="n">
        <v>0</v>
      </c>
      <c r="L650" s="26" t="n">
        <v>0</v>
      </c>
      <c r="M650" s="26" t="n">
        <v>0</v>
      </c>
    </row>
    <row r="651" customFormat="false" ht="15" hidden="false" customHeight="false" outlineLevel="0" collapsed="false">
      <c r="A651" s="7" t="s">
        <v>85</v>
      </c>
      <c r="B651" s="7" t="n">
        <v>4413453</v>
      </c>
      <c r="C651" s="7" t="s">
        <v>411</v>
      </c>
      <c r="D651" s="26" t="n">
        <v>735</v>
      </c>
      <c r="E651" s="26" t="n">
        <v>4</v>
      </c>
      <c r="F651" s="26" t="n">
        <v>0</v>
      </c>
      <c r="G651" s="26" t="n">
        <v>0</v>
      </c>
      <c r="H651" s="26" t="n">
        <v>1297</v>
      </c>
      <c r="I651" s="26" t="n">
        <v>79</v>
      </c>
      <c r="J651" s="26" t="n">
        <v>1</v>
      </c>
      <c r="K651" s="26" t="n">
        <v>0</v>
      </c>
      <c r="L651" s="26" t="n">
        <v>0</v>
      </c>
      <c r="M651" s="26" t="n">
        <v>-3</v>
      </c>
    </row>
    <row r="652" customFormat="false" ht="15" hidden="false" customHeight="false" outlineLevel="0" collapsed="false">
      <c r="A652" s="7" t="s">
        <v>87</v>
      </c>
      <c r="B652" s="7" t="n">
        <v>4413453</v>
      </c>
      <c r="C652" s="7" t="s">
        <v>411</v>
      </c>
      <c r="D652" s="26" t="n">
        <v>57670.6</v>
      </c>
      <c r="E652" s="26" t="n">
        <v>318.5</v>
      </c>
      <c r="F652" s="26" t="n">
        <v>-7</v>
      </c>
      <c r="G652" s="26" t="n">
        <v>0</v>
      </c>
      <c r="H652" s="26" t="n">
        <v>83194.2</v>
      </c>
      <c r="I652" s="26" t="n">
        <v>6280.5</v>
      </c>
      <c r="J652" s="26" t="n">
        <v>74.3</v>
      </c>
      <c r="K652" s="26" t="n">
        <v>0</v>
      </c>
      <c r="L652" s="26" t="n">
        <v>0</v>
      </c>
      <c r="M652" s="26" t="n">
        <v>-318.5</v>
      </c>
    </row>
    <row r="653" customFormat="false" ht="15" hidden="false" customHeight="false" outlineLevel="0" collapsed="false">
      <c r="A653" s="7" t="s">
        <v>85</v>
      </c>
      <c r="B653" s="7" t="n">
        <v>4422006</v>
      </c>
      <c r="C653" s="7" t="s">
        <v>412</v>
      </c>
      <c r="D653" s="26" t="n">
        <v>25</v>
      </c>
      <c r="E653" s="26" t="n">
        <v>0</v>
      </c>
      <c r="F653" s="26" t="n">
        <v>0</v>
      </c>
      <c r="G653" s="26" t="n">
        <v>0</v>
      </c>
      <c r="H653" s="26" t="n">
        <v>6</v>
      </c>
      <c r="I653" s="26" t="n">
        <v>2</v>
      </c>
      <c r="J653" s="26" t="n">
        <v>0</v>
      </c>
      <c r="K653" s="26" t="n">
        <v>8</v>
      </c>
      <c r="L653" s="26" t="n">
        <v>0</v>
      </c>
      <c r="M653" s="26" t="n">
        <v>0</v>
      </c>
    </row>
    <row r="654" customFormat="false" ht="15" hidden="false" customHeight="false" outlineLevel="0" collapsed="false">
      <c r="A654" s="7" t="s">
        <v>87</v>
      </c>
      <c r="B654" s="7" t="n">
        <v>4422006</v>
      </c>
      <c r="C654" s="7" t="s">
        <v>412</v>
      </c>
      <c r="D654" s="26" t="n">
        <v>4518.4</v>
      </c>
      <c r="E654" s="26" t="n">
        <v>0</v>
      </c>
      <c r="F654" s="26" t="n">
        <v>0</v>
      </c>
      <c r="G654" s="26" t="n">
        <v>0</v>
      </c>
      <c r="H654" s="26" t="n">
        <v>975.3</v>
      </c>
      <c r="I654" s="26" t="n">
        <v>374.6</v>
      </c>
      <c r="J654" s="26" t="n">
        <v>0</v>
      </c>
      <c r="K654" s="26" t="n">
        <v>1029.7</v>
      </c>
      <c r="L654" s="26" t="n">
        <v>0</v>
      </c>
      <c r="M654" s="26" t="n">
        <v>0</v>
      </c>
    </row>
    <row r="655" customFormat="false" ht="15" hidden="false" customHeight="false" outlineLevel="0" collapsed="false">
      <c r="A655" s="7" t="s">
        <v>85</v>
      </c>
      <c r="B655" s="7" t="n">
        <v>4422005</v>
      </c>
      <c r="C655" s="7" t="s">
        <v>413</v>
      </c>
      <c r="D655" s="26" t="n">
        <v>15</v>
      </c>
      <c r="E655" s="26" t="n">
        <v>0</v>
      </c>
      <c r="F655" s="26" t="n">
        <v>0</v>
      </c>
      <c r="G655" s="26" t="n">
        <v>0</v>
      </c>
      <c r="H655" s="26" t="n">
        <v>6</v>
      </c>
      <c r="I655" s="26" t="n">
        <v>2</v>
      </c>
      <c r="J655" s="26" t="n">
        <v>0</v>
      </c>
      <c r="K655" s="26" t="n">
        <v>6</v>
      </c>
      <c r="L655" s="26" t="n">
        <v>0</v>
      </c>
      <c r="M655" s="26" t="n">
        <v>0</v>
      </c>
    </row>
    <row r="656" customFormat="false" ht="15" hidden="false" customHeight="false" outlineLevel="0" collapsed="false">
      <c r="A656" s="7" t="s">
        <v>87</v>
      </c>
      <c r="B656" s="7" t="n">
        <v>4422005</v>
      </c>
      <c r="C656" s="7" t="s">
        <v>413</v>
      </c>
      <c r="D656" s="26" t="n">
        <v>2852.4</v>
      </c>
      <c r="E656" s="26" t="n">
        <v>0</v>
      </c>
      <c r="F656" s="26" t="n">
        <v>0</v>
      </c>
      <c r="G656" s="26" t="n">
        <v>0</v>
      </c>
      <c r="H656" s="26" t="n">
        <v>790.4</v>
      </c>
      <c r="I656" s="26" t="n">
        <v>374.6</v>
      </c>
      <c r="J656" s="26" t="n">
        <v>0</v>
      </c>
      <c r="K656" s="26" t="n">
        <v>740.1</v>
      </c>
      <c r="L656" s="26" t="n">
        <v>0</v>
      </c>
      <c r="M656" s="26" t="n">
        <v>0</v>
      </c>
    </row>
    <row r="657" customFormat="false" ht="15" hidden="false" customHeight="false" outlineLevel="0" collapsed="false">
      <c r="A657" s="7" t="s">
        <v>85</v>
      </c>
      <c r="B657" s="7" t="n">
        <v>4422004</v>
      </c>
      <c r="C657" s="7" t="s">
        <v>414</v>
      </c>
      <c r="D657" s="26" t="n">
        <v>5</v>
      </c>
      <c r="E657" s="26" t="n">
        <v>0</v>
      </c>
      <c r="F657" s="26" t="n">
        <v>0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  <c r="L657" s="26" t="n">
        <v>0</v>
      </c>
      <c r="M657" s="26" t="n">
        <v>0</v>
      </c>
    </row>
    <row r="658" customFormat="false" ht="15" hidden="false" customHeight="false" outlineLevel="0" collapsed="false">
      <c r="A658" s="7" t="s">
        <v>87</v>
      </c>
      <c r="B658" s="7" t="n">
        <v>4422004</v>
      </c>
      <c r="C658" s="7" t="s">
        <v>414</v>
      </c>
      <c r="D658" s="26" t="n">
        <v>959.2</v>
      </c>
      <c r="E658" s="26" t="n">
        <v>0</v>
      </c>
      <c r="F658" s="26" t="n">
        <v>0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  <c r="L658" s="26" t="n">
        <v>0</v>
      </c>
      <c r="M658" s="26" t="n">
        <v>0</v>
      </c>
    </row>
    <row r="659" customFormat="false" ht="15" hidden="false" customHeight="false" outlineLevel="0" collapsed="false">
      <c r="A659" s="7" t="s">
        <v>85</v>
      </c>
      <c r="B659" s="7" t="n">
        <v>4422007</v>
      </c>
      <c r="C659" s="7" t="s">
        <v>415</v>
      </c>
      <c r="D659" s="26" t="n">
        <v>19</v>
      </c>
      <c r="E659" s="26" t="n">
        <v>0</v>
      </c>
      <c r="F659" s="26" t="n">
        <v>0</v>
      </c>
      <c r="G659" s="26" t="n">
        <v>0</v>
      </c>
      <c r="H659" s="26" t="n">
        <v>6</v>
      </c>
      <c r="I659" s="26" t="n">
        <v>0</v>
      </c>
      <c r="J659" s="26" t="n">
        <v>0</v>
      </c>
      <c r="K659" s="26" t="n">
        <v>2</v>
      </c>
      <c r="L659" s="26" t="n">
        <v>0</v>
      </c>
      <c r="M659" s="26" t="n">
        <v>0</v>
      </c>
    </row>
    <row r="660" customFormat="false" ht="15" hidden="false" customHeight="false" outlineLevel="0" collapsed="false">
      <c r="A660" s="7" t="s">
        <v>87</v>
      </c>
      <c r="B660" s="7" t="n">
        <v>4422007</v>
      </c>
      <c r="C660" s="7" t="s">
        <v>415</v>
      </c>
      <c r="D660" s="26" t="n">
        <v>3534.2</v>
      </c>
      <c r="E660" s="26" t="n">
        <v>0</v>
      </c>
      <c r="F660" s="26" t="n">
        <v>0</v>
      </c>
      <c r="G660" s="26" t="n">
        <v>0</v>
      </c>
      <c r="H660" s="26" t="n">
        <v>975.3</v>
      </c>
      <c r="I660" s="26" t="n">
        <v>0</v>
      </c>
      <c r="J660" s="26" t="n">
        <v>0</v>
      </c>
      <c r="K660" s="26" t="n">
        <v>257.4</v>
      </c>
      <c r="L660" s="26" t="n">
        <v>0</v>
      </c>
      <c r="M660" s="26" t="n">
        <v>0</v>
      </c>
    </row>
    <row r="661" customFormat="false" ht="15" hidden="false" customHeight="false" outlineLevel="0" collapsed="false">
      <c r="A661" s="7" t="s">
        <v>85</v>
      </c>
      <c r="B661" s="7" t="n">
        <v>4422009</v>
      </c>
      <c r="C661" s="7" t="s">
        <v>416</v>
      </c>
      <c r="D661" s="26" t="n">
        <v>3</v>
      </c>
      <c r="E661" s="26" t="n">
        <v>0</v>
      </c>
      <c r="F661" s="26" t="n">
        <v>0</v>
      </c>
      <c r="G661" s="26" t="n">
        <v>0</v>
      </c>
      <c r="H661" s="26" t="n">
        <v>0</v>
      </c>
      <c r="I661" s="26" t="n">
        <v>0</v>
      </c>
      <c r="J661" s="26" t="n">
        <v>0</v>
      </c>
      <c r="K661" s="26" t="n">
        <v>0</v>
      </c>
      <c r="L661" s="26" t="n">
        <v>0</v>
      </c>
      <c r="M661" s="26" t="n">
        <v>0</v>
      </c>
    </row>
    <row r="662" customFormat="false" ht="15" hidden="false" customHeight="false" outlineLevel="0" collapsed="false">
      <c r="A662" s="7" t="s">
        <v>87</v>
      </c>
      <c r="B662" s="7" t="n">
        <v>4422009</v>
      </c>
      <c r="C662" s="7" t="s">
        <v>416</v>
      </c>
      <c r="D662" s="26" t="n">
        <v>568</v>
      </c>
      <c r="E662" s="26" t="n">
        <v>0</v>
      </c>
      <c r="F662" s="26" t="n">
        <v>0</v>
      </c>
      <c r="G662" s="26" t="n">
        <v>0</v>
      </c>
      <c r="H662" s="26" t="n">
        <v>0</v>
      </c>
      <c r="I662" s="26" t="n">
        <v>0</v>
      </c>
      <c r="J662" s="26" t="n">
        <v>0</v>
      </c>
      <c r="K662" s="26" t="n">
        <v>0</v>
      </c>
      <c r="L662" s="26" t="n">
        <v>0</v>
      </c>
      <c r="M662" s="26" t="n">
        <v>0</v>
      </c>
    </row>
    <row r="663" customFormat="false" ht="15" hidden="false" customHeight="false" outlineLevel="0" collapsed="false">
      <c r="A663" s="7" t="s">
        <v>85</v>
      </c>
      <c r="B663" s="7" t="n">
        <v>4413056</v>
      </c>
      <c r="C663" s="7" t="s">
        <v>417</v>
      </c>
      <c r="D663" s="26" t="n">
        <v>35</v>
      </c>
      <c r="E663" s="26" t="n">
        <v>0</v>
      </c>
      <c r="F663" s="26" t="n">
        <v>0</v>
      </c>
      <c r="G663" s="26" t="n">
        <v>0</v>
      </c>
      <c r="H663" s="26" t="n">
        <v>13</v>
      </c>
      <c r="I663" s="26" t="n">
        <v>24</v>
      </c>
      <c r="J663" s="26" t="n">
        <v>0</v>
      </c>
      <c r="K663" s="26" t="n">
        <v>17</v>
      </c>
      <c r="L663" s="26" t="n">
        <v>0</v>
      </c>
      <c r="M663" s="26" t="n">
        <v>0</v>
      </c>
    </row>
    <row r="664" customFormat="false" ht="15" hidden="false" customHeight="false" outlineLevel="0" collapsed="false">
      <c r="A664" s="7" t="s">
        <v>87</v>
      </c>
      <c r="B664" s="7" t="n">
        <v>4413056</v>
      </c>
      <c r="C664" s="7" t="s">
        <v>417</v>
      </c>
      <c r="D664" s="26" t="n">
        <v>788.8</v>
      </c>
      <c r="E664" s="26" t="n">
        <v>0</v>
      </c>
      <c r="F664" s="26" t="n">
        <v>0</v>
      </c>
      <c r="G664" s="26" t="n">
        <v>0</v>
      </c>
      <c r="H664" s="26" t="n">
        <v>266.4</v>
      </c>
      <c r="I664" s="26" t="n">
        <v>523.9</v>
      </c>
      <c r="J664" s="26" t="n">
        <v>0</v>
      </c>
      <c r="K664" s="26" t="n">
        <v>275.4</v>
      </c>
      <c r="L664" s="26" t="n">
        <v>0</v>
      </c>
      <c r="M664" s="26" t="n">
        <v>0</v>
      </c>
    </row>
    <row r="665" customFormat="false" ht="15" hidden="false" customHeight="false" outlineLevel="0" collapsed="false">
      <c r="A665" s="7" t="s">
        <v>85</v>
      </c>
      <c r="B665" s="7" t="n">
        <v>4420022</v>
      </c>
      <c r="C665" s="7" t="s">
        <v>418</v>
      </c>
      <c r="D665" s="26" t="n">
        <v>78</v>
      </c>
      <c r="E665" s="26" t="n">
        <v>0</v>
      </c>
      <c r="F665" s="26" t="n">
        <v>0</v>
      </c>
      <c r="G665" s="26" t="n">
        <v>0</v>
      </c>
      <c r="H665" s="26" t="n">
        <v>0</v>
      </c>
      <c r="I665" s="26" t="n">
        <v>91</v>
      </c>
      <c r="J665" s="26" t="n">
        <v>0</v>
      </c>
      <c r="K665" s="26" t="n">
        <v>9</v>
      </c>
      <c r="L665" s="26" t="n">
        <v>0</v>
      </c>
      <c r="M665" s="26" t="n">
        <v>0</v>
      </c>
    </row>
    <row r="666" customFormat="false" ht="15" hidden="false" customHeight="false" outlineLevel="0" collapsed="false">
      <c r="A666" s="7" t="s">
        <v>87</v>
      </c>
      <c r="B666" s="7" t="n">
        <v>4420022</v>
      </c>
      <c r="C666" s="7" t="s">
        <v>418</v>
      </c>
      <c r="D666" s="26" t="n">
        <v>1779.9</v>
      </c>
      <c r="E666" s="26" t="n">
        <v>0</v>
      </c>
      <c r="F666" s="26" t="n">
        <v>0</v>
      </c>
      <c r="G666" s="26" t="n">
        <v>0</v>
      </c>
      <c r="H666" s="26" t="n">
        <v>0</v>
      </c>
      <c r="I666" s="26" t="n">
        <v>1968.5</v>
      </c>
      <c r="J666" s="26" t="n">
        <v>0</v>
      </c>
      <c r="K666" s="26" t="n">
        <v>135.2</v>
      </c>
      <c r="L666" s="26" t="n">
        <v>0</v>
      </c>
      <c r="M666" s="26" t="n">
        <v>0</v>
      </c>
    </row>
    <row r="667" customFormat="false" ht="15" hidden="false" customHeight="false" outlineLevel="0" collapsed="false">
      <c r="A667" s="7" t="s">
        <v>85</v>
      </c>
      <c r="B667" s="7" t="n">
        <v>4420023</v>
      </c>
      <c r="C667" s="7" t="s">
        <v>419</v>
      </c>
      <c r="D667" s="26" t="n">
        <v>-1</v>
      </c>
      <c r="E667" s="26" t="n">
        <v>0</v>
      </c>
      <c r="F667" s="26" t="n">
        <v>0</v>
      </c>
      <c r="G667" s="26" t="n">
        <v>0</v>
      </c>
      <c r="H667" s="26" t="n">
        <v>1</v>
      </c>
      <c r="I667" s="26" t="n">
        <v>7</v>
      </c>
      <c r="J667" s="26" t="n">
        <v>0</v>
      </c>
      <c r="K667" s="26" t="n">
        <v>0</v>
      </c>
      <c r="L667" s="26" t="n">
        <v>0</v>
      </c>
      <c r="M667" s="26" t="n">
        <v>0</v>
      </c>
    </row>
    <row r="668" customFormat="false" ht="15" hidden="false" customHeight="false" outlineLevel="0" collapsed="false">
      <c r="A668" s="7" t="s">
        <v>87</v>
      </c>
      <c r="B668" s="7" t="n">
        <v>4420023</v>
      </c>
      <c r="C668" s="7" t="s">
        <v>419</v>
      </c>
      <c r="D668" s="26" t="n">
        <v>-21.9</v>
      </c>
      <c r="E668" s="26" t="n">
        <v>0</v>
      </c>
      <c r="F668" s="26" t="n">
        <v>0</v>
      </c>
      <c r="G668" s="26" t="n">
        <v>0</v>
      </c>
      <c r="H668" s="26" t="n">
        <v>24.3</v>
      </c>
      <c r="I668" s="26" t="n">
        <v>171.6</v>
      </c>
      <c r="J668" s="26" t="n">
        <v>0</v>
      </c>
      <c r="K668" s="26" t="n">
        <v>0</v>
      </c>
      <c r="L668" s="26" t="n">
        <v>0</v>
      </c>
      <c r="M668" s="26" t="n">
        <v>0</v>
      </c>
    </row>
    <row r="669" customFormat="false" ht="15" hidden="false" customHeight="false" outlineLevel="0" collapsed="false">
      <c r="A669" s="7" t="s">
        <v>85</v>
      </c>
      <c r="B669" s="7" t="n">
        <v>4420025</v>
      </c>
      <c r="C669" s="7" t="s">
        <v>420</v>
      </c>
      <c r="D669" s="26" t="n">
        <v>11</v>
      </c>
      <c r="E669" s="26" t="n">
        <v>0</v>
      </c>
      <c r="F669" s="26" t="n">
        <v>0</v>
      </c>
      <c r="G669" s="26" t="n">
        <v>0</v>
      </c>
      <c r="H669" s="26" t="n">
        <v>-3</v>
      </c>
      <c r="I669" s="26" t="n">
        <v>44</v>
      </c>
      <c r="J669" s="26" t="n">
        <v>0</v>
      </c>
      <c r="K669" s="26" t="n">
        <v>11</v>
      </c>
      <c r="L669" s="26" t="n">
        <v>0</v>
      </c>
      <c r="M669" s="26" t="n">
        <v>0</v>
      </c>
    </row>
    <row r="670" customFormat="false" ht="15" hidden="false" customHeight="false" outlineLevel="0" collapsed="false">
      <c r="A670" s="7" t="s">
        <v>87</v>
      </c>
      <c r="B670" s="7" t="n">
        <v>4420025</v>
      </c>
      <c r="C670" s="7" t="s">
        <v>420</v>
      </c>
      <c r="D670" s="26" t="n">
        <v>243.3</v>
      </c>
      <c r="E670" s="26" t="n">
        <v>0</v>
      </c>
      <c r="F670" s="26" t="n">
        <v>0</v>
      </c>
      <c r="G670" s="26" t="n">
        <v>0</v>
      </c>
      <c r="H670" s="26" t="n">
        <v>-60.8</v>
      </c>
      <c r="I670" s="26" t="n">
        <v>940.6</v>
      </c>
      <c r="J670" s="26" t="n">
        <v>0</v>
      </c>
      <c r="K670" s="26" t="n">
        <v>171</v>
      </c>
      <c r="L670" s="26" t="n">
        <v>0</v>
      </c>
      <c r="M670" s="26" t="n">
        <v>0</v>
      </c>
    </row>
    <row r="671" customFormat="false" ht="15" hidden="false" customHeight="false" outlineLevel="0" collapsed="false">
      <c r="A671" s="7" t="s">
        <v>85</v>
      </c>
      <c r="B671" s="7" t="n">
        <v>4413276</v>
      </c>
      <c r="C671" s="7" t="s">
        <v>421</v>
      </c>
      <c r="D671" s="26" t="n">
        <v>4</v>
      </c>
      <c r="E671" s="26" t="n">
        <v>0</v>
      </c>
      <c r="F671" s="26" t="n">
        <v>0</v>
      </c>
      <c r="G671" s="26" t="n">
        <v>0</v>
      </c>
      <c r="H671" s="26" t="n">
        <v>3</v>
      </c>
      <c r="I671" s="26" t="n">
        <v>4</v>
      </c>
      <c r="J671" s="26" t="n">
        <v>0</v>
      </c>
      <c r="K671" s="26" t="n">
        <v>0</v>
      </c>
      <c r="L671" s="26" t="n">
        <v>0</v>
      </c>
      <c r="M671" s="26" t="n">
        <v>0</v>
      </c>
    </row>
    <row r="672" customFormat="false" ht="15" hidden="false" customHeight="false" outlineLevel="0" collapsed="false">
      <c r="A672" s="7" t="s">
        <v>87</v>
      </c>
      <c r="B672" s="7" t="n">
        <v>4413276</v>
      </c>
      <c r="C672" s="7" t="s">
        <v>421</v>
      </c>
      <c r="D672" s="26" t="n">
        <v>182.9</v>
      </c>
      <c r="E672" s="26" t="n">
        <v>0</v>
      </c>
      <c r="F672" s="26" t="n">
        <v>0</v>
      </c>
      <c r="G672" s="26" t="n">
        <v>0</v>
      </c>
      <c r="H672" s="26" t="n">
        <v>114</v>
      </c>
      <c r="I672" s="26" t="n">
        <v>136.1</v>
      </c>
      <c r="J672" s="26" t="n">
        <v>0</v>
      </c>
      <c r="K672" s="26" t="n">
        <v>0</v>
      </c>
      <c r="L672" s="26" t="n">
        <v>0</v>
      </c>
      <c r="M672" s="26" t="n">
        <v>0</v>
      </c>
    </row>
    <row r="673" customFormat="false" ht="15" hidden="false" customHeight="false" outlineLevel="0" collapsed="false">
      <c r="A673" s="7" t="s">
        <v>85</v>
      </c>
      <c r="B673" s="7" t="n">
        <v>4413277</v>
      </c>
      <c r="C673" s="7" t="s">
        <v>422</v>
      </c>
      <c r="D673" s="26" t="n">
        <v>2</v>
      </c>
      <c r="E673" s="26" t="n">
        <v>0</v>
      </c>
      <c r="F673" s="26" t="n">
        <v>0</v>
      </c>
      <c r="G673" s="26" t="n">
        <v>0</v>
      </c>
      <c r="H673" s="26" t="n">
        <v>-3</v>
      </c>
      <c r="I673" s="26" t="n">
        <v>4</v>
      </c>
      <c r="J673" s="26" t="n">
        <v>0</v>
      </c>
      <c r="K673" s="26" t="n">
        <v>1</v>
      </c>
      <c r="L673" s="26" t="n">
        <v>0</v>
      </c>
      <c r="M673" s="26" t="n">
        <v>0</v>
      </c>
    </row>
    <row r="674" customFormat="false" ht="15" hidden="false" customHeight="false" outlineLevel="0" collapsed="false">
      <c r="A674" s="7" t="s">
        <v>87</v>
      </c>
      <c r="B674" s="7" t="n">
        <v>4413277</v>
      </c>
      <c r="C674" s="7" t="s">
        <v>422</v>
      </c>
      <c r="D674" s="26" t="n">
        <v>75.7</v>
      </c>
      <c r="E674" s="26" t="n">
        <v>0</v>
      </c>
      <c r="F674" s="26" t="n">
        <v>0</v>
      </c>
      <c r="G674" s="26" t="n">
        <v>0</v>
      </c>
      <c r="H674" s="26" t="n">
        <v>-121.7</v>
      </c>
      <c r="I674" s="26" t="n">
        <v>174.8</v>
      </c>
      <c r="J674" s="26" t="n">
        <v>0</v>
      </c>
      <c r="K674" s="26" t="n">
        <v>32.1</v>
      </c>
      <c r="L674" s="26" t="n">
        <v>0</v>
      </c>
      <c r="M674" s="26" t="n">
        <v>0</v>
      </c>
    </row>
    <row r="675" customFormat="false" ht="15" hidden="false" customHeight="false" outlineLevel="0" collapsed="false">
      <c r="A675" s="7" t="s">
        <v>85</v>
      </c>
      <c r="B675" s="7" t="n">
        <v>4413278</v>
      </c>
      <c r="C675" s="7" t="s">
        <v>423</v>
      </c>
      <c r="D675" s="26" t="n">
        <v>1</v>
      </c>
      <c r="E675" s="26" t="n">
        <v>0</v>
      </c>
      <c r="F675" s="26" t="n">
        <v>0</v>
      </c>
      <c r="G675" s="26" t="n">
        <v>0</v>
      </c>
      <c r="H675" s="26" t="n">
        <v>3</v>
      </c>
      <c r="I675" s="26" t="n">
        <v>0</v>
      </c>
      <c r="J675" s="26" t="n">
        <v>0</v>
      </c>
      <c r="K675" s="26" t="n">
        <v>0</v>
      </c>
      <c r="L675" s="26" t="n">
        <v>0</v>
      </c>
      <c r="M675" s="26" t="n">
        <v>0</v>
      </c>
    </row>
    <row r="676" customFormat="false" ht="15" hidden="false" customHeight="false" outlineLevel="0" collapsed="false">
      <c r="A676" s="7" t="s">
        <v>87</v>
      </c>
      <c r="B676" s="7" t="n">
        <v>4413278</v>
      </c>
      <c r="C676" s="7" t="s">
        <v>423</v>
      </c>
      <c r="D676" s="26" t="n">
        <v>34.8</v>
      </c>
      <c r="E676" s="26" t="n">
        <v>0</v>
      </c>
      <c r="F676" s="26" t="n">
        <v>0</v>
      </c>
      <c r="G676" s="26" t="n">
        <v>0</v>
      </c>
      <c r="H676" s="26" t="n">
        <v>122.2</v>
      </c>
      <c r="I676" s="26" t="n">
        <v>0</v>
      </c>
      <c r="J676" s="26" t="n">
        <v>0</v>
      </c>
      <c r="K676" s="26" t="n">
        <v>0</v>
      </c>
      <c r="L676" s="26" t="n">
        <v>0</v>
      </c>
      <c r="M676" s="26" t="n">
        <v>0</v>
      </c>
    </row>
    <row r="677" customFormat="false" ht="15" hidden="false" customHeight="false" outlineLevel="0" collapsed="false">
      <c r="A677" s="7" t="s">
        <v>85</v>
      </c>
      <c r="B677" s="7" t="n">
        <v>4413451</v>
      </c>
      <c r="C677" s="7" t="s">
        <v>424</v>
      </c>
      <c r="D677" s="26" t="n">
        <v>3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0</v>
      </c>
      <c r="L677" s="26" t="n">
        <v>0</v>
      </c>
      <c r="M677" s="26" t="n">
        <v>0</v>
      </c>
    </row>
    <row r="678" customFormat="false" ht="15" hidden="false" customHeight="false" outlineLevel="0" collapsed="false">
      <c r="A678" s="7" t="s">
        <v>87</v>
      </c>
      <c r="B678" s="7" t="n">
        <v>4413451</v>
      </c>
      <c r="C678" s="7" t="s">
        <v>424</v>
      </c>
      <c r="D678" s="26" t="n">
        <v>215.7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0</v>
      </c>
      <c r="L678" s="26" t="n">
        <v>0</v>
      </c>
      <c r="M678" s="26" t="n">
        <v>0</v>
      </c>
    </row>
    <row r="679" customFormat="false" ht="15" hidden="false" customHeight="false" outlineLevel="0" collapsed="false">
      <c r="A679" s="7" t="s">
        <v>85</v>
      </c>
      <c r="B679" s="7" t="n">
        <v>4420024</v>
      </c>
      <c r="C679" s="7" t="s">
        <v>425</v>
      </c>
      <c r="D679" s="26" t="n">
        <v>32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18</v>
      </c>
      <c r="J679" s="26" t="n">
        <v>0</v>
      </c>
      <c r="K679" s="26" t="n">
        <v>15</v>
      </c>
      <c r="L679" s="26" t="n">
        <v>0</v>
      </c>
      <c r="M679" s="26" t="n">
        <v>0</v>
      </c>
    </row>
    <row r="680" customFormat="false" ht="15" hidden="false" customHeight="false" outlineLevel="0" collapsed="false">
      <c r="A680" s="7" t="s">
        <v>87</v>
      </c>
      <c r="B680" s="7" t="n">
        <v>4420024</v>
      </c>
      <c r="C680" s="7" t="s">
        <v>425</v>
      </c>
      <c r="D680" s="26" t="n">
        <v>657.5</v>
      </c>
      <c r="E680" s="26" t="n">
        <v>0</v>
      </c>
      <c r="F680" s="26" t="n">
        <v>0</v>
      </c>
      <c r="G680" s="26" t="n">
        <v>0</v>
      </c>
      <c r="H680" s="26" t="n">
        <v>0</v>
      </c>
      <c r="I680" s="26" t="n">
        <v>344.5</v>
      </c>
      <c r="J680" s="26" t="n">
        <v>0</v>
      </c>
      <c r="K680" s="26" t="n">
        <v>205.9</v>
      </c>
      <c r="L680" s="26" t="n">
        <v>0</v>
      </c>
      <c r="M680" s="26" t="n">
        <v>0</v>
      </c>
    </row>
    <row r="681" customFormat="false" ht="15" hidden="false" customHeight="false" outlineLevel="0" collapsed="false">
      <c r="A681" s="7" t="s">
        <v>85</v>
      </c>
      <c r="B681" s="7" t="n">
        <v>4413008</v>
      </c>
      <c r="C681" s="7" t="s">
        <v>426</v>
      </c>
      <c r="D681" s="26" t="n">
        <v>0</v>
      </c>
      <c r="E681" s="26" t="n">
        <v>0</v>
      </c>
      <c r="F681" s="26" t="n">
        <v>0</v>
      </c>
      <c r="G681" s="26" t="n">
        <v>0</v>
      </c>
      <c r="H681" s="26" t="n">
        <v>0</v>
      </c>
      <c r="I681" s="26" t="n">
        <v>-1</v>
      </c>
      <c r="J681" s="26" t="n">
        <v>0</v>
      </c>
      <c r="K681" s="26" t="n">
        <v>0</v>
      </c>
      <c r="L681" s="26" t="n">
        <v>0</v>
      </c>
      <c r="M681" s="26" t="n">
        <v>0</v>
      </c>
    </row>
    <row r="682" customFormat="false" ht="15" hidden="false" customHeight="false" outlineLevel="0" collapsed="false">
      <c r="A682" s="7" t="s">
        <v>87</v>
      </c>
      <c r="B682" s="7" t="n">
        <v>4413008</v>
      </c>
      <c r="C682" s="7" t="s">
        <v>426</v>
      </c>
      <c r="D682" s="26" t="n">
        <v>0</v>
      </c>
      <c r="E682" s="26" t="n">
        <v>0</v>
      </c>
      <c r="F682" s="26" t="n">
        <v>0</v>
      </c>
      <c r="G682" s="26" t="n">
        <v>0</v>
      </c>
      <c r="H682" s="26" t="n">
        <v>0</v>
      </c>
      <c r="I682" s="26" t="n">
        <v>-96.7</v>
      </c>
      <c r="J682" s="26" t="n">
        <v>0</v>
      </c>
      <c r="K682" s="26" t="n">
        <v>0</v>
      </c>
      <c r="L682" s="26" t="n">
        <v>0</v>
      </c>
      <c r="M682" s="26" t="n">
        <v>0</v>
      </c>
    </row>
    <row r="683" customFormat="false" ht="15" hidden="false" customHeight="false" outlineLevel="0" collapsed="false">
      <c r="A683" s="7" t="s">
        <v>85</v>
      </c>
      <c r="B683" s="7" t="n">
        <v>4413009</v>
      </c>
      <c r="C683" s="7" t="s">
        <v>427</v>
      </c>
      <c r="D683" s="26" t="n">
        <v>0</v>
      </c>
      <c r="E683" s="26" t="n">
        <v>0</v>
      </c>
      <c r="F683" s="26" t="n">
        <v>0</v>
      </c>
      <c r="G683" s="26" t="n">
        <v>0</v>
      </c>
      <c r="H683" s="26" t="n">
        <v>0</v>
      </c>
      <c r="I683" s="26" t="n">
        <v>0</v>
      </c>
      <c r="J683" s="26" t="n">
        <v>0</v>
      </c>
      <c r="K683" s="26" t="n">
        <v>0</v>
      </c>
      <c r="L683" s="26" t="n">
        <v>0</v>
      </c>
      <c r="M683" s="26" t="n">
        <v>0</v>
      </c>
    </row>
    <row r="684" customFormat="false" ht="15" hidden="false" customHeight="false" outlineLevel="0" collapsed="false">
      <c r="A684" s="7" t="s">
        <v>87</v>
      </c>
      <c r="B684" s="7" t="n">
        <v>4413009</v>
      </c>
      <c r="C684" s="7" t="s">
        <v>427</v>
      </c>
      <c r="D684" s="26" t="n">
        <v>0</v>
      </c>
      <c r="E684" s="26" t="n">
        <v>0</v>
      </c>
      <c r="F684" s="26" t="n">
        <v>0</v>
      </c>
      <c r="G684" s="26" t="n">
        <v>0</v>
      </c>
      <c r="H684" s="26" t="n">
        <v>0</v>
      </c>
      <c r="I684" s="26" t="n">
        <v>0</v>
      </c>
      <c r="J684" s="26" t="n">
        <v>0</v>
      </c>
      <c r="K684" s="26" t="n">
        <v>0</v>
      </c>
      <c r="L684" s="26" t="n">
        <v>0</v>
      </c>
      <c r="M684" s="26" t="n">
        <v>0</v>
      </c>
    </row>
    <row r="685" customFormat="false" ht="15" hidden="false" customHeight="false" outlineLevel="0" collapsed="false">
      <c r="A685" s="7" t="s">
        <v>85</v>
      </c>
      <c r="B685" s="7" t="n">
        <v>4413372</v>
      </c>
      <c r="C685" s="7" t="s">
        <v>428</v>
      </c>
      <c r="D685" s="26" t="n">
        <v>126</v>
      </c>
      <c r="E685" s="26" t="n">
        <v>-3</v>
      </c>
      <c r="F685" s="26" t="n">
        <v>0</v>
      </c>
      <c r="G685" s="26" t="n">
        <v>0</v>
      </c>
      <c r="H685" s="26" t="n">
        <v>0</v>
      </c>
      <c r="I685" s="26" t="n">
        <v>82</v>
      </c>
      <c r="J685" s="26" t="n">
        <v>0</v>
      </c>
      <c r="K685" s="26" t="n">
        <v>65</v>
      </c>
      <c r="L685" s="26" t="n">
        <v>0</v>
      </c>
      <c r="M685" s="26" t="n">
        <v>0</v>
      </c>
    </row>
    <row r="686" customFormat="false" ht="15" hidden="false" customHeight="false" outlineLevel="0" collapsed="false">
      <c r="A686" s="7" t="s">
        <v>87</v>
      </c>
      <c r="B686" s="7" t="n">
        <v>4413372</v>
      </c>
      <c r="C686" s="7" t="s">
        <v>428</v>
      </c>
      <c r="D686" s="26" t="n">
        <v>8126.1</v>
      </c>
      <c r="E686" s="26" t="n">
        <v>-212.6</v>
      </c>
      <c r="F686" s="26" t="n">
        <v>0</v>
      </c>
      <c r="G686" s="26" t="n">
        <v>0</v>
      </c>
      <c r="H686" s="26" t="n">
        <v>0</v>
      </c>
      <c r="I686" s="26" t="n">
        <v>5323.1</v>
      </c>
      <c r="J686" s="26" t="n">
        <v>0</v>
      </c>
      <c r="K686" s="26" t="n">
        <v>3070</v>
      </c>
      <c r="L686" s="26" t="n">
        <v>0</v>
      </c>
      <c r="M686" s="26" t="n">
        <v>0</v>
      </c>
    </row>
    <row r="687" customFormat="false" ht="15" hidden="false" customHeight="false" outlineLevel="0" collapsed="false">
      <c r="A687" s="7" t="s">
        <v>85</v>
      </c>
      <c r="B687" s="7" t="n">
        <v>4413348</v>
      </c>
      <c r="C687" s="7" t="s">
        <v>429</v>
      </c>
      <c r="D687" s="26" t="n">
        <v>257</v>
      </c>
      <c r="E687" s="26" t="n">
        <v>-2</v>
      </c>
      <c r="F687" s="26" t="n">
        <v>0</v>
      </c>
      <c r="G687" s="26" t="n">
        <v>0</v>
      </c>
      <c r="H687" s="26" t="n">
        <v>0</v>
      </c>
      <c r="I687" s="26" t="n">
        <v>142</v>
      </c>
      <c r="J687" s="26" t="n">
        <v>0</v>
      </c>
      <c r="K687" s="26" t="n">
        <v>77</v>
      </c>
      <c r="L687" s="26" t="n">
        <v>0</v>
      </c>
      <c r="M687" s="26" t="n">
        <v>0</v>
      </c>
    </row>
    <row r="688" customFormat="false" ht="15" hidden="false" customHeight="false" outlineLevel="0" collapsed="false">
      <c r="A688" s="7" t="s">
        <v>87</v>
      </c>
      <c r="B688" s="7" t="n">
        <v>4413348</v>
      </c>
      <c r="C688" s="7" t="s">
        <v>429</v>
      </c>
      <c r="D688" s="26" t="n">
        <v>16471.6</v>
      </c>
      <c r="E688" s="26" t="n">
        <v>-142.4</v>
      </c>
      <c r="F688" s="26" t="n">
        <v>0</v>
      </c>
      <c r="G688" s="26" t="n">
        <v>0</v>
      </c>
      <c r="H688" s="26" t="n">
        <v>0</v>
      </c>
      <c r="I688" s="26" t="n">
        <v>9319.5</v>
      </c>
      <c r="J688" s="26" t="n">
        <v>0</v>
      </c>
      <c r="K688" s="26" t="n">
        <v>3636.7</v>
      </c>
      <c r="L688" s="26" t="n">
        <v>0</v>
      </c>
      <c r="M688" s="26" t="n">
        <v>0</v>
      </c>
    </row>
    <row r="689" customFormat="false" ht="15" hidden="false" customHeight="false" outlineLevel="0" collapsed="false">
      <c r="A689" s="7" t="s">
        <v>85</v>
      </c>
      <c r="B689" s="7" t="n">
        <v>4413444</v>
      </c>
      <c r="C689" s="7" t="s">
        <v>430</v>
      </c>
      <c r="D689" s="26" t="n">
        <v>0</v>
      </c>
      <c r="E689" s="26" t="n">
        <v>0</v>
      </c>
      <c r="F689" s="26" t="n">
        <v>0</v>
      </c>
      <c r="G689" s="26" t="n">
        <v>0</v>
      </c>
      <c r="H689" s="26" t="n">
        <v>0</v>
      </c>
      <c r="I689" s="26" t="n">
        <v>-1</v>
      </c>
      <c r="J689" s="26" t="n">
        <v>0</v>
      </c>
      <c r="K689" s="26" t="n">
        <v>0</v>
      </c>
      <c r="L689" s="26" t="n">
        <v>0</v>
      </c>
      <c r="M689" s="26" t="n">
        <v>0</v>
      </c>
    </row>
    <row r="690" customFormat="false" ht="15" hidden="false" customHeight="false" outlineLevel="0" collapsed="false">
      <c r="A690" s="7" t="s">
        <v>87</v>
      </c>
      <c r="B690" s="7" t="n">
        <v>4413444</v>
      </c>
      <c r="C690" s="7" t="s">
        <v>430</v>
      </c>
      <c r="D690" s="26" t="n">
        <v>0</v>
      </c>
      <c r="E690" s="26" t="n">
        <v>0</v>
      </c>
      <c r="F690" s="26" t="n">
        <v>0</v>
      </c>
      <c r="G690" s="26" t="n">
        <v>0</v>
      </c>
      <c r="H690" s="26" t="n">
        <v>0</v>
      </c>
      <c r="I690" s="26" t="n">
        <v>-65.6</v>
      </c>
      <c r="J690" s="26" t="n">
        <v>0</v>
      </c>
      <c r="K690" s="26" t="n">
        <v>0</v>
      </c>
      <c r="L690" s="26" t="n">
        <v>0</v>
      </c>
      <c r="M690" s="26" t="n">
        <v>0</v>
      </c>
    </row>
    <row r="691" customFormat="false" ht="15" hidden="false" customHeight="false" outlineLevel="0" collapsed="false">
      <c r="A691" s="7" t="s">
        <v>85</v>
      </c>
      <c r="B691" s="7" t="n">
        <v>4413445</v>
      </c>
      <c r="C691" s="7" t="s">
        <v>431</v>
      </c>
      <c r="D691" s="26" t="n">
        <v>39</v>
      </c>
      <c r="E691" s="26" t="n">
        <v>0</v>
      </c>
      <c r="F691" s="26" t="n">
        <v>0</v>
      </c>
      <c r="G691" s="26" t="n">
        <v>0</v>
      </c>
      <c r="H691" s="26" t="n">
        <v>0</v>
      </c>
      <c r="I691" s="26" t="n">
        <v>3</v>
      </c>
      <c r="J691" s="26" t="n">
        <v>0</v>
      </c>
      <c r="K691" s="26" t="n">
        <v>0</v>
      </c>
      <c r="L691" s="26" t="n">
        <v>0</v>
      </c>
      <c r="M691" s="26" t="n">
        <v>0</v>
      </c>
    </row>
    <row r="692" customFormat="false" ht="15" hidden="false" customHeight="false" outlineLevel="0" collapsed="false">
      <c r="A692" s="7" t="s">
        <v>87</v>
      </c>
      <c r="B692" s="7" t="n">
        <v>4413445</v>
      </c>
      <c r="C692" s="7" t="s">
        <v>431</v>
      </c>
      <c r="D692" s="26" t="n">
        <v>2191.9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196.9</v>
      </c>
      <c r="J692" s="26" t="n">
        <v>0</v>
      </c>
      <c r="K692" s="26" t="n">
        <v>0</v>
      </c>
      <c r="L692" s="26" t="n">
        <v>0</v>
      </c>
      <c r="M692" s="26" t="n">
        <v>0</v>
      </c>
    </row>
    <row r="693" customFormat="false" ht="15" hidden="false" customHeight="false" outlineLevel="0" collapsed="false">
      <c r="A693" s="7" t="s">
        <v>85</v>
      </c>
      <c r="B693" s="7" t="n">
        <v>4413018</v>
      </c>
      <c r="C693" s="7" t="s">
        <v>432</v>
      </c>
      <c r="D693" s="26" t="n">
        <v>3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0</v>
      </c>
      <c r="L693" s="26" t="n">
        <v>0</v>
      </c>
      <c r="M693" s="26" t="n">
        <v>0</v>
      </c>
    </row>
    <row r="694" customFormat="false" ht="15" hidden="false" customHeight="false" outlineLevel="0" collapsed="false">
      <c r="A694" s="7" t="s">
        <v>87</v>
      </c>
      <c r="B694" s="7" t="n">
        <v>4413018</v>
      </c>
      <c r="C694" s="7" t="s">
        <v>432</v>
      </c>
      <c r="D694" s="26" t="n">
        <v>355.6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0</v>
      </c>
      <c r="L694" s="26" t="n">
        <v>0</v>
      </c>
      <c r="M694" s="26" t="n">
        <v>0</v>
      </c>
    </row>
    <row r="695" customFormat="false" ht="15" hidden="false" customHeight="false" outlineLevel="0" collapsed="false">
      <c r="A695" s="7" t="s">
        <v>85</v>
      </c>
      <c r="B695" s="7" t="n">
        <v>4413019</v>
      </c>
      <c r="C695" s="7" t="s">
        <v>433</v>
      </c>
      <c r="D695" s="26" t="n">
        <v>-1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0</v>
      </c>
      <c r="L695" s="26" t="n">
        <v>0</v>
      </c>
      <c r="M695" s="26" t="n">
        <v>0</v>
      </c>
    </row>
    <row r="696" customFormat="false" ht="15" hidden="false" customHeight="false" outlineLevel="0" collapsed="false">
      <c r="A696" s="7" t="s">
        <v>87</v>
      </c>
      <c r="B696" s="7" t="n">
        <v>4413019</v>
      </c>
      <c r="C696" s="7" t="s">
        <v>433</v>
      </c>
      <c r="D696" s="26" t="n">
        <v>-71.1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0</v>
      </c>
      <c r="L696" s="26" t="n">
        <v>0</v>
      </c>
      <c r="M696" s="26" t="n">
        <v>0</v>
      </c>
    </row>
    <row r="697" customFormat="false" ht="15" hidden="false" customHeight="false" outlineLevel="0" collapsed="false">
      <c r="A697" s="7" t="s">
        <v>85</v>
      </c>
      <c r="B697" s="7" t="n">
        <v>4413020</v>
      </c>
      <c r="C697" s="7" t="s">
        <v>434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1</v>
      </c>
      <c r="J697" s="26" t="n">
        <v>0</v>
      </c>
      <c r="K697" s="26" t="n">
        <v>0</v>
      </c>
      <c r="L697" s="26" t="n">
        <v>0</v>
      </c>
      <c r="M697" s="26" t="n">
        <v>0</v>
      </c>
    </row>
    <row r="698" customFormat="false" ht="15" hidden="false" customHeight="false" outlineLevel="0" collapsed="false">
      <c r="A698" s="7" t="s">
        <v>87</v>
      </c>
      <c r="B698" s="7" t="n">
        <v>4413020</v>
      </c>
      <c r="C698" s="7" t="s">
        <v>434</v>
      </c>
      <c r="D698" s="26" t="n">
        <v>23.7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110.5</v>
      </c>
      <c r="J698" s="26" t="n">
        <v>0</v>
      </c>
      <c r="K698" s="26" t="n">
        <v>0</v>
      </c>
      <c r="L698" s="26" t="n">
        <v>0</v>
      </c>
      <c r="M698" s="26" t="n">
        <v>0</v>
      </c>
    </row>
    <row r="699" customFormat="false" ht="15" hidden="false" customHeight="false" outlineLevel="0" collapsed="false">
      <c r="A699" s="7" t="s">
        <v>85</v>
      </c>
      <c r="B699" s="7" t="n">
        <v>4413021</v>
      </c>
      <c r="C699" s="7" t="s">
        <v>435</v>
      </c>
      <c r="D699" s="26" t="n">
        <v>-1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0</v>
      </c>
      <c r="L699" s="26" t="n">
        <v>0</v>
      </c>
      <c r="M699" s="26" t="n">
        <v>0</v>
      </c>
    </row>
    <row r="700" customFormat="false" ht="15" hidden="false" customHeight="false" outlineLevel="0" collapsed="false">
      <c r="A700" s="7" t="s">
        <v>87</v>
      </c>
      <c r="B700" s="7" t="n">
        <v>4413021</v>
      </c>
      <c r="C700" s="7" t="s">
        <v>435</v>
      </c>
      <c r="D700" s="26" t="n">
        <v>-94.8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0</v>
      </c>
      <c r="L700" s="26" t="n">
        <v>0</v>
      </c>
      <c r="M700" s="26" t="n">
        <v>0</v>
      </c>
    </row>
    <row r="701" customFormat="false" ht="15" hidden="false" customHeight="false" outlineLevel="0" collapsed="false">
      <c r="A701" s="7" t="s">
        <v>85</v>
      </c>
      <c r="B701" s="7" t="n">
        <v>4413022</v>
      </c>
      <c r="C701" s="7" t="s">
        <v>436</v>
      </c>
      <c r="D701" s="26" t="n">
        <v>2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0</v>
      </c>
      <c r="L701" s="26" t="n">
        <v>0</v>
      </c>
      <c r="M701" s="26" t="n">
        <v>0</v>
      </c>
    </row>
    <row r="702" customFormat="false" ht="15" hidden="false" customHeight="false" outlineLevel="0" collapsed="false">
      <c r="A702" s="7" t="s">
        <v>87</v>
      </c>
      <c r="B702" s="7" t="n">
        <v>4413022</v>
      </c>
      <c r="C702" s="7" t="s">
        <v>436</v>
      </c>
      <c r="D702" s="26" t="n">
        <v>237.1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0</v>
      </c>
      <c r="L702" s="26" t="n">
        <v>0</v>
      </c>
      <c r="M702" s="26" t="n">
        <v>0</v>
      </c>
    </row>
    <row r="703" customFormat="false" ht="15" hidden="false" customHeight="false" outlineLevel="0" collapsed="false">
      <c r="A703" s="7" t="s">
        <v>85</v>
      </c>
      <c r="B703" s="7" t="n">
        <v>4413153</v>
      </c>
      <c r="C703" s="7" t="s">
        <v>437</v>
      </c>
      <c r="D703" s="26" t="n">
        <v>-2</v>
      </c>
      <c r="E703" s="26" t="n">
        <v>0</v>
      </c>
      <c r="F703" s="26" t="n">
        <v>0</v>
      </c>
      <c r="G703" s="26" t="n">
        <v>0</v>
      </c>
      <c r="H703" s="26" t="n">
        <v>-13</v>
      </c>
      <c r="I703" s="26" t="n">
        <v>2</v>
      </c>
      <c r="J703" s="26" t="n">
        <v>0</v>
      </c>
      <c r="K703" s="26" t="n">
        <v>0</v>
      </c>
      <c r="L703" s="26" t="n">
        <v>0</v>
      </c>
      <c r="M703" s="26" t="n">
        <v>0</v>
      </c>
    </row>
    <row r="704" customFormat="false" ht="15" hidden="false" customHeight="false" outlineLevel="0" collapsed="false">
      <c r="A704" s="7" t="s">
        <v>87</v>
      </c>
      <c r="B704" s="7" t="n">
        <v>4413153</v>
      </c>
      <c r="C704" s="7" t="s">
        <v>437</v>
      </c>
      <c r="D704" s="26" t="n">
        <v>-184.3</v>
      </c>
      <c r="E704" s="26" t="n">
        <v>0</v>
      </c>
      <c r="F704" s="26" t="n">
        <v>0</v>
      </c>
      <c r="G704" s="26" t="n">
        <v>0</v>
      </c>
      <c r="H704" s="26" t="n">
        <v>-798.9</v>
      </c>
      <c r="I704" s="26" t="n">
        <v>84.9</v>
      </c>
      <c r="J704" s="26" t="n">
        <v>0</v>
      </c>
      <c r="K704" s="26" t="n">
        <v>0</v>
      </c>
      <c r="L704" s="26" t="n">
        <v>0</v>
      </c>
      <c r="M704" s="26" t="n">
        <v>0</v>
      </c>
    </row>
    <row r="705" customFormat="false" ht="15" hidden="false" customHeight="false" outlineLevel="0" collapsed="false">
      <c r="A705" s="7" t="s">
        <v>85</v>
      </c>
      <c r="B705" s="7" t="n">
        <v>4413154</v>
      </c>
      <c r="C705" s="7" t="s">
        <v>438</v>
      </c>
      <c r="D705" s="26" t="n">
        <v>3</v>
      </c>
      <c r="E705" s="26" t="n">
        <v>0</v>
      </c>
      <c r="F705" s="26" t="n">
        <v>0</v>
      </c>
      <c r="G705" s="26" t="n">
        <v>0</v>
      </c>
      <c r="H705" s="26" t="n">
        <v>15</v>
      </c>
      <c r="I705" s="26" t="n">
        <v>5</v>
      </c>
      <c r="J705" s="26" t="n">
        <v>0</v>
      </c>
      <c r="K705" s="26" t="n">
        <v>0</v>
      </c>
      <c r="L705" s="26" t="n">
        <v>0</v>
      </c>
      <c r="M705" s="26" t="n">
        <v>0</v>
      </c>
    </row>
    <row r="706" customFormat="false" ht="15" hidden="false" customHeight="false" outlineLevel="0" collapsed="false">
      <c r="A706" s="7" t="s">
        <v>87</v>
      </c>
      <c r="B706" s="7" t="n">
        <v>4413154</v>
      </c>
      <c r="C706" s="7" t="s">
        <v>438</v>
      </c>
      <c r="D706" s="26" t="n">
        <v>281.1</v>
      </c>
      <c r="E706" s="26" t="n">
        <v>0</v>
      </c>
      <c r="F706" s="26" t="n">
        <v>0</v>
      </c>
      <c r="G706" s="26" t="n">
        <v>0</v>
      </c>
      <c r="H706" s="26" t="n">
        <v>984</v>
      </c>
      <c r="I706" s="26" t="n">
        <v>349.8</v>
      </c>
      <c r="J706" s="26" t="n">
        <v>0</v>
      </c>
      <c r="K706" s="26" t="n">
        <v>0</v>
      </c>
      <c r="L706" s="26" t="n">
        <v>0</v>
      </c>
      <c r="M706" s="26" t="n">
        <v>0</v>
      </c>
    </row>
    <row r="707" customFormat="false" ht="15" hidden="false" customHeight="false" outlineLevel="0" collapsed="false">
      <c r="A707" s="7" t="s">
        <v>85</v>
      </c>
      <c r="B707" s="7" t="n">
        <v>4413155</v>
      </c>
      <c r="C707" s="7" t="s">
        <v>439</v>
      </c>
      <c r="D707" s="26" t="n">
        <v>2</v>
      </c>
      <c r="E707" s="26" t="n">
        <v>0</v>
      </c>
      <c r="F707" s="26" t="n">
        <v>0</v>
      </c>
      <c r="G707" s="26" t="n">
        <v>0</v>
      </c>
      <c r="H707" s="26" t="n">
        <v>19</v>
      </c>
      <c r="I707" s="26" t="n">
        <v>7</v>
      </c>
      <c r="J707" s="26" t="n">
        <v>0</v>
      </c>
      <c r="K707" s="26" t="n">
        <v>0</v>
      </c>
      <c r="L707" s="26" t="n">
        <v>0</v>
      </c>
      <c r="M707" s="26" t="n">
        <v>0</v>
      </c>
    </row>
    <row r="708" customFormat="false" ht="15" hidden="false" customHeight="false" outlineLevel="0" collapsed="false">
      <c r="A708" s="7" t="s">
        <v>87</v>
      </c>
      <c r="B708" s="7" t="n">
        <v>4413155</v>
      </c>
      <c r="C708" s="7" t="s">
        <v>439</v>
      </c>
      <c r="D708" s="26" t="n">
        <v>187.4</v>
      </c>
      <c r="E708" s="26" t="n">
        <v>0</v>
      </c>
      <c r="F708" s="26" t="n">
        <v>0</v>
      </c>
      <c r="G708" s="26" t="n">
        <v>0</v>
      </c>
      <c r="H708" s="26" t="n">
        <v>1267.9</v>
      </c>
      <c r="I708" s="26" t="n">
        <v>489.7</v>
      </c>
      <c r="J708" s="26" t="n">
        <v>0</v>
      </c>
      <c r="K708" s="26" t="n">
        <v>0</v>
      </c>
      <c r="L708" s="26" t="n">
        <v>0</v>
      </c>
      <c r="M708" s="26" t="n">
        <v>0</v>
      </c>
    </row>
    <row r="709" customFormat="false" ht="15" hidden="false" customHeight="false" outlineLevel="0" collapsed="false">
      <c r="A709" s="7" t="s">
        <v>85</v>
      </c>
      <c r="B709" s="7" t="n">
        <v>4413156</v>
      </c>
      <c r="C709" s="7" t="s">
        <v>440</v>
      </c>
      <c r="D709" s="26" t="n">
        <v>16</v>
      </c>
      <c r="E709" s="26" t="n">
        <v>0</v>
      </c>
      <c r="F709" s="26" t="n">
        <v>0</v>
      </c>
      <c r="G709" s="26" t="n">
        <v>0</v>
      </c>
      <c r="H709" s="26" t="n">
        <v>97</v>
      </c>
      <c r="I709" s="26" t="n">
        <v>6</v>
      </c>
      <c r="J709" s="26" t="n">
        <v>0</v>
      </c>
      <c r="K709" s="26" t="n">
        <v>0</v>
      </c>
      <c r="L709" s="26" t="n">
        <v>0</v>
      </c>
      <c r="M709" s="26" t="n">
        <v>0</v>
      </c>
    </row>
    <row r="710" customFormat="false" ht="15" hidden="false" customHeight="false" outlineLevel="0" collapsed="false">
      <c r="A710" s="7" t="s">
        <v>87</v>
      </c>
      <c r="B710" s="7" t="n">
        <v>4413156</v>
      </c>
      <c r="C710" s="7" t="s">
        <v>440</v>
      </c>
      <c r="D710" s="26" t="n">
        <v>1554</v>
      </c>
      <c r="E710" s="26" t="n">
        <v>0</v>
      </c>
      <c r="F710" s="26" t="n">
        <v>0</v>
      </c>
      <c r="G710" s="26" t="n">
        <v>0</v>
      </c>
      <c r="H710" s="26" t="n">
        <v>6289.8</v>
      </c>
      <c r="I710" s="26" t="n">
        <v>419.7</v>
      </c>
      <c r="J710" s="26" t="n">
        <v>0</v>
      </c>
      <c r="K710" s="26" t="n">
        <v>0</v>
      </c>
      <c r="L710" s="26" t="n">
        <v>0</v>
      </c>
      <c r="M710" s="26" t="n">
        <v>0</v>
      </c>
    </row>
    <row r="711" customFormat="false" ht="15" hidden="false" customHeight="false" outlineLevel="0" collapsed="false">
      <c r="A711" s="7" t="s">
        <v>85</v>
      </c>
      <c r="B711" s="7" t="n">
        <v>4413157</v>
      </c>
      <c r="C711" s="7" t="s">
        <v>441</v>
      </c>
      <c r="D711" s="26" t="n">
        <v>18</v>
      </c>
      <c r="E711" s="26" t="n">
        <v>0</v>
      </c>
      <c r="F711" s="26" t="n">
        <v>0</v>
      </c>
      <c r="G711" s="26" t="n">
        <v>0</v>
      </c>
      <c r="H711" s="26" t="n">
        <v>105</v>
      </c>
      <c r="I711" s="26" t="n">
        <v>8</v>
      </c>
      <c r="J711" s="26" t="n">
        <v>0</v>
      </c>
      <c r="K711" s="26" t="n">
        <v>0</v>
      </c>
      <c r="L711" s="26" t="n">
        <v>0</v>
      </c>
      <c r="M711" s="26" t="n">
        <v>0</v>
      </c>
    </row>
    <row r="712" customFormat="false" ht="15" hidden="false" customHeight="false" outlineLevel="0" collapsed="false">
      <c r="A712" s="7" t="s">
        <v>87</v>
      </c>
      <c r="B712" s="7" t="n">
        <v>4413157</v>
      </c>
      <c r="C712" s="7" t="s">
        <v>441</v>
      </c>
      <c r="D712" s="26" t="n">
        <v>1770</v>
      </c>
      <c r="E712" s="26" t="n">
        <v>0</v>
      </c>
      <c r="F712" s="26" t="n">
        <v>0</v>
      </c>
      <c r="G712" s="26" t="n">
        <v>0</v>
      </c>
      <c r="H712" s="26" t="n">
        <v>6806.8</v>
      </c>
      <c r="I712" s="26" t="n">
        <v>559.6</v>
      </c>
      <c r="J712" s="26" t="n">
        <v>0</v>
      </c>
      <c r="K712" s="26" t="n">
        <v>0</v>
      </c>
      <c r="L712" s="26" t="n">
        <v>0</v>
      </c>
      <c r="M712" s="26" t="n">
        <v>0</v>
      </c>
    </row>
    <row r="713" customFormat="false" ht="15" hidden="false" customHeight="false" outlineLevel="0" collapsed="false">
      <c r="A713" s="7" t="s">
        <v>85</v>
      </c>
      <c r="B713" s="7" t="n">
        <v>4413158</v>
      </c>
      <c r="C713" s="7" t="s">
        <v>442</v>
      </c>
      <c r="D713" s="26" t="n">
        <v>19</v>
      </c>
      <c r="E713" s="26" t="n">
        <v>0</v>
      </c>
      <c r="F713" s="26" t="n">
        <v>0</v>
      </c>
      <c r="G713" s="26" t="n">
        <v>0</v>
      </c>
      <c r="H713" s="26" t="n">
        <v>124</v>
      </c>
      <c r="I713" s="26" t="n">
        <v>12</v>
      </c>
      <c r="J713" s="26" t="n">
        <v>0</v>
      </c>
      <c r="K713" s="26" t="n">
        <v>0</v>
      </c>
      <c r="L713" s="26" t="n">
        <v>0</v>
      </c>
      <c r="M713" s="26" t="n">
        <v>0</v>
      </c>
    </row>
    <row r="714" customFormat="false" ht="15" hidden="false" customHeight="false" outlineLevel="0" collapsed="false">
      <c r="A714" s="7" t="s">
        <v>87</v>
      </c>
      <c r="B714" s="7" t="n">
        <v>4413158</v>
      </c>
      <c r="C714" s="7" t="s">
        <v>442</v>
      </c>
      <c r="D714" s="26" t="n">
        <v>1761.4</v>
      </c>
      <c r="E714" s="26" t="n">
        <v>0</v>
      </c>
      <c r="F714" s="26" t="n">
        <v>0</v>
      </c>
      <c r="G714" s="26" t="n">
        <v>0</v>
      </c>
      <c r="H714" s="26" t="n">
        <v>8044.1</v>
      </c>
      <c r="I714" s="26" t="n">
        <v>839.4</v>
      </c>
      <c r="J714" s="26" t="n">
        <v>0</v>
      </c>
      <c r="K714" s="26" t="n">
        <v>0</v>
      </c>
      <c r="L714" s="26" t="n">
        <v>0</v>
      </c>
      <c r="M714" s="26" t="n">
        <v>0</v>
      </c>
    </row>
    <row r="715" customFormat="false" ht="15" hidden="false" customHeight="false" outlineLevel="0" collapsed="false">
      <c r="A715" s="7" t="s">
        <v>85</v>
      </c>
      <c r="B715" s="7" t="n">
        <v>4413285</v>
      </c>
      <c r="C715" s="7" t="s">
        <v>443</v>
      </c>
      <c r="D715" s="26" t="n">
        <v>0</v>
      </c>
      <c r="E715" s="26" t="n">
        <v>0</v>
      </c>
      <c r="F715" s="26" t="n">
        <v>0</v>
      </c>
      <c r="G715" s="26" t="n">
        <v>0</v>
      </c>
      <c r="H715" s="26" t="n">
        <v>0</v>
      </c>
      <c r="I715" s="26" t="n">
        <v>-1</v>
      </c>
      <c r="J715" s="26" t="n">
        <v>0</v>
      </c>
      <c r="K715" s="26" t="n">
        <v>0</v>
      </c>
      <c r="L715" s="26" t="n">
        <v>0</v>
      </c>
      <c r="M715" s="26" t="n">
        <v>0</v>
      </c>
    </row>
    <row r="716" customFormat="false" ht="15" hidden="false" customHeight="false" outlineLevel="0" collapsed="false">
      <c r="A716" s="7" t="s">
        <v>87</v>
      </c>
      <c r="B716" s="7" t="n">
        <v>4413285</v>
      </c>
      <c r="C716" s="7" t="s">
        <v>443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-70</v>
      </c>
      <c r="J716" s="26" t="n">
        <v>0</v>
      </c>
      <c r="K716" s="26" t="n">
        <v>0</v>
      </c>
      <c r="L716" s="26" t="n">
        <v>0</v>
      </c>
      <c r="M716" s="26" t="n">
        <v>0</v>
      </c>
    </row>
    <row r="717" customFormat="false" ht="15" hidden="false" customHeight="false" outlineLevel="0" collapsed="false">
      <c r="A717" s="7" t="s">
        <v>85</v>
      </c>
      <c r="B717" s="7" t="n">
        <v>4413482</v>
      </c>
      <c r="C717" s="7" t="s">
        <v>444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0</v>
      </c>
      <c r="L717" s="26" t="n">
        <v>0</v>
      </c>
      <c r="M717" s="26" t="n">
        <v>0</v>
      </c>
    </row>
    <row r="718" customFormat="false" ht="15" hidden="false" customHeight="false" outlineLevel="0" collapsed="false">
      <c r="A718" s="7" t="s">
        <v>87</v>
      </c>
      <c r="B718" s="7" t="n">
        <v>4413482</v>
      </c>
      <c r="C718" s="7" t="s">
        <v>444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0</v>
      </c>
      <c r="L718" s="26" t="n">
        <v>0</v>
      </c>
      <c r="M718" s="26" t="n">
        <v>0</v>
      </c>
    </row>
    <row r="719" customFormat="false" ht="15" hidden="false" customHeight="false" outlineLevel="0" collapsed="false">
      <c r="A719" s="7" t="s">
        <v>85</v>
      </c>
      <c r="B719" s="7" t="n">
        <v>4413483</v>
      </c>
      <c r="C719" s="7" t="s">
        <v>445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0</v>
      </c>
      <c r="L719" s="26" t="n">
        <v>0</v>
      </c>
      <c r="M719" s="26" t="n">
        <v>0</v>
      </c>
    </row>
    <row r="720" customFormat="false" ht="15" hidden="false" customHeight="false" outlineLevel="0" collapsed="false">
      <c r="A720" s="7" t="s">
        <v>87</v>
      </c>
      <c r="B720" s="7" t="n">
        <v>4413483</v>
      </c>
      <c r="C720" s="7" t="s">
        <v>445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0</v>
      </c>
      <c r="L720" s="26" t="n">
        <v>0</v>
      </c>
      <c r="M720" s="26" t="n">
        <v>0</v>
      </c>
    </row>
    <row r="721" customFormat="false" ht="15" hidden="false" customHeight="false" outlineLevel="0" collapsed="false">
      <c r="A721" s="7" t="s">
        <v>85</v>
      </c>
      <c r="B721" s="7" t="n">
        <v>4413484</v>
      </c>
      <c r="C721" s="7" t="s">
        <v>446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0</v>
      </c>
      <c r="L721" s="26" t="n">
        <v>0</v>
      </c>
      <c r="M721" s="26" t="n">
        <v>0</v>
      </c>
    </row>
    <row r="722" customFormat="false" ht="15" hidden="false" customHeight="false" outlineLevel="0" collapsed="false">
      <c r="A722" s="7" t="s">
        <v>87</v>
      </c>
      <c r="B722" s="7" t="n">
        <v>4413484</v>
      </c>
      <c r="C722" s="7" t="s">
        <v>446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0</v>
      </c>
      <c r="L722" s="26" t="n">
        <v>0</v>
      </c>
      <c r="M722" s="26" t="n">
        <v>0</v>
      </c>
    </row>
    <row r="723" customFormat="false" ht="15" hidden="false" customHeight="false" outlineLevel="0" collapsed="false">
      <c r="A723" s="7" t="s">
        <v>85</v>
      </c>
      <c r="B723" s="7" t="n">
        <v>4413523</v>
      </c>
      <c r="C723" s="7" t="s">
        <v>447</v>
      </c>
      <c r="D723" s="26" t="n">
        <v>8</v>
      </c>
      <c r="E723" s="26" t="n">
        <v>0</v>
      </c>
      <c r="F723" s="26" t="n">
        <v>0</v>
      </c>
      <c r="G723" s="26" t="n">
        <v>0</v>
      </c>
      <c r="H723" s="26" t="n">
        <v>38</v>
      </c>
      <c r="I723" s="26" t="n">
        <v>0</v>
      </c>
      <c r="J723" s="26" t="n">
        <v>0</v>
      </c>
      <c r="K723" s="26" t="n">
        <v>0</v>
      </c>
      <c r="L723" s="26" t="n">
        <v>0</v>
      </c>
      <c r="M723" s="26" t="n">
        <v>0</v>
      </c>
    </row>
    <row r="724" customFormat="false" ht="15" hidden="false" customHeight="false" outlineLevel="0" collapsed="false">
      <c r="A724" s="7" t="s">
        <v>87</v>
      </c>
      <c r="B724" s="7" t="n">
        <v>4413523</v>
      </c>
      <c r="C724" s="7" t="s">
        <v>447</v>
      </c>
      <c r="D724" s="26" t="n">
        <v>773</v>
      </c>
      <c r="E724" s="26" t="n">
        <v>0</v>
      </c>
      <c r="F724" s="26" t="n">
        <v>0</v>
      </c>
      <c r="G724" s="26" t="n">
        <v>0</v>
      </c>
      <c r="H724" s="26" t="n">
        <v>3972.8</v>
      </c>
      <c r="I724" s="26" t="n">
        <v>0</v>
      </c>
      <c r="J724" s="26" t="n">
        <v>0</v>
      </c>
      <c r="K724" s="26" t="n">
        <v>0</v>
      </c>
      <c r="L724" s="26" t="n">
        <v>0</v>
      </c>
      <c r="M724" s="26" t="n">
        <v>0</v>
      </c>
    </row>
    <row r="725" customFormat="false" ht="15" hidden="false" customHeight="false" outlineLevel="0" collapsed="false">
      <c r="A725" s="7" t="s">
        <v>85</v>
      </c>
      <c r="B725" s="7" t="n">
        <v>4413527</v>
      </c>
      <c r="C725" s="7" t="s">
        <v>448</v>
      </c>
      <c r="D725" s="26" t="n">
        <v>6</v>
      </c>
      <c r="E725" s="26" t="n">
        <v>0</v>
      </c>
      <c r="F725" s="26" t="n">
        <v>0</v>
      </c>
      <c r="G725" s="26" t="n">
        <v>0</v>
      </c>
      <c r="H725" s="26" t="n">
        <v>74</v>
      </c>
      <c r="I725" s="26" t="n">
        <v>0</v>
      </c>
      <c r="J725" s="26" t="n">
        <v>0</v>
      </c>
      <c r="K725" s="26" t="n">
        <v>0</v>
      </c>
      <c r="L725" s="26" t="n">
        <v>0</v>
      </c>
      <c r="M725" s="26" t="n">
        <v>0</v>
      </c>
    </row>
    <row r="726" customFormat="false" ht="15" hidden="false" customHeight="false" outlineLevel="0" collapsed="false">
      <c r="A726" s="7" t="s">
        <v>87</v>
      </c>
      <c r="B726" s="7" t="n">
        <v>4413527</v>
      </c>
      <c r="C726" s="7" t="s">
        <v>448</v>
      </c>
      <c r="D726" s="26" t="n">
        <v>598.3</v>
      </c>
      <c r="E726" s="26" t="n">
        <v>0</v>
      </c>
      <c r="F726" s="26" t="n">
        <v>0</v>
      </c>
      <c r="G726" s="26" t="n">
        <v>0</v>
      </c>
      <c r="H726" s="26" t="n">
        <v>7547.1</v>
      </c>
      <c r="I726" s="26" t="n">
        <v>0</v>
      </c>
      <c r="J726" s="26" t="n">
        <v>0</v>
      </c>
      <c r="K726" s="26" t="n">
        <v>0</v>
      </c>
      <c r="L726" s="26" t="n">
        <v>0</v>
      </c>
      <c r="M726" s="26" t="n">
        <v>0</v>
      </c>
    </row>
    <row r="727" customFormat="false" ht="15" hidden="false" customHeight="false" outlineLevel="0" collapsed="false">
      <c r="A727" s="7" t="s">
        <v>85</v>
      </c>
      <c r="B727" s="7" t="n">
        <v>4413524</v>
      </c>
      <c r="C727" s="7" t="s">
        <v>449</v>
      </c>
      <c r="D727" s="26" t="n">
        <v>10</v>
      </c>
      <c r="E727" s="26" t="n">
        <v>0</v>
      </c>
      <c r="F727" s="26" t="n">
        <v>0</v>
      </c>
      <c r="G727" s="26" t="n">
        <v>0</v>
      </c>
      <c r="H727" s="26" t="n">
        <v>145</v>
      </c>
      <c r="I727" s="26" t="n">
        <v>0</v>
      </c>
      <c r="J727" s="26" t="n">
        <v>0</v>
      </c>
      <c r="K727" s="26" t="n">
        <v>0</v>
      </c>
      <c r="L727" s="26" t="n">
        <v>0</v>
      </c>
      <c r="M727" s="26" t="n">
        <v>0</v>
      </c>
    </row>
    <row r="728" customFormat="false" ht="15" hidden="false" customHeight="false" outlineLevel="0" collapsed="false">
      <c r="A728" s="7" t="s">
        <v>87</v>
      </c>
      <c r="B728" s="7" t="n">
        <v>4413524</v>
      </c>
      <c r="C728" s="7" t="s">
        <v>449</v>
      </c>
      <c r="D728" s="26" t="n">
        <v>1010.1</v>
      </c>
      <c r="E728" s="26" t="n">
        <v>0</v>
      </c>
      <c r="F728" s="26" t="n">
        <v>0</v>
      </c>
      <c r="G728" s="26" t="n">
        <v>0</v>
      </c>
      <c r="H728" s="26" t="n">
        <v>14544.7</v>
      </c>
      <c r="I728" s="26" t="n">
        <v>0</v>
      </c>
      <c r="J728" s="26" t="n">
        <v>0</v>
      </c>
      <c r="K728" s="26" t="n">
        <v>0</v>
      </c>
      <c r="L728" s="26" t="n">
        <v>0</v>
      </c>
      <c r="M728" s="26" t="n">
        <v>0</v>
      </c>
    </row>
    <row r="729" customFormat="false" ht="15" hidden="false" customHeight="false" outlineLevel="0" collapsed="false">
      <c r="A729" s="7" t="s">
        <v>85</v>
      </c>
      <c r="B729" s="7" t="n">
        <v>4413528</v>
      </c>
      <c r="C729" s="7" t="s">
        <v>450</v>
      </c>
      <c r="D729" s="26" t="n">
        <v>15</v>
      </c>
      <c r="E729" s="26" t="n">
        <v>0</v>
      </c>
      <c r="F729" s="26" t="n">
        <v>0</v>
      </c>
      <c r="G729" s="26" t="n">
        <v>0</v>
      </c>
      <c r="H729" s="26" t="n">
        <v>381</v>
      </c>
      <c r="I729" s="26" t="n">
        <v>0</v>
      </c>
      <c r="J729" s="26" t="n">
        <v>0</v>
      </c>
      <c r="K729" s="26" t="n">
        <v>0</v>
      </c>
      <c r="L729" s="26" t="n">
        <v>0</v>
      </c>
      <c r="M729" s="26" t="n">
        <v>0</v>
      </c>
    </row>
    <row r="730" customFormat="false" ht="15" hidden="false" customHeight="false" outlineLevel="0" collapsed="false">
      <c r="A730" s="7" t="s">
        <v>87</v>
      </c>
      <c r="B730" s="7" t="n">
        <v>4413528</v>
      </c>
      <c r="C730" s="7" t="s">
        <v>450</v>
      </c>
      <c r="D730" s="26" t="n">
        <v>1609.5</v>
      </c>
      <c r="E730" s="26" t="n">
        <v>0</v>
      </c>
      <c r="F730" s="26" t="n">
        <v>0</v>
      </c>
      <c r="G730" s="26" t="n">
        <v>0</v>
      </c>
      <c r="H730" s="26" t="n">
        <v>38178.9</v>
      </c>
      <c r="I730" s="26" t="n">
        <v>0</v>
      </c>
      <c r="J730" s="26" t="n">
        <v>0</v>
      </c>
      <c r="K730" s="26" t="n">
        <v>0</v>
      </c>
      <c r="L730" s="26" t="n">
        <v>0</v>
      </c>
      <c r="M730" s="26" t="n">
        <v>0</v>
      </c>
    </row>
    <row r="731" customFormat="false" ht="15" hidden="false" customHeight="false" outlineLevel="0" collapsed="false">
      <c r="A731" s="7" t="s">
        <v>85</v>
      </c>
      <c r="B731" s="7" t="n">
        <v>4413525</v>
      </c>
      <c r="C731" s="7" t="s">
        <v>451</v>
      </c>
      <c r="D731" s="26" t="n">
        <v>9</v>
      </c>
      <c r="E731" s="26" t="n">
        <v>0</v>
      </c>
      <c r="F731" s="26" t="n">
        <v>0</v>
      </c>
      <c r="G731" s="26" t="n">
        <v>0</v>
      </c>
      <c r="H731" s="26" t="n">
        <v>239</v>
      </c>
      <c r="I731" s="26" t="n">
        <v>0</v>
      </c>
      <c r="J731" s="26" t="n">
        <v>0</v>
      </c>
      <c r="K731" s="26" t="n">
        <v>0</v>
      </c>
      <c r="L731" s="26" t="n">
        <v>0</v>
      </c>
      <c r="M731" s="26" t="n">
        <v>0</v>
      </c>
    </row>
    <row r="732" customFormat="false" ht="15" hidden="false" customHeight="false" outlineLevel="0" collapsed="false">
      <c r="A732" s="7" t="s">
        <v>87</v>
      </c>
      <c r="B732" s="7" t="n">
        <v>4413525</v>
      </c>
      <c r="C732" s="7" t="s">
        <v>451</v>
      </c>
      <c r="D732" s="26" t="n">
        <v>953.9</v>
      </c>
      <c r="E732" s="26" t="n">
        <v>0</v>
      </c>
      <c r="F732" s="26" t="n">
        <v>0</v>
      </c>
      <c r="G732" s="26" t="n">
        <v>0</v>
      </c>
      <c r="H732" s="26" t="n">
        <v>23875.5</v>
      </c>
      <c r="I732" s="26" t="n">
        <v>0</v>
      </c>
      <c r="J732" s="26" t="n">
        <v>0</v>
      </c>
      <c r="K732" s="26" t="n">
        <v>0</v>
      </c>
      <c r="L732" s="26" t="n">
        <v>0</v>
      </c>
      <c r="M732" s="26" t="n">
        <v>0</v>
      </c>
    </row>
    <row r="733" customFormat="false" ht="15" hidden="false" customHeight="false" outlineLevel="0" collapsed="false">
      <c r="A733" s="7" t="s">
        <v>85</v>
      </c>
      <c r="B733" s="7" t="n">
        <v>4413529</v>
      </c>
      <c r="C733" s="7" t="s">
        <v>452</v>
      </c>
      <c r="D733" s="26" t="n">
        <v>14</v>
      </c>
      <c r="E733" s="26" t="n">
        <v>0</v>
      </c>
      <c r="F733" s="26" t="n">
        <v>0</v>
      </c>
      <c r="G733" s="26" t="n">
        <v>0</v>
      </c>
      <c r="H733" s="26" t="n">
        <v>554</v>
      </c>
      <c r="I733" s="26" t="n">
        <v>0</v>
      </c>
      <c r="J733" s="26" t="n">
        <v>0</v>
      </c>
      <c r="K733" s="26" t="n">
        <v>0</v>
      </c>
      <c r="L733" s="26" t="n">
        <v>0</v>
      </c>
      <c r="M733" s="26" t="n">
        <v>0</v>
      </c>
    </row>
    <row r="734" customFormat="false" ht="15" hidden="false" customHeight="false" outlineLevel="0" collapsed="false">
      <c r="A734" s="7" t="s">
        <v>87</v>
      </c>
      <c r="B734" s="7" t="n">
        <v>4413529</v>
      </c>
      <c r="C734" s="7" t="s">
        <v>452</v>
      </c>
      <c r="D734" s="26" t="n">
        <v>1472.5</v>
      </c>
      <c r="E734" s="26" t="n">
        <v>0</v>
      </c>
      <c r="F734" s="26" t="n">
        <v>0</v>
      </c>
      <c r="G734" s="26" t="n">
        <v>0</v>
      </c>
      <c r="H734" s="26" t="n">
        <v>55268.5</v>
      </c>
      <c r="I734" s="26" t="n">
        <v>0</v>
      </c>
      <c r="J734" s="26" t="n">
        <v>0</v>
      </c>
      <c r="K734" s="26" t="n">
        <v>0</v>
      </c>
      <c r="L734" s="26" t="n">
        <v>0</v>
      </c>
      <c r="M734" s="26" t="n">
        <v>0</v>
      </c>
    </row>
    <row r="735" customFormat="false" ht="15" hidden="false" customHeight="false" outlineLevel="0" collapsed="false">
      <c r="A735" s="7" t="s">
        <v>85</v>
      </c>
      <c r="B735" s="7" t="n">
        <v>4413450</v>
      </c>
      <c r="C735" s="7" t="s">
        <v>453</v>
      </c>
      <c r="D735" s="26" t="n">
        <v>5</v>
      </c>
      <c r="E735" s="26" t="n">
        <v>0</v>
      </c>
      <c r="F735" s="26" t="n">
        <v>0</v>
      </c>
      <c r="G735" s="26" t="n">
        <v>0</v>
      </c>
      <c r="H735" s="26" t="n">
        <v>0</v>
      </c>
      <c r="I735" s="26" t="n">
        <v>0</v>
      </c>
      <c r="J735" s="26" t="n">
        <v>0</v>
      </c>
      <c r="K735" s="26" t="n">
        <v>0</v>
      </c>
      <c r="L735" s="26" t="n">
        <v>0</v>
      </c>
      <c r="M735" s="26" t="n">
        <v>0</v>
      </c>
    </row>
    <row r="736" customFormat="false" ht="15" hidden="false" customHeight="false" outlineLevel="0" collapsed="false">
      <c r="A736" s="7" t="s">
        <v>87</v>
      </c>
      <c r="B736" s="7" t="n">
        <v>4413450</v>
      </c>
      <c r="C736" s="7" t="s">
        <v>453</v>
      </c>
      <c r="D736" s="26" t="n">
        <v>367.7</v>
      </c>
      <c r="E736" s="26" t="n">
        <v>0</v>
      </c>
      <c r="F736" s="26" t="n">
        <v>0</v>
      </c>
      <c r="G736" s="26" t="n">
        <v>0</v>
      </c>
      <c r="H736" s="26" t="n">
        <v>0</v>
      </c>
      <c r="I736" s="26" t="n">
        <v>0</v>
      </c>
      <c r="J736" s="26" t="n">
        <v>0</v>
      </c>
      <c r="K736" s="26" t="n">
        <v>0</v>
      </c>
      <c r="L736" s="26" t="n">
        <v>0</v>
      </c>
      <c r="M736" s="26" t="n">
        <v>0</v>
      </c>
    </row>
    <row r="737" customFormat="false" ht="15" hidden="false" customHeight="false" outlineLevel="0" collapsed="false">
      <c r="A737" s="7" t="s">
        <v>85</v>
      </c>
      <c r="B737" s="7" t="n">
        <v>4413449</v>
      </c>
      <c r="C737" s="7" t="s">
        <v>454</v>
      </c>
      <c r="D737" s="26" t="n">
        <v>4</v>
      </c>
      <c r="E737" s="26" t="n">
        <v>0</v>
      </c>
      <c r="F737" s="26" t="n">
        <v>0</v>
      </c>
      <c r="G737" s="26" t="n">
        <v>0</v>
      </c>
      <c r="H737" s="26" t="n">
        <v>0</v>
      </c>
      <c r="I737" s="26" t="n">
        <v>0</v>
      </c>
      <c r="J737" s="26" t="n">
        <v>0</v>
      </c>
      <c r="K737" s="26" t="n">
        <v>0</v>
      </c>
      <c r="L737" s="26" t="n">
        <v>0</v>
      </c>
      <c r="M737" s="26" t="n">
        <v>0</v>
      </c>
    </row>
    <row r="738" customFormat="false" ht="15" hidden="false" customHeight="false" outlineLevel="0" collapsed="false">
      <c r="A738" s="7" t="s">
        <v>87</v>
      </c>
      <c r="B738" s="7" t="n">
        <v>4413449</v>
      </c>
      <c r="C738" s="7" t="s">
        <v>454</v>
      </c>
      <c r="D738" s="26" t="n">
        <v>294.2</v>
      </c>
      <c r="E738" s="26" t="n">
        <v>0</v>
      </c>
      <c r="F738" s="26" t="n">
        <v>0</v>
      </c>
      <c r="G738" s="26" t="n">
        <v>0</v>
      </c>
      <c r="H738" s="26" t="n">
        <v>0</v>
      </c>
      <c r="I738" s="26" t="n">
        <v>0</v>
      </c>
      <c r="J738" s="26" t="n">
        <v>0</v>
      </c>
      <c r="K738" s="26" t="n">
        <v>0</v>
      </c>
      <c r="L738" s="26" t="n">
        <v>0</v>
      </c>
      <c r="M738" s="26" t="n">
        <v>0</v>
      </c>
    </row>
    <row r="739" customFormat="false" ht="15" hidden="false" customHeight="false" outlineLevel="0" collapsed="false">
      <c r="A739" s="7" t="s">
        <v>85</v>
      </c>
      <c r="B739" s="7" t="n">
        <v>4413520</v>
      </c>
      <c r="C739" s="7" t="s">
        <v>455</v>
      </c>
      <c r="D739" s="26" t="n">
        <v>8</v>
      </c>
      <c r="E739" s="26" t="n">
        <v>0</v>
      </c>
      <c r="F739" s="26" t="n">
        <v>0</v>
      </c>
      <c r="G739" s="26" t="n">
        <v>0</v>
      </c>
      <c r="H739" s="26" t="n">
        <v>37</v>
      </c>
      <c r="I739" s="26" t="n">
        <v>0</v>
      </c>
      <c r="J739" s="26" t="n">
        <v>0</v>
      </c>
      <c r="K739" s="26" t="n">
        <v>0</v>
      </c>
      <c r="L739" s="26" t="n">
        <v>0</v>
      </c>
      <c r="M739" s="26" t="n">
        <v>0</v>
      </c>
    </row>
    <row r="740" customFormat="false" ht="15" hidden="false" customHeight="false" outlineLevel="0" collapsed="false">
      <c r="A740" s="7" t="s">
        <v>87</v>
      </c>
      <c r="B740" s="7" t="n">
        <v>4413520</v>
      </c>
      <c r="C740" s="7" t="s">
        <v>455</v>
      </c>
      <c r="D740" s="26" t="n">
        <v>799.7</v>
      </c>
      <c r="E740" s="26" t="n">
        <v>0</v>
      </c>
      <c r="F740" s="26" t="n">
        <v>0</v>
      </c>
      <c r="G740" s="26" t="n">
        <v>0</v>
      </c>
      <c r="H740" s="26" t="n">
        <v>3938.8</v>
      </c>
      <c r="I740" s="26" t="n">
        <v>0</v>
      </c>
      <c r="J740" s="26" t="n">
        <v>0</v>
      </c>
      <c r="K740" s="26" t="n">
        <v>0</v>
      </c>
      <c r="L740" s="26" t="n">
        <v>0</v>
      </c>
      <c r="M740" s="26" t="n">
        <v>0</v>
      </c>
    </row>
    <row r="741" customFormat="false" ht="15" hidden="false" customHeight="false" outlineLevel="0" collapsed="false">
      <c r="A741" s="7" t="s">
        <v>85</v>
      </c>
      <c r="B741" s="7" t="n">
        <v>4413522</v>
      </c>
      <c r="C741" s="7" t="s">
        <v>456</v>
      </c>
      <c r="D741" s="26" t="n">
        <v>11</v>
      </c>
      <c r="E741" s="26" t="n">
        <v>0</v>
      </c>
      <c r="F741" s="26" t="n">
        <v>0</v>
      </c>
      <c r="G741" s="26" t="n">
        <v>0</v>
      </c>
      <c r="H741" s="26" t="n">
        <v>318</v>
      </c>
      <c r="I741" s="26" t="n">
        <v>0</v>
      </c>
      <c r="J741" s="26" t="n">
        <v>0</v>
      </c>
      <c r="K741" s="26" t="n">
        <v>0</v>
      </c>
      <c r="L741" s="26" t="n">
        <v>0</v>
      </c>
      <c r="M741" s="26" t="n">
        <v>0</v>
      </c>
    </row>
    <row r="742" customFormat="false" ht="15" hidden="false" customHeight="false" outlineLevel="0" collapsed="false">
      <c r="A742" s="7" t="s">
        <v>87</v>
      </c>
      <c r="B742" s="7" t="n">
        <v>4413522</v>
      </c>
      <c r="C742" s="7" t="s">
        <v>456</v>
      </c>
      <c r="D742" s="26" t="n">
        <v>1253.7</v>
      </c>
      <c r="E742" s="26" t="n">
        <v>0</v>
      </c>
      <c r="F742" s="26" t="n">
        <v>0</v>
      </c>
      <c r="G742" s="26" t="n">
        <v>0</v>
      </c>
      <c r="H742" s="26" t="n">
        <v>31295.1</v>
      </c>
      <c r="I742" s="26" t="n">
        <v>0</v>
      </c>
      <c r="J742" s="26" t="n">
        <v>0</v>
      </c>
      <c r="K742" s="26" t="n">
        <v>0</v>
      </c>
      <c r="L742" s="26" t="n">
        <v>0</v>
      </c>
      <c r="M742" s="26" t="n">
        <v>0</v>
      </c>
    </row>
    <row r="743" customFormat="false" ht="15" hidden="false" customHeight="false" outlineLevel="0" collapsed="false">
      <c r="A743" s="7" t="s">
        <v>85</v>
      </c>
      <c r="B743" s="7" t="n">
        <v>4413521</v>
      </c>
      <c r="C743" s="7" t="s">
        <v>457</v>
      </c>
      <c r="D743" s="26" t="n">
        <v>7</v>
      </c>
      <c r="E743" s="26" t="n">
        <v>0</v>
      </c>
      <c r="F743" s="26" t="n">
        <v>0</v>
      </c>
      <c r="G743" s="26" t="n">
        <v>0</v>
      </c>
      <c r="H743" s="26" t="n">
        <v>134</v>
      </c>
      <c r="I743" s="26" t="n">
        <v>0</v>
      </c>
      <c r="J743" s="26" t="n">
        <v>0</v>
      </c>
      <c r="K743" s="26" t="n">
        <v>0</v>
      </c>
      <c r="L743" s="26" t="n">
        <v>0</v>
      </c>
      <c r="M743" s="26" t="n">
        <v>0</v>
      </c>
    </row>
    <row r="744" customFormat="false" ht="15" hidden="false" customHeight="false" outlineLevel="0" collapsed="false">
      <c r="A744" s="7" t="s">
        <v>87</v>
      </c>
      <c r="B744" s="7" t="n">
        <v>4413521</v>
      </c>
      <c r="C744" s="7" t="s">
        <v>457</v>
      </c>
      <c r="D744" s="26" t="n">
        <v>678.4</v>
      </c>
      <c r="E744" s="26" t="n">
        <v>0</v>
      </c>
      <c r="F744" s="26" t="n">
        <v>0</v>
      </c>
      <c r="G744" s="26" t="n">
        <v>0</v>
      </c>
      <c r="H744" s="26" t="n">
        <v>13211.8</v>
      </c>
      <c r="I744" s="26" t="n">
        <v>0</v>
      </c>
      <c r="J744" s="26" t="n">
        <v>0</v>
      </c>
      <c r="K744" s="26" t="n">
        <v>0</v>
      </c>
      <c r="L744" s="26" t="n">
        <v>0</v>
      </c>
      <c r="M744" s="26" t="n">
        <v>0</v>
      </c>
    </row>
    <row r="745" customFormat="false" ht="15" hidden="false" customHeight="false" outlineLevel="0" collapsed="false">
      <c r="A745" s="7" t="s">
        <v>85</v>
      </c>
      <c r="B745" s="7" t="n">
        <v>4413117</v>
      </c>
      <c r="C745" s="7" t="s">
        <v>458</v>
      </c>
      <c r="D745" s="26" t="n">
        <v>4</v>
      </c>
      <c r="E745" s="26" t="n">
        <v>0</v>
      </c>
      <c r="F745" s="26" t="n">
        <v>0</v>
      </c>
      <c r="G745" s="26" t="n">
        <v>0</v>
      </c>
      <c r="H745" s="26" t="n">
        <v>-1</v>
      </c>
      <c r="I745" s="26" t="n">
        <v>-1</v>
      </c>
      <c r="J745" s="26" t="n">
        <v>0</v>
      </c>
      <c r="K745" s="26" t="n">
        <v>0</v>
      </c>
      <c r="L745" s="26" t="n">
        <v>0</v>
      </c>
      <c r="M745" s="26" t="n">
        <v>0</v>
      </c>
    </row>
    <row r="746" customFormat="false" ht="15" hidden="false" customHeight="false" outlineLevel="0" collapsed="false">
      <c r="A746" s="7" t="s">
        <v>87</v>
      </c>
      <c r="B746" s="7" t="n">
        <v>4413117</v>
      </c>
      <c r="C746" s="7" t="s">
        <v>458</v>
      </c>
      <c r="D746" s="26" t="n">
        <v>444.1</v>
      </c>
      <c r="E746" s="26" t="n">
        <v>0</v>
      </c>
      <c r="F746" s="26" t="n">
        <v>0</v>
      </c>
      <c r="G746" s="26" t="n">
        <v>0</v>
      </c>
      <c r="H746" s="26" t="n">
        <v>-96.8</v>
      </c>
      <c r="I746" s="26" t="n">
        <v>-104.2</v>
      </c>
      <c r="J746" s="26" t="n">
        <v>0</v>
      </c>
      <c r="K746" s="26" t="n">
        <v>0</v>
      </c>
      <c r="L746" s="26" t="n">
        <v>0</v>
      </c>
      <c r="M746" s="26" t="n">
        <v>0</v>
      </c>
    </row>
    <row r="747" customFormat="false" ht="15" hidden="false" customHeight="false" outlineLevel="0" collapsed="false">
      <c r="A747" s="7" t="s">
        <v>85</v>
      </c>
      <c r="B747" s="7" t="n">
        <v>4413118</v>
      </c>
      <c r="C747" s="7" t="s">
        <v>459</v>
      </c>
      <c r="D747" s="26" t="n">
        <v>1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0</v>
      </c>
      <c r="L747" s="26" t="n">
        <v>0</v>
      </c>
      <c r="M747" s="26" t="n">
        <v>0</v>
      </c>
    </row>
    <row r="748" customFormat="false" ht="15" hidden="false" customHeight="false" outlineLevel="0" collapsed="false">
      <c r="A748" s="7" t="s">
        <v>87</v>
      </c>
      <c r="B748" s="7" t="n">
        <v>4413118</v>
      </c>
      <c r="C748" s="7" t="s">
        <v>459</v>
      </c>
      <c r="D748" s="26" t="n">
        <v>111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0</v>
      </c>
      <c r="L748" s="26" t="n">
        <v>0</v>
      </c>
      <c r="M748" s="26" t="n">
        <v>0</v>
      </c>
    </row>
    <row r="749" customFormat="false" ht="15" hidden="false" customHeight="false" outlineLevel="0" collapsed="false">
      <c r="A749" s="7" t="s">
        <v>85</v>
      </c>
      <c r="B749" s="7" t="n">
        <v>4413116</v>
      </c>
      <c r="C749" s="7" t="s">
        <v>460</v>
      </c>
      <c r="D749" s="26" t="n">
        <v>-1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0</v>
      </c>
      <c r="L749" s="26" t="n">
        <v>0</v>
      </c>
      <c r="M749" s="26" t="n">
        <v>0</v>
      </c>
    </row>
    <row r="750" customFormat="false" ht="15" hidden="false" customHeight="false" outlineLevel="0" collapsed="false">
      <c r="A750" s="7" t="s">
        <v>87</v>
      </c>
      <c r="B750" s="7" t="n">
        <v>4413116</v>
      </c>
      <c r="C750" s="7" t="s">
        <v>460</v>
      </c>
      <c r="D750" s="26" t="n">
        <v>-88.8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0</v>
      </c>
      <c r="L750" s="26" t="n">
        <v>0</v>
      </c>
      <c r="M750" s="26" t="n">
        <v>0</v>
      </c>
    </row>
    <row r="751" customFormat="false" ht="15" hidden="false" customHeight="false" outlineLevel="0" collapsed="false">
      <c r="A751" s="7" t="s">
        <v>85</v>
      </c>
      <c r="B751" s="7" t="n">
        <v>4413119</v>
      </c>
      <c r="C751" s="7" t="s">
        <v>461</v>
      </c>
      <c r="D751" s="26" t="n">
        <v>1</v>
      </c>
      <c r="E751" s="26" t="n">
        <v>0</v>
      </c>
      <c r="F751" s="26" t="n">
        <v>0</v>
      </c>
      <c r="G751" s="26" t="n">
        <v>0</v>
      </c>
      <c r="H751" s="26" t="n">
        <v>-1</v>
      </c>
      <c r="I751" s="26" t="n">
        <v>0</v>
      </c>
      <c r="J751" s="26" t="n">
        <v>0</v>
      </c>
      <c r="K751" s="26" t="n">
        <v>0</v>
      </c>
      <c r="L751" s="26" t="n">
        <v>0</v>
      </c>
      <c r="M751" s="26" t="n">
        <v>0</v>
      </c>
    </row>
    <row r="752" customFormat="false" ht="15" hidden="false" customHeight="false" outlineLevel="0" collapsed="false">
      <c r="A752" s="7" t="s">
        <v>87</v>
      </c>
      <c r="B752" s="7" t="n">
        <v>4413119</v>
      </c>
      <c r="C752" s="7" t="s">
        <v>461</v>
      </c>
      <c r="D752" s="26" t="n">
        <v>111</v>
      </c>
      <c r="E752" s="26" t="n">
        <v>0</v>
      </c>
      <c r="F752" s="26" t="n">
        <v>0</v>
      </c>
      <c r="G752" s="26" t="n">
        <v>0</v>
      </c>
      <c r="H752" s="26" t="n">
        <v>-96.8</v>
      </c>
      <c r="I752" s="26" t="n">
        <v>0</v>
      </c>
      <c r="J752" s="26" t="n">
        <v>0</v>
      </c>
      <c r="K752" s="26" t="n">
        <v>0</v>
      </c>
      <c r="L752" s="26" t="n">
        <v>0</v>
      </c>
      <c r="M752" s="26" t="n">
        <v>0</v>
      </c>
    </row>
    <row r="753" customFormat="false" ht="15" hidden="false" customHeight="false" outlineLevel="0" collapsed="false">
      <c r="A753" s="7" t="s">
        <v>85</v>
      </c>
      <c r="B753" s="7" t="n">
        <v>4413120</v>
      </c>
      <c r="C753" s="7" t="s">
        <v>462</v>
      </c>
      <c r="D753" s="26" t="n">
        <v>0</v>
      </c>
      <c r="E753" s="26" t="n">
        <v>0</v>
      </c>
      <c r="F753" s="26" t="n">
        <v>0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  <c r="L753" s="26" t="n">
        <v>0</v>
      </c>
      <c r="M753" s="26" t="n">
        <v>0</v>
      </c>
    </row>
    <row r="754" customFormat="false" ht="15" hidden="false" customHeight="false" outlineLevel="0" collapsed="false">
      <c r="A754" s="7" t="s">
        <v>87</v>
      </c>
      <c r="B754" s="7" t="n">
        <v>4413120</v>
      </c>
      <c r="C754" s="7" t="s">
        <v>462</v>
      </c>
      <c r="D754" s="26" t="n">
        <v>0</v>
      </c>
      <c r="E754" s="26" t="n">
        <v>0</v>
      </c>
      <c r="F754" s="26" t="n">
        <v>0</v>
      </c>
      <c r="G754" s="26" t="n">
        <v>0</v>
      </c>
      <c r="H754" s="26" t="n">
        <v>0</v>
      </c>
      <c r="I754" s="26" t="n">
        <v>0</v>
      </c>
      <c r="J754" s="26" t="n">
        <v>0</v>
      </c>
      <c r="K754" s="26" t="n">
        <v>0</v>
      </c>
      <c r="L754" s="26" t="n">
        <v>0</v>
      </c>
      <c r="M754" s="26" t="n">
        <v>0</v>
      </c>
    </row>
    <row r="755" customFormat="false" ht="15" hidden="false" customHeight="false" outlineLevel="0" collapsed="false">
      <c r="A755" s="7" t="s">
        <v>85</v>
      </c>
      <c r="B755" s="7" t="n">
        <v>4413122</v>
      </c>
      <c r="C755" s="7" t="s">
        <v>463</v>
      </c>
      <c r="D755" s="26" t="n">
        <v>3</v>
      </c>
      <c r="E755" s="26" t="n">
        <v>0</v>
      </c>
      <c r="F755" s="26" t="n">
        <v>0</v>
      </c>
      <c r="G755" s="26" t="n">
        <v>0</v>
      </c>
      <c r="H755" s="26" t="n">
        <v>0</v>
      </c>
      <c r="I755" s="26" t="n">
        <v>0</v>
      </c>
      <c r="J755" s="26" t="n">
        <v>0</v>
      </c>
      <c r="K755" s="26" t="n">
        <v>0</v>
      </c>
      <c r="L755" s="26" t="n">
        <v>0</v>
      </c>
      <c r="M755" s="26" t="n">
        <v>0</v>
      </c>
    </row>
    <row r="756" customFormat="false" ht="15" hidden="false" customHeight="false" outlineLevel="0" collapsed="false">
      <c r="A756" s="7" t="s">
        <v>87</v>
      </c>
      <c r="B756" s="7" t="n">
        <v>4413122</v>
      </c>
      <c r="C756" s="7" t="s">
        <v>463</v>
      </c>
      <c r="D756" s="26" t="n">
        <v>241.7</v>
      </c>
      <c r="E756" s="26" t="n">
        <v>0</v>
      </c>
      <c r="F756" s="26" t="n">
        <v>0</v>
      </c>
      <c r="G756" s="26" t="n">
        <v>0</v>
      </c>
      <c r="H756" s="26" t="n">
        <v>0</v>
      </c>
      <c r="I756" s="26" t="n">
        <v>0</v>
      </c>
      <c r="J756" s="26" t="n">
        <v>0</v>
      </c>
      <c r="K756" s="26" t="n">
        <v>0</v>
      </c>
      <c r="L756" s="26" t="n">
        <v>0</v>
      </c>
      <c r="M756" s="26" t="n">
        <v>0</v>
      </c>
    </row>
    <row r="757" customFormat="false" ht="15" hidden="false" customHeight="false" outlineLevel="0" collapsed="false">
      <c r="A757" s="7" t="s">
        <v>85</v>
      </c>
      <c r="B757" s="7" t="n">
        <v>4413123</v>
      </c>
      <c r="C757" s="7" t="s">
        <v>464</v>
      </c>
      <c r="D757" s="26" t="n">
        <v>-1</v>
      </c>
      <c r="E757" s="26" t="n">
        <v>0</v>
      </c>
      <c r="F757" s="26" t="n">
        <v>0</v>
      </c>
      <c r="G757" s="26" t="n">
        <v>0</v>
      </c>
      <c r="H757" s="26" t="n">
        <v>0</v>
      </c>
      <c r="I757" s="26" t="n">
        <v>0</v>
      </c>
      <c r="J757" s="26" t="n">
        <v>0</v>
      </c>
      <c r="K757" s="26" t="n">
        <v>0</v>
      </c>
      <c r="L757" s="26" t="n">
        <v>0</v>
      </c>
      <c r="M757" s="26" t="n">
        <v>0</v>
      </c>
    </row>
    <row r="758" customFormat="false" ht="15" hidden="false" customHeight="false" outlineLevel="0" collapsed="false">
      <c r="A758" s="7" t="s">
        <v>87</v>
      </c>
      <c r="B758" s="7" t="n">
        <v>4413123</v>
      </c>
      <c r="C758" s="7" t="s">
        <v>464</v>
      </c>
      <c r="D758" s="26" t="n">
        <v>-80.3</v>
      </c>
      <c r="E758" s="26" t="n">
        <v>0</v>
      </c>
      <c r="F758" s="26" t="n">
        <v>0</v>
      </c>
      <c r="G758" s="26" t="n">
        <v>0</v>
      </c>
      <c r="H758" s="26" t="n">
        <v>0</v>
      </c>
      <c r="I758" s="26" t="n">
        <v>0</v>
      </c>
      <c r="J758" s="26" t="n">
        <v>0</v>
      </c>
      <c r="K758" s="26" t="n">
        <v>0</v>
      </c>
      <c r="L758" s="26" t="n">
        <v>0</v>
      </c>
      <c r="M758" s="26" t="n">
        <v>0</v>
      </c>
    </row>
    <row r="759" customFormat="false" ht="15" hidden="false" customHeight="false" outlineLevel="0" collapsed="false">
      <c r="A759" s="7" t="s">
        <v>85</v>
      </c>
      <c r="B759" s="7" t="n">
        <v>4413121</v>
      </c>
      <c r="C759" s="7" t="s">
        <v>465</v>
      </c>
      <c r="D759" s="26" t="n">
        <v>0</v>
      </c>
      <c r="E759" s="26" t="n">
        <v>0</v>
      </c>
      <c r="F759" s="26" t="n">
        <v>0</v>
      </c>
      <c r="G759" s="26" t="n">
        <v>0</v>
      </c>
      <c r="H759" s="26" t="n">
        <v>0</v>
      </c>
      <c r="I759" s="26" t="n">
        <v>0</v>
      </c>
      <c r="J759" s="26" t="n">
        <v>0</v>
      </c>
      <c r="K759" s="26" t="n">
        <v>0</v>
      </c>
      <c r="L759" s="26" t="n">
        <v>0</v>
      </c>
      <c r="M759" s="26" t="n">
        <v>0</v>
      </c>
    </row>
    <row r="760" customFormat="false" ht="15" hidden="false" customHeight="false" outlineLevel="0" collapsed="false">
      <c r="A760" s="7" t="s">
        <v>87</v>
      </c>
      <c r="B760" s="7" t="n">
        <v>4413121</v>
      </c>
      <c r="C760" s="7" t="s">
        <v>465</v>
      </c>
      <c r="D760" s="26" t="n">
        <v>0</v>
      </c>
      <c r="E760" s="26" t="n">
        <v>0</v>
      </c>
      <c r="F760" s="26" t="n">
        <v>0</v>
      </c>
      <c r="G760" s="26" t="n">
        <v>0</v>
      </c>
      <c r="H760" s="26" t="n">
        <v>0</v>
      </c>
      <c r="I760" s="26" t="n">
        <v>0</v>
      </c>
      <c r="J760" s="26" t="n">
        <v>0</v>
      </c>
      <c r="K760" s="26" t="n">
        <v>0</v>
      </c>
      <c r="L760" s="26" t="n">
        <v>0</v>
      </c>
      <c r="M760" s="26" t="n">
        <v>0</v>
      </c>
    </row>
    <row r="761" customFormat="false" ht="15" hidden="false" customHeight="false" outlineLevel="0" collapsed="false">
      <c r="A761" s="7" t="s">
        <v>85</v>
      </c>
      <c r="B761" s="7" t="n">
        <v>4413124</v>
      </c>
      <c r="C761" s="7" t="s">
        <v>466</v>
      </c>
      <c r="D761" s="26" t="n">
        <v>1</v>
      </c>
      <c r="E761" s="26" t="n">
        <v>0</v>
      </c>
      <c r="F761" s="26" t="n">
        <v>0</v>
      </c>
      <c r="G761" s="26" t="n">
        <v>0</v>
      </c>
      <c r="H761" s="26" t="n">
        <v>0</v>
      </c>
      <c r="I761" s="26" t="n">
        <v>0</v>
      </c>
      <c r="J761" s="26" t="n">
        <v>0</v>
      </c>
      <c r="K761" s="26" t="n">
        <v>0</v>
      </c>
      <c r="L761" s="26" t="n">
        <v>0</v>
      </c>
      <c r="M761" s="26" t="n">
        <v>0</v>
      </c>
    </row>
    <row r="762" customFormat="false" ht="15" hidden="false" customHeight="false" outlineLevel="0" collapsed="false">
      <c r="A762" s="7" t="s">
        <v>87</v>
      </c>
      <c r="B762" s="7" t="n">
        <v>4413124</v>
      </c>
      <c r="C762" s="7" t="s">
        <v>466</v>
      </c>
      <c r="D762" s="26" t="n">
        <v>84.3</v>
      </c>
      <c r="E762" s="26" t="n">
        <v>0</v>
      </c>
      <c r="F762" s="26" t="n">
        <v>0</v>
      </c>
      <c r="G762" s="26" t="n">
        <v>0</v>
      </c>
      <c r="H762" s="26" t="n">
        <v>0</v>
      </c>
      <c r="I762" s="26" t="n">
        <v>0</v>
      </c>
      <c r="J762" s="26" t="n">
        <v>0</v>
      </c>
      <c r="K762" s="26" t="n">
        <v>0</v>
      </c>
      <c r="L762" s="26" t="n">
        <v>0</v>
      </c>
      <c r="M762" s="26" t="n">
        <v>0</v>
      </c>
    </row>
    <row r="763" customFormat="false" ht="15" hidden="false" customHeight="false" outlineLevel="0" collapsed="false">
      <c r="A763" s="7" t="s">
        <v>85</v>
      </c>
      <c r="B763" s="7" t="n">
        <v>4413125</v>
      </c>
      <c r="C763" s="7" t="s">
        <v>467</v>
      </c>
      <c r="D763" s="26" t="n">
        <v>0</v>
      </c>
      <c r="E763" s="26" t="n">
        <v>0</v>
      </c>
      <c r="F763" s="26" t="n">
        <v>0</v>
      </c>
      <c r="G763" s="26" t="n">
        <v>0</v>
      </c>
      <c r="H763" s="26" t="n">
        <v>0</v>
      </c>
      <c r="I763" s="26" t="n">
        <v>0</v>
      </c>
      <c r="J763" s="26" t="n">
        <v>0</v>
      </c>
      <c r="K763" s="26" t="n">
        <v>0</v>
      </c>
      <c r="L763" s="26" t="n">
        <v>0</v>
      </c>
      <c r="M763" s="26" t="n">
        <v>0</v>
      </c>
    </row>
    <row r="764" customFormat="false" ht="15" hidden="false" customHeight="false" outlineLevel="0" collapsed="false">
      <c r="A764" s="7" t="s">
        <v>87</v>
      </c>
      <c r="B764" s="7" t="n">
        <v>4413125</v>
      </c>
      <c r="C764" s="7" t="s">
        <v>467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0</v>
      </c>
      <c r="L764" s="26" t="n">
        <v>0</v>
      </c>
      <c r="M764" s="26" t="n">
        <v>0</v>
      </c>
    </row>
    <row r="765" customFormat="false" ht="15" hidden="false" customHeight="false" outlineLevel="0" collapsed="false">
      <c r="A765" s="7" t="s">
        <v>85</v>
      </c>
      <c r="B765" s="7" t="n">
        <v>4408071</v>
      </c>
      <c r="C765" s="7" t="s">
        <v>468</v>
      </c>
      <c r="D765" s="26" t="n">
        <v>3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2</v>
      </c>
      <c r="L765" s="26" t="n">
        <v>0</v>
      </c>
      <c r="M765" s="26" t="n">
        <v>0</v>
      </c>
    </row>
    <row r="766" customFormat="false" ht="15" hidden="false" customHeight="false" outlineLevel="0" collapsed="false">
      <c r="A766" s="7" t="s">
        <v>87</v>
      </c>
      <c r="B766" s="7" t="n">
        <v>4408071</v>
      </c>
      <c r="C766" s="7" t="s">
        <v>468</v>
      </c>
      <c r="D766" s="26" t="n">
        <v>879.2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342.5</v>
      </c>
      <c r="L766" s="26" t="n">
        <v>0</v>
      </c>
      <c r="M766" s="26" t="n">
        <v>0</v>
      </c>
    </row>
    <row r="767" customFormat="false" ht="15" hidden="false" customHeight="false" outlineLevel="0" collapsed="false">
      <c r="A767" s="7" t="s">
        <v>85</v>
      </c>
      <c r="B767" s="7" t="n">
        <v>4408072</v>
      </c>
      <c r="C767" s="7" t="s">
        <v>469</v>
      </c>
      <c r="D767" s="26" t="n">
        <v>1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2</v>
      </c>
      <c r="J767" s="26" t="n">
        <v>0</v>
      </c>
      <c r="K767" s="26" t="n">
        <v>3</v>
      </c>
      <c r="L767" s="26" t="n">
        <v>0</v>
      </c>
      <c r="M767" s="26" t="n">
        <v>0</v>
      </c>
    </row>
    <row r="768" customFormat="false" ht="15" hidden="false" customHeight="false" outlineLevel="0" collapsed="false">
      <c r="A768" s="7" t="s">
        <v>87</v>
      </c>
      <c r="B768" s="7" t="n">
        <v>4408072</v>
      </c>
      <c r="C768" s="7" t="s">
        <v>469</v>
      </c>
      <c r="D768" s="26" t="n">
        <v>314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603.4</v>
      </c>
      <c r="J768" s="26" t="n">
        <v>0</v>
      </c>
      <c r="K768" s="26" t="n">
        <v>587.2</v>
      </c>
      <c r="L768" s="26" t="n">
        <v>0</v>
      </c>
      <c r="M768" s="26" t="n">
        <v>0</v>
      </c>
    </row>
    <row r="769" customFormat="false" ht="15" hidden="false" customHeight="false" outlineLevel="0" collapsed="false">
      <c r="A769" s="7" t="s">
        <v>85</v>
      </c>
      <c r="B769" s="7" t="n">
        <v>4408070</v>
      </c>
      <c r="C769" s="7" t="s">
        <v>470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6</v>
      </c>
      <c r="J769" s="26" t="n">
        <v>0</v>
      </c>
      <c r="K769" s="26" t="n">
        <v>0</v>
      </c>
      <c r="L769" s="26" t="n">
        <v>0</v>
      </c>
      <c r="M769" s="26" t="n">
        <v>0</v>
      </c>
    </row>
    <row r="770" customFormat="false" ht="15" hidden="false" customHeight="false" outlineLevel="0" collapsed="false">
      <c r="A770" s="7" t="s">
        <v>87</v>
      </c>
      <c r="B770" s="7" t="n">
        <v>4408070</v>
      </c>
      <c r="C770" s="7" t="s">
        <v>470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1810.3</v>
      </c>
      <c r="J770" s="26" t="n">
        <v>0</v>
      </c>
      <c r="K770" s="26" t="n">
        <v>0</v>
      </c>
      <c r="L770" s="26" t="n">
        <v>0</v>
      </c>
      <c r="M770" s="26" t="n">
        <v>0</v>
      </c>
    </row>
    <row r="771" customFormat="false" ht="15" hidden="false" customHeight="false" outlineLevel="0" collapsed="false">
      <c r="A771" s="7" t="s">
        <v>85</v>
      </c>
      <c r="B771" s="7" t="n">
        <v>4408073</v>
      </c>
      <c r="C771" s="7" t="s">
        <v>471</v>
      </c>
      <c r="D771" s="26" t="n">
        <v>1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1</v>
      </c>
      <c r="J771" s="26" t="n">
        <v>0</v>
      </c>
      <c r="K771" s="26" t="n">
        <v>2</v>
      </c>
      <c r="L771" s="26" t="n">
        <v>0</v>
      </c>
      <c r="M771" s="26" t="n">
        <v>0</v>
      </c>
    </row>
    <row r="772" customFormat="false" ht="15" hidden="false" customHeight="false" outlineLevel="0" collapsed="false">
      <c r="A772" s="7" t="s">
        <v>87</v>
      </c>
      <c r="B772" s="7" t="n">
        <v>4408073</v>
      </c>
      <c r="C772" s="7" t="s">
        <v>471</v>
      </c>
      <c r="D772" s="26" t="n">
        <v>316.1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301.7</v>
      </c>
      <c r="J772" s="26" t="n">
        <v>0</v>
      </c>
      <c r="K772" s="26" t="n">
        <v>342.5</v>
      </c>
      <c r="L772" s="26" t="n">
        <v>0</v>
      </c>
      <c r="M772" s="26" t="n">
        <v>0</v>
      </c>
    </row>
    <row r="773" customFormat="false" ht="15" hidden="false" customHeight="false" outlineLevel="0" collapsed="false">
      <c r="A773" s="7" t="s">
        <v>85</v>
      </c>
      <c r="B773" s="7" t="n">
        <v>4408074</v>
      </c>
      <c r="C773" s="7" t="s">
        <v>472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0</v>
      </c>
      <c r="L773" s="26" t="n">
        <v>0</v>
      </c>
      <c r="M773" s="26" t="n">
        <v>0</v>
      </c>
    </row>
    <row r="774" customFormat="false" ht="15" hidden="false" customHeight="false" outlineLevel="0" collapsed="false">
      <c r="A774" s="7" t="s">
        <v>87</v>
      </c>
      <c r="B774" s="7" t="n">
        <v>4408074</v>
      </c>
      <c r="C774" s="7" t="s">
        <v>472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0</v>
      </c>
      <c r="L774" s="26" t="n">
        <v>0</v>
      </c>
      <c r="M774" s="26" t="n">
        <v>0</v>
      </c>
    </row>
    <row r="775" customFormat="false" ht="15" hidden="false" customHeight="false" outlineLevel="0" collapsed="false">
      <c r="A775" s="7" t="s">
        <v>85</v>
      </c>
      <c r="B775" s="7" t="n">
        <v>4408076</v>
      </c>
      <c r="C775" s="7" t="s">
        <v>473</v>
      </c>
      <c r="D775" s="26" t="n">
        <v>3</v>
      </c>
      <c r="E775" s="26" t="n">
        <v>0</v>
      </c>
      <c r="F775" s="26" t="n">
        <v>0</v>
      </c>
      <c r="G775" s="26" t="n">
        <v>0</v>
      </c>
      <c r="H775" s="26" t="n">
        <v>1</v>
      </c>
      <c r="I775" s="26" t="n">
        <v>0</v>
      </c>
      <c r="J775" s="26" t="n">
        <v>0</v>
      </c>
      <c r="K775" s="26" t="n">
        <v>7</v>
      </c>
      <c r="L775" s="26" t="n">
        <v>0</v>
      </c>
      <c r="M775" s="26" t="n">
        <v>0</v>
      </c>
    </row>
    <row r="776" customFormat="false" ht="15" hidden="false" customHeight="false" outlineLevel="0" collapsed="false">
      <c r="A776" s="7" t="s">
        <v>87</v>
      </c>
      <c r="B776" s="7" t="n">
        <v>4408076</v>
      </c>
      <c r="C776" s="7" t="s">
        <v>473</v>
      </c>
      <c r="D776" s="26" t="n">
        <v>537.3</v>
      </c>
      <c r="E776" s="26" t="n">
        <v>0</v>
      </c>
      <c r="F776" s="26" t="n">
        <v>0</v>
      </c>
      <c r="G776" s="26" t="n">
        <v>0</v>
      </c>
      <c r="H776" s="26" t="n">
        <v>162.5</v>
      </c>
      <c r="I776" s="26" t="n">
        <v>0</v>
      </c>
      <c r="J776" s="26" t="n">
        <v>0</v>
      </c>
      <c r="K776" s="26" t="n">
        <v>822.7</v>
      </c>
      <c r="L776" s="26" t="n">
        <v>0</v>
      </c>
      <c r="M776" s="26" t="n">
        <v>0</v>
      </c>
    </row>
    <row r="777" customFormat="false" ht="15" hidden="false" customHeight="false" outlineLevel="0" collapsed="false">
      <c r="A777" s="7" t="s">
        <v>85</v>
      </c>
      <c r="B777" s="7" t="n">
        <v>4408077</v>
      </c>
      <c r="C777" s="7" t="s">
        <v>474</v>
      </c>
      <c r="D777" s="26" t="n">
        <v>2</v>
      </c>
      <c r="E777" s="26" t="n">
        <v>0</v>
      </c>
      <c r="F777" s="26" t="n">
        <v>0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1</v>
      </c>
      <c r="L777" s="26" t="n">
        <v>0</v>
      </c>
      <c r="M777" s="26" t="n">
        <v>0</v>
      </c>
    </row>
    <row r="778" customFormat="false" ht="15" hidden="false" customHeight="false" outlineLevel="0" collapsed="false">
      <c r="A778" s="7" t="s">
        <v>87</v>
      </c>
      <c r="B778" s="7" t="n">
        <v>4408077</v>
      </c>
      <c r="C778" s="7" t="s">
        <v>474</v>
      </c>
      <c r="D778" s="26" t="n">
        <v>374.9</v>
      </c>
      <c r="E778" s="26" t="n">
        <v>0</v>
      </c>
      <c r="F778" s="26" t="n">
        <v>0</v>
      </c>
      <c r="G778" s="26" t="n">
        <v>0</v>
      </c>
      <c r="H778" s="26" t="n">
        <v>0</v>
      </c>
      <c r="I778" s="26" t="n">
        <v>0</v>
      </c>
      <c r="J778" s="26" t="n">
        <v>0</v>
      </c>
      <c r="K778" s="26" t="n">
        <v>126.6</v>
      </c>
      <c r="L778" s="26" t="n">
        <v>0</v>
      </c>
      <c r="M778" s="26" t="n">
        <v>0</v>
      </c>
    </row>
    <row r="779" customFormat="false" ht="15" hidden="false" customHeight="false" outlineLevel="0" collapsed="false">
      <c r="A779" s="7" t="s">
        <v>85</v>
      </c>
      <c r="B779" s="7" t="n">
        <v>4408075</v>
      </c>
      <c r="C779" s="7" t="s">
        <v>475</v>
      </c>
      <c r="D779" s="26" t="n">
        <v>1</v>
      </c>
      <c r="E779" s="26" t="n">
        <v>0</v>
      </c>
      <c r="F779" s="26" t="n">
        <v>0</v>
      </c>
      <c r="G779" s="26" t="n">
        <v>0</v>
      </c>
      <c r="H779" s="26" t="n">
        <v>-1</v>
      </c>
      <c r="I779" s="26" t="n">
        <v>0</v>
      </c>
      <c r="J779" s="26" t="n">
        <v>0</v>
      </c>
      <c r="K779" s="26" t="n">
        <v>2</v>
      </c>
      <c r="L779" s="26" t="n">
        <v>0</v>
      </c>
      <c r="M779" s="26" t="n">
        <v>0</v>
      </c>
    </row>
    <row r="780" customFormat="false" ht="15" hidden="false" customHeight="false" outlineLevel="0" collapsed="false">
      <c r="A780" s="7" t="s">
        <v>87</v>
      </c>
      <c r="B780" s="7" t="n">
        <v>4408075</v>
      </c>
      <c r="C780" s="7" t="s">
        <v>475</v>
      </c>
      <c r="D780" s="26" t="n">
        <v>187.4</v>
      </c>
      <c r="E780" s="26" t="n">
        <v>0</v>
      </c>
      <c r="F780" s="26" t="n">
        <v>0</v>
      </c>
      <c r="G780" s="26" t="n">
        <v>0</v>
      </c>
      <c r="H780" s="26" t="n">
        <v>0</v>
      </c>
      <c r="I780" s="26" t="n">
        <v>0</v>
      </c>
      <c r="J780" s="26" t="n">
        <v>0</v>
      </c>
      <c r="K780" s="26" t="n">
        <v>253.1</v>
      </c>
      <c r="L780" s="26" t="n">
        <v>0</v>
      </c>
      <c r="M780" s="26" t="n">
        <v>0</v>
      </c>
    </row>
    <row r="781" customFormat="false" ht="15" hidden="false" customHeight="false" outlineLevel="0" collapsed="false">
      <c r="A781" s="7" t="s">
        <v>85</v>
      </c>
      <c r="B781" s="7" t="n">
        <v>4408078</v>
      </c>
      <c r="C781" s="7" t="s">
        <v>476</v>
      </c>
      <c r="D781" s="26" t="n">
        <v>1</v>
      </c>
      <c r="E781" s="26" t="n">
        <v>0</v>
      </c>
      <c r="F781" s="26" t="n">
        <v>0</v>
      </c>
      <c r="G781" s="26" t="n">
        <v>0</v>
      </c>
      <c r="H781" s="26" t="n">
        <v>0</v>
      </c>
      <c r="I781" s="26" t="n">
        <v>1</v>
      </c>
      <c r="J781" s="26" t="n">
        <v>0</v>
      </c>
      <c r="K781" s="26" t="n">
        <v>0</v>
      </c>
      <c r="L781" s="26" t="n">
        <v>0</v>
      </c>
      <c r="M781" s="26" t="n">
        <v>0</v>
      </c>
    </row>
    <row r="782" customFormat="false" ht="15" hidden="false" customHeight="false" outlineLevel="0" collapsed="false">
      <c r="A782" s="7" t="s">
        <v>87</v>
      </c>
      <c r="B782" s="7" t="n">
        <v>4408078</v>
      </c>
      <c r="C782" s="7" t="s">
        <v>476</v>
      </c>
      <c r="D782" s="26" t="n">
        <v>187.4</v>
      </c>
      <c r="E782" s="26" t="n">
        <v>0</v>
      </c>
      <c r="F782" s="26" t="n">
        <v>0</v>
      </c>
      <c r="G782" s="26" t="n">
        <v>0</v>
      </c>
      <c r="H782" s="26" t="n">
        <v>0</v>
      </c>
      <c r="I782" s="26" t="n">
        <v>172</v>
      </c>
      <c r="J782" s="26" t="n">
        <v>0</v>
      </c>
      <c r="K782" s="26" t="n">
        <v>0</v>
      </c>
      <c r="L782" s="26" t="n">
        <v>0</v>
      </c>
      <c r="M782" s="26" t="n">
        <v>0</v>
      </c>
    </row>
    <row r="783" customFormat="false" ht="15" hidden="false" customHeight="false" outlineLevel="0" collapsed="false">
      <c r="A783" s="7" t="s">
        <v>85</v>
      </c>
      <c r="B783" s="7" t="n">
        <v>4408080</v>
      </c>
      <c r="C783" s="7" t="s">
        <v>477</v>
      </c>
      <c r="D783" s="26" t="n">
        <v>4</v>
      </c>
      <c r="E783" s="26" t="n">
        <v>0</v>
      </c>
      <c r="F783" s="26" t="n">
        <v>0</v>
      </c>
      <c r="G783" s="26" t="n">
        <v>0</v>
      </c>
      <c r="H783" s="26" t="n">
        <v>0</v>
      </c>
      <c r="I783" s="26" t="n">
        <v>0</v>
      </c>
      <c r="J783" s="26" t="n">
        <v>0</v>
      </c>
      <c r="K783" s="26" t="n">
        <v>3</v>
      </c>
      <c r="L783" s="26" t="n">
        <v>0</v>
      </c>
      <c r="M783" s="26" t="n">
        <v>0</v>
      </c>
    </row>
    <row r="784" customFormat="false" ht="15" hidden="false" customHeight="false" outlineLevel="0" collapsed="false">
      <c r="A784" s="7" t="s">
        <v>87</v>
      </c>
      <c r="B784" s="7" t="n">
        <v>4408080</v>
      </c>
      <c r="C784" s="7" t="s">
        <v>477</v>
      </c>
      <c r="D784" s="26" t="n">
        <v>762.3</v>
      </c>
      <c r="E784" s="26" t="n">
        <v>0</v>
      </c>
      <c r="F784" s="26" t="n">
        <v>0</v>
      </c>
      <c r="G784" s="26" t="n">
        <v>0</v>
      </c>
      <c r="H784" s="26" t="n">
        <v>0</v>
      </c>
      <c r="I784" s="26" t="n">
        <v>0</v>
      </c>
      <c r="J784" s="26" t="n">
        <v>0</v>
      </c>
      <c r="K784" s="26" t="n">
        <v>348.1</v>
      </c>
      <c r="L784" s="26" t="n">
        <v>0</v>
      </c>
      <c r="M784" s="26" t="n">
        <v>0</v>
      </c>
    </row>
    <row r="785" customFormat="false" ht="15" hidden="false" customHeight="false" outlineLevel="0" collapsed="false">
      <c r="A785" s="7" t="s">
        <v>85</v>
      </c>
      <c r="B785" s="7" t="n">
        <v>4408081</v>
      </c>
      <c r="C785" s="7" t="s">
        <v>478</v>
      </c>
      <c r="D785" s="26" t="n">
        <v>6</v>
      </c>
      <c r="E785" s="26" t="n">
        <v>0</v>
      </c>
      <c r="F785" s="26" t="n">
        <v>0</v>
      </c>
      <c r="G785" s="26" t="n">
        <v>0</v>
      </c>
      <c r="H785" s="26" t="n">
        <v>0</v>
      </c>
      <c r="I785" s="26" t="n">
        <v>1</v>
      </c>
      <c r="J785" s="26" t="n">
        <v>0</v>
      </c>
      <c r="K785" s="26" t="n">
        <v>10</v>
      </c>
      <c r="L785" s="26" t="n">
        <v>0</v>
      </c>
      <c r="M785" s="26" t="n">
        <v>0</v>
      </c>
    </row>
    <row r="786" customFormat="false" ht="15" hidden="false" customHeight="false" outlineLevel="0" collapsed="false">
      <c r="A786" s="7" t="s">
        <v>87</v>
      </c>
      <c r="B786" s="7" t="n">
        <v>4408081</v>
      </c>
      <c r="C786" s="7" t="s">
        <v>478</v>
      </c>
      <c r="D786" s="26" t="n">
        <v>1087.2</v>
      </c>
      <c r="E786" s="26" t="n">
        <v>0</v>
      </c>
      <c r="F786" s="26" t="n">
        <v>0</v>
      </c>
      <c r="G786" s="26" t="n">
        <v>0</v>
      </c>
      <c r="H786" s="26" t="n">
        <v>0</v>
      </c>
      <c r="I786" s="26" t="n">
        <v>178.9</v>
      </c>
      <c r="J786" s="26" t="n">
        <v>0</v>
      </c>
      <c r="K786" s="26" t="n">
        <v>1139.1</v>
      </c>
      <c r="L786" s="26" t="n">
        <v>0</v>
      </c>
      <c r="M786" s="26" t="n">
        <v>0</v>
      </c>
    </row>
    <row r="787" customFormat="false" ht="15" hidden="false" customHeight="false" outlineLevel="0" collapsed="false">
      <c r="A787" s="7" t="s">
        <v>85</v>
      </c>
      <c r="B787" s="7" t="n">
        <v>4408079</v>
      </c>
      <c r="C787" s="7" t="s">
        <v>479</v>
      </c>
      <c r="D787" s="26" t="n">
        <v>0</v>
      </c>
      <c r="E787" s="26" t="n">
        <v>0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0</v>
      </c>
      <c r="L787" s="26" t="n">
        <v>0</v>
      </c>
      <c r="M787" s="26" t="n">
        <v>0</v>
      </c>
    </row>
    <row r="788" customFormat="false" ht="15" hidden="false" customHeight="false" outlineLevel="0" collapsed="false">
      <c r="A788" s="7" t="s">
        <v>87</v>
      </c>
      <c r="B788" s="7" t="n">
        <v>4408079</v>
      </c>
      <c r="C788" s="7" t="s">
        <v>479</v>
      </c>
      <c r="D788" s="26" t="n">
        <v>-22.4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0</v>
      </c>
      <c r="L788" s="26" t="n">
        <v>0</v>
      </c>
      <c r="M788" s="26" t="n">
        <v>0</v>
      </c>
    </row>
    <row r="789" customFormat="false" ht="15" hidden="false" customHeight="false" outlineLevel="0" collapsed="false">
      <c r="A789" s="7" t="s">
        <v>85</v>
      </c>
      <c r="B789" s="7" t="n">
        <v>4408082</v>
      </c>
      <c r="C789" s="7" t="s">
        <v>480</v>
      </c>
      <c r="D789" s="26" t="n">
        <v>2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0</v>
      </c>
      <c r="L789" s="26" t="n">
        <v>0</v>
      </c>
      <c r="M789" s="26" t="n">
        <v>0</v>
      </c>
    </row>
    <row r="790" customFormat="false" ht="15" hidden="false" customHeight="false" outlineLevel="0" collapsed="false">
      <c r="A790" s="7" t="s">
        <v>87</v>
      </c>
      <c r="B790" s="7" t="n">
        <v>4408082</v>
      </c>
      <c r="C790" s="7" t="s">
        <v>480</v>
      </c>
      <c r="D790" s="26" t="n">
        <v>374.9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0</v>
      </c>
      <c r="L790" s="26" t="n">
        <v>0</v>
      </c>
      <c r="M790" s="26" t="n">
        <v>0</v>
      </c>
    </row>
    <row r="791" customFormat="false" ht="15" hidden="false" customHeight="false" outlineLevel="0" collapsed="false">
      <c r="A791" s="7" t="s">
        <v>85</v>
      </c>
      <c r="B791" s="7" t="n">
        <v>4413466</v>
      </c>
      <c r="C791" s="7" t="s">
        <v>481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0</v>
      </c>
      <c r="L791" s="26" t="n">
        <v>0</v>
      </c>
      <c r="M791" s="26" t="n">
        <v>0</v>
      </c>
    </row>
    <row r="792" customFormat="false" ht="15" hidden="false" customHeight="false" outlineLevel="0" collapsed="false">
      <c r="A792" s="7" t="s">
        <v>87</v>
      </c>
      <c r="B792" s="7" t="n">
        <v>4413466</v>
      </c>
      <c r="C792" s="7" t="s">
        <v>481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0</v>
      </c>
      <c r="L792" s="26" t="n">
        <v>0</v>
      </c>
      <c r="M792" s="26" t="n">
        <v>0</v>
      </c>
    </row>
    <row r="793" customFormat="false" ht="15" hidden="false" customHeight="false" outlineLevel="0" collapsed="false">
      <c r="A793" s="7" t="s">
        <v>85</v>
      </c>
      <c r="B793" s="7" t="n">
        <v>4413467</v>
      </c>
      <c r="C793" s="7" t="s">
        <v>482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0</v>
      </c>
      <c r="L793" s="26" t="n">
        <v>0</v>
      </c>
      <c r="M793" s="26" t="n">
        <v>0</v>
      </c>
    </row>
    <row r="794" customFormat="false" ht="15" hidden="false" customHeight="false" outlineLevel="0" collapsed="false">
      <c r="A794" s="7" t="s">
        <v>87</v>
      </c>
      <c r="B794" s="7" t="n">
        <v>4413467</v>
      </c>
      <c r="C794" s="7" t="s">
        <v>482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0</v>
      </c>
      <c r="L794" s="26" t="n">
        <v>0</v>
      </c>
      <c r="M794" s="26" t="n">
        <v>0</v>
      </c>
    </row>
    <row r="795" customFormat="false" ht="15" hidden="false" customHeight="false" outlineLevel="0" collapsed="false">
      <c r="A795" s="7" t="s">
        <v>85</v>
      </c>
      <c r="B795" s="7" t="n">
        <v>4413464</v>
      </c>
      <c r="C795" s="7" t="s">
        <v>483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0</v>
      </c>
      <c r="L795" s="26" t="n">
        <v>0</v>
      </c>
      <c r="M795" s="26" t="n">
        <v>0</v>
      </c>
    </row>
    <row r="796" customFormat="false" ht="15" hidden="false" customHeight="false" outlineLevel="0" collapsed="false">
      <c r="A796" s="7" t="s">
        <v>87</v>
      </c>
      <c r="B796" s="7" t="n">
        <v>4413464</v>
      </c>
      <c r="C796" s="7" t="s">
        <v>483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0</v>
      </c>
      <c r="L796" s="26" t="n">
        <v>0</v>
      </c>
      <c r="M796" s="26" t="n">
        <v>0</v>
      </c>
    </row>
    <row r="797" customFormat="false" ht="15" hidden="false" customHeight="false" outlineLevel="0" collapsed="false">
      <c r="A797" s="7" t="s">
        <v>85</v>
      </c>
      <c r="B797" s="7" t="n">
        <v>4413473</v>
      </c>
      <c r="C797" s="7" t="s">
        <v>484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0</v>
      </c>
      <c r="L797" s="26" t="n">
        <v>0</v>
      </c>
      <c r="M797" s="26" t="n">
        <v>0</v>
      </c>
    </row>
    <row r="798" customFormat="false" ht="15" hidden="false" customHeight="false" outlineLevel="0" collapsed="false">
      <c r="A798" s="7" t="s">
        <v>87</v>
      </c>
      <c r="B798" s="7" t="n">
        <v>4413473</v>
      </c>
      <c r="C798" s="7" t="s">
        <v>484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0</v>
      </c>
      <c r="L798" s="26" t="n">
        <v>0</v>
      </c>
      <c r="M798" s="26" t="n">
        <v>0</v>
      </c>
    </row>
    <row r="799" customFormat="false" ht="15" hidden="false" customHeight="false" outlineLevel="0" collapsed="false">
      <c r="A799" s="7" t="s">
        <v>85</v>
      </c>
      <c r="B799" s="7" t="n">
        <v>4408088</v>
      </c>
      <c r="C799" s="7" t="s">
        <v>485</v>
      </c>
      <c r="D799" s="26" t="n">
        <v>11</v>
      </c>
      <c r="E799" s="26" t="n">
        <v>0</v>
      </c>
      <c r="F799" s="26" t="n">
        <v>0</v>
      </c>
      <c r="G799" s="26" t="n">
        <v>0</v>
      </c>
      <c r="H799" s="26" t="n">
        <v>-25</v>
      </c>
      <c r="I799" s="26" t="n">
        <v>-6</v>
      </c>
      <c r="J799" s="26" t="n">
        <v>0</v>
      </c>
      <c r="K799" s="26" t="n">
        <v>0</v>
      </c>
      <c r="L799" s="26" t="n">
        <v>0</v>
      </c>
      <c r="M799" s="26" t="n">
        <v>0</v>
      </c>
    </row>
    <row r="800" customFormat="false" ht="15" hidden="false" customHeight="false" outlineLevel="0" collapsed="false">
      <c r="A800" s="7" t="s">
        <v>87</v>
      </c>
      <c r="B800" s="7" t="n">
        <v>4408088</v>
      </c>
      <c r="C800" s="7" t="s">
        <v>485</v>
      </c>
      <c r="D800" s="26" t="n">
        <v>859.4</v>
      </c>
      <c r="E800" s="26" t="n">
        <v>0</v>
      </c>
      <c r="F800" s="26" t="n">
        <v>0</v>
      </c>
      <c r="G800" s="26" t="n">
        <v>0</v>
      </c>
      <c r="H800" s="26" t="n">
        <v>-1715.2</v>
      </c>
      <c r="I800" s="26" t="n">
        <v>-449.8</v>
      </c>
      <c r="J800" s="26" t="n">
        <v>0</v>
      </c>
      <c r="K800" s="26" t="n">
        <v>0</v>
      </c>
      <c r="L800" s="26" t="n">
        <v>0</v>
      </c>
      <c r="M800" s="26" t="n">
        <v>0</v>
      </c>
    </row>
    <row r="801" customFormat="false" ht="15" hidden="false" customHeight="false" outlineLevel="0" collapsed="false">
      <c r="A801" s="7" t="s">
        <v>85</v>
      </c>
      <c r="B801" s="7" t="n">
        <v>4408083</v>
      </c>
      <c r="C801" s="7" t="s">
        <v>486</v>
      </c>
      <c r="D801" s="26" t="n">
        <v>0</v>
      </c>
      <c r="E801" s="26" t="n">
        <v>0</v>
      </c>
      <c r="F801" s="26" t="n">
        <v>0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  <c r="L801" s="26" t="n">
        <v>0</v>
      </c>
      <c r="M801" s="26" t="n">
        <v>0</v>
      </c>
    </row>
    <row r="802" customFormat="false" ht="15" hidden="false" customHeight="false" outlineLevel="0" collapsed="false">
      <c r="A802" s="7" t="s">
        <v>87</v>
      </c>
      <c r="B802" s="7" t="n">
        <v>4408083</v>
      </c>
      <c r="C802" s="7" t="s">
        <v>486</v>
      </c>
      <c r="D802" s="26" t="n">
        <v>0</v>
      </c>
      <c r="E802" s="26" t="n">
        <v>0</v>
      </c>
      <c r="F802" s="26" t="n">
        <v>0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  <c r="L802" s="26" t="n">
        <v>0</v>
      </c>
      <c r="M802" s="26" t="n">
        <v>0</v>
      </c>
    </row>
    <row r="803" customFormat="false" ht="15" hidden="false" customHeight="false" outlineLevel="0" collapsed="false">
      <c r="A803" s="7" t="s">
        <v>85</v>
      </c>
      <c r="B803" s="7" t="n">
        <v>4408266</v>
      </c>
      <c r="C803" s="7" t="s">
        <v>487</v>
      </c>
      <c r="D803" s="26" t="n">
        <v>67</v>
      </c>
      <c r="E803" s="26" t="n">
        <v>0</v>
      </c>
      <c r="F803" s="26" t="n">
        <v>0</v>
      </c>
      <c r="G803" s="26" t="n">
        <v>0</v>
      </c>
      <c r="H803" s="26" t="n">
        <v>909</v>
      </c>
      <c r="I803" s="26" t="n">
        <v>0</v>
      </c>
      <c r="J803" s="26" t="n">
        <v>0</v>
      </c>
      <c r="K803" s="26" t="n">
        <v>0</v>
      </c>
      <c r="L803" s="26" t="n">
        <v>0</v>
      </c>
      <c r="M803" s="26" t="n">
        <v>0</v>
      </c>
    </row>
    <row r="804" customFormat="false" ht="15" hidden="false" customHeight="false" outlineLevel="0" collapsed="false">
      <c r="A804" s="7" t="s">
        <v>87</v>
      </c>
      <c r="B804" s="7" t="n">
        <v>4408266</v>
      </c>
      <c r="C804" s="7" t="s">
        <v>487</v>
      </c>
      <c r="D804" s="26" t="n">
        <v>5537</v>
      </c>
      <c r="E804" s="26" t="n">
        <v>0</v>
      </c>
      <c r="F804" s="26" t="n">
        <v>0</v>
      </c>
      <c r="G804" s="26" t="n">
        <v>0</v>
      </c>
      <c r="H804" s="26" t="n">
        <v>66257.5</v>
      </c>
      <c r="I804" s="26" t="n">
        <v>0</v>
      </c>
      <c r="J804" s="26" t="n">
        <v>0</v>
      </c>
      <c r="K804" s="26" t="n">
        <v>0</v>
      </c>
      <c r="L804" s="26" t="n">
        <v>0</v>
      </c>
      <c r="M804" s="26" t="n">
        <v>0</v>
      </c>
    </row>
    <row r="805" customFormat="false" ht="15" hidden="false" customHeight="false" outlineLevel="0" collapsed="false">
      <c r="A805" s="7" t="s">
        <v>85</v>
      </c>
      <c r="B805" s="7" t="n">
        <v>4408084</v>
      </c>
      <c r="C805" s="7" t="s">
        <v>488</v>
      </c>
      <c r="D805" s="26" t="n">
        <v>2</v>
      </c>
      <c r="E805" s="26" t="n">
        <v>0</v>
      </c>
      <c r="F805" s="26" t="n">
        <v>0</v>
      </c>
      <c r="G805" s="26" t="n">
        <v>0</v>
      </c>
      <c r="H805" s="26" t="n">
        <v>0</v>
      </c>
      <c r="I805" s="26" t="n">
        <v>0</v>
      </c>
      <c r="J805" s="26" t="n">
        <v>0</v>
      </c>
      <c r="K805" s="26" t="n">
        <v>0</v>
      </c>
      <c r="L805" s="26" t="n">
        <v>0</v>
      </c>
      <c r="M805" s="26" t="n">
        <v>0</v>
      </c>
    </row>
    <row r="806" customFormat="false" ht="15" hidden="false" customHeight="false" outlineLevel="0" collapsed="false">
      <c r="A806" s="7" t="s">
        <v>87</v>
      </c>
      <c r="B806" s="7" t="n">
        <v>4408084</v>
      </c>
      <c r="C806" s="7" t="s">
        <v>488</v>
      </c>
      <c r="D806" s="26" t="n">
        <v>283.9</v>
      </c>
      <c r="E806" s="26" t="n">
        <v>0</v>
      </c>
      <c r="F806" s="26" t="n">
        <v>0</v>
      </c>
      <c r="G806" s="26" t="n">
        <v>0</v>
      </c>
      <c r="H806" s="26" t="n">
        <v>0</v>
      </c>
      <c r="I806" s="26" t="n">
        <v>0</v>
      </c>
      <c r="J806" s="26" t="n">
        <v>0</v>
      </c>
      <c r="K806" s="26" t="n">
        <v>0</v>
      </c>
      <c r="L806" s="26" t="n">
        <v>0</v>
      </c>
      <c r="M806" s="26" t="n">
        <v>0</v>
      </c>
    </row>
    <row r="807" customFormat="false" ht="15" hidden="false" customHeight="false" outlineLevel="0" collapsed="false">
      <c r="A807" s="7" t="s">
        <v>85</v>
      </c>
      <c r="B807" s="7" t="n">
        <v>4408085</v>
      </c>
      <c r="C807" s="7" t="s">
        <v>489</v>
      </c>
      <c r="D807" s="26" t="n">
        <v>0</v>
      </c>
      <c r="E807" s="26" t="n">
        <v>0</v>
      </c>
      <c r="F807" s="26" t="n">
        <v>0</v>
      </c>
      <c r="G807" s="26" t="n">
        <v>0</v>
      </c>
      <c r="H807" s="26" t="n">
        <v>0</v>
      </c>
      <c r="I807" s="26" t="n">
        <v>0</v>
      </c>
      <c r="J807" s="26" t="n">
        <v>0</v>
      </c>
      <c r="K807" s="26" t="n">
        <v>0</v>
      </c>
      <c r="L807" s="26" t="n">
        <v>0</v>
      </c>
      <c r="M807" s="26" t="n">
        <v>0</v>
      </c>
    </row>
    <row r="808" customFormat="false" ht="15" hidden="false" customHeight="false" outlineLevel="0" collapsed="false">
      <c r="A808" s="7" t="s">
        <v>87</v>
      </c>
      <c r="B808" s="7" t="n">
        <v>4408085</v>
      </c>
      <c r="C808" s="7" t="s">
        <v>489</v>
      </c>
      <c r="D808" s="26" t="n">
        <v>0</v>
      </c>
      <c r="E808" s="26" t="n">
        <v>0</v>
      </c>
      <c r="F808" s="26" t="n">
        <v>0</v>
      </c>
      <c r="G808" s="26" t="n">
        <v>0</v>
      </c>
      <c r="H808" s="26" t="n">
        <v>0</v>
      </c>
      <c r="I808" s="26" t="n">
        <v>0</v>
      </c>
      <c r="J808" s="26" t="n">
        <v>0</v>
      </c>
      <c r="K808" s="26" t="n">
        <v>0</v>
      </c>
      <c r="L808" s="26" t="n">
        <v>0</v>
      </c>
      <c r="M808" s="26" t="n">
        <v>0</v>
      </c>
    </row>
    <row r="809" customFormat="false" ht="15" hidden="false" customHeight="false" outlineLevel="0" collapsed="false">
      <c r="A809" s="7" t="s">
        <v>85</v>
      </c>
      <c r="B809" s="7" t="n">
        <v>4408086</v>
      </c>
      <c r="C809" s="7" t="s">
        <v>490</v>
      </c>
      <c r="D809" s="26" t="n">
        <v>0</v>
      </c>
      <c r="E809" s="26" t="n">
        <v>0</v>
      </c>
      <c r="F809" s="26" t="n">
        <v>0</v>
      </c>
      <c r="G809" s="26" t="n">
        <v>0</v>
      </c>
      <c r="H809" s="26" t="n">
        <v>-1</v>
      </c>
      <c r="I809" s="26" t="n">
        <v>0</v>
      </c>
      <c r="J809" s="26" t="n">
        <v>0</v>
      </c>
      <c r="K809" s="26" t="n">
        <v>0</v>
      </c>
      <c r="L809" s="26" t="n">
        <v>0</v>
      </c>
      <c r="M809" s="26" t="n">
        <v>0</v>
      </c>
    </row>
    <row r="810" customFormat="false" ht="15" hidden="false" customHeight="false" outlineLevel="0" collapsed="false">
      <c r="A810" s="7" t="s">
        <v>87</v>
      </c>
      <c r="B810" s="7" t="n">
        <v>4408086</v>
      </c>
      <c r="C810" s="7" t="s">
        <v>490</v>
      </c>
      <c r="D810" s="26" t="n">
        <v>0</v>
      </c>
      <c r="E810" s="26" t="n">
        <v>0</v>
      </c>
      <c r="F810" s="26" t="n">
        <v>0</v>
      </c>
      <c r="G810" s="26" t="n">
        <v>0</v>
      </c>
      <c r="H810" s="26" t="n">
        <v>0</v>
      </c>
      <c r="I810" s="26" t="n">
        <v>0</v>
      </c>
      <c r="J810" s="26" t="n">
        <v>0</v>
      </c>
      <c r="K810" s="26" t="n">
        <v>0</v>
      </c>
      <c r="L810" s="26" t="n">
        <v>0</v>
      </c>
      <c r="M810" s="26" t="n">
        <v>0</v>
      </c>
    </row>
    <row r="811" customFormat="false" ht="15" hidden="false" customHeight="false" outlineLevel="0" collapsed="false">
      <c r="A811" s="7" t="s">
        <v>85</v>
      </c>
      <c r="B811" s="7" t="n">
        <v>4408087</v>
      </c>
      <c r="C811" s="7" t="s">
        <v>491</v>
      </c>
      <c r="D811" s="26" t="n">
        <v>1</v>
      </c>
      <c r="E811" s="26" t="n">
        <v>0</v>
      </c>
      <c r="F811" s="26" t="n">
        <v>0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0</v>
      </c>
      <c r="L811" s="26" t="n">
        <v>0</v>
      </c>
      <c r="M811" s="26" t="n">
        <v>0</v>
      </c>
    </row>
    <row r="812" customFormat="false" ht="15" hidden="false" customHeight="false" outlineLevel="0" collapsed="false">
      <c r="A812" s="7" t="s">
        <v>87</v>
      </c>
      <c r="B812" s="7" t="n">
        <v>4408087</v>
      </c>
      <c r="C812" s="7" t="s">
        <v>491</v>
      </c>
      <c r="D812" s="26" t="n">
        <v>142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0</v>
      </c>
      <c r="L812" s="26" t="n">
        <v>0</v>
      </c>
      <c r="M812" s="26" t="n">
        <v>0</v>
      </c>
    </row>
    <row r="813" customFormat="false" ht="15" hidden="false" customHeight="false" outlineLevel="0" collapsed="false">
      <c r="A813" s="7" t="s">
        <v>85</v>
      </c>
      <c r="B813" s="7" t="n">
        <v>4413339</v>
      </c>
      <c r="C813" s="7" t="s">
        <v>492</v>
      </c>
      <c r="D813" s="26" t="n">
        <v>-2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0</v>
      </c>
      <c r="L813" s="26" t="n">
        <v>0</v>
      </c>
      <c r="M813" s="26" t="n">
        <v>0</v>
      </c>
    </row>
    <row r="814" customFormat="false" ht="15" hidden="false" customHeight="false" outlineLevel="0" collapsed="false">
      <c r="A814" s="7" t="s">
        <v>87</v>
      </c>
      <c r="B814" s="7" t="n">
        <v>4413339</v>
      </c>
      <c r="C814" s="7" t="s">
        <v>492</v>
      </c>
      <c r="D814" s="26" t="n">
        <v>-283.5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0</v>
      </c>
      <c r="L814" s="26" t="n">
        <v>0</v>
      </c>
      <c r="M814" s="26" t="n">
        <v>0</v>
      </c>
    </row>
    <row r="815" customFormat="false" ht="15" hidden="false" customHeight="false" outlineLevel="0" collapsed="false">
      <c r="A815" s="7" t="s">
        <v>85</v>
      </c>
      <c r="B815" s="7" t="n">
        <v>4413139</v>
      </c>
      <c r="C815" s="7" t="s">
        <v>493</v>
      </c>
      <c r="D815" s="26" t="n">
        <v>92</v>
      </c>
      <c r="E815" s="26" t="n">
        <v>0</v>
      </c>
      <c r="F815" s="26" t="n">
        <v>4</v>
      </c>
      <c r="G815" s="26" t="n">
        <v>1</v>
      </c>
      <c r="H815" s="26" t="n">
        <v>214</v>
      </c>
      <c r="I815" s="26" t="n">
        <v>81</v>
      </c>
      <c r="J815" s="26" t="n">
        <v>0</v>
      </c>
      <c r="K815" s="26" t="n">
        <v>58</v>
      </c>
      <c r="L815" s="26" t="n">
        <v>0</v>
      </c>
      <c r="M815" s="26" t="n">
        <v>0</v>
      </c>
    </row>
    <row r="816" customFormat="false" ht="15" hidden="false" customHeight="false" outlineLevel="0" collapsed="false">
      <c r="A816" s="7" t="s">
        <v>87</v>
      </c>
      <c r="B816" s="7" t="n">
        <v>4413139</v>
      </c>
      <c r="C816" s="7" t="s">
        <v>493</v>
      </c>
      <c r="D816" s="26" t="n">
        <v>2759.5</v>
      </c>
      <c r="E816" s="26" t="n">
        <v>0</v>
      </c>
      <c r="F816" s="26" t="n">
        <v>123.6</v>
      </c>
      <c r="G816" s="26" t="n">
        <v>26.8</v>
      </c>
      <c r="H816" s="26" t="n">
        <v>5553.6</v>
      </c>
      <c r="I816" s="26" t="n">
        <v>2250.5</v>
      </c>
      <c r="J816" s="26" t="n">
        <v>0</v>
      </c>
      <c r="K816" s="26" t="n">
        <v>956.3</v>
      </c>
      <c r="L816" s="26" t="n">
        <v>0</v>
      </c>
      <c r="M816" s="26" t="n">
        <v>0</v>
      </c>
    </row>
    <row r="817" customFormat="false" ht="15" hidden="false" customHeight="false" outlineLevel="0" collapsed="false">
      <c r="A817" s="7" t="s">
        <v>85</v>
      </c>
      <c r="B817" s="7" t="n">
        <v>4413140</v>
      </c>
      <c r="C817" s="7" t="s">
        <v>494</v>
      </c>
      <c r="D817" s="26" t="n">
        <v>106</v>
      </c>
      <c r="E817" s="26" t="n">
        <v>0</v>
      </c>
      <c r="F817" s="26" t="n">
        <v>4</v>
      </c>
      <c r="G817" s="26" t="n">
        <v>0</v>
      </c>
      <c r="H817" s="26" t="n">
        <v>333</v>
      </c>
      <c r="I817" s="26" t="n">
        <v>74</v>
      </c>
      <c r="J817" s="26" t="n">
        <v>0</v>
      </c>
      <c r="K817" s="26" t="n">
        <v>82</v>
      </c>
      <c r="L817" s="26" t="n">
        <v>0</v>
      </c>
      <c r="M817" s="26" t="n">
        <v>-1</v>
      </c>
    </row>
    <row r="818" customFormat="false" ht="15" hidden="false" customHeight="false" outlineLevel="0" collapsed="false">
      <c r="A818" s="7" t="s">
        <v>87</v>
      </c>
      <c r="B818" s="7" t="n">
        <v>4413140</v>
      </c>
      <c r="C818" s="7" t="s">
        <v>494</v>
      </c>
      <c r="D818" s="26" t="n">
        <v>3151.6</v>
      </c>
      <c r="E818" s="26" t="n">
        <v>0</v>
      </c>
      <c r="F818" s="26" t="n">
        <v>123.6</v>
      </c>
      <c r="G818" s="26" t="n">
        <v>0</v>
      </c>
      <c r="H818" s="26" t="n">
        <v>8641.4</v>
      </c>
      <c r="I818" s="26" t="n">
        <v>2054.2</v>
      </c>
      <c r="J818" s="26" t="n">
        <v>0</v>
      </c>
      <c r="K818" s="26" t="n">
        <v>1330.3</v>
      </c>
      <c r="L818" s="26" t="n">
        <v>0</v>
      </c>
      <c r="M818" s="26" t="n">
        <v>-41.2</v>
      </c>
    </row>
    <row r="819" customFormat="false" ht="15" hidden="false" customHeight="false" outlineLevel="0" collapsed="false">
      <c r="A819" s="7" t="s">
        <v>85</v>
      </c>
      <c r="B819" s="7" t="n">
        <v>4413141</v>
      </c>
      <c r="C819" s="7" t="s">
        <v>495</v>
      </c>
      <c r="D819" s="26" t="n">
        <v>81</v>
      </c>
      <c r="E819" s="26" t="n">
        <v>0</v>
      </c>
      <c r="F819" s="26" t="n">
        <v>3</v>
      </c>
      <c r="G819" s="26" t="n">
        <v>0</v>
      </c>
      <c r="H819" s="26" t="n">
        <v>229</v>
      </c>
      <c r="I819" s="26" t="n">
        <v>64</v>
      </c>
      <c r="J819" s="26" t="n">
        <v>0</v>
      </c>
      <c r="K819" s="26" t="n">
        <v>98</v>
      </c>
      <c r="L819" s="26" t="n">
        <v>0</v>
      </c>
      <c r="M819" s="26" t="n">
        <v>-20</v>
      </c>
    </row>
    <row r="820" customFormat="false" ht="15" hidden="false" customHeight="false" outlineLevel="0" collapsed="false">
      <c r="A820" s="7" t="s">
        <v>87</v>
      </c>
      <c r="B820" s="7" t="n">
        <v>4413141</v>
      </c>
      <c r="C820" s="7" t="s">
        <v>495</v>
      </c>
      <c r="D820" s="26" t="n">
        <v>2432.9</v>
      </c>
      <c r="E820" s="26" t="n">
        <v>0</v>
      </c>
      <c r="F820" s="26" t="n">
        <v>92.7</v>
      </c>
      <c r="G820" s="26" t="n">
        <v>0</v>
      </c>
      <c r="H820" s="26" t="n">
        <v>5945</v>
      </c>
      <c r="I820" s="26" t="n">
        <v>1778.6</v>
      </c>
      <c r="J820" s="26" t="n">
        <v>0</v>
      </c>
      <c r="K820" s="26" t="n">
        <v>1593.8</v>
      </c>
      <c r="L820" s="26" t="n">
        <v>0</v>
      </c>
      <c r="M820" s="26" t="n">
        <v>-823.8</v>
      </c>
    </row>
    <row r="821" customFormat="false" ht="15" hidden="false" customHeight="false" outlineLevel="0" collapsed="false">
      <c r="A821" s="7" t="s">
        <v>85</v>
      </c>
      <c r="B821" s="7" t="n">
        <v>4413142</v>
      </c>
      <c r="C821" s="7" t="s">
        <v>496</v>
      </c>
      <c r="D821" s="26" t="n">
        <v>30</v>
      </c>
      <c r="E821" s="26" t="n">
        <v>0</v>
      </c>
      <c r="F821" s="26" t="n">
        <v>4</v>
      </c>
      <c r="G821" s="26" t="n">
        <v>0</v>
      </c>
      <c r="H821" s="26" t="n">
        <v>99</v>
      </c>
      <c r="I821" s="26" t="n">
        <v>48</v>
      </c>
      <c r="J821" s="26" t="n">
        <v>0</v>
      </c>
      <c r="K821" s="26" t="n">
        <v>30</v>
      </c>
      <c r="L821" s="26" t="n">
        <v>0</v>
      </c>
      <c r="M821" s="26" t="n">
        <v>-2</v>
      </c>
    </row>
    <row r="822" customFormat="false" ht="15" hidden="false" customHeight="false" outlineLevel="0" collapsed="false">
      <c r="A822" s="7" t="s">
        <v>87</v>
      </c>
      <c r="B822" s="7" t="n">
        <v>4413142</v>
      </c>
      <c r="C822" s="7" t="s">
        <v>496</v>
      </c>
      <c r="D822" s="26" t="n">
        <v>912.3</v>
      </c>
      <c r="E822" s="26" t="n">
        <v>0</v>
      </c>
      <c r="F822" s="26" t="n">
        <v>123.6</v>
      </c>
      <c r="G822" s="26" t="n">
        <v>0</v>
      </c>
      <c r="H822" s="26" t="n">
        <v>2595.5</v>
      </c>
      <c r="I822" s="26" t="n">
        <v>1336.4</v>
      </c>
      <c r="J822" s="26" t="n">
        <v>0</v>
      </c>
      <c r="K822" s="26" t="n">
        <v>497.3</v>
      </c>
      <c r="L822" s="26" t="n">
        <v>0</v>
      </c>
      <c r="M822" s="26" t="n">
        <v>-82.4</v>
      </c>
    </row>
    <row r="823" customFormat="false" ht="15" hidden="false" customHeight="false" outlineLevel="0" collapsed="false">
      <c r="A823" s="7" t="s">
        <v>85</v>
      </c>
      <c r="B823" s="7" t="n">
        <v>4413143</v>
      </c>
      <c r="C823" s="7" t="s">
        <v>497</v>
      </c>
      <c r="D823" s="26" t="n">
        <v>23</v>
      </c>
      <c r="E823" s="26" t="n">
        <v>0</v>
      </c>
      <c r="F823" s="26" t="n">
        <v>0</v>
      </c>
      <c r="G823" s="26" t="n">
        <v>0</v>
      </c>
      <c r="H823" s="26" t="n">
        <v>32</v>
      </c>
      <c r="I823" s="26" t="n">
        <v>0</v>
      </c>
      <c r="J823" s="26" t="n">
        <v>0</v>
      </c>
      <c r="K823" s="26" t="n">
        <v>4</v>
      </c>
      <c r="L823" s="26" t="n">
        <v>0</v>
      </c>
      <c r="M823" s="26" t="n">
        <v>0</v>
      </c>
    </row>
    <row r="824" customFormat="false" ht="15" hidden="false" customHeight="false" outlineLevel="0" collapsed="false">
      <c r="A824" s="7" t="s">
        <v>87</v>
      </c>
      <c r="B824" s="7" t="n">
        <v>4413143</v>
      </c>
      <c r="C824" s="7" t="s">
        <v>497</v>
      </c>
      <c r="D824" s="26" t="n">
        <v>691.9</v>
      </c>
      <c r="E824" s="26" t="n">
        <v>0</v>
      </c>
      <c r="F824" s="26" t="n">
        <v>0</v>
      </c>
      <c r="G824" s="26" t="n">
        <v>0</v>
      </c>
      <c r="H824" s="26" t="n">
        <v>832.7</v>
      </c>
      <c r="I824" s="26" t="n">
        <v>0</v>
      </c>
      <c r="J824" s="26" t="n">
        <v>0</v>
      </c>
      <c r="K824" s="26" t="n">
        <v>68</v>
      </c>
      <c r="L824" s="26" t="n">
        <v>0</v>
      </c>
      <c r="M824" s="26" t="n">
        <v>0</v>
      </c>
    </row>
    <row r="825" customFormat="false" ht="15" hidden="false" customHeight="false" outlineLevel="0" collapsed="false">
      <c r="A825" s="7" t="s">
        <v>85</v>
      </c>
      <c r="B825" s="7" t="n">
        <v>4413144</v>
      </c>
      <c r="C825" s="7" t="s">
        <v>498</v>
      </c>
      <c r="D825" s="26" t="n">
        <v>5</v>
      </c>
      <c r="E825" s="26" t="n">
        <v>0</v>
      </c>
      <c r="F825" s="26" t="n">
        <v>0</v>
      </c>
      <c r="G825" s="26" t="n">
        <v>0</v>
      </c>
      <c r="H825" s="26" t="n">
        <v>5</v>
      </c>
      <c r="I825" s="26" t="n">
        <v>0</v>
      </c>
      <c r="J825" s="26" t="n">
        <v>0</v>
      </c>
      <c r="K825" s="26" t="n">
        <v>1</v>
      </c>
      <c r="L825" s="26" t="n">
        <v>0</v>
      </c>
      <c r="M825" s="26" t="n">
        <v>0</v>
      </c>
    </row>
    <row r="826" customFormat="false" ht="15" hidden="false" customHeight="false" outlineLevel="0" collapsed="false">
      <c r="A826" s="7" t="s">
        <v>87</v>
      </c>
      <c r="B826" s="7" t="n">
        <v>4413144</v>
      </c>
      <c r="C826" s="7" t="s">
        <v>498</v>
      </c>
      <c r="D826" s="26" t="n">
        <v>146.2</v>
      </c>
      <c r="E826" s="26" t="n">
        <v>0</v>
      </c>
      <c r="F826" s="26" t="n">
        <v>0</v>
      </c>
      <c r="G826" s="26" t="n">
        <v>0</v>
      </c>
      <c r="H826" s="26" t="n">
        <v>136.7</v>
      </c>
      <c r="I826" s="26" t="n">
        <v>0</v>
      </c>
      <c r="J826" s="26" t="n">
        <v>0</v>
      </c>
      <c r="K826" s="26" t="n">
        <v>17</v>
      </c>
      <c r="L826" s="26" t="n">
        <v>0</v>
      </c>
      <c r="M826" s="26" t="n">
        <v>0</v>
      </c>
    </row>
    <row r="827" customFormat="false" ht="15" hidden="false" customHeight="false" outlineLevel="0" collapsed="false">
      <c r="A827" s="7" t="s">
        <v>85</v>
      </c>
      <c r="B827" s="7" t="n">
        <v>4413146</v>
      </c>
      <c r="C827" s="7" t="s">
        <v>499</v>
      </c>
      <c r="D827" s="26" t="n">
        <v>0</v>
      </c>
      <c r="E827" s="26" t="n">
        <v>0</v>
      </c>
      <c r="F827" s="26" t="n">
        <v>0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  <c r="L827" s="26" t="n">
        <v>0</v>
      </c>
      <c r="M827" s="26" t="n">
        <v>0</v>
      </c>
    </row>
    <row r="828" customFormat="false" ht="15" hidden="false" customHeight="false" outlineLevel="0" collapsed="false">
      <c r="A828" s="7" t="s">
        <v>87</v>
      </c>
      <c r="B828" s="7" t="n">
        <v>4413146</v>
      </c>
      <c r="C828" s="7" t="s">
        <v>499</v>
      </c>
      <c r="D828" s="26" t="n">
        <v>0</v>
      </c>
      <c r="E828" s="26" t="n">
        <v>0</v>
      </c>
      <c r="F828" s="26" t="n">
        <v>0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  <c r="L828" s="26" t="n">
        <v>0</v>
      </c>
      <c r="M828" s="26" t="n">
        <v>0</v>
      </c>
    </row>
    <row r="829" customFormat="false" ht="15" hidden="false" customHeight="false" outlineLevel="0" collapsed="false">
      <c r="A829" s="7" t="s">
        <v>85</v>
      </c>
      <c r="B829" s="7" t="n">
        <v>4413147</v>
      </c>
      <c r="C829" s="7" t="s">
        <v>500</v>
      </c>
      <c r="D829" s="26" t="n">
        <v>0</v>
      </c>
      <c r="E829" s="26" t="n">
        <v>0</v>
      </c>
      <c r="F829" s="26" t="n">
        <v>0</v>
      </c>
      <c r="G829" s="26" t="n">
        <v>0</v>
      </c>
      <c r="H829" s="26" t="n">
        <v>-1</v>
      </c>
      <c r="I829" s="26" t="n">
        <v>0</v>
      </c>
      <c r="J829" s="26" t="n">
        <v>0</v>
      </c>
      <c r="K829" s="26" t="n">
        <v>0</v>
      </c>
      <c r="L829" s="26" t="n">
        <v>0</v>
      </c>
      <c r="M829" s="26" t="n">
        <v>0</v>
      </c>
    </row>
    <row r="830" customFormat="false" ht="15" hidden="false" customHeight="false" outlineLevel="0" collapsed="false">
      <c r="A830" s="7" t="s">
        <v>87</v>
      </c>
      <c r="B830" s="7" t="n">
        <v>4413147</v>
      </c>
      <c r="C830" s="7" t="s">
        <v>500</v>
      </c>
      <c r="D830" s="26" t="n">
        <v>0</v>
      </c>
      <c r="E830" s="26" t="n">
        <v>0</v>
      </c>
      <c r="F830" s="26" t="n">
        <v>0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  <c r="L830" s="26" t="n">
        <v>0</v>
      </c>
      <c r="M830" s="26" t="n">
        <v>0</v>
      </c>
    </row>
    <row r="831" customFormat="false" ht="15" hidden="false" customHeight="false" outlineLevel="0" collapsed="false">
      <c r="A831" s="7" t="s">
        <v>85</v>
      </c>
      <c r="B831" s="7" t="n">
        <v>4413148</v>
      </c>
      <c r="C831" s="7" t="s">
        <v>501</v>
      </c>
      <c r="D831" s="26" t="n">
        <v>0</v>
      </c>
      <c r="E831" s="26" t="n">
        <v>0</v>
      </c>
      <c r="F831" s="26" t="n">
        <v>0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  <c r="L831" s="26" t="n">
        <v>0</v>
      </c>
      <c r="M831" s="26" t="n">
        <v>0</v>
      </c>
    </row>
    <row r="832" customFormat="false" ht="15" hidden="false" customHeight="false" outlineLevel="0" collapsed="false">
      <c r="A832" s="7" t="s">
        <v>87</v>
      </c>
      <c r="B832" s="7" t="n">
        <v>4413148</v>
      </c>
      <c r="C832" s="7" t="s">
        <v>501</v>
      </c>
      <c r="D832" s="26" t="n">
        <v>0</v>
      </c>
      <c r="E832" s="26" t="n">
        <v>0</v>
      </c>
      <c r="F832" s="26" t="n">
        <v>0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  <c r="L832" s="26" t="n">
        <v>0</v>
      </c>
      <c r="M832" s="26" t="n">
        <v>0</v>
      </c>
    </row>
    <row r="833" customFormat="false" ht="15" hidden="false" customHeight="false" outlineLevel="0" collapsed="false">
      <c r="A833" s="7" t="s">
        <v>85</v>
      </c>
      <c r="B833" s="7" t="n">
        <v>4413500</v>
      </c>
      <c r="C833" s="7" t="s">
        <v>502</v>
      </c>
      <c r="D833" s="26" t="n">
        <v>72</v>
      </c>
      <c r="E833" s="26" t="n">
        <v>0</v>
      </c>
      <c r="F833" s="26" t="n">
        <v>4</v>
      </c>
      <c r="G833" s="26" t="n">
        <v>0</v>
      </c>
      <c r="H833" s="26" t="n">
        <v>0</v>
      </c>
      <c r="I833" s="26" t="n">
        <v>0</v>
      </c>
      <c r="J833" s="26" t="n">
        <v>0</v>
      </c>
      <c r="K833" s="26" t="n">
        <v>0</v>
      </c>
      <c r="L833" s="26" t="n">
        <v>0</v>
      </c>
      <c r="M833" s="26" t="n">
        <v>0</v>
      </c>
    </row>
    <row r="834" customFormat="false" ht="15" hidden="false" customHeight="false" outlineLevel="0" collapsed="false">
      <c r="A834" s="7" t="s">
        <v>87</v>
      </c>
      <c r="B834" s="7" t="n">
        <v>4413500</v>
      </c>
      <c r="C834" s="7" t="s">
        <v>502</v>
      </c>
      <c r="D834" s="26" t="n">
        <v>2199.4</v>
      </c>
      <c r="E834" s="26" t="n">
        <v>0</v>
      </c>
      <c r="F834" s="26" t="n">
        <v>123.6</v>
      </c>
      <c r="G834" s="26" t="n">
        <v>0</v>
      </c>
      <c r="H834" s="26" t="n">
        <v>0</v>
      </c>
      <c r="I834" s="26" t="n">
        <v>0</v>
      </c>
      <c r="J834" s="26" t="n">
        <v>0</v>
      </c>
      <c r="K834" s="26" t="n">
        <v>0</v>
      </c>
      <c r="L834" s="26" t="n">
        <v>0</v>
      </c>
      <c r="M834" s="26" t="n">
        <v>0</v>
      </c>
    </row>
    <row r="835" customFormat="false" ht="15" hidden="false" customHeight="false" outlineLevel="0" collapsed="false">
      <c r="A835" s="7" t="s">
        <v>85</v>
      </c>
      <c r="B835" s="7" t="n">
        <v>4413501</v>
      </c>
      <c r="C835" s="7" t="s">
        <v>503</v>
      </c>
      <c r="D835" s="26" t="n">
        <v>108</v>
      </c>
      <c r="E835" s="26" t="n">
        <v>0</v>
      </c>
      <c r="F835" s="26" t="n">
        <v>4</v>
      </c>
      <c r="G835" s="26" t="n">
        <v>0</v>
      </c>
      <c r="H835" s="26" t="n">
        <v>0</v>
      </c>
      <c r="I835" s="26" t="n">
        <v>0</v>
      </c>
      <c r="J835" s="26" t="n">
        <v>0</v>
      </c>
      <c r="K835" s="26" t="n">
        <v>0</v>
      </c>
      <c r="L835" s="26" t="n">
        <v>0</v>
      </c>
      <c r="M835" s="26" t="n">
        <v>0</v>
      </c>
    </row>
    <row r="836" customFormat="false" ht="15" hidden="false" customHeight="false" outlineLevel="0" collapsed="false">
      <c r="A836" s="7" t="s">
        <v>87</v>
      </c>
      <c r="B836" s="7" t="n">
        <v>4413501</v>
      </c>
      <c r="C836" s="7" t="s">
        <v>503</v>
      </c>
      <c r="D836" s="26" t="n">
        <v>3297</v>
      </c>
      <c r="E836" s="26" t="n">
        <v>0</v>
      </c>
      <c r="F836" s="26" t="n">
        <v>123.6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0</v>
      </c>
      <c r="L836" s="26" t="n">
        <v>0</v>
      </c>
      <c r="M836" s="26" t="n">
        <v>0</v>
      </c>
    </row>
    <row r="837" customFormat="false" ht="15" hidden="false" customHeight="false" outlineLevel="0" collapsed="false">
      <c r="A837" s="7" t="s">
        <v>85</v>
      </c>
      <c r="B837" s="7" t="n">
        <v>4413502</v>
      </c>
      <c r="C837" s="7" t="s">
        <v>504</v>
      </c>
      <c r="D837" s="26" t="n">
        <v>85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0</v>
      </c>
      <c r="L837" s="26" t="n">
        <v>0</v>
      </c>
      <c r="M837" s="26" t="n">
        <v>0</v>
      </c>
    </row>
    <row r="838" customFormat="false" ht="15" hidden="false" customHeight="false" outlineLevel="0" collapsed="false">
      <c r="A838" s="7" t="s">
        <v>87</v>
      </c>
      <c r="B838" s="7" t="n">
        <v>4413502</v>
      </c>
      <c r="C838" s="7" t="s">
        <v>504</v>
      </c>
      <c r="D838" s="26" t="n">
        <v>2586.5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0</v>
      </c>
      <c r="L838" s="26" t="n">
        <v>0</v>
      </c>
      <c r="M838" s="26" t="n">
        <v>0</v>
      </c>
    </row>
    <row r="839" customFormat="false" ht="15" hidden="false" customHeight="false" outlineLevel="0" collapsed="false">
      <c r="A839" s="7" t="s">
        <v>85</v>
      </c>
      <c r="B839" s="7" t="n">
        <v>4413503</v>
      </c>
      <c r="C839" s="7" t="s">
        <v>505</v>
      </c>
      <c r="D839" s="26" t="n">
        <v>45</v>
      </c>
      <c r="E839" s="26" t="n">
        <v>0</v>
      </c>
      <c r="F839" s="26" t="n">
        <v>4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0</v>
      </c>
      <c r="L839" s="26" t="n">
        <v>0</v>
      </c>
      <c r="M839" s="26" t="n">
        <v>0</v>
      </c>
    </row>
    <row r="840" customFormat="false" ht="15" hidden="false" customHeight="false" outlineLevel="0" collapsed="false">
      <c r="A840" s="7" t="s">
        <v>87</v>
      </c>
      <c r="B840" s="7" t="n">
        <v>4413503</v>
      </c>
      <c r="C840" s="7" t="s">
        <v>505</v>
      </c>
      <c r="D840" s="26" t="n">
        <v>1371.5</v>
      </c>
      <c r="E840" s="26" t="n">
        <v>0</v>
      </c>
      <c r="F840" s="26" t="n">
        <v>123.6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0</v>
      </c>
      <c r="L840" s="26" t="n">
        <v>0</v>
      </c>
      <c r="M840" s="26" t="n">
        <v>0</v>
      </c>
    </row>
    <row r="841" customFormat="false" ht="15" hidden="false" customHeight="false" outlineLevel="0" collapsed="false">
      <c r="A841" s="7" t="s">
        <v>85</v>
      </c>
      <c r="B841" s="7" t="n">
        <v>4413504</v>
      </c>
      <c r="C841" s="7" t="s">
        <v>506</v>
      </c>
      <c r="D841" s="26" t="n">
        <v>8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0</v>
      </c>
      <c r="J841" s="26" t="n">
        <v>0</v>
      </c>
      <c r="K841" s="26" t="n">
        <v>0</v>
      </c>
      <c r="L841" s="26" t="n">
        <v>0</v>
      </c>
      <c r="M841" s="26" t="n">
        <v>0</v>
      </c>
    </row>
    <row r="842" customFormat="false" ht="15" hidden="false" customHeight="false" outlineLevel="0" collapsed="false">
      <c r="A842" s="7" t="s">
        <v>87</v>
      </c>
      <c r="B842" s="7" t="n">
        <v>4413504</v>
      </c>
      <c r="C842" s="7" t="s">
        <v>506</v>
      </c>
      <c r="D842" s="26" t="n">
        <v>236.8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0</v>
      </c>
      <c r="J842" s="26" t="n">
        <v>0</v>
      </c>
      <c r="K842" s="26" t="n">
        <v>0</v>
      </c>
      <c r="L842" s="26" t="n">
        <v>0</v>
      </c>
      <c r="M842" s="26" t="n">
        <v>0</v>
      </c>
    </row>
    <row r="843" customFormat="false" ht="15" hidden="false" customHeight="false" outlineLevel="0" collapsed="false">
      <c r="A843" s="7" t="s">
        <v>85</v>
      </c>
      <c r="B843" s="7" t="n">
        <v>4413365</v>
      </c>
      <c r="C843" s="7" t="s">
        <v>507</v>
      </c>
      <c r="D843" s="26" t="n">
        <v>93</v>
      </c>
      <c r="E843" s="26" t="n">
        <v>0</v>
      </c>
      <c r="F843" s="26" t="n">
        <v>1</v>
      </c>
      <c r="G843" s="26" t="n">
        <v>0</v>
      </c>
      <c r="H843" s="26" t="n">
        <v>453</v>
      </c>
      <c r="I843" s="26" t="n">
        <v>76</v>
      </c>
      <c r="J843" s="26" t="n">
        <v>0</v>
      </c>
      <c r="K843" s="26" t="n">
        <v>0</v>
      </c>
      <c r="L843" s="26" t="n">
        <v>0</v>
      </c>
      <c r="M843" s="26" t="n">
        <v>-10</v>
      </c>
    </row>
    <row r="844" customFormat="false" ht="15" hidden="false" customHeight="false" outlineLevel="0" collapsed="false">
      <c r="A844" s="7" t="s">
        <v>87</v>
      </c>
      <c r="B844" s="7" t="n">
        <v>4413365</v>
      </c>
      <c r="C844" s="7" t="s">
        <v>507</v>
      </c>
      <c r="D844" s="26" t="n">
        <v>2796.6</v>
      </c>
      <c r="E844" s="26" t="n">
        <v>0</v>
      </c>
      <c r="F844" s="26" t="n">
        <v>30.9</v>
      </c>
      <c r="G844" s="26" t="n">
        <v>0</v>
      </c>
      <c r="H844" s="26" t="n">
        <v>11864.8</v>
      </c>
      <c r="I844" s="26" t="n">
        <v>2111.7</v>
      </c>
      <c r="J844" s="26" t="n">
        <v>0</v>
      </c>
      <c r="K844" s="26" t="n">
        <v>0</v>
      </c>
      <c r="L844" s="26" t="n">
        <v>0</v>
      </c>
      <c r="M844" s="26" t="n">
        <v>-411.9</v>
      </c>
    </row>
    <row r="845" customFormat="false" ht="15" hidden="false" customHeight="false" outlineLevel="0" collapsed="false">
      <c r="A845" s="7" t="s">
        <v>85</v>
      </c>
      <c r="B845" s="7" t="n">
        <v>4413364</v>
      </c>
      <c r="C845" s="7" t="s">
        <v>508</v>
      </c>
      <c r="D845" s="26" t="n">
        <v>130</v>
      </c>
      <c r="E845" s="26" t="n">
        <v>0</v>
      </c>
      <c r="F845" s="26" t="n">
        <v>1</v>
      </c>
      <c r="G845" s="26" t="n">
        <v>0</v>
      </c>
      <c r="H845" s="26" t="n">
        <v>692</v>
      </c>
      <c r="I845" s="26" t="n">
        <v>127</v>
      </c>
      <c r="J845" s="26" t="n">
        <v>0</v>
      </c>
      <c r="K845" s="26" t="n">
        <v>0</v>
      </c>
      <c r="L845" s="26" t="n">
        <v>0</v>
      </c>
      <c r="M845" s="26" t="n">
        <v>-2</v>
      </c>
    </row>
    <row r="846" customFormat="false" ht="15" hidden="false" customHeight="false" outlineLevel="0" collapsed="false">
      <c r="A846" s="7" t="s">
        <v>87</v>
      </c>
      <c r="B846" s="7" t="n">
        <v>4413364</v>
      </c>
      <c r="C846" s="7" t="s">
        <v>508</v>
      </c>
      <c r="D846" s="26" t="n">
        <v>3909.4</v>
      </c>
      <c r="E846" s="26" t="n">
        <v>0</v>
      </c>
      <c r="F846" s="26" t="n">
        <v>30.9</v>
      </c>
      <c r="G846" s="26" t="n">
        <v>0</v>
      </c>
      <c r="H846" s="26" t="n">
        <v>18040.3</v>
      </c>
      <c r="I846" s="26" t="n">
        <v>3527.5</v>
      </c>
      <c r="J846" s="26" t="n">
        <v>0</v>
      </c>
      <c r="K846" s="26" t="n">
        <v>0</v>
      </c>
      <c r="L846" s="26" t="n">
        <v>0</v>
      </c>
      <c r="M846" s="26" t="n">
        <v>-82.4</v>
      </c>
    </row>
    <row r="847" customFormat="false" ht="15" hidden="false" customHeight="false" outlineLevel="0" collapsed="false">
      <c r="A847" s="7" t="s">
        <v>85</v>
      </c>
      <c r="B847" s="7" t="n">
        <v>4413366</v>
      </c>
      <c r="C847" s="7" t="s">
        <v>509</v>
      </c>
      <c r="D847" s="26" t="n">
        <v>80</v>
      </c>
      <c r="E847" s="26" t="n">
        <v>0</v>
      </c>
      <c r="F847" s="26" t="n">
        <v>1</v>
      </c>
      <c r="G847" s="26" t="n">
        <v>0</v>
      </c>
      <c r="H847" s="26" t="n">
        <v>583</v>
      </c>
      <c r="I847" s="26" t="n">
        <v>88</v>
      </c>
      <c r="J847" s="26" t="n">
        <v>0</v>
      </c>
      <c r="K847" s="26" t="n">
        <v>0</v>
      </c>
      <c r="L847" s="26" t="n">
        <v>0</v>
      </c>
      <c r="M847" s="26" t="n">
        <v>0</v>
      </c>
    </row>
    <row r="848" customFormat="false" ht="15" hidden="false" customHeight="false" outlineLevel="0" collapsed="false">
      <c r="A848" s="7" t="s">
        <v>87</v>
      </c>
      <c r="B848" s="7" t="n">
        <v>4413366</v>
      </c>
      <c r="C848" s="7" t="s">
        <v>509</v>
      </c>
      <c r="D848" s="26" t="n">
        <v>2387.6</v>
      </c>
      <c r="E848" s="26" t="n">
        <v>0</v>
      </c>
      <c r="F848" s="26" t="n">
        <v>30.9</v>
      </c>
      <c r="G848" s="26" t="n">
        <v>0</v>
      </c>
      <c r="H848" s="26" t="n">
        <v>15199.1</v>
      </c>
      <c r="I848" s="26" t="n">
        <v>2444.9</v>
      </c>
      <c r="J848" s="26" t="n">
        <v>0</v>
      </c>
      <c r="K848" s="26" t="n">
        <v>0</v>
      </c>
      <c r="L848" s="26" t="n">
        <v>0</v>
      </c>
      <c r="M848" s="26" t="n">
        <v>0</v>
      </c>
    </row>
    <row r="849" customFormat="false" ht="15" hidden="false" customHeight="false" outlineLevel="0" collapsed="false">
      <c r="A849" s="7" t="s">
        <v>85</v>
      </c>
      <c r="B849" s="7" t="n">
        <v>4413367</v>
      </c>
      <c r="C849" s="7" t="s">
        <v>510</v>
      </c>
      <c r="D849" s="26" t="n">
        <v>35</v>
      </c>
      <c r="E849" s="26" t="n">
        <v>0</v>
      </c>
      <c r="F849" s="26" t="n">
        <v>0</v>
      </c>
      <c r="G849" s="26" t="n">
        <v>0</v>
      </c>
      <c r="H849" s="26" t="n">
        <v>228</v>
      </c>
      <c r="I849" s="26" t="n">
        <v>43</v>
      </c>
      <c r="J849" s="26" t="n">
        <v>0</v>
      </c>
      <c r="K849" s="26" t="n">
        <v>0</v>
      </c>
      <c r="L849" s="26" t="n">
        <v>0</v>
      </c>
      <c r="M849" s="26" t="n">
        <v>0</v>
      </c>
    </row>
    <row r="850" customFormat="false" ht="15" hidden="false" customHeight="false" outlineLevel="0" collapsed="false">
      <c r="A850" s="7" t="s">
        <v>87</v>
      </c>
      <c r="B850" s="7" t="n">
        <v>4413367</v>
      </c>
      <c r="C850" s="7" t="s">
        <v>510</v>
      </c>
      <c r="D850" s="26" t="n">
        <v>1052.2</v>
      </c>
      <c r="E850" s="26" t="n">
        <v>0</v>
      </c>
      <c r="F850" s="26" t="n">
        <v>0</v>
      </c>
      <c r="G850" s="26" t="n">
        <v>0</v>
      </c>
      <c r="H850" s="26" t="n">
        <v>5952.9</v>
      </c>
      <c r="I850" s="26" t="n">
        <v>1193.7</v>
      </c>
      <c r="J850" s="26" t="n">
        <v>0</v>
      </c>
      <c r="K850" s="26" t="n">
        <v>0</v>
      </c>
      <c r="L850" s="26" t="n">
        <v>0</v>
      </c>
      <c r="M850" s="26" t="n">
        <v>0</v>
      </c>
    </row>
    <row r="851" customFormat="false" ht="15" hidden="false" customHeight="false" outlineLevel="0" collapsed="false">
      <c r="A851" s="7" t="s">
        <v>85</v>
      </c>
      <c r="B851" s="7" t="n">
        <v>4413368</v>
      </c>
      <c r="C851" s="7" t="s">
        <v>511</v>
      </c>
      <c r="D851" s="26" t="n">
        <v>10</v>
      </c>
      <c r="E851" s="26" t="n">
        <v>0</v>
      </c>
      <c r="F851" s="26" t="n">
        <v>0</v>
      </c>
      <c r="G851" s="26" t="n">
        <v>0</v>
      </c>
      <c r="H851" s="26" t="n">
        <v>0</v>
      </c>
      <c r="I851" s="26" t="n">
        <v>44</v>
      </c>
      <c r="J851" s="26" t="n">
        <v>0</v>
      </c>
      <c r="K851" s="26" t="n">
        <v>0</v>
      </c>
      <c r="L851" s="26" t="n">
        <v>0</v>
      </c>
      <c r="M851" s="26" t="n">
        <v>0</v>
      </c>
    </row>
    <row r="852" customFormat="false" ht="15" hidden="false" customHeight="false" outlineLevel="0" collapsed="false">
      <c r="A852" s="7" t="s">
        <v>87</v>
      </c>
      <c r="B852" s="7" t="n">
        <v>4413368</v>
      </c>
      <c r="C852" s="7" t="s">
        <v>511</v>
      </c>
      <c r="D852" s="26" t="n">
        <v>303.8</v>
      </c>
      <c r="E852" s="26" t="n">
        <v>0</v>
      </c>
      <c r="F852" s="26" t="n">
        <v>0</v>
      </c>
      <c r="G852" s="26" t="n">
        <v>0</v>
      </c>
      <c r="H852" s="26" t="n">
        <v>0</v>
      </c>
      <c r="I852" s="26" t="n">
        <v>1221.4</v>
      </c>
      <c r="J852" s="26" t="n">
        <v>0</v>
      </c>
      <c r="K852" s="26" t="n">
        <v>0</v>
      </c>
      <c r="L852" s="26" t="n">
        <v>0</v>
      </c>
      <c r="M852" s="26" t="n">
        <v>0</v>
      </c>
    </row>
    <row r="853" customFormat="false" ht="15" hidden="false" customHeight="false" outlineLevel="0" collapsed="false">
      <c r="A853" s="7" t="s">
        <v>85</v>
      </c>
      <c r="B853" s="7" t="n">
        <v>4413369</v>
      </c>
      <c r="C853" s="7" t="s">
        <v>512</v>
      </c>
      <c r="D853" s="26" t="n">
        <v>7</v>
      </c>
      <c r="E853" s="26" t="n">
        <v>0</v>
      </c>
      <c r="F853" s="26" t="n">
        <v>0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  <c r="L853" s="26" t="n">
        <v>0</v>
      </c>
      <c r="M853" s="26" t="n">
        <v>0</v>
      </c>
    </row>
    <row r="854" customFormat="false" ht="15" hidden="false" customHeight="false" outlineLevel="0" collapsed="false">
      <c r="A854" s="7" t="s">
        <v>87</v>
      </c>
      <c r="B854" s="7" t="n">
        <v>4413369</v>
      </c>
      <c r="C854" s="7" t="s">
        <v>512</v>
      </c>
      <c r="D854" s="26" t="n">
        <v>203.9</v>
      </c>
      <c r="E854" s="26" t="n">
        <v>0</v>
      </c>
      <c r="F854" s="26" t="n">
        <v>0</v>
      </c>
      <c r="G854" s="26" t="n">
        <v>0</v>
      </c>
      <c r="H854" s="26" t="n">
        <v>0</v>
      </c>
      <c r="I854" s="26" t="n">
        <v>0</v>
      </c>
      <c r="J854" s="26" t="n">
        <v>0</v>
      </c>
      <c r="K854" s="26" t="n">
        <v>0</v>
      </c>
      <c r="L854" s="26" t="n">
        <v>0</v>
      </c>
      <c r="M854" s="26" t="n">
        <v>0</v>
      </c>
    </row>
    <row r="855" customFormat="false" ht="15" hidden="false" customHeight="false" outlineLevel="0" collapsed="false">
      <c r="A855" s="7" t="s">
        <v>85</v>
      </c>
      <c r="B855" s="7" t="n">
        <v>4413363</v>
      </c>
      <c r="C855" s="7" t="s">
        <v>513</v>
      </c>
      <c r="D855" s="26" t="n">
        <v>0</v>
      </c>
      <c r="E855" s="26" t="n">
        <v>0</v>
      </c>
      <c r="F855" s="26" t="n">
        <v>0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  <c r="L855" s="26" t="n">
        <v>0</v>
      </c>
      <c r="M855" s="26" t="n">
        <v>0</v>
      </c>
    </row>
    <row r="856" customFormat="false" ht="15" hidden="false" customHeight="false" outlineLevel="0" collapsed="false">
      <c r="A856" s="7" t="s">
        <v>87</v>
      </c>
      <c r="B856" s="7" t="n">
        <v>4413363</v>
      </c>
      <c r="C856" s="7" t="s">
        <v>513</v>
      </c>
      <c r="D856" s="26" t="n">
        <v>0</v>
      </c>
      <c r="E856" s="26" t="n">
        <v>0</v>
      </c>
      <c r="F856" s="26" t="n">
        <v>0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  <c r="L856" s="26" t="n">
        <v>0</v>
      </c>
      <c r="M856" s="26" t="n">
        <v>0</v>
      </c>
    </row>
    <row r="857" customFormat="false" ht="15" hidden="false" customHeight="false" outlineLevel="0" collapsed="false">
      <c r="A857" s="7" t="s">
        <v>85</v>
      </c>
      <c r="B857" s="7" t="n">
        <v>4408208</v>
      </c>
      <c r="C857" s="7" t="s">
        <v>514</v>
      </c>
      <c r="D857" s="26" t="n">
        <v>316</v>
      </c>
      <c r="E857" s="26" t="n">
        <v>0</v>
      </c>
      <c r="F857" s="26" t="n">
        <v>0</v>
      </c>
      <c r="G857" s="26" t="n">
        <v>0</v>
      </c>
      <c r="H857" s="26" t="n">
        <v>578</v>
      </c>
      <c r="I857" s="26" t="n">
        <v>116</v>
      </c>
      <c r="J857" s="26" t="n">
        <v>0</v>
      </c>
      <c r="K857" s="26" t="n">
        <v>0</v>
      </c>
      <c r="L857" s="26" t="n">
        <v>0</v>
      </c>
      <c r="M857" s="26" t="n">
        <v>-2</v>
      </c>
    </row>
    <row r="858" customFormat="false" ht="15" hidden="false" customHeight="false" outlineLevel="0" collapsed="false">
      <c r="A858" s="7" t="s">
        <v>87</v>
      </c>
      <c r="B858" s="7" t="n">
        <v>4408208</v>
      </c>
      <c r="C858" s="7" t="s">
        <v>514</v>
      </c>
      <c r="D858" s="26" t="n">
        <v>11905.6</v>
      </c>
      <c r="E858" s="26" t="n">
        <v>0</v>
      </c>
      <c r="F858" s="26" t="n">
        <v>0</v>
      </c>
      <c r="G858" s="26" t="n">
        <v>0</v>
      </c>
      <c r="H858" s="26" t="n">
        <v>15979</v>
      </c>
      <c r="I858" s="26" t="n">
        <v>3322.9</v>
      </c>
      <c r="J858" s="26" t="n">
        <v>0</v>
      </c>
      <c r="K858" s="26" t="n">
        <v>0</v>
      </c>
      <c r="L858" s="26" t="n">
        <v>0</v>
      </c>
      <c r="M858" s="26" t="n">
        <v>-106.1</v>
      </c>
    </row>
    <row r="859" customFormat="false" ht="15" hidden="false" customHeight="false" outlineLevel="0" collapsed="false">
      <c r="A859" s="7" t="s">
        <v>85</v>
      </c>
      <c r="B859" s="7" t="n">
        <v>4413331</v>
      </c>
      <c r="C859" s="7" t="s">
        <v>515</v>
      </c>
      <c r="D859" s="26" t="n">
        <v>155</v>
      </c>
      <c r="E859" s="26" t="n">
        <v>3</v>
      </c>
      <c r="F859" s="26" t="n">
        <v>0</v>
      </c>
      <c r="G859" s="26" t="n">
        <v>0</v>
      </c>
      <c r="H859" s="26" t="n">
        <v>0</v>
      </c>
      <c r="I859" s="26" t="n">
        <v>0</v>
      </c>
      <c r="J859" s="26" t="n">
        <v>0</v>
      </c>
      <c r="K859" s="26" t="n">
        <v>0</v>
      </c>
      <c r="L859" s="26" t="n">
        <v>0</v>
      </c>
      <c r="M859" s="26" t="n">
        <v>0</v>
      </c>
    </row>
    <row r="860" customFormat="false" ht="15" hidden="false" customHeight="false" outlineLevel="0" collapsed="false">
      <c r="A860" s="7" t="s">
        <v>87</v>
      </c>
      <c r="B860" s="7" t="n">
        <v>4413331</v>
      </c>
      <c r="C860" s="7" t="s">
        <v>515</v>
      </c>
      <c r="D860" s="26" t="n">
        <v>5845.3</v>
      </c>
      <c r="E860" s="26" t="n">
        <v>126.4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0</v>
      </c>
      <c r="L860" s="26" t="n">
        <v>0</v>
      </c>
      <c r="M860" s="26" t="n">
        <v>0</v>
      </c>
    </row>
    <row r="861" customFormat="false" ht="15" hidden="false" customHeight="false" outlineLevel="0" collapsed="false">
      <c r="A861" s="7" t="s">
        <v>85</v>
      </c>
      <c r="B861" s="7" t="n">
        <v>4413405</v>
      </c>
      <c r="C861" s="7" t="s">
        <v>516</v>
      </c>
      <c r="D861" s="26" t="n">
        <v>3</v>
      </c>
      <c r="E861" s="26" t="n">
        <v>0</v>
      </c>
      <c r="F861" s="26" t="n">
        <v>0</v>
      </c>
      <c r="G861" s="26" t="n">
        <v>0</v>
      </c>
      <c r="H861" s="26" t="n">
        <v>3</v>
      </c>
      <c r="I861" s="26" t="n">
        <v>0</v>
      </c>
      <c r="J861" s="26" t="n">
        <v>0</v>
      </c>
      <c r="K861" s="26" t="n">
        <v>0</v>
      </c>
      <c r="L861" s="26" t="n">
        <v>0</v>
      </c>
      <c r="M861" s="26" t="n">
        <v>0</v>
      </c>
    </row>
    <row r="862" customFormat="false" ht="15" hidden="false" customHeight="false" outlineLevel="0" collapsed="false">
      <c r="A862" s="7" t="s">
        <v>87</v>
      </c>
      <c r="B862" s="7" t="n">
        <v>4413405</v>
      </c>
      <c r="C862" s="7" t="s">
        <v>516</v>
      </c>
      <c r="D862" s="26" t="n">
        <v>281</v>
      </c>
      <c r="E862" s="26" t="n">
        <v>0</v>
      </c>
      <c r="F862" s="26" t="n">
        <v>0</v>
      </c>
      <c r="G862" s="26" t="n">
        <v>0</v>
      </c>
      <c r="H862" s="26" t="n">
        <v>239.2</v>
      </c>
      <c r="I862" s="26" t="n">
        <v>0</v>
      </c>
      <c r="J862" s="26" t="n">
        <v>0</v>
      </c>
      <c r="K862" s="26" t="n">
        <v>0</v>
      </c>
      <c r="L862" s="26" t="n">
        <v>0</v>
      </c>
      <c r="M862" s="26" t="n">
        <v>0</v>
      </c>
    </row>
    <row r="863" customFormat="false" ht="15" hidden="false" customHeight="false" outlineLevel="0" collapsed="false">
      <c r="A863" s="7" t="s">
        <v>85</v>
      </c>
      <c r="B863" s="7" t="n">
        <v>4413409</v>
      </c>
      <c r="C863" s="7" t="s">
        <v>517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0</v>
      </c>
      <c r="L863" s="26" t="n">
        <v>0</v>
      </c>
      <c r="M863" s="26" t="n">
        <v>0</v>
      </c>
    </row>
    <row r="864" customFormat="false" ht="15" hidden="false" customHeight="false" outlineLevel="0" collapsed="false">
      <c r="A864" s="7" t="s">
        <v>87</v>
      </c>
      <c r="B864" s="7" t="n">
        <v>4413409</v>
      </c>
      <c r="C864" s="7" t="s">
        <v>517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0</v>
      </c>
      <c r="L864" s="26" t="n">
        <v>0</v>
      </c>
      <c r="M864" s="26" t="n">
        <v>0</v>
      </c>
    </row>
    <row r="865" customFormat="false" ht="15" hidden="false" customHeight="false" outlineLevel="0" collapsed="false">
      <c r="A865" s="7" t="s">
        <v>85</v>
      </c>
      <c r="B865" s="7" t="n">
        <v>4413531</v>
      </c>
      <c r="C865" s="7" t="s">
        <v>518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0</v>
      </c>
      <c r="J865" s="26" t="n">
        <v>0</v>
      </c>
      <c r="K865" s="26" t="n">
        <v>131</v>
      </c>
      <c r="L865" s="26" t="n">
        <v>0</v>
      </c>
      <c r="M865" s="26" t="n">
        <v>0</v>
      </c>
    </row>
    <row r="866" customFormat="false" ht="15" hidden="false" customHeight="false" outlineLevel="0" collapsed="false">
      <c r="A866" s="7" t="s">
        <v>87</v>
      </c>
      <c r="B866" s="7" t="n">
        <v>4413531</v>
      </c>
      <c r="C866" s="7" t="s">
        <v>518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0</v>
      </c>
      <c r="J866" s="26" t="n">
        <v>0</v>
      </c>
      <c r="K866" s="26" t="n">
        <v>2563.6</v>
      </c>
      <c r="L866" s="26" t="n">
        <v>0</v>
      </c>
      <c r="M866" s="26" t="n">
        <v>0</v>
      </c>
    </row>
    <row r="867" customFormat="false" ht="15" hidden="false" customHeight="false" outlineLevel="0" collapsed="false">
      <c r="A867" s="7" t="s">
        <v>85</v>
      </c>
      <c r="B867" s="7" t="n">
        <v>4420018</v>
      </c>
      <c r="C867" s="7" t="s">
        <v>519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0</v>
      </c>
      <c r="J867" s="26" t="n">
        <v>0</v>
      </c>
      <c r="K867" s="26" t="n">
        <v>2</v>
      </c>
      <c r="L867" s="26" t="n">
        <v>0</v>
      </c>
      <c r="M867" s="26" t="n">
        <v>0</v>
      </c>
    </row>
    <row r="868" customFormat="false" ht="15" hidden="false" customHeight="false" outlineLevel="0" collapsed="false">
      <c r="A868" s="7" t="s">
        <v>87</v>
      </c>
      <c r="B868" s="7" t="n">
        <v>4420018</v>
      </c>
      <c r="C868" s="7" t="s">
        <v>519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0</v>
      </c>
      <c r="J868" s="26" t="n">
        <v>0</v>
      </c>
      <c r="K868" s="26" t="n">
        <v>115.9</v>
      </c>
      <c r="L868" s="26" t="n">
        <v>0</v>
      </c>
      <c r="M868" s="26" t="n">
        <v>0</v>
      </c>
    </row>
    <row r="869" customFormat="false" ht="15" hidden="false" customHeight="false" outlineLevel="0" collapsed="false">
      <c r="A869" s="7" t="s">
        <v>85</v>
      </c>
      <c r="B869" s="7" t="n">
        <v>4420019</v>
      </c>
      <c r="C869" s="7" t="s">
        <v>520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-1</v>
      </c>
      <c r="I869" s="26" t="n">
        <v>0</v>
      </c>
      <c r="J869" s="26" t="n">
        <v>0</v>
      </c>
      <c r="K869" s="26" t="n">
        <v>0</v>
      </c>
      <c r="L869" s="26" t="n">
        <v>0</v>
      </c>
      <c r="M869" s="26" t="n">
        <v>0</v>
      </c>
    </row>
    <row r="870" customFormat="false" ht="15" hidden="false" customHeight="false" outlineLevel="0" collapsed="false">
      <c r="A870" s="7" t="s">
        <v>87</v>
      </c>
      <c r="B870" s="7" t="n">
        <v>4420019</v>
      </c>
      <c r="C870" s="7" t="s">
        <v>520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-49.1</v>
      </c>
      <c r="I870" s="26" t="n">
        <v>0</v>
      </c>
      <c r="J870" s="26" t="n">
        <v>0</v>
      </c>
      <c r="K870" s="26" t="n">
        <v>0</v>
      </c>
      <c r="L870" s="26" t="n">
        <v>0</v>
      </c>
      <c r="M870" s="26" t="n">
        <v>0</v>
      </c>
    </row>
    <row r="871" customFormat="false" ht="15" hidden="false" customHeight="false" outlineLevel="0" collapsed="false">
      <c r="A871" s="7" t="s">
        <v>85</v>
      </c>
      <c r="B871" s="7" t="n">
        <v>4420020</v>
      </c>
      <c r="C871" s="7" t="s">
        <v>521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0</v>
      </c>
      <c r="J871" s="26" t="n">
        <v>0</v>
      </c>
      <c r="K871" s="26" t="n">
        <v>0</v>
      </c>
      <c r="L871" s="26" t="n">
        <v>0</v>
      </c>
      <c r="M871" s="26" t="n">
        <v>0</v>
      </c>
    </row>
    <row r="872" customFormat="false" ht="15" hidden="false" customHeight="false" outlineLevel="0" collapsed="false">
      <c r="A872" s="7" t="s">
        <v>87</v>
      </c>
      <c r="B872" s="7" t="n">
        <v>4420020</v>
      </c>
      <c r="C872" s="7" t="s">
        <v>521</v>
      </c>
      <c r="D872" s="26" t="n">
        <v>0</v>
      </c>
      <c r="E872" s="26" t="n">
        <v>0</v>
      </c>
      <c r="F872" s="26" t="n">
        <v>0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0</v>
      </c>
      <c r="L872" s="26" t="n">
        <v>0</v>
      </c>
      <c r="M872" s="26" t="n">
        <v>0</v>
      </c>
    </row>
    <row r="873" customFormat="false" ht="15" hidden="false" customHeight="false" outlineLevel="0" collapsed="false">
      <c r="A873" s="7" t="s">
        <v>85</v>
      </c>
      <c r="B873" s="7" t="n">
        <v>4413212</v>
      </c>
      <c r="C873" s="7" t="s">
        <v>522</v>
      </c>
      <c r="D873" s="26" t="n">
        <v>0</v>
      </c>
      <c r="E873" s="26" t="n">
        <v>0</v>
      </c>
      <c r="F873" s="26" t="n">
        <v>0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  <c r="L873" s="26" t="n">
        <v>0</v>
      </c>
      <c r="M873" s="26" t="n">
        <v>0</v>
      </c>
    </row>
    <row r="874" customFormat="false" ht="15" hidden="false" customHeight="false" outlineLevel="0" collapsed="false">
      <c r="A874" s="7" t="s">
        <v>87</v>
      </c>
      <c r="B874" s="7" t="n">
        <v>4413212</v>
      </c>
      <c r="C874" s="7" t="s">
        <v>522</v>
      </c>
      <c r="D874" s="26" t="n">
        <v>0</v>
      </c>
      <c r="E874" s="26" t="n">
        <v>0</v>
      </c>
      <c r="F874" s="26" t="n">
        <v>0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  <c r="L874" s="26" t="n">
        <v>0</v>
      </c>
      <c r="M874" s="26" t="n">
        <v>0</v>
      </c>
    </row>
    <row r="875" customFormat="false" ht="15" hidden="false" customHeight="false" outlineLevel="0" collapsed="false">
      <c r="A875" s="7" t="s">
        <v>85</v>
      </c>
      <c r="B875" s="7" t="n">
        <v>4413211</v>
      </c>
      <c r="C875" s="7" t="s">
        <v>523</v>
      </c>
      <c r="D875" s="26" t="n">
        <v>0</v>
      </c>
      <c r="E875" s="26" t="n">
        <v>0</v>
      </c>
      <c r="F875" s="26" t="n">
        <v>0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  <c r="L875" s="26" t="n">
        <v>0</v>
      </c>
      <c r="M875" s="26" t="n">
        <v>0</v>
      </c>
    </row>
    <row r="876" customFormat="false" ht="15" hidden="false" customHeight="false" outlineLevel="0" collapsed="false">
      <c r="A876" s="7" t="s">
        <v>87</v>
      </c>
      <c r="B876" s="7" t="n">
        <v>4413211</v>
      </c>
      <c r="C876" s="7" t="s">
        <v>523</v>
      </c>
      <c r="D876" s="26" t="n">
        <v>0</v>
      </c>
      <c r="E876" s="26" t="n">
        <v>0</v>
      </c>
      <c r="F876" s="26" t="n">
        <v>0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  <c r="L876" s="26" t="n">
        <v>0</v>
      </c>
      <c r="M876" s="26" t="n">
        <v>0</v>
      </c>
    </row>
    <row r="877" customFormat="false" ht="15" hidden="false" customHeight="false" outlineLevel="0" collapsed="false">
      <c r="A877" s="7" t="s">
        <v>85</v>
      </c>
      <c r="B877" s="7" t="n">
        <v>4413210</v>
      </c>
      <c r="C877" s="7" t="s">
        <v>524</v>
      </c>
      <c r="D877" s="26" t="n">
        <v>1</v>
      </c>
      <c r="E877" s="26" t="n">
        <v>0</v>
      </c>
      <c r="F877" s="26" t="n">
        <v>0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  <c r="L877" s="26" t="n">
        <v>0</v>
      </c>
      <c r="M877" s="26" t="n">
        <v>0</v>
      </c>
    </row>
    <row r="878" customFormat="false" ht="15" hidden="false" customHeight="false" outlineLevel="0" collapsed="false">
      <c r="A878" s="7" t="s">
        <v>87</v>
      </c>
      <c r="B878" s="7" t="n">
        <v>4413210</v>
      </c>
      <c r="C878" s="7" t="s">
        <v>524</v>
      </c>
      <c r="D878" s="26" t="n">
        <v>94.5</v>
      </c>
      <c r="E878" s="26" t="n">
        <v>0</v>
      </c>
      <c r="F878" s="26" t="n">
        <v>0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  <c r="L878" s="26" t="n">
        <v>0</v>
      </c>
      <c r="M878" s="26" t="n">
        <v>0</v>
      </c>
    </row>
    <row r="879" customFormat="false" ht="15" hidden="false" customHeight="false" outlineLevel="0" collapsed="false">
      <c r="A879" s="7" t="s">
        <v>85</v>
      </c>
      <c r="B879" s="7" t="n">
        <v>4413213</v>
      </c>
      <c r="C879" s="7" t="s">
        <v>525</v>
      </c>
      <c r="D879" s="26" t="n">
        <v>0</v>
      </c>
      <c r="E879" s="26" t="n">
        <v>0</v>
      </c>
      <c r="F879" s="26" t="n">
        <v>0</v>
      </c>
      <c r="G879" s="26" t="n">
        <v>0</v>
      </c>
      <c r="H879" s="26" t="n">
        <v>0</v>
      </c>
      <c r="I879" s="26" t="n">
        <v>0</v>
      </c>
      <c r="J879" s="26" t="n">
        <v>0</v>
      </c>
      <c r="K879" s="26" t="n">
        <v>0</v>
      </c>
      <c r="L879" s="26" t="n">
        <v>0</v>
      </c>
      <c r="M879" s="26" t="n">
        <v>0</v>
      </c>
    </row>
    <row r="880" customFormat="false" ht="15" hidden="false" customHeight="false" outlineLevel="0" collapsed="false">
      <c r="A880" s="7" t="s">
        <v>87</v>
      </c>
      <c r="B880" s="7" t="n">
        <v>4413213</v>
      </c>
      <c r="C880" s="7" t="s">
        <v>525</v>
      </c>
      <c r="D880" s="26" t="n">
        <v>0</v>
      </c>
      <c r="E880" s="26" t="n">
        <v>0</v>
      </c>
      <c r="F880" s="26" t="n">
        <v>0</v>
      </c>
      <c r="G880" s="26" t="n">
        <v>0</v>
      </c>
      <c r="H880" s="26" t="n">
        <v>0</v>
      </c>
      <c r="I880" s="26" t="n">
        <v>0</v>
      </c>
      <c r="J880" s="26" t="n">
        <v>0</v>
      </c>
      <c r="K880" s="26" t="n">
        <v>0</v>
      </c>
      <c r="L880" s="26" t="n">
        <v>0</v>
      </c>
      <c r="M880" s="26" t="n">
        <v>0</v>
      </c>
    </row>
    <row r="881" customFormat="false" ht="15" hidden="false" customHeight="false" outlineLevel="0" collapsed="false">
      <c r="A881" s="7" t="s">
        <v>85</v>
      </c>
      <c r="B881" s="7" t="n">
        <v>4413207</v>
      </c>
      <c r="C881" s="7" t="s">
        <v>526</v>
      </c>
      <c r="D881" s="26" t="n">
        <v>0</v>
      </c>
      <c r="E881" s="26" t="n">
        <v>0</v>
      </c>
      <c r="F881" s="26" t="n">
        <v>0</v>
      </c>
      <c r="G881" s="26" t="n">
        <v>0</v>
      </c>
      <c r="H881" s="26" t="n">
        <v>0</v>
      </c>
      <c r="I881" s="26" t="n">
        <v>0</v>
      </c>
      <c r="J881" s="26" t="n">
        <v>0</v>
      </c>
      <c r="K881" s="26" t="n">
        <v>0</v>
      </c>
      <c r="L881" s="26" t="n">
        <v>0</v>
      </c>
      <c r="M881" s="26" t="n">
        <v>0</v>
      </c>
    </row>
    <row r="882" customFormat="false" ht="15" hidden="false" customHeight="false" outlineLevel="0" collapsed="false">
      <c r="A882" s="7" t="s">
        <v>87</v>
      </c>
      <c r="B882" s="7" t="n">
        <v>4413207</v>
      </c>
      <c r="C882" s="7" t="s">
        <v>526</v>
      </c>
      <c r="D882" s="26" t="n">
        <v>0</v>
      </c>
      <c r="E882" s="26" t="n">
        <v>0</v>
      </c>
      <c r="F882" s="26" t="n">
        <v>0</v>
      </c>
      <c r="G882" s="26" t="n">
        <v>0</v>
      </c>
      <c r="H882" s="26" t="n">
        <v>0</v>
      </c>
      <c r="I882" s="26" t="n">
        <v>0</v>
      </c>
      <c r="J882" s="26" t="n">
        <v>0</v>
      </c>
      <c r="K882" s="26" t="n">
        <v>0</v>
      </c>
      <c r="L882" s="26" t="n">
        <v>0</v>
      </c>
      <c r="M882" s="26" t="n">
        <v>0</v>
      </c>
    </row>
    <row r="883" customFormat="false" ht="15" hidden="false" customHeight="false" outlineLevel="0" collapsed="false">
      <c r="A883" s="7" t="s">
        <v>85</v>
      </c>
      <c r="B883" s="7" t="n">
        <v>4413208</v>
      </c>
      <c r="C883" s="7" t="s">
        <v>527</v>
      </c>
      <c r="D883" s="26" t="n">
        <v>0</v>
      </c>
      <c r="E883" s="26" t="n">
        <v>0</v>
      </c>
      <c r="F883" s="26" t="n">
        <v>0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0</v>
      </c>
      <c r="L883" s="26" t="n">
        <v>0</v>
      </c>
      <c r="M883" s="26" t="n">
        <v>0</v>
      </c>
    </row>
    <row r="884" customFormat="false" ht="15" hidden="false" customHeight="false" outlineLevel="0" collapsed="false">
      <c r="A884" s="7" t="s">
        <v>87</v>
      </c>
      <c r="B884" s="7" t="n">
        <v>4413208</v>
      </c>
      <c r="C884" s="7" t="s">
        <v>527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0</v>
      </c>
      <c r="L884" s="26" t="n">
        <v>0</v>
      </c>
      <c r="M884" s="26" t="n">
        <v>0</v>
      </c>
    </row>
    <row r="885" customFormat="false" ht="15" hidden="false" customHeight="false" outlineLevel="0" collapsed="false">
      <c r="A885" s="7" t="s">
        <v>85</v>
      </c>
      <c r="B885" s="7" t="n">
        <v>4413168</v>
      </c>
      <c r="C885" s="7" t="s">
        <v>528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0</v>
      </c>
      <c r="L885" s="26" t="n">
        <v>0</v>
      </c>
      <c r="M885" s="26" t="n">
        <v>0</v>
      </c>
    </row>
    <row r="886" customFormat="false" ht="15" hidden="false" customHeight="false" outlineLevel="0" collapsed="false">
      <c r="A886" s="7" t="s">
        <v>87</v>
      </c>
      <c r="B886" s="7" t="n">
        <v>4413168</v>
      </c>
      <c r="C886" s="7" t="s">
        <v>528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0</v>
      </c>
      <c r="L886" s="26" t="n">
        <v>0</v>
      </c>
      <c r="M886" s="26" t="n">
        <v>0</v>
      </c>
    </row>
    <row r="887" customFormat="false" ht="15" hidden="false" customHeight="false" outlineLevel="0" collapsed="false">
      <c r="A887" s="7" t="s">
        <v>85</v>
      </c>
      <c r="B887" s="7" t="n">
        <v>4413167</v>
      </c>
      <c r="C887" s="7" t="s">
        <v>529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0</v>
      </c>
      <c r="L887" s="26" t="n">
        <v>0</v>
      </c>
      <c r="M887" s="26" t="n">
        <v>0</v>
      </c>
    </row>
    <row r="888" customFormat="false" ht="15" hidden="false" customHeight="false" outlineLevel="0" collapsed="false">
      <c r="A888" s="7" t="s">
        <v>87</v>
      </c>
      <c r="B888" s="7" t="n">
        <v>4413167</v>
      </c>
      <c r="C888" s="7" t="s">
        <v>529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0</v>
      </c>
      <c r="L888" s="26" t="n">
        <v>0</v>
      </c>
      <c r="M888" s="26" t="n">
        <v>0</v>
      </c>
    </row>
    <row r="889" customFormat="false" ht="15" hidden="false" customHeight="false" outlineLevel="0" collapsed="false">
      <c r="A889" s="7" t="s">
        <v>85</v>
      </c>
      <c r="B889" s="7" t="n">
        <v>4413166</v>
      </c>
      <c r="C889" s="7" t="s">
        <v>530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0</v>
      </c>
      <c r="L889" s="26" t="n">
        <v>0</v>
      </c>
      <c r="M889" s="26" t="n">
        <v>0</v>
      </c>
    </row>
    <row r="890" customFormat="false" ht="15" hidden="false" customHeight="false" outlineLevel="0" collapsed="false">
      <c r="A890" s="7" t="s">
        <v>87</v>
      </c>
      <c r="B890" s="7" t="n">
        <v>4413166</v>
      </c>
      <c r="C890" s="7" t="s">
        <v>530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0</v>
      </c>
      <c r="J890" s="26" t="n">
        <v>0</v>
      </c>
      <c r="K890" s="26" t="n">
        <v>0</v>
      </c>
      <c r="L890" s="26" t="n">
        <v>0</v>
      </c>
      <c r="M890" s="26" t="n">
        <v>0</v>
      </c>
    </row>
    <row r="891" customFormat="false" ht="15" hidden="false" customHeight="false" outlineLevel="0" collapsed="false">
      <c r="A891" s="7" t="s">
        <v>85</v>
      </c>
      <c r="B891" s="7" t="n">
        <v>4413163</v>
      </c>
      <c r="C891" s="7" t="s">
        <v>531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0</v>
      </c>
      <c r="J891" s="26" t="n">
        <v>0</v>
      </c>
      <c r="K891" s="26" t="n">
        <v>0</v>
      </c>
      <c r="L891" s="26" t="n">
        <v>0</v>
      </c>
      <c r="M891" s="26" t="n">
        <v>0</v>
      </c>
    </row>
    <row r="892" customFormat="false" ht="15" hidden="false" customHeight="false" outlineLevel="0" collapsed="false">
      <c r="A892" s="7" t="s">
        <v>87</v>
      </c>
      <c r="B892" s="7" t="n">
        <v>4413163</v>
      </c>
      <c r="C892" s="7" t="s">
        <v>531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0</v>
      </c>
      <c r="J892" s="26" t="n">
        <v>0</v>
      </c>
      <c r="K892" s="26" t="n">
        <v>0</v>
      </c>
      <c r="L892" s="26" t="n">
        <v>0</v>
      </c>
      <c r="M892" s="26" t="n">
        <v>0</v>
      </c>
    </row>
    <row r="893" customFormat="false" ht="15" hidden="false" customHeight="false" outlineLevel="0" collapsed="false">
      <c r="A893" s="7" t="s">
        <v>85</v>
      </c>
      <c r="B893" s="7" t="n">
        <v>4413308</v>
      </c>
      <c r="C893" s="7" t="s">
        <v>532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0</v>
      </c>
      <c r="J893" s="26" t="n">
        <v>0</v>
      </c>
      <c r="K893" s="26" t="n">
        <v>0</v>
      </c>
      <c r="L893" s="26" t="n">
        <v>0</v>
      </c>
      <c r="M893" s="26" t="n">
        <v>0</v>
      </c>
    </row>
    <row r="894" customFormat="false" ht="15" hidden="false" customHeight="false" outlineLevel="0" collapsed="false">
      <c r="A894" s="7" t="s">
        <v>87</v>
      </c>
      <c r="B894" s="7" t="n">
        <v>4413308</v>
      </c>
      <c r="C894" s="7" t="s">
        <v>532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0</v>
      </c>
      <c r="J894" s="26" t="n">
        <v>0</v>
      </c>
      <c r="K894" s="26" t="n">
        <v>0</v>
      </c>
      <c r="L894" s="26" t="n">
        <v>0</v>
      </c>
      <c r="M894" s="26" t="n">
        <v>0</v>
      </c>
    </row>
    <row r="895" customFormat="false" ht="15" hidden="false" customHeight="false" outlineLevel="0" collapsed="false">
      <c r="A895" s="7" t="s">
        <v>85</v>
      </c>
      <c r="B895" s="7" t="n">
        <v>4413135</v>
      </c>
      <c r="C895" s="7" t="s">
        <v>533</v>
      </c>
      <c r="D895" s="26" t="n">
        <v>136</v>
      </c>
      <c r="E895" s="26" t="n">
        <v>0</v>
      </c>
      <c r="F895" s="26" t="n">
        <v>0</v>
      </c>
      <c r="G895" s="26" t="n">
        <v>1</v>
      </c>
      <c r="H895" s="26" t="n">
        <v>466</v>
      </c>
      <c r="I895" s="26" t="n">
        <v>207</v>
      </c>
      <c r="J895" s="26" t="n">
        <v>0</v>
      </c>
      <c r="K895" s="26" t="n">
        <v>126</v>
      </c>
      <c r="L895" s="26" t="n">
        <v>0</v>
      </c>
      <c r="M895" s="26" t="n">
        <v>-1</v>
      </c>
    </row>
    <row r="896" customFormat="false" ht="15" hidden="false" customHeight="false" outlineLevel="0" collapsed="false">
      <c r="A896" s="7" t="s">
        <v>87</v>
      </c>
      <c r="B896" s="7" t="n">
        <v>4413135</v>
      </c>
      <c r="C896" s="7" t="s">
        <v>533</v>
      </c>
      <c r="D896" s="26" t="n">
        <v>7495.4</v>
      </c>
      <c r="E896" s="26" t="n">
        <v>0</v>
      </c>
      <c r="F896" s="26" t="n">
        <v>0</v>
      </c>
      <c r="G896" s="26" t="n">
        <v>49.1</v>
      </c>
      <c r="H896" s="26" t="n">
        <v>22640.9</v>
      </c>
      <c r="I896" s="26" t="n">
        <v>10870.2</v>
      </c>
      <c r="J896" s="26" t="n">
        <v>0</v>
      </c>
      <c r="K896" s="26" t="n">
        <v>4208.8</v>
      </c>
      <c r="L896" s="26" t="n">
        <v>0</v>
      </c>
      <c r="M896" s="26" t="n">
        <v>-75.6</v>
      </c>
    </row>
    <row r="897" customFormat="false" ht="15" hidden="false" customHeight="false" outlineLevel="0" collapsed="false">
      <c r="A897" s="7" t="s">
        <v>85</v>
      </c>
      <c r="B897" s="7" t="n">
        <v>4413136</v>
      </c>
      <c r="C897" s="7" t="s">
        <v>534</v>
      </c>
      <c r="D897" s="26" t="n">
        <v>105</v>
      </c>
      <c r="E897" s="26" t="n">
        <v>0</v>
      </c>
      <c r="F897" s="26" t="n">
        <v>0</v>
      </c>
      <c r="G897" s="26" t="n">
        <v>0</v>
      </c>
      <c r="H897" s="26" t="n">
        <v>446</v>
      </c>
      <c r="I897" s="26" t="n">
        <v>124</v>
      </c>
      <c r="J897" s="26" t="n">
        <v>0</v>
      </c>
      <c r="K897" s="26" t="n">
        <v>88</v>
      </c>
      <c r="L897" s="26" t="n">
        <v>0</v>
      </c>
      <c r="M897" s="26" t="n">
        <v>-1</v>
      </c>
    </row>
    <row r="898" customFormat="false" ht="15" hidden="false" customHeight="false" outlineLevel="0" collapsed="false">
      <c r="A898" s="7" t="s">
        <v>87</v>
      </c>
      <c r="B898" s="7" t="n">
        <v>4413136</v>
      </c>
      <c r="C898" s="7" t="s">
        <v>534</v>
      </c>
      <c r="D898" s="26" t="n">
        <v>5753.8</v>
      </c>
      <c r="E898" s="26" t="n">
        <v>0</v>
      </c>
      <c r="F898" s="26" t="n">
        <v>0</v>
      </c>
      <c r="G898" s="26" t="n">
        <v>0</v>
      </c>
      <c r="H898" s="26" t="n">
        <v>21661.6</v>
      </c>
      <c r="I898" s="26" t="n">
        <v>6530</v>
      </c>
      <c r="J898" s="26" t="n">
        <v>0</v>
      </c>
      <c r="K898" s="26" t="n">
        <v>2983.8</v>
      </c>
      <c r="L898" s="26" t="n">
        <v>0</v>
      </c>
      <c r="M898" s="26" t="n">
        <v>-75.6</v>
      </c>
    </row>
    <row r="899" customFormat="false" ht="15" hidden="false" customHeight="false" outlineLevel="0" collapsed="false">
      <c r="A899" s="7" t="s">
        <v>85</v>
      </c>
      <c r="B899" s="7" t="n">
        <v>4413137</v>
      </c>
      <c r="C899" s="7" t="s">
        <v>535</v>
      </c>
      <c r="D899" s="26" t="n">
        <v>39</v>
      </c>
      <c r="E899" s="26" t="n">
        <v>0</v>
      </c>
      <c r="F899" s="26" t="n">
        <v>0</v>
      </c>
      <c r="G899" s="26" t="n">
        <v>0</v>
      </c>
      <c r="H899" s="26" t="n">
        <v>208</v>
      </c>
      <c r="I899" s="26" t="n">
        <v>79</v>
      </c>
      <c r="J899" s="26" t="n">
        <v>0</v>
      </c>
      <c r="K899" s="26" t="n">
        <v>55</v>
      </c>
      <c r="L899" s="26" t="n">
        <v>0</v>
      </c>
      <c r="M899" s="26" t="n">
        <v>-2</v>
      </c>
    </row>
    <row r="900" customFormat="false" ht="15" hidden="false" customHeight="false" outlineLevel="0" collapsed="false">
      <c r="A900" s="7" t="s">
        <v>87</v>
      </c>
      <c r="B900" s="7" t="n">
        <v>4413137</v>
      </c>
      <c r="C900" s="7" t="s">
        <v>535</v>
      </c>
      <c r="D900" s="26" t="n">
        <v>2090.6</v>
      </c>
      <c r="E900" s="26" t="n">
        <v>0</v>
      </c>
      <c r="F900" s="26" t="n">
        <v>0</v>
      </c>
      <c r="G900" s="26" t="n">
        <v>0</v>
      </c>
      <c r="H900" s="26" t="n">
        <v>10124.9</v>
      </c>
      <c r="I900" s="26" t="n">
        <v>4146.2</v>
      </c>
      <c r="J900" s="26" t="n">
        <v>0</v>
      </c>
      <c r="K900" s="26" t="n">
        <v>1872.5</v>
      </c>
      <c r="L900" s="26" t="n">
        <v>0</v>
      </c>
      <c r="M900" s="26" t="n">
        <v>-151.1</v>
      </c>
    </row>
    <row r="901" customFormat="false" ht="15" hidden="false" customHeight="false" outlineLevel="0" collapsed="false">
      <c r="A901" s="7" t="s">
        <v>85</v>
      </c>
      <c r="B901" s="7" t="n">
        <v>4413138</v>
      </c>
      <c r="C901" s="7" t="s">
        <v>536</v>
      </c>
      <c r="D901" s="26" t="n">
        <v>65</v>
      </c>
      <c r="E901" s="26" t="n">
        <v>0</v>
      </c>
      <c r="F901" s="26" t="n">
        <v>0</v>
      </c>
      <c r="G901" s="26" t="n">
        <v>1</v>
      </c>
      <c r="H901" s="26" t="n">
        <v>263</v>
      </c>
      <c r="I901" s="26" t="n">
        <v>102</v>
      </c>
      <c r="J901" s="26" t="n">
        <v>0</v>
      </c>
      <c r="K901" s="26" t="n">
        <v>54</v>
      </c>
      <c r="L901" s="26" t="n">
        <v>0</v>
      </c>
      <c r="M901" s="26" t="n">
        <v>0</v>
      </c>
    </row>
    <row r="902" customFormat="false" ht="15" hidden="false" customHeight="false" outlineLevel="0" collapsed="false">
      <c r="A902" s="7" t="s">
        <v>87</v>
      </c>
      <c r="B902" s="7" t="n">
        <v>4413138</v>
      </c>
      <c r="C902" s="7" t="s">
        <v>536</v>
      </c>
      <c r="D902" s="26" t="n">
        <v>3566.4</v>
      </c>
      <c r="E902" s="26" t="n">
        <v>0</v>
      </c>
      <c r="F902" s="26" t="n">
        <v>0</v>
      </c>
      <c r="G902" s="26" t="n">
        <v>49.1</v>
      </c>
      <c r="H902" s="26" t="n">
        <v>12792.9</v>
      </c>
      <c r="I902" s="26" t="n">
        <v>5363</v>
      </c>
      <c r="J902" s="26" t="n">
        <v>0</v>
      </c>
      <c r="K902" s="26" t="n">
        <v>1741.3</v>
      </c>
      <c r="L902" s="26" t="n">
        <v>0</v>
      </c>
      <c r="M902" s="26" t="n">
        <v>0</v>
      </c>
    </row>
    <row r="903" customFormat="false" ht="15" hidden="false" customHeight="false" outlineLevel="0" collapsed="false">
      <c r="A903" s="7" t="s">
        <v>85</v>
      </c>
      <c r="B903" s="7" t="n">
        <v>4413176</v>
      </c>
      <c r="C903" s="7" t="s">
        <v>537</v>
      </c>
      <c r="D903" s="26" t="n">
        <v>1</v>
      </c>
      <c r="E903" s="26" t="n">
        <v>0</v>
      </c>
      <c r="F903" s="26" t="n">
        <v>0</v>
      </c>
      <c r="G903" s="26" t="n">
        <v>0</v>
      </c>
      <c r="H903" s="26" t="n">
        <v>0</v>
      </c>
      <c r="I903" s="26" t="n">
        <v>0</v>
      </c>
      <c r="J903" s="26" t="n">
        <v>0</v>
      </c>
      <c r="K903" s="26" t="n">
        <v>0</v>
      </c>
      <c r="L903" s="26" t="n">
        <v>0</v>
      </c>
      <c r="M903" s="26" t="n">
        <v>0</v>
      </c>
    </row>
    <row r="904" customFormat="false" ht="15" hidden="false" customHeight="false" outlineLevel="0" collapsed="false">
      <c r="A904" s="7" t="s">
        <v>87</v>
      </c>
      <c r="B904" s="7" t="n">
        <v>4413176</v>
      </c>
      <c r="C904" s="7" t="s">
        <v>537</v>
      </c>
      <c r="D904" s="26" t="n">
        <v>94.6</v>
      </c>
      <c r="E904" s="26" t="n">
        <v>0</v>
      </c>
      <c r="F904" s="26" t="n">
        <v>0</v>
      </c>
      <c r="G904" s="26" t="n">
        <v>0</v>
      </c>
      <c r="H904" s="26" t="n">
        <v>0</v>
      </c>
      <c r="I904" s="26" t="n">
        <v>0</v>
      </c>
      <c r="J904" s="26" t="n">
        <v>0</v>
      </c>
      <c r="K904" s="26" t="n">
        <v>0</v>
      </c>
      <c r="L904" s="26" t="n">
        <v>0</v>
      </c>
      <c r="M904" s="26" t="n">
        <v>0</v>
      </c>
    </row>
    <row r="905" customFormat="false" ht="15" hidden="false" customHeight="false" outlineLevel="0" collapsed="false">
      <c r="A905" s="7" t="s">
        <v>85</v>
      </c>
      <c r="B905" s="7" t="n">
        <v>4413175</v>
      </c>
      <c r="C905" s="7" t="s">
        <v>538</v>
      </c>
      <c r="D905" s="26" t="n">
        <v>1</v>
      </c>
      <c r="E905" s="26" t="n">
        <v>0</v>
      </c>
      <c r="F905" s="26" t="n">
        <v>0</v>
      </c>
      <c r="G905" s="26" t="n">
        <v>0</v>
      </c>
      <c r="H905" s="26" t="n">
        <v>0</v>
      </c>
      <c r="I905" s="26" t="n">
        <v>0</v>
      </c>
      <c r="J905" s="26" t="n">
        <v>0</v>
      </c>
      <c r="K905" s="26" t="n">
        <v>0</v>
      </c>
      <c r="L905" s="26" t="n">
        <v>0</v>
      </c>
      <c r="M905" s="26" t="n">
        <v>0</v>
      </c>
    </row>
    <row r="906" customFormat="false" ht="15" hidden="false" customHeight="false" outlineLevel="0" collapsed="false">
      <c r="A906" s="7" t="s">
        <v>87</v>
      </c>
      <c r="B906" s="7" t="n">
        <v>4413175</v>
      </c>
      <c r="C906" s="7" t="s">
        <v>538</v>
      </c>
      <c r="D906" s="26" t="n">
        <v>94.6</v>
      </c>
      <c r="E906" s="26" t="n">
        <v>0</v>
      </c>
      <c r="F906" s="26" t="n">
        <v>0</v>
      </c>
      <c r="G906" s="26" t="n">
        <v>0</v>
      </c>
      <c r="H906" s="26" t="n">
        <v>0</v>
      </c>
      <c r="I906" s="26" t="n">
        <v>0</v>
      </c>
      <c r="J906" s="26" t="n">
        <v>0</v>
      </c>
      <c r="K906" s="26" t="n">
        <v>0</v>
      </c>
      <c r="L906" s="26" t="n">
        <v>0</v>
      </c>
      <c r="M906" s="26" t="n">
        <v>0</v>
      </c>
    </row>
    <row r="907" customFormat="false" ht="15" hidden="false" customHeight="false" outlineLevel="0" collapsed="false">
      <c r="A907" s="7" t="s">
        <v>85</v>
      </c>
      <c r="B907" s="7" t="n">
        <v>4413174</v>
      </c>
      <c r="C907" s="7" t="s">
        <v>539</v>
      </c>
      <c r="D907" s="26" t="n">
        <v>0</v>
      </c>
      <c r="E907" s="26" t="n">
        <v>0</v>
      </c>
      <c r="F907" s="26" t="n">
        <v>0</v>
      </c>
      <c r="G907" s="26" t="n">
        <v>0</v>
      </c>
      <c r="H907" s="26" t="n">
        <v>0</v>
      </c>
      <c r="I907" s="26" t="n">
        <v>0</v>
      </c>
      <c r="J907" s="26" t="n">
        <v>0</v>
      </c>
      <c r="K907" s="26" t="n">
        <v>0</v>
      </c>
      <c r="L907" s="26" t="n">
        <v>0</v>
      </c>
      <c r="M907" s="26" t="n">
        <v>0</v>
      </c>
    </row>
    <row r="908" customFormat="false" ht="15" hidden="false" customHeight="false" outlineLevel="0" collapsed="false">
      <c r="A908" s="7" t="s">
        <v>87</v>
      </c>
      <c r="B908" s="7" t="n">
        <v>4413174</v>
      </c>
      <c r="C908" s="7" t="s">
        <v>539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0</v>
      </c>
      <c r="L908" s="26" t="n">
        <v>0</v>
      </c>
      <c r="M908" s="26" t="n">
        <v>0</v>
      </c>
    </row>
    <row r="909" customFormat="false" ht="15" hidden="false" customHeight="false" outlineLevel="0" collapsed="false">
      <c r="A909" s="7" t="s">
        <v>85</v>
      </c>
      <c r="B909" s="7" t="n">
        <v>4413177</v>
      </c>
      <c r="C909" s="7" t="s">
        <v>540</v>
      </c>
      <c r="D909" s="26" t="n">
        <v>2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0</v>
      </c>
      <c r="L909" s="26" t="n">
        <v>0</v>
      </c>
      <c r="M909" s="26" t="n">
        <v>0</v>
      </c>
    </row>
    <row r="910" customFormat="false" ht="15" hidden="false" customHeight="false" outlineLevel="0" collapsed="false">
      <c r="A910" s="7" t="s">
        <v>87</v>
      </c>
      <c r="B910" s="7" t="n">
        <v>4413177</v>
      </c>
      <c r="C910" s="7" t="s">
        <v>540</v>
      </c>
      <c r="D910" s="26" t="n">
        <v>189.3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0</v>
      </c>
      <c r="L910" s="26" t="n">
        <v>0</v>
      </c>
      <c r="M910" s="26" t="n">
        <v>0</v>
      </c>
    </row>
    <row r="911" customFormat="false" ht="15" hidden="false" customHeight="false" outlineLevel="0" collapsed="false">
      <c r="A911" s="7" t="s">
        <v>85</v>
      </c>
      <c r="B911" s="7" t="n">
        <v>4413516</v>
      </c>
      <c r="C911" s="7" t="s">
        <v>541</v>
      </c>
      <c r="D911" s="26" t="n">
        <v>161</v>
      </c>
      <c r="E911" s="26" t="n">
        <v>0</v>
      </c>
      <c r="F911" s="26" t="n">
        <v>0</v>
      </c>
      <c r="G911" s="26" t="n">
        <v>0</v>
      </c>
      <c r="H911" s="26" t="n">
        <v>937</v>
      </c>
      <c r="I911" s="26" t="n">
        <v>0</v>
      </c>
      <c r="J911" s="26" t="n">
        <v>0</v>
      </c>
      <c r="K911" s="26" t="n">
        <v>0</v>
      </c>
      <c r="L911" s="26" t="n">
        <v>0</v>
      </c>
      <c r="M911" s="26" t="n">
        <v>0</v>
      </c>
    </row>
    <row r="912" customFormat="false" ht="15" hidden="false" customHeight="false" outlineLevel="0" collapsed="false">
      <c r="A912" s="7" t="s">
        <v>87</v>
      </c>
      <c r="B912" s="7" t="n">
        <v>4413516</v>
      </c>
      <c r="C912" s="7" t="s">
        <v>541</v>
      </c>
      <c r="D912" s="26" t="n">
        <v>8987</v>
      </c>
      <c r="E912" s="26" t="n">
        <v>0</v>
      </c>
      <c r="F912" s="26" t="n">
        <v>0</v>
      </c>
      <c r="G912" s="26" t="n">
        <v>0</v>
      </c>
      <c r="H912" s="26" t="n">
        <v>45872.3</v>
      </c>
      <c r="I912" s="26" t="n">
        <v>0</v>
      </c>
      <c r="J912" s="26" t="n">
        <v>0</v>
      </c>
      <c r="K912" s="26" t="n">
        <v>0</v>
      </c>
      <c r="L912" s="26" t="n">
        <v>0</v>
      </c>
      <c r="M912" s="26" t="n">
        <v>0</v>
      </c>
    </row>
    <row r="913" customFormat="false" ht="15" hidden="false" customHeight="false" outlineLevel="0" collapsed="false">
      <c r="A913" s="7" t="s">
        <v>85</v>
      </c>
      <c r="B913" s="7" t="n">
        <v>4413517</v>
      </c>
      <c r="C913" s="7" t="s">
        <v>542</v>
      </c>
      <c r="D913" s="26" t="n">
        <v>115</v>
      </c>
      <c r="E913" s="26" t="n">
        <v>0</v>
      </c>
      <c r="F913" s="26" t="n">
        <v>0</v>
      </c>
      <c r="G913" s="26" t="n">
        <v>0</v>
      </c>
      <c r="H913" s="26" t="n">
        <v>805</v>
      </c>
      <c r="I913" s="26" t="n">
        <v>0</v>
      </c>
      <c r="J913" s="26" t="n">
        <v>0</v>
      </c>
      <c r="K913" s="26" t="n">
        <v>0</v>
      </c>
      <c r="L913" s="26" t="n">
        <v>0</v>
      </c>
      <c r="M913" s="26" t="n">
        <v>0</v>
      </c>
    </row>
    <row r="914" customFormat="false" ht="15" hidden="false" customHeight="false" outlineLevel="0" collapsed="false">
      <c r="A914" s="7" t="s">
        <v>87</v>
      </c>
      <c r="B914" s="7" t="n">
        <v>4413517</v>
      </c>
      <c r="C914" s="7" t="s">
        <v>542</v>
      </c>
      <c r="D914" s="26" t="n">
        <v>6429.3</v>
      </c>
      <c r="E914" s="26" t="n">
        <v>0</v>
      </c>
      <c r="F914" s="26" t="n">
        <v>0</v>
      </c>
      <c r="G914" s="26" t="n">
        <v>0</v>
      </c>
      <c r="H914" s="26" t="n">
        <v>39426.8</v>
      </c>
      <c r="I914" s="26" t="n">
        <v>0</v>
      </c>
      <c r="J914" s="26" t="n">
        <v>0</v>
      </c>
      <c r="K914" s="26" t="n">
        <v>0</v>
      </c>
      <c r="L914" s="26" t="n">
        <v>0</v>
      </c>
      <c r="M914" s="26" t="n">
        <v>0</v>
      </c>
    </row>
    <row r="915" customFormat="false" ht="15" hidden="false" customHeight="false" outlineLevel="0" collapsed="false">
      <c r="A915" s="7" t="s">
        <v>85</v>
      </c>
      <c r="B915" s="7" t="n">
        <v>4413519</v>
      </c>
      <c r="C915" s="7" t="s">
        <v>543</v>
      </c>
      <c r="D915" s="26" t="n">
        <v>46</v>
      </c>
      <c r="E915" s="26" t="n">
        <v>0</v>
      </c>
      <c r="F915" s="26" t="n">
        <v>0</v>
      </c>
      <c r="G915" s="26" t="n">
        <v>0</v>
      </c>
      <c r="H915" s="26" t="n">
        <v>507</v>
      </c>
      <c r="I915" s="26" t="n">
        <v>0</v>
      </c>
      <c r="J915" s="26" t="n">
        <v>0</v>
      </c>
      <c r="K915" s="26" t="n">
        <v>0</v>
      </c>
      <c r="L915" s="26" t="n">
        <v>0</v>
      </c>
      <c r="M915" s="26" t="n">
        <v>0</v>
      </c>
    </row>
    <row r="916" customFormat="false" ht="15" hidden="false" customHeight="false" outlineLevel="0" collapsed="false">
      <c r="A916" s="7" t="s">
        <v>87</v>
      </c>
      <c r="B916" s="7" t="n">
        <v>4413519</v>
      </c>
      <c r="C916" s="7" t="s">
        <v>543</v>
      </c>
      <c r="D916" s="26" t="n">
        <v>2565.2</v>
      </c>
      <c r="E916" s="26" t="n">
        <v>0</v>
      </c>
      <c r="F916" s="26" t="n">
        <v>0</v>
      </c>
      <c r="G916" s="26" t="n">
        <v>0</v>
      </c>
      <c r="H916" s="26" t="n">
        <v>24828.6</v>
      </c>
      <c r="I916" s="26" t="n">
        <v>0</v>
      </c>
      <c r="J916" s="26" t="n">
        <v>0</v>
      </c>
      <c r="K916" s="26" t="n">
        <v>0</v>
      </c>
      <c r="L916" s="26" t="n">
        <v>0</v>
      </c>
      <c r="M916" s="26" t="n">
        <v>0</v>
      </c>
    </row>
    <row r="917" customFormat="false" ht="15" hidden="false" customHeight="false" outlineLevel="0" collapsed="false">
      <c r="A917" s="7" t="s">
        <v>85</v>
      </c>
      <c r="B917" s="7" t="n">
        <v>4413518</v>
      </c>
      <c r="C917" s="7" t="s">
        <v>544</v>
      </c>
      <c r="D917" s="26" t="n">
        <v>89</v>
      </c>
      <c r="E917" s="26" t="n">
        <v>0</v>
      </c>
      <c r="F917" s="26" t="n">
        <v>0</v>
      </c>
      <c r="G917" s="26" t="n">
        <v>0</v>
      </c>
      <c r="H917" s="26" t="n">
        <v>634</v>
      </c>
      <c r="I917" s="26" t="n">
        <v>0</v>
      </c>
      <c r="J917" s="26" t="n">
        <v>0</v>
      </c>
      <c r="K917" s="26" t="n">
        <v>0</v>
      </c>
      <c r="L917" s="26" t="n">
        <v>0</v>
      </c>
      <c r="M917" s="26" t="n">
        <v>0</v>
      </c>
    </row>
    <row r="918" customFormat="false" ht="15" hidden="false" customHeight="false" outlineLevel="0" collapsed="false">
      <c r="A918" s="7" t="s">
        <v>87</v>
      </c>
      <c r="B918" s="7" t="n">
        <v>4413518</v>
      </c>
      <c r="C918" s="7" t="s">
        <v>544</v>
      </c>
      <c r="D918" s="26" t="n">
        <v>4876.5</v>
      </c>
      <c r="E918" s="26" t="n">
        <v>0</v>
      </c>
      <c r="F918" s="26" t="n">
        <v>0</v>
      </c>
      <c r="G918" s="26" t="n">
        <v>0</v>
      </c>
      <c r="H918" s="26" t="n">
        <v>31042.3</v>
      </c>
      <c r="I918" s="26" t="n">
        <v>0</v>
      </c>
      <c r="J918" s="26" t="n">
        <v>0</v>
      </c>
      <c r="K918" s="26" t="n">
        <v>0</v>
      </c>
      <c r="L918" s="26" t="n">
        <v>0</v>
      </c>
      <c r="M918" s="26" t="n">
        <v>0</v>
      </c>
    </row>
    <row r="919" customFormat="false" ht="15" hidden="false" customHeight="false" outlineLevel="0" collapsed="false">
      <c r="A919" s="7" t="s">
        <v>85</v>
      </c>
      <c r="B919" s="7" t="n">
        <v>4413455</v>
      </c>
      <c r="C919" s="7" t="s">
        <v>545</v>
      </c>
      <c r="D919" s="26" t="n">
        <v>114</v>
      </c>
      <c r="E919" s="26" t="n">
        <v>0</v>
      </c>
      <c r="F919" s="26" t="n">
        <v>1</v>
      </c>
      <c r="G919" s="26" t="n">
        <v>0</v>
      </c>
      <c r="H919" s="26" t="n">
        <v>236</v>
      </c>
      <c r="I919" s="26" t="n">
        <v>16</v>
      </c>
      <c r="J919" s="26" t="n">
        <v>0</v>
      </c>
      <c r="K919" s="26" t="n">
        <v>0</v>
      </c>
      <c r="L919" s="26" t="n">
        <v>0</v>
      </c>
      <c r="M919" s="26" t="n">
        <v>0</v>
      </c>
    </row>
    <row r="920" customFormat="false" ht="15" hidden="false" customHeight="false" outlineLevel="0" collapsed="false">
      <c r="A920" s="7" t="s">
        <v>87</v>
      </c>
      <c r="B920" s="7" t="n">
        <v>4413455</v>
      </c>
      <c r="C920" s="7" t="s">
        <v>545</v>
      </c>
      <c r="D920" s="26" t="n">
        <v>5762.2</v>
      </c>
      <c r="E920" s="26" t="n">
        <v>0</v>
      </c>
      <c r="F920" s="26" t="n">
        <v>52</v>
      </c>
      <c r="G920" s="26" t="n">
        <v>0</v>
      </c>
      <c r="H920" s="26" t="n">
        <v>10544.6</v>
      </c>
      <c r="I920" s="26" t="n">
        <v>775.8</v>
      </c>
      <c r="J920" s="26" t="n">
        <v>0</v>
      </c>
      <c r="K920" s="26" t="n">
        <v>0</v>
      </c>
      <c r="L920" s="26" t="n">
        <v>0</v>
      </c>
      <c r="M920" s="26" t="n">
        <v>0</v>
      </c>
    </row>
    <row r="921" customFormat="false" ht="15" hidden="false" customHeight="false" outlineLevel="0" collapsed="false">
      <c r="A921" s="7" t="s">
        <v>85</v>
      </c>
      <c r="B921" s="7" t="n">
        <v>4407000</v>
      </c>
      <c r="C921" s="7" t="s">
        <v>546</v>
      </c>
      <c r="D921" s="26" t="n">
        <v>0</v>
      </c>
      <c r="E921" s="26" t="n">
        <v>0</v>
      </c>
      <c r="F921" s="26" t="n">
        <v>0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  <c r="L921" s="26" t="n">
        <v>0</v>
      </c>
      <c r="M921" s="26" t="n">
        <v>0</v>
      </c>
    </row>
    <row r="922" customFormat="false" ht="15" hidden="false" customHeight="false" outlineLevel="0" collapsed="false">
      <c r="A922" s="7" t="s">
        <v>87</v>
      </c>
      <c r="B922" s="7" t="n">
        <v>4407000</v>
      </c>
      <c r="C922" s="7" t="s">
        <v>546</v>
      </c>
      <c r="D922" s="26" t="n">
        <v>0</v>
      </c>
      <c r="E922" s="26" t="n">
        <v>0</v>
      </c>
      <c r="F922" s="26" t="n">
        <v>0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  <c r="L922" s="26" t="n">
        <v>0</v>
      </c>
      <c r="M922" s="26" t="n">
        <v>0</v>
      </c>
    </row>
    <row r="923" customFormat="false" ht="15" hidden="false" customHeight="false" outlineLevel="0" collapsed="false">
      <c r="A923" s="7" t="s">
        <v>85</v>
      </c>
      <c r="B923" s="7" t="n">
        <v>4416000</v>
      </c>
      <c r="C923" s="7" t="s">
        <v>547</v>
      </c>
      <c r="D923" s="26" t="n">
        <v>74</v>
      </c>
      <c r="E923" s="26" t="n">
        <v>0</v>
      </c>
      <c r="F923" s="26" t="n">
        <v>0</v>
      </c>
      <c r="G923" s="26" t="n">
        <v>0</v>
      </c>
      <c r="H923" s="26" t="n">
        <v>301</v>
      </c>
      <c r="I923" s="26" t="n">
        <v>107</v>
      </c>
      <c r="J923" s="26" t="n">
        <v>0</v>
      </c>
      <c r="K923" s="26" t="n">
        <v>85</v>
      </c>
      <c r="L923" s="26" t="n">
        <v>0</v>
      </c>
      <c r="M923" s="26" t="n">
        <v>0</v>
      </c>
    </row>
    <row r="924" customFormat="false" ht="15" hidden="false" customHeight="false" outlineLevel="0" collapsed="false">
      <c r="A924" s="7" t="s">
        <v>87</v>
      </c>
      <c r="B924" s="7" t="n">
        <v>4416000</v>
      </c>
      <c r="C924" s="7" t="s">
        <v>547</v>
      </c>
      <c r="D924" s="26" t="n">
        <v>6186</v>
      </c>
      <c r="E924" s="26" t="n">
        <v>0</v>
      </c>
      <c r="F924" s="26" t="n">
        <v>0</v>
      </c>
      <c r="G924" s="26" t="n">
        <v>0</v>
      </c>
      <c r="H924" s="26" t="n">
        <v>24292.6</v>
      </c>
      <c r="I924" s="26" t="n">
        <v>9399</v>
      </c>
      <c r="J924" s="26" t="n">
        <v>0</v>
      </c>
      <c r="K924" s="26" t="n">
        <v>5251.4</v>
      </c>
      <c r="L924" s="26" t="n">
        <v>0</v>
      </c>
      <c r="M924" s="26" t="n">
        <v>0</v>
      </c>
    </row>
    <row r="925" customFormat="false" ht="15" hidden="false" customHeight="false" outlineLevel="0" collapsed="false">
      <c r="A925" s="7" t="s">
        <v>85</v>
      </c>
      <c r="B925" s="7" t="n">
        <v>4416001</v>
      </c>
      <c r="C925" s="7" t="s">
        <v>548</v>
      </c>
      <c r="D925" s="26" t="n">
        <v>84</v>
      </c>
      <c r="E925" s="26" t="n">
        <v>0</v>
      </c>
      <c r="F925" s="26" t="n">
        <v>5</v>
      </c>
      <c r="G925" s="26" t="n">
        <v>1</v>
      </c>
      <c r="H925" s="26" t="n">
        <v>305</v>
      </c>
      <c r="I925" s="26" t="n">
        <v>88</v>
      </c>
      <c r="J925" s="26" t="n">
        <v>0</v>
      </c>
      <c r="K925" s="26" t="n">
        <v>87</v>
      </c>
      <c r="L925" s="26" t="n">
        <v>0</v>
      </c>
      <c r="M925" s="26" t="n">
        <v>0</v>
      </c>
    </row>
    <row r="926" customFormat="false" ht="15" hidden="false" customHeight="false" outlineLevel="0" collapsed="false">
      <c r="A926" s="7" t="s">
        <v>87</v>
      </c>
      <c r="B926" s="7" t="n">
        <v>4416001</v>
      </c>
      <c r="C926" s="7" t="s">
        <v>548</v>
      </c>
      <c r="D926" s="26" t="n">
        <v>7308.3</v>
      </c>
      <c r="E926" s="26" t="n">
        <v>0</v>
      </c>
      <c r="F926" s="26" t="n">
        <v>461.5</v>
      </c>
      <c r="G926" s="26" t="n">
        <v>80</v>
      </c>
      <c r="H926" s="26" t="n">
        <v>24529.5</v>
      </c>
      <c r="I926" s="26" t="n">
        <v>7709.6</v>
      </c>
      <c r="J926" s="26" t="n">
        <v>0</v>
      </c>
      <c r="K926" s="26" t="n">
        <v>5393.8</v>
      </c>
      <c r="L926" s="26" t="n">
        <v>0</v>
      </c>
      <c r="M926" s="26" t="n">
        <v>0</v>
      </c>
    </row>
    <row r="927" customFormat="false" ht="15" hidden="false" customHeight="false" outlineLevel="0" collapsed="false">
      <c r="A927" s="7" t="s">
        <v>85</v>
      </c>
      <c r="B927" s="7" t="n">
        <v>4416002</v>
      </c>
      <c r="C927" s="7" t="s">
        <v>549</v>
      </c>
      <c r="D927" s="26" t="n">
        <v>16</v>
      </c>
      <c r="E927" s="26" t="n">
        <v>0</v>
      </c>
      <c r="F927" s="26" t="n">
        <v>2</v>
      </c>
      <c r="G927" s="26" t="n">
        <v>0</v>
      </c>
      <c r="H927" s="26" t="n">
        <v>104</v>
      </c>
      <c r="I927" s="26" t="n">
        <v>32</v>
      </c>
      <c r="J927" s="26" t="n">
        <v>0</v>
      </c>
      <c r="K927" s="26" t="n">
        <v>23</v>
      </c>
      <c r="L927" s="26" t="n">
        <v>0</v>
      </c>
      <c r="M927" s="26" t="n">
        <v>0</v>
      </c>
    </row>
    <row r="928" customFormat="false" ht="15" hidden="false" customHeight="false" outlineLevel="0" collapsed="false">
      <c r="A928" s="7" t="s">
        <v>87</v>
      </c>
      <c r="B928" s="7" t="n">
        <v>4416002</v>
      </c>
      <c r="C928" s="7" t="s">
        <v>549</v>
      </c>
      <c r="D928" s="26" t="n">
        <v>1329</v>
      </c>
      <c r="E928" s="26" t="n">
        <v>0</v>
      </c>
      <c r="F928" s="26" t="n">
        <v>184.6</v>
      </c>
      <c r="G928" s="26" t="n">
        <v>0</v>
      </c>
      <c r="H928" s="26" t="n">
        <v>8358.4</v>
      </c>
      <c r="I928" s="26" t="n">
        <v>2798.4</v>
      </c>
      <c r="J928" s="26" t="n">
        <v>0</v>
      </c>
      <c r="K928" s="26" t="n">
        <v>1455.2</v>
      </c>
      <c r="L928" s="26" t="n">
        <v>0</v>
      </c>
      <c r="M928" s="26" t="n">
        <v>0</v>
      </c>
    </row>
    <row r="929" customFormat="false" ht="15" hidden="false" customHeight="false" outlineLevel="0" collapsed="false">
      <c r="A929" s="7" t="s">
        <v>85</v>
      </c>
      <c r="B929" s="7" t="n">
        <v>4411016</v>
      </c>
      <c r="C929" s="7" t="s">
        <v>550</v>
      </c>
      <c r="D929" s="26" t="n">
        <v>56</v>
      </c>
      <c r="E929" s="26" t="n">
        <v>0</v>
      </c>
      <c r="F929" s="26" t="n">
        <v>0</v>
      </c>
      <c r="G929" s="26" t="n">
        <v>0</v>
      </c>
      <c r="H929" s="26" t="n">
        <v>217</v>
      </c>
      <c r="I929" s="26" t="n">
        <v>61</v>
      </c>
      <c r="J929" s="26" t="n">
        <v>0</v>
      </c>
      <c r="K929" s="26" t="n">
        <v>38</v>
      </c>
      <c r="L929" s="26" t="n">
        <v>0</v>
      </c>
      <c r="M929" s="26" t="n">
        <v>0</v>
      </c>
    </row>
    <row r="930" customFormat="false" ht="15" hidden="false" customHeight="false" outlineLevel="0" collapsed="false">
      <c r="A930" s="7" t="s">
        <v>87</v>
      </c>
      <c r="B930" s="7" t="n">
        <v>4411016</v>
      </c>
      <c r="C930" s="7" t="s">
        <v>550</v>
      </c>
      <c r="D930" s="26" t="n">
        <v>4681</v>
      </c>
      <c r="E930" s="26" t="n">
        <v>0</v>
      </c>
      <c r="F930" s="26" t="n">
        <v>0</v>
      </c>
      <c r="G930" s="26" t="n">
        <v>0</v>
      </c>
      <c r="H930" s="26" t="n">
        <v>17507.9</v>
      </c>
      <c r="I930" s="26" t="n">
        <v>5334.5</v>
      </c>
      <c r="J930" s="26" t="n">
        <v>0</v>
      </c>
      <c r="K930" s="26" t="n">
        <v>2404.3</v>
      </c>
      <c r="L930" s="26" t="n">
        <v>0</v>
      </c>
      <c r="M930" s="26" t="n">
        <v>0</v>
      </c>
    </row>
    <row r="931" customFormat="false" ht="15" hidden="false" customHeight="false" outlineLevel="0" collapsed="false">
      <c r="A931" s="7" t="s">
        <v>85</v>
      </c>
      <c r="B931" s="7" t="n">
        <v>4416003</v>
      </c>
      <c r="C931" s="7" t="s">
        <v>551</v>
      </c>
      <c r="D931" s="26" t="n">
        <v>75</v>
      </c>
      <c r="E931" s="26" t="n">
        <v>0</v>
      </c>
      <c r="F931" s="26" t="n">
        <v>0</v>
      </c>
      <c r="G931" s="26" t="n">
        <v>0</v>
      </c>
      <c r="H931" s="26" t="n">
        <v>-2</v>
      </c>
      <c r="I931" s="26" t="n">
        <v>93</v>
      </c>
      <c r="J931" s="26" t="n">
        <v>0</v>
      </c>
      <c r="K931" s="26" t="n">
        <v>0</v>
      </c>
      <c r="L931" s="26" t="n">
        <v>0</v>
      </c>
      <c r="M931" s="26" t="n">
        <v>0</v>
      </c>
    </row>
    <row r="932" customFormat="false" ht="15" hidden="false" customHeight="false" outlineLevel="0" collapsed="false">
      <c r="A932" s="7" t="s">
        <v>87</v>
      </c>
      <c r="B932" s="7" t="n">
        <v>4416003</v>
      </c>
      <c r="C932" s="7" t="s">
        <v>551</v>
      </c>
      <c r="D932" s="26" t="n">
        <v>4255.9</v>
      </c>
      <c r="E932" s="26" t="n">
        <v>0</v>
      </c>
      <c r="F932" s="26" t="n">
        <v>0</v>
      </c>
      <c r="G932" s="26" t="n">
        <v>0</v>
      </c>
      <c r="H932" s="26" t="n">
        <v>-101.3</v>
      </c>
      <c r="I932" s="26" t="n">
        <v>5070.4</v>
      </c>
      <c r="J932" s="26" t="n">
        <v>0</v>
      </c>
      <c r="K932" s="26" t="n">
        <v>0</v>
      </c>
      <c r="L932" s="26" t="n">
        <v>0</v>
      </c>
      <c r="M932" s="26" t="n">
        <v>0</v>
      </c>
    </row>
    <row r="933" customFormat="false" ht="15" hidden="false" customHeight="false" outlineLevel="0" collapsed="false">
      <c r="A933" s="7" t="s">
        <v>85</v>
      </c>
      <c r="B933" s="7" t="n">
        <v>4416005</v>
      </c>
      <c r="C933" s="7" t="s">
        <v>552</v>
      </c>
      <c r="D933" s="26" t="n">
        <v>70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91</v>
      </c>
      <c r="J933" s="26" t="n">
        <v>0</v>
      </c>
      <c r="K933" s="26" t="n">
        <v>0</v>
      </c>
      <c r="L933" s="26" t="n">
        <v>0</v>
      </c>
      <c r="M933" s="26" t="n">
        <v>0</v>
      </c>
    </row>
    <row r="934" customFormat="false" ht="15" hidden="false" customHeight="false" outlineLevel="0" collapsed="false">
      <c r="A934" s="7" t="s">
        <v>87</v>
      </c>
      <c r="B934" s="7" t="n">
        <v>4416005</v>
      </c>
      <c r="C934" s="7" t="s">
        <v>552</v>
      </c>
      <c r="D934" s="26" t="n">
        <v>3998.7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4961.3</v>
      </c>
      <c r="J934" s="26" t="n">
        <v>0</v>
      </c>
      <c r="K934" s="26" t="n">
        <v>0</v>
      </c>
      <c r="L934" s="26" t="n">
        <v>0</v>
      </c>
      <c r="M934" s="26" t="n">
        <v>0</v>
      </c>
    </row>
    <row r="935" customFormat="false" ht="15" hidden="false" customHeight="false" outlineLevel="0" collapsed="false">
      <c r="A935" s="7" t="s">
        <v>85</v>
      </c>
      <c r="B935" s="7" t="n">
        <v>4416006</v>
      </c>
      <c r="C935" s="7" t="s">
        <v>553</v>
      </c>
      <c r="D935" s="26" t="n">
        <v>-1</v>
      </c>
      <c r="E935" s="26" t="n">
        <v>0</v>
      </c>
      <c r="F935" s="26" t="n">
        <v>0</v>
      </c>
      <c r="G935" s="26" t="n">
        <v>0</v>
      </c>
      <c r="H935" s="26" t="n">
        <v>-1</v>
      </c>
      <c r="I935" s="26" t="n">
        <v>-2</v>
      </c>
      <c r="J935" s="26" t="n">
        <v>0</v>
      </c>
      <c r="K935" s="26" t="n">
        <v>0</v>
      </c>
      <c r="L935" s="26" t="n">
        <v>0</v>
      </c>
      <c r="M935" s="26" t="n">
        <v>0</v>
      </c>
    </row>
    <row r="936" customFormat="false" ht="15" hidden="false" customHeight="false" outlineLevel="0" collapsed="false">
      <c r="A936" s="7" t="s">
        <v>87</v>
      </c>
      <c r="B936" s="7" t="n">
        <v>4416006</v>
      </c>
      <c r="C936" s="7" t="s">
        <v>553</v>
      </c>
      <c r="D936" s="26" t="n">
        <v>-58.4</v>
      </c>
      <c r="E936" s="26" t="n">
        <v>0</v>
      </c>
      <c r="F936" s="26" t="n">
        <v>0</v>
      </c>
      <c r="G936" s="26" t="n">
        <v>0</v>
      </c>
      <c r="H936" s="26" t="n">
        <v>-48.1</v>
      </c>
      <c r="I936" s="26" t="n">
        <v>-109</v>
      </c>
      <c r="J936" s="26" t="n">
        <v>0</v>
      </c>
      <c r="K936" s="26" t="n">
        <v>0</v>
      </c>
      <c r="L936" s="26" t="n">
        <v>0</v>
      </c>
      <c r="M936" s="26" t="n">
        <v>0</v>
      </c>
    </row>
    <row r="937" customFormat="false" ht="15" hidden="false" customHeight="false" outlineLevel="0" collapsed="false">
      <c r="A937" s="7" t="s">
        <v>85</v>
      </c>
      <c r="B937" s="7" t="n">
        <v>4416011</v>
      </c>
      <c r="C937" s="7" t="s">
        <v>554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0</v>
      </c>
      <c r="J937" s="26" t="n">
        <v>0</v>
      </c>
      <c r="K937" s="26" t="n">
        <v>0</v>
      </c>
      <c r="L937" s="26" t="n">
        <v>0</v>
      </c>
      <c r="M937" s="26" t="n">
        <v>0</v>
      </c>
    </row>
    <row r="938" customFormat="false" ht="15" hidden="false" customHeight="false" outlineLevel="0" collapsed="false">
      <c r="A938" s="7" t="s">
        <v>87</v>
      </c>
      <c r="B938" s="7" t="n">
        <v>4416011</v>
      </c>
      <c r="C938" s="7" t="s">
        <v>554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0</v>
      </c>
      <c r="J938" s="26" t="n">
        <v>0</v>
      </c>
      <c r="K938" s="26" t="n">
        <v>0</v>
      </c>
      <c r="L938" s="26" t="n">
        <v>0</v>
      </c>
      <c r="M938" s="26" t="n">
        <v>0</v>
      </c>
    </row>
    <row r="939" customFormat="false" ht="15" hidden="false" customHeight="false" outlineLevel="0" collapsed="false">
      <c r="A939" s="7" t="s">
        <v>85</v>
      </c>
      <c r="B939" s="7" t="n">
        <v>4416010</v>
      </c>
      <c r="C939" s="7" t="s">
        <v>555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0</v>
      </c>
      <c r="J939" s="26" t="n">
        <v>0</v>
      </c>
      <c r="K939" s="26" t="n">
        <v>0</v>
      </c>
      <c r="L939" s="26" t="n">
        <v>0</v>
      </c>
      <c r="M939" s="26" t="n">
        <v>0</v>
      </c>
    </row>
    <row r="940" customFormat="false" ht="15" hidden="false" customHeight="false" outlineLevel="0" collapsed="false">
      <c r="A940" s="7" t="s">
        <v>87</v>
      </c>
      <c r="B940" s="7" t="n">
        <v>4416010</v>
      </c>
      <c r="C940" s="7" t="s">
        <v>555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0</v>
      </c>
      <c r="J940" s="26" t="n">
        <v>0</v>
      </c>
      <c r="K940" s="26" t="n">
        <v>0</v>
      </c>
      <c r="L940" s="26" t="n">
        <v>0</v>
      </c>
      <c r="M940" s="26" t="n">
        <v>0</v>
      </c>
    </row>
    <row r="941" customFormat="false" ht="15" hidden="false" customHeight="false" outlineLevel="0" collapsed="false">
      <c r="A941" s="7" t="s">
        <v>85</v>
      </c>
      <c r="B941" s="7" t="n">
        <v>4416009</v>
      </c>
      <c r="C941" s="7" t="s">
        <v>556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0</v>
      </c>
      <c r="J941" s="26" t="n">
        <v>0</v>
      </c>
      <c r="K941" s="26" t="n">
        <v>0</v>
      </c>
      <c r="L941" s="26" t="n">
        <v>0</v>
      </c>
      <c r="M941" s="26" t="n">
        <v>0</v>
      </c>
    </row>
    <row r="942" customFormat="false" ht="15" hidden="false" customHeight="false" outlineLevel="0" collapsed="false">
      <c r="A942" s="7" t="s">
        <v>87</v>
      </c>
      <c r="B942" s="7" t="n">
        <v>4416009</v>
      </c>
      <c r="C942" s="7" t="s">
        <v>556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0</v>
      </c>
      <c r="J942" s="26" t="n">
        <v>0</v>
      </c>
      <c r="K942" s="26" t="n">
        <v>0</v>
      </c>
      <c r="L942" s="26" t="n">
        <v>0</v>
      </c>
      <c r="M942" s="26" t="n">
        <v>0</v>
      </c>
    </row>
    <row r="943" customFormat="false" ht="15" hidden="false" customHeight="false" outlineLevel="0" collapsed="false">
      <c r="A943" s="7" t="s">
        <v>85</v>
      </c>
      <c r="B943" s="7" t="n">
        <v>4413033</v>
      </c>
      <c r="C943" s="7" t="s">
        <v>557</v>
      </c>
      <c r="D943" s="26" t="n">
        <v>433</v>
      </c>
      <c r="E943" s="26" t="n">
        <v>5</v>
      </c>
      <c r="F943" s="26" t="n">
        <v>5</v>
      </c>
      <c r="G943" s="26" t="n">
        <v>0</v>
      </c>
      <c r="H943" s="26" t="n">
        <v>2921</v>
      </c>
      <c r="I943" s="26" t="n">
        <v>368</v>
      </c>
      <c r="J943" s="26" t="n">
        <v>0</v>
      </c>
      <c r="K943" s="26" t="n">
        <v>90</v>
      </c>
      <c r="L943" s="26" t="n">
        <v>0</v>
      </c>
      <c r="M943" s="26" t="n">
        <v>0</v>
      </c>
    </row>
    <row r="944" customFormat="false" ht="15" hidden="false" customHeight="false" outlineLevel="0" collapsed="false">
      <c r="A944" s="7" t="s">
        <v>87</v>
      </c>
      <c r="B944" s="7" t="n">
        <v>4413033</v>
      </c>
      <c r="C944" s="7" t="s">
        <v>557</v>
      </c>
      <c r="D944" s="26" t="n">
        <v>7594.1</v>
      </c>
      <c r="E944" s="26" t="n">
        <v>93.5</v>
      </c>
      <c r="F944" s="26" t="n">
        <v>93.5</v>
      </c>
      <c r="G944" s="26" t="n">
        <v>0</v>
      </c>
      <c r="H944" s="26" t="n">
        <v>39494</v>
      </c>
      <c r="I944" s="26" t="n">
        <v>4909.2</v>
      </c>
      <c r="J944" s="26" t="n">
        <v>0</v>
      </c>
      <c r="K944" s="26" t="n">
        <v>837.1</v>
      </c>
      <c r="L944" s="26" t="n">
        <v>0</v>
      </c>
      <c r="M944" s="26" t="n">
        <v>0</v>
      </c>
    </row>
    <row r="945" customFormat="false" ht="15" hidden="false" customHeight="false" outlineLevel="0" collapsed="false">
      <c r="A945" s="7" t="s">
        <v>85</v>
      </c>
      <c r="B945" s="7" t="n">
        <v>4413034</v>
      </c>
      <c r="C945" s="7" t="s">
        <v>558</v>
      </c>
      <c r="D945" s="26" t="n">
        <v>56</v>
      </c>
      <c r="E945" s="26" t="n">
        <v>0</v>
      </c>
      <c r="F945" s="26" t="n">
        <v>3</v>
      </c>
      <c r="G945" s="26" t="n">
        <v>0</v>
      </c>
      <c r="H945" s="26" t="n">
        <v>102</v>
      </c>
      <c r="I945" s="26" t="n">
        <v>38</v>
      </c>
      <c r="J945" s="26" t="n">
        <v>0</v>
      </c>
      <c r="K945" s="26" t="n">
        <v>43</v>
      </c>
      <c r="L945" s="26" t="n">
        <v>0</v>
      </c>
      <c r="M945" s="26" t="n">
        <v>0</v>
      </c>
    </row>
    <row r="946" customFormat="false" ht="15" hidden="false" customHeight="false" outlineLevel="0" collapsed="false">
      <c r="A946" s="7" t="s">
        <v>87</v>
      </c>
      <c r="B946" s="7" t="n">
        <v>4413034</v>
      </c>
      <c r="C946" s="7" t="s">
        <v>558</v>
      </c>
      <c r="D946" s="26" t="n">
        <v>1140.9</v>
      </c>
      <c r="E946" s="26" t="n">
        <v>0</v>
      </c>
      <c r="F946" s="26" t="n">
        <v>65.9</v>
      </c>
      <c r="G946" s="26" t="n">
        <v>0</v>
      </c>
      <c r="H946" s="26" t="n">
        <v>2001.2</v>
      </c>
      <c r="I946" s="26" t="n">
        <v>795</v>
      </c>
      <c r="J946" s="26" t="n">
        <v>0</v>
      </c>
      <c r="K946" s="26" t="n">
        <v>556.9</v>
      </c>
      <c r="L946" s="26" t="n">
        <v>0</v>
      </c>
      <c r="M946" s="26" t="n">
        <v>0</v>
      </c>
    </row>
    <row r="947" customFormat="false" ht="15" hidden="false" customHeight="false" outlineLevel="0" collapsed="false">
      <c r="A947" s="7" t="s">
        <v>85</v>
      </c>
      <c r="B947" s="7" t="n">
        <v>4415297</v>
      </c>
      <c r="C947" s="7" t="s">
        <v>559</v>
      </c>
      <c r="D947" s="26" t="n">
        <v>107</v>
      </c>
      <c r="E947" s="26" t="n">
        <v>0</v>
      </c>
      <c r="F947" s="26" t="n">
        <v>3</v>
      </c>
      <c r="G947" s="26" t="n">
        <v>0</v>
      </c>
      <c r="H947" s="26" t="n">
        <v>-3</v>
      </c>
      <c r="I947" s="26" t="n">
        <v>0</v>
      </c>
      <c r="J947" s="26" t="n">
        <v>0</v>
      </c>
      <c r="K947" s="26" t="n">
        <v>0</v>
      </c>
      <c r="L947" s="26" t="n">
        <v>0</v>
      </c>
      <c r="M947" s="26" t="n">
        <v>0</v>
      </c>
    </row>
    <row r="948" customFormat="false" ht="15" hidden="false" customHeight="false" outlineLevel="0" collapsed="false">
      <c r="A948" s="7" t="s">
        <v>87</v>
      </c>
      <c r="B948" s="7" t="n">
        <v>4415297</v>
      </c>
      <c r="C948" s="7" t="s">
        <v>559</v>
      </c>
      <c r="D948" s="26" t="n">
        <v>2367.8</v>
      </c>
      <c r="E948" s="26" t="n">
        <v>0</v>
      </c>
      <c r="F948" s="26" t="n">
        <v>71.6</v>
      </c>
      <c r="G948" s="26" t="n">
        <v>0</v>
      </c>
      <c r="H948" s="26" t="n">
        <v>-58.3</v>
      </c>
      <c r="I948" s="26" t="n">
        <v>0</v>
      </c>
      <c r="J948" s="26" t="n">
        <v>0</v>
      </c>
      <c r="K948" s="26" t="n">
        <v>0</v>
      </c>
      <c r="L948" s="26" t="n">
        <v>0</v>
      </c>
      <c r="M948" s="26" t="n">
        <v>0</v>
      </c>
    </row>
    <row r="949" customFormat="false" ht="15" hidden="false" customHeight="false" outlineLevel="0" collapsed="false">
      <c r="A949" s="7" t="s">
        <v>85</v>
      </c>
      <c r="B949" s="7" t="n">
        <v>4402007</v>
      </c>
      <c r="C949" s="7" t="s">
        <v>560</v>
      </c>
      <c r="D949" s="26" t="n">
        <v>208</v>
      </c>
      <c r="E949" s="26" t="n">
        <v>8</v>
      </c>
      <c r="F949" s="26" t="n">
        <v>6</v>
      </c>
      <c r="G949" s="26" t="n">
        <v>3</v>
      </c>
      <c r="H949" s="26" t="n">
        <v>1338</v>
      </c>
      <c r="I949" s="26" t="n">
        <v>40</v>
      </c>
      <c r="J949" s="26" t="n">
        <v>0</v>
      </c>
      <c r="K949" s="26" t="n">
        <v>78</v>
      </c>
      <c r="L949" s="26" t="n">
        <v>0</v>
      </c>
      <c r="M949" s="26" t="n">
        <v>-3</v>
      </c>
    </row>
    <row r="950" customFormat="false" ht="15" hidden="false" customHeight="false" outlineLevel="0" collapsed="false">
      <c r="A950" s="7" t="s">
        <v>87</v>
      </c>
      <c r="B950" s="7" t="n">
        <v>4402007</v>
      </c>
      <c r="C950" s="7" t="s">
        <v>560</v>
      </c>
      <c r="D950" s="26" t="n">
        <v>3827.3</v>
      </c>
      <c r="E950" s="26" t="n">
        <v>157.1</v>
      </c>
      <c r="F950" s="26" t="n">
        <v>117.8</v>
      </c>
      <c r="G950" s="26" t="n">
        <v>51.1</v>
      </c>
      <c r="H950" s="26" t="n">
        <v>24012.8</v>
      </c>
      <c r="I950" s="26" t="n">
        <v>766.8</v>
      </c>
      <c r="J950" s="26" t="n">
        <v>0</v>
      </c>
      <c r="K950" s="26" t="n">
        <v>939.1</v>
      </c>
      <c r="L950" s="26" t="n">
        <v>0</v>
      </c>
      <c r="M950" s="26" t="n">
        <v>-78.6</v>
      </c>
    </row>
    <row r="951" customFormat="false" ht="15" hidden="false" customHeight="false" outlineLevel="0" collapsed="false">
      <c r="A951" s="7" t="s">
        <v>85</v>
      </c>
      <c r="B951" s="7" t="n">
        <v>4421001</v>
      </c>
      <c r="C951" s="7" t="s">
        <v>561</v>
      </c>
      <c r="D951" s="26" t="n">
        <v>90</v>
      </c>
      <c r="E951" s="26" t="n">
        <v>0</v>
      </c>
      <c r="F951" s="26" t="n">
        <v>2</v>
      </c>
      <c r="G951" s="26" t="n">
        <v>0</v>
      </c>
      <c r="H951" s="26" t="n">
        <v>727</v>
      </c>
      <c r="I951" s="26" t="n">
        <v>43</v>
      </c>
      <c r="J951" s="26" t="n">
        <v>0</v>
      </c>
      <c r="K951" s="26" t="n">
        <v>47</v>
      </c>
      <c r="L951" s="26" t="n">
        <v>0</v>
      </c>
      <c r="M951" s="26" t="n">
        <v>0</v>
      </c>
    </row>
    <row r="952" customFormat="false" ht="15" hidden="false" customHeight="false" outlineLevel="0" collapsed="false">
      <c r="A952" s="7" t="s">
        <v>87</v>
      </c>
      <c r="B952" s="7" t="n">
        <v>4421001</v>
      </c>
      <c r="C952" s="7" t="s">
        <v>561</v>
      </c>
      <c r="D952" s="26" t="n">
        <v>5284.9</v>
      </c>
      <c r="E952" s="26" t="n">
        <v>0</v>
      </c>
      <c r="F952" s="26" t="n">
        <v>121.8</v>
      </c>
      <c r="G952" s="26" t="n">
        <v>0</v>
      </c>
      <c r="H952" s="26" t="n">
        <v>37869.6</v>
      </c>
      <c r="I952" s="26" t="n">
        <v>2408</v>
      </c>
      <c r="J952" s="26" t="n">
        <v>0</v>
      </c>
      <c r="K952" s="26" t="n">
        <v>1823.1</v>
      </c>
      <c r="L952" s="26" t="n">
        <v>0</v>
      </c>
      <c r="M952" s="26" t="n">
        <v>0</v>
      </c>
    </row>
    <row r="953" customFormat="false" ht="15" hidden="false" customHeight="false" outlineLevel="0" collapsed="false">
      <c r="A953" s="7" t="s">
        <v>85</v>
      </c>
      <c r="B953" s="7" t="n">
        <v>4413058</v>
      </c>
      <c r="C953" s="7" t="s">
        <v>562</v>
      </c>
      <c r="D953" s="26" t="n">
        <v>80</v>
      </c>
      <c r="E953" s="26" t="n">
        <v>0</v>
      </c>
      <c r="F953" s="26" t="n">
        <v>3</v>
      </c>
      <c r="G953" s="26" t="n">
        <v>0</v>
      </c>
      <c r="H953" s="26" t="n">
        <v>410</v>
      </c>
      <c r="I953" s="26" t="n">
        <v>47</v>
      </c>
      <c r="J953" s="26" t="n">
        <v>0</v>
      </c>
      <c r="K953" s="26" t="n">
        <v>36</v>
      </c>
      <c r="L953" s="26" t="n">
        <v>0</v>
      </c>
      <c r="M953" s="26" t="n">
        <v>0</v>
      </c>
    </row>
    <row r="954" customFormat="false" ht="15" hidden="false" customHeight="false" outlineLevel="0" collapsed="false">
      <c r="A954" s="7" t="s">
        <v>87</v>
      </c>
      <c r="B954" s="7" t="n">
        <v>4413058</v>
      </c>
      <c r="C954" s="7" t="s">
        <v>562</v>
      </c>
      <c r="D954" s="26" t="n">
        <v>2397.1</v>
      </c>
      <c r="E954" s="26" t="n">
        <v>0</v>
      </c>
      <c r="F954" s="26" t="n">
        <v>98.3</v>
      </c>
      <c r="G954" s="26" t="n">
        <v>0</v>
      </c>
      <c r="H954" s="26" t="n">
        <v>11065.3</v>
      </c>
      <c r="I954" s="26" t="n">
        <v>1357.1</v>
      </c>
      <c r="J954" s="26" t="n">
        <v>0</v>
      </c>
      <c r="K954" s="26" t="n">
        <v>795.6</v>
      </c>
      <c r="L954" s="26" t="n">
        <v>0</v>
      </c>
      <c r="M954" s="26" t="n">
        <v>0</v>
      </c>
    </row>
    <row r="955" customFormat="false" ht="15" hidden="false" customHeight="false" outlineLevel="0" collapsed="false">
      <c r="A955" s="7" t="s">
        <v>85</v>
      </c>
      <c r="B955" s="7" t="n">
        <v>4411001</v>
      </c>
      <c r="C955" s="7" t="s">
        <v>563</v>
      </c>
      <c r="D955" s="26" t="n">
        <v>133</v>
      </c>
      <c r="E955" s="26" t="n">
        <v>2</v>
      </c>
      <c r="F955" s="26" t="n">
        <v>1</v>
      </c>
      <c r="G955" s="26" t="n">
        <v>0</v>
      </c>
      <c r="H955" s="26" t="n">
        <v>178</v>
      </c>
      <c r="I955" s="26" t="n">
        <v>81</v>
      </c>
      <c r="J955" s="26" t="n">
        <v>0</v>
      </c>
      <c r="K955" s="26" t="n">
        <v>57</v>
      </c>
      <c r="L955" s="26" t="n">
        <v>0</v>
      </c>
      <c r="M955" s="26" t="n">
        <v>0</v>
      </c>
    </row>
    <row r="956" customFormat="false" ht="15" hidden="false" customHeight="false" outlineLevel="0" collapsed="false">
      <c r="A956" s="7" t="s">
        <v>87</v>
      </c>
      <c r="B956" s="7" t="n">
        <v>4411001</v>
      </c>
      <c r="C956" s="7" t="s">
        <v>563</v>
      </c>
      <c r="D956" s="26" t="n">
        <v>3553.3</v>
      </c>
      <c r="E956" s="26" t="n">
        <v>57.1</v>
      </c>
      <c r="F956" s="26" t="n">
        <v>28.5</v>
      </c>
      <c r="G956" s="26" t="n">
        <v>0</v>
      </c>
      <c r="H956" s="26" t="n">
        <v>4321.5</v>
      </c>
      <c r="I956" s="26" t="n">
        <v>2128.2</v>
      </c>
      <c r="J956" s="26" t="n">
        <v>0</v>
      </c>
      <c r="K956" s="26" t="n">
        <v>1095.6</v>
      </c>
      <c r="L956" s="26" t="n">
        <v>0</v>
      </c>
      <c r="M956" s="26" t="n">
        <v>0</v>
      </c>
    </row>
    <row r="957" customFormat="false" ht="15" hidden="false" customHeight="false" outlineLevel="0" collapsed="false">
      <c r="A957" s="7" t="s">
        <v>85</v>
      </c>
      <c r="B957" s="7" t="n">
        <v>4402000</v>
      </c>
      <c r="C957" s="7" t="s">
        <v>564</v>
      </c>
      <c r="D957" s="26" t="n">
        <v>105</v>
      </c>
      <c r="E957" s="26" t="n">
        <v>0</v>
      </c>
      <c r="F957" s="26" t="n">
        <v>0</v>
      </c>
      <c r="G957" s="26" t="n">
        <v>0</v>
      </c>
      <c r="H957" s="26" t="n">
        <v>106</v>
      </c>
      <c r="I957" s="26" t="n">
        <v>24</v>
      </c>
      <c r="J957" s="26" t="n">
        <v>0</v>
      </c>
      <c r="K957" s="26" t="n">
        <v>41</v>
      </c>
      <c r="L957" s="26" t="n">
        <v>0</v>
      </c>
      <c r="M957" s="26" t="n">
        <v>0</v>
      </c>
    </row>
    <row r="958" customFormat="false" ht="15" hidden="false" customHeight="false" outlineLevel="0" collapsed="false">
      <c r="A958" s="7" t="s">
        <v>87</v>
      </c>
      <c r="B958" s="7" t="n">
        <v>4402000</v>
      </c>
      <c r="C958" s="7" t="s">
        <v>564</v>
      </c>
      <c r="D958" s="26" t="n">
        <v>2749.1</v>
      </c>
      <c r="E958" s="26" t="n">
        <v>0</v>
      </c>
      <c r="F958" s="26" t="n">
        <v>0</v>
      </c>
      <c r="G958" s="26" t="n">
        <v>0</v>
      </c>
      <c r="H958" s="26" t="n">
        <v>2345.9</v>
      </c>
      <c r="I958" s="26" t="n">
        <v>565.9</v>
      </c>
      <c r="J958" s="26" t="n">
        <v>0</v>
      </c>
      <c r="K958" s="26" t="n">
        <v>668</v>
      </c>
      <c r="L958" s="26" t="n">
        <v>0</v>
      </c>
      <c r="M958" s="26" t="n">
        <v>0</v>
      </c>
    </row>
    <row r="959" customFormat="false" ht="15" hidden="false" customHeight="false" outlineLevel="0" collapsed="false">
      <c r="A959" s="7" t="s">
        <v>85</v>
      </c>
      <c r="B959" s="7" t="n">
        <v>4413060</v>
      </c>
      <c r="C959" s="7" t="s">
        <v>565</v>
      </c>
      <c r="D959" s="26" t="n">
        <v>432</v>
      </c>
      <c r="E959" s="26" t="n">
        <v>0</v>
      </c>
      <c r="F959" s="26" t="n">
        <v>6</v>
      </c>
      <c r="G959" s="26" t="n">
        <v>0</v>
      </c>
      <c r="H959" s="26" t="n">
        <v>-2</v>
      </c>
      <c r="I959" s="26" t="n">
        <v>217</v>
      </c>
      <c r="J959" s="26" t="n">
        <v>0</v>
      </c>
      <c r="K959" s="26" t="n">
        <v>136</v>
      </c>
      <c r="L959" s="26" t="n">
        <v>0</v>
      </c>
      <c r="M959" s="26" t="n">
        <v>0</v>
      </c>
    </row>
    <row r="960" customFormat="false" ht="15" hidden="false" customHeight="false" outlineLevel="0" collapsed="false">
      <c r="A960" s="7" t="s">
        <v>87</v>
      </c>
      <c r="B960" s="7" t="n">
        <v>4413060</v>
      </c>
      <c r="C960" s="7" t="s">
        <v>565</v>
      </c>
      <c r="D960" s="26" t="n">
        <v>5901.2</v>
      </c>
      <c r="E960" s="26" t="n">
        <v>0</v>
      </c>
      <c r="F960" s="26" t="n">
        <v>86.9</v>
      </c>
      <c r="G960" s="26" t="n">
        <v>0</v>
      </c>
      <c r="H960" s="26" t="n">
        <v>-25.1</v>
      </c>
      <c r="I960" s="26" t="n">
        <v>2943.7</v>
      </c>
      <c r="J960" s="26" t="n">
        <v>0</v>
      </c>
      <c r="K960" s="26" t="n">
        <v>1201.7</v>
      </c>
      <c r="L960" s="26" t="n">
        <v>0</v>
      </c>
      <c r="M960" s="26" t="n">
        <v>0</v>
      </c>
    </row>
    <row r="961" customFormat="false" ht="15" hidden="false" customHeight="false" outlineLevel="0" collapsed="false">
      <c r="A961" s="7" t="s">
        <v>85</v>
      </c>
      <c r="B961" s="7" t="n">
        <v>4413061</v>
      </c>
      <c r="C961" s="7" t="s">
        <v>566</v>
      </c>
      <c r="D961" s="26" t="n">
        <v>46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25</v>
      </c>
      <c r="J961" s="26" t="n">
        <v>0</v>
      </c>
      <c r="K961" s="26" t="n">
        <v>0</v>
      </c>
      <c r="L961" s="26" t="n">
        <v>0</v>
      </c>
      <c r="M961" s="26" t="n">
        <v>0</v>
      </c>
    </row>
    <row r="962" customFormat="false" ht="15" hidden="false" customHeight="false" outlineLevel="0" collapsed="false">
      <c r="A962" s="7" t="s">
        <v>87</v>
      </c>
      <c r="B962" s="7" t="n">
        <v>4413061</v>
      </c>
      <c r="C962" s="7" t="s">
        <v>566</v>
      </c>
      <c r="D962" s="26" t="n">
        <v>913.3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493.6</v>
      </c>
      <c r="J962" s="26" t="n">
        <v>0</v>
      </c>
      <c r="K962" s="26" t="n">
        <v>0</v>
      </c>
      <c r="L962" s="26" t="n">
        <v>0</v>
      </c>
      <c r="M962" s="26" t="n">
        <v>0</v>
      </c>
    </row>
    <row r="963" customFormat="false" ht="15" hidden="false" customHeight="false" outlineLevel="0" collapsed="false">
      <c r="A963" s="7" t="s">
        <v>85</v>
      </c>
      <c r="B963" s="7" t="n">
        <v>4413059</v>
      </c>
      <c r="C963" s="7" t="s">
        <v>567</v>
      </c>
      <c r="D963" s="26" t="n">
        <v>623</v>
      </c>
      <c r="E963" s="26" t="n">
        <v>3</v>
      </c>
      <c r="F963" s="26" t="n">
        <v>19</v>
      </c>
      <c r="G963" s="26" t="n">
        <v>18</v>
      </c>
      <c r="H963" s="26" t="n">
        <v>0</v>
      </c>
      <c r="I963" s="26" t="n">
        <v>523</v>
      </c>
      <c r="J963" s="26" t="n">
        <v>0</v>
      </c>
      <c r="K963" s="26" t="n">
        <v>183</v>
      </c>
      <c r="L963" s="26" t="n">
        <v>0</v>
      </c>
      <c r="M963" s="26" t="n">
        <v>0</v>
      </c>
    </row>
    <row r="964" customFormat="false" ht="15" hidden="false" customHeight="false" outlineLevel="0" collapsed="false">
      <c r="A964" s="7" t="s">
        <v>87</v>
      </c>
      <c r="B964" s="7" t="n">
        <v>4413059</v>
      </c>
      <c r="C964" s="7" t="s">
        <v>567</v>
      </c>
      <c r="D964" s="26" t="n">
        <v>8539.8</v>
      </c>
      <c r="E964" s="26" t="n">
        <v>43.4</v>
      </c>
      <c r="F964" s="26" t="n">
        <v>275.1</v>
      </c>
      <c r="G964" s="26" t="n">
        <v>225.9</v>
      </c>
      <c r="H964" s="26" t="n">
        <v>0</v>
      </c>
      <c r="I964" s="26" t="n">
        <v>7090.8</v>
      </c>
      <c r="J964" s="26" t="n">
        <v>0</v>
      </c>
      <c r="K964" s="26" t="n">
        <v>1582.1</v>
      </c>
      <c r="L964" s="26" t="n">
        <v>0</v>
      </c>
      <c r="M964" s="26" t="n">
        <v>0</v>
      </c>
    </row>
    <row r="965" customFormat="false" ht="15" hidden="false" customHeight="false" outlineLevel="0" collapsed="false">
      <c r="A965" s="7" t="s">
        <v>85</v>
      </c>
      <c r="B965" s="7" t="n">
        <v>4409001</v>
      </c>
      <c r="C965" s="7" t="s">
        <v>568</v>
      </c>
      <c r="D965" s="26" t="n">
        <v>134</v>
      </c>
      <c r="E965" s="26" t="n">
        <v>0</v>
      </c>
      <c r="F965" s="26" t="n">
        <v>9</v>
      </c>
      <c r="G965" s="26" t="n">
        <v>0</v>
      </c>
      <c r="H965" s="26" t="n">
        <v>134</v>
      </c>
      <c r="I965" s="26" t="n">
        <v>75</v>
      </c>
      <c r="J965" s="26" t="n">
        <v>0</v>
      </c>
      <c r="K965" s="26" t="n">
        <v>26</v>
      </c>
      <c r="L965" s="26" t="n">
        <v>0</v>
      </c>
      <c r="M965" s="26" t="n">
        <v>-3</v>
      </c>
    </row>
    <row r="966" customFormat="false" ht="15" hidden="false" customHeight="false" outlineLevel="0" collapsed="false">
      <c r="A966" s="7" t="s">
        <v>87</v>
      </c>
      <c r="B966" s="7" t="n">
        <v>4409001</v>
      </c>
      <c r="C966" s="7" t="s">
        <v>568</v>
      </c>
      <c r="D966" s="26" t="n">
        <v>1728.6</v>
      </c>
      <c r="E966" s="26" t="n">
        <v>0</v>
      </c>
      <c r="F966" s="26" t="n">
        <v>126.2</v>
      </c>
      <c r="G966" s="26" t="n">
        <v>0</v>
      </c>
      <c r="H966" s="26" t="n">
        <v>1413.2</v>
      </c>
      <c r="I966" s="26" t="n">
        <v>840</v>
      </c>
      <c r="J966" s="26" t="n">
        <v>0</v>
      </c>
      <c r="K966" s="26" t="n">
        <v>200</v>
      </c>
      <c r="L966" s="26" t="n">
        <v>0</v>
      </c>
      <c r="M966" s="26" t="n">
        <v>-56.1</v>
      </c>
    </row>
    <row r="967" customFormat="false" ht="15" hidden="false" customHeight="false" outlineLevel="0" collapsed="false">
      <c r="A967" s="7" t="s">
        <v>85</v>
      </c>
      <c r="B967" s="7" t="n">
        <v>4409000</v>
      </c>
      <c r="C967" s="7" t="s">
        <v>569</v>
      </c>
      <c r="D967" s="26" t="n">
        <v>325</v>
      </c>
      <c r="E967" s="26" t="n">
        <v>0</v>
      </c>
      <c r="F967" s="26" t="n">
        <v>12</v>
      </c>
      <c r="G967" s="26" t="n">
        <v>0</v>
      </c>
      <c r="H967" s="26" t="n">
        <v>-2</v>
      </c>
      <c r="I967" s="26" t="n">
        <v>101</v>
      </c>
      <c r="J967" s="26" t="n">
        <v>0</v>
      </c>
      <c r="K967" s="26" t="n">
        <v>138</v>
      </c>
      <c r="L967" s="26" t="n">
        <v>0</v>
      </c>
      <c r="M967" s="26" t="n">
        <v>0</v>
      </c>
    </row>
    <row r="968" customFormat="false" ht="15" hidden="false" customHeight="false" outlineLevel="0" collapsed="false">
      <c r="A968" s="7" t="s">
        <v>87</v>
      </c>
      <c r="B968" s="7" t="n">
        <v>4409000</v>
      </c>
      <c r="C968" s="7" t="s">
        <v>569</v>
      </c>
      <c r="D968" s="26" t="n">
        <v>4398.9</v>
      </c>
      <c r="E968" s="26" t="n">
        <v>0</v>
      </c>
      <c r="F968" s="26" t="n">
        <v>173.8</v>
      </c>
      <c r="G968" s="26" t="n">
        <v>0</v>
      </c>
      <c r="H968" s="26" t="n">
        <v>-23.1</v>
      </c>
      <c r="I968" s="26" t="n">
        <v>1328.3</v>
      </c>
      <c r="J968" s="26" t="n">
        <v>0</v>
      </c>
      <c r="K968" s="26" t="n">
        <v>1250.1</v>
      </c>
      <c r="L968" s="26" t="n">
        <v>0</v>
      </c>
      <c r="M968" s="26" t="n">
        <v>0</v>
      </c>
    </row>
    <row r="969" customFormat="false" ht="15" hidden="false" customHeight="false" outlineLevel="0" collapsed="false">
      <c r="A969" s="7" t="s">
        <v>85</v>
      </c>
      <c r="B969" s="7" t="n">
        <v>4421000</v>
      </c>
      <c r="C969" s="7" t="s">
        <v>570</v>
      </c>
      <c r="D969" s="26" t="n">
        <v>1054</v>
      </c>
      <c r="E969" s="26" t="n">
        <v>3</v>
      </c>
      <c r="F969" s="26" t="n">
        <v>18</v>
      </c>
      <c r="G969" s="26" t="n">
        <v>0</v>
      </c>
      <c r="H969" s="26" t="n">
        <v>0</v>
      </c>
      <c r="I969" s="26" t="n">
        <v>617</v>
      </c>
      <c r="J969" s="26" t="n">
        <v>0</v>
      </c>
      <c r="K969" s="26" t="n">
        <v>298</v>
      </c>
      <c r="L969" s="26" t="n">
        <v>0</v>
      </c>
      <c r="M969" s="26" t="n">
        <v>-3</v>
      </c>
    </row>
    <row r="970" customFormat="false" ht="15" hidden="false" customHeight="false" outlineLevel="0" collapsed="false">
      <c r="A970" s="7" t="s">
        <v>87</v>
      </c>
      <c r="B970" s="7" t="n">
        <v>4421000</v>
      </c>
      <c r="C970" s="7" t="s">
        <v>570</v>
      </c>
      <c r="D970" s="26" t="n">
        <v>18697.4</v>
      </c>
      <c r="E970" s="26" t="n">
        <v>56.1</v>
      </c>
      <c r="F970" s="26" t="n">
        <v>336.7</v>
      </c>
      <c r="G970" s="26" t="n">
        <v>0</v>
      </c>
      <c r="H970" s="26" t="n">
        <v>0</v>
      </c>
      <c r="I970" s="26" t="n">
        <v>10390.5</v>
      </c>
      <c r="J970" s="26" t="n">
        <v>0</v>
      </c>
      <c r="K970" s="26" t="n">
        <v>3483.4</v>
      </c>
      <c r="L970" s="26" t="n">
        <v>0</v>
      </c>
      <c r="M970" s="26" t="n">
        <v>-74.8</v>
      </c>
    </row>
    <row r="971" customFormat="false" ht="15" hidden="false" customHeight="false" outlineLevel="0" collapsed="false">
      <c r="A971" s="7" t="s">
        <v>85</v>
      </c>
      <c r="B971" s="7" t="n">
        <v>4413340</v>
      </c>
      <c r="C971" s="7" t="s">
        <v>571</v>
      </c>
      <c r="D971" s="26" t="n">
        <v>20</v>
      </c>
      <c r="E971" s="26" t="n">
        <v>0</v>
      </c>
      <c r="F971" s="26" t="n">
        <v>0</v>
      </c>
      <c r="G971" s="26" t="n">
        <v>0</v>
      </c>
      <c r="H971" s="26" t="n">
        <v>58</v>
      </c>
      <c r="I971" s="26" t="n">
        <v>8</v>
      </c>
      <c r="J971" s="26" t="n">
        <v>0</v>
      </c>
      <c r="K971" s="26" t="n">
        <v>16</v>
      </c>
      <c r="L971" s="26" t="n">
        <v>0</v>
      </c>
      <c r="M971" s="26" t="n">
        <v>0</v>
      </c>
    </row>
    <row r="972" customFormat="false" ht="15" hidden="false" customHeight="false" outlineLevel="0" collapsed="false">
      <c r="A972" s="7" t="s">
        <v>87</v>
      </c>
      <c r="B972" s="7" t="n">
        <v>4413340</v>
      </c>
      <c r="C972" s="7" t="s">
        <v>571</v>
      </c>
      <c r="D972" s="26" t="n">
        <v>1261.5</v>
      </c>
      <c r="E972" s="26" t="n">
        <v>0</v>
      </c>
      <c r="F972" s="26" t="n">
        <v>0</v>
      </c>
      <c r="G972" s="26" t="n">
        <v>0</v>
      </c>
      <c r="H972" s="26" t="n">
        <v>2510.7</v>
      </c>
      <c r="I972" s="26" t="n">
        <v>349.6</v>
      </c>
      <c r="J972" s="26" t="n">
        <v>0</v>
      </c>
      <c r="K972" s="26" t="n">
        <v>619.2</v>
      </c>
      <c r="L972" s="26" t="n">
        <v>0</v>
      </c>
      <c r="M972" s="26" t="n">
        <v>0</v>
      </c>
    </row>
    <row r="973" customFormat="false" ht="15" hidden="false" customHeight="false" outlineLevel="0" collapsed="false">
      <c r="A973" s="7" t="s">
        <v>85</v>
      </c>
      <c r="B973" s="7" t="n">
        <v>4413063</v>
      </c>
      <c r="C973" s="7" t="s">
        <v>572</v>
      </c>
      <c r="D973" s="26" t="n">
        <v>178</v>
      </c>
      <c r="E973" s="26" t="n">
        <v>0</v>
      </c>
      <c r="F973" s="26" t="n">
        <v>6</v>
      </c>
      <c r="G973" s="26" t="n">
        <v>4</v>
      </c>
      <c r="H973" s="26" t="n">
        <v>0</v>
      </c>
      <c r="I973" s="26" t="n">
        <v>67</v>
      </c>
      <c r="J973" s="26" t="n">
        <v>0</v>
      </c>
      <c r="K973" s="26" t="n">
        <v>75</v>
      </c>
      <c r="L973" s="26" t="n">
        <v>0</v>
      </c>
      <c r="M973" s="26" t="n">
        <v>-3</v>
      </c>
    </row>
    <row r="974" customFormat="false" ht="15" hidden="false" customHeight="false" outlineLevel="0" collapsed="false">
      <c r="A974" s="7" t="s">
        <v>87</v>
      </c>
      <c r="B974" s="7" t="n">
        <v>4413063</v>
      </c>
      <c r="C974" s="7" t="s">
        <v>572</v>
      </c>
      <c r="D974" s="26" t="n">
        <v>2729.8</v>
      </c>
      <c r="E974" s="26" t="n">
        <v>0</v>
      </c>
      <c r="F974" s="26" t="n">
        <v>100.9</v>
      </c>
      <c r="G974" s="26" t="n">
        <v>58.3</v>
      </c>
      <c r="H974" s="26" t="n">
        <v>0</v>
      </c>
      <c r="I974" s="26" t="n">
        <v>891.2</v>
      </c>
      <c r="J974" s="26" t="n">
        <v>0</v>
      </c>
      <c r="K974" s="26" t="n">
        <v>801.6</v>
      </c>
      <c r="L974" s="26" t="n">
        <v>0</v>
      </c>
      <c r="M974" s="26" t="n">
        <v>-67.3</v>
      </c>
    </row>
    <row r="975" customFormat="false" ht="15" hidden="false" customHeight="false" outlineLevel="0" collapsed="false">
      <c r="A975" s="7" t="s">
        <v>85</v>
      </c>
      <c r="B975" s="7" t="n">
        <v>4421003</v>
      </c>
      <c r="C975" s="7" t="s">
        <v>573</v>
      </c>
      <c r="D975" s="26" t="n">
        <v>77</v>
      </c>
      <c r="E975" s="26" t="n">
        <v>0</v>
      </c>
      <c r="F975" s="26" t="n">
        <v>0</v>
      </c>
      <c r="G975" s="26" t="n">
        <v>0</v>
      </c>
      <c r="H975" s="26" t="n">
        <v>654</v>
      </c>
      <c r="I975" s="26" t="n">
        <v>30</v>
      </c>
      <c r="J975" s="26" t="n">
        <v>0</v>
      </c>
      <c r="K975" s="26" t="n">
        <v>0</v>
      </c>
      <c r="L975" s="26" t="n">
        <v>0</v>
      </c>
      <c r="M975" s="26" t="n">
        <v>0</v>
      </c>
    </row>
    <row r="976" customFormat="false" ht="15" hidden="false" customHeight="false" outlineLevel="0" collapsed="false">
      <c r="A976" s="7" t="s">
        <v>87</v>
      </c>
      <c r="B976" s="7" t="n">
        <v>4421003</v>
      </c>
      <c r="C976" s="7" t="s">
        <v>573</v>
      </c>
      <c r="D976" s="26" t="n">
        <v>2765</v>
      </c>
      <c r="E976" s="26" t="n">
        <v>0</v>
      </c>
      <c r="F976" s="26" t="n">
        <v>0</v>
      </c>
      <c r="G976" s="26" t="n">
        <v>0</v>
      </c>
      <c r="H976" s="26" t="n">
        <v>19238.7</v>
      </c>
      <c r="I976" s="26" t="n">
        <v>877.1</v>
      </c>
      <c r="J976" s="26" t="n">
        <v>0</v>
      </c>
      <c r="K976" s="26" t="n">
        <v>0</v>
      </c>
      <c r="L976" s="26" t="n">
        <v>0</v>
      </c>
      <c r="M976" s="26" t="n">
        <v>0</v>
      </c>
    </row>
    <row r="977" customFormat="false" ht="15" hidden="false" customHeight="false" outlineLevel="0" collapsed="false">
      <c r="A977" s="7" t="s">
        <v>85</v>
      </c>
      <c r="B977" s="7" t="n">
        <v>4413370</v>
      </c>
      <c r="C977" s="7" t="s">
        <v>574</v>
      </c>
      <c r="D977" s="26" t="n">
        <v>177</v>
      </c>
      <c r="E977" s="26" t="n">
        <v>2</v>
      </c>
      <c r="F977" s="26" t="n">
        <v>0</v>
      </c>
      <c r="G977" s="26" t="n">
        <v>0</v>
      </c>
      <c r="H977" s="26" t="n">
        <v>1424</v>
      </c>
      <c r="I977" s="26" t="n">
        <v>70</v>
      </c>
      <c r="J977" s="26" t="n">
        <v>0</v>
      </c>
      <c r="K977" s="26" t="n">
        <v>81</v>
      </c>
      <c r="L977" s="26" t="n">
        <v>0</v>
      </c>
      <c r="M977" s="26" t="n">
        <v>0</v>
      </c>
    </row>
    <row r="978" customFormat="false" ht="15" hidden="false" customHeight="false" outlineLevel="0" collapsed="false">
      <c r="A978" s="7" t="s">
        <v>87</v>
      </c>
      <c r="B978" s="7" t="n">
        <v>4413370</v>
      </c>
      <c r="C978" s="7" t="s">
        <v>574</v>
      </c>
      <c r="D978" s="26" t="n">
        <v>6811.3</v>
      </c>
      <c r="E978" s="26" t="n">
        <v>80.5</v>
      </c>
      <c r="F978" s="26" t="n">
        <v>0</v>
      </c>
      <c r="G978" s="26" t="n">
        <v>0</v>
      </c>
      <c r="H978" s="26" t="n">
        <v>49221.9</v>
      </c>
      <c r="I978" s="26" t="n">
        <v>2618</v>
      </c>
      <c r="J978" s="26" t="n">
        <v>0</v>
      </c>
      <c r="K978" s="26" t="n">
        <v>2231.6</v>
      </c>
      <c r="L978" s="26" t="n">
        <v>0</v>
      </c>
      <c r="M978" s="26" t="n">
        <v>0</v>
      </c>
    </row>
    <row r="979" customFormat="false" ht="15" hidden="false" customHeight="false" outlineLevel="0" collapsed="false">
      <c r="A979" s="7" t="s">
        <v>85</v>
      </c>
      <c r="B979" s="7" t="n">
        <v>4413371</v>
      </c>
      <c r="C979" s="7" t="s">
        <v>575</v>
      </c>
      <c r="D979" s="26" t="n">
        <v>51</v>
      </c>
      <c r="E979" s="26" t="n">
        <v>0</v>
      </c>
      <c r="F979" s="26" t="n">
        <v>3</v>
      </c>
      <c r="G979" s="26" t="n">
        <v>0</v>
      </c>
      <c r="H979" s="26" t="n">
        <v>70</v>
      </c>
      <c r="I979" s="26" t="n">
        <v>32</v>
      </c>
      <c r="J979" s="26" t="n">
        <v>0</v>
      </c>
      <c r="K979" s="26" t="n">
        <v>41</v>
      </c>
      <c r="L979" s="26" t="n">
        <v>0</v>
      </c>
      <c r="M979" s="26" t="n">
        <v>0</v>
      </c>
    </row>
    <row r="980" customFormat="false" ht="15" hidden="false" customHeight="false" outlineLevel="0" collapsed="false">
      <c r="A980" s="7" t="s">
        <v>87</v>
      </c>
      <c r="B980" s="7" t="n">
        <v>4413371</v>
      </c>
      <c r="C980" s="7" t="s">
        <v>575</v>
      </c>
      <c r="D980" s="26" t="n">
        <v>1452.4</v>
      </c>
      <c r="E980" s="26" t="n">
        <v>0</v>
      </c>
      <c r="F980" s="26" t="n">
        <v>91.3</v>
      </c>
      <c r="G980" s="26" t="n">
        <v>0</v>
      </c>
      <c r="H980" s="26" t="n">
        <v>1800.5</v>
      </c>
      <c r="I980" s="26" t="n">
        <v>880.6</v>
      </c>
      <c r="J980" s="26" t="n">
        <v>0</v>
      </c>
      <c r="K980" s="26" t="n">
        <v>829.8</v>
      </c>
      <c r="L980" s="26" t="n">
        <v>0</v>
      </c>
      <c r="M980" s="26" t="n">
        <v>0</v>
      </c>
    </row>
    <row r="981" customFormat="false" ht="15" hidden="false" customHeight="false" outlineLevel="0" collapsed="false">
      <c r="A981" s="7" t="s">
        <v>85</v>
      </c>
      <c r="B981" s="7" t="n">
        <v>4413066</v>
      </c>
      <c r="C981" s="7" t="s">
        <v>576</v>
      </c>
      <c r="D981" s="26" t="n">
        <v>60</v>
      </c>
      <c r="E981" s="26" t="n">
        <v>0</v>
      </c>
      <c r="F981" s="26" t="n">
        <v>3</v>
      </c>
      <c r="G981" s="26" t="n">
        <v>5</v>
      </c>
      <c r="H981" s="26" t="n">
        <v>0</v>
      </c>
      <c r="I981" s="26" t="n">
        <v>26</v>
      </c>
      <c r="J981" s="26" t="n">
        <v>0</v>
      </c>
      <c r="K981" s="26" t="n">
        <v>31</v>
      </c>
      <c r="L981" s="26" t="n">
        <v>0</v>
      </c>
      <c r="M981" s="26" t="n">
        <v>0</v>
      </c>
    </row>
    <row r="982" customFormat="false" ht="15" hidden="false" customHeight="false" outlineLevel="0" collapsed="false">
      <c r="A982" s="7" t="s">
        <v>87</v>
      </c>
      <c r="B982" s="7" t="n">
        <v>4413066</v>
      </c>
      <c r="C982" s="7" t="s">
        <v>576</v>
      </c>
      <c r="D982" s="26" t="n">
        <v>1199.1</v>
      </c>
      <c r="E982" s="26" t="n">
        <v>0</v>
      </c>
      <c r="F982" s="26" t="n">
        <v>61.7</v>
      </c>
      <c r="G982" s="26" t="n">
        <v>89.1</v>
      </c>
      <c r="H982" s="26" t="n">
        <v>0</v>
      </c>
      <c r="I982" s="26" t="n">
        <v>463.1</v>
      </c>
      <c r="J982" s="26" t="n">
        <v>0</v>
      </c>
      <c r="K982" s="26" t="n">
        <v>404.8</v>
      </c>
      <c r="L982" s="26" t="n">
        <v>0</v>
      </c>
      <c r="M982" s="26" t="n">
        <v>0</v>
      </c>
    </row>
    <row r="983" customFormat="false" ht="15" hidden="false" customHeight="false" outlineLevel="0" collapsed="false">
      <c r="A983" s="7" t="s">
        <v>85</v>
      </c>
      <c r="B983" s="7" t="n">
        <v>4401001</v>
      </c>
      <c r="C983" s="7" t="s">
        <v>577</v>
      </c>
      <c r="D983" s="26" t="n">
        <v>277</v>
      </c>
      <c r="E983" s="26" t="n">
        <v>0</v>
      </c>
      <c r="F983" s="26" t="n">
        <v>11</v>
      </c>
      <c r="G983" s="26" t="n">
        <v>0</v>
      </c>
      <c r="H983" s="26" t="n">
        <v>814</v>
      </c>
      <c r="I983" s="26" t="n">
        <v>90</v>
      </c>
      <c r="J983" s="26" t="n">
        <v>0</v>
      </c>
      <c r="K983" s="26" t="n">
        <v>86</v>
      </c>
      <c r="L983" s="26" t="n">
        <v>0</v>
      </c>
      <c r="M983" s="26" t="n">
        <v>0</v>
      </c>
    </row>
    <row r="984" customFormat="false" ht="15" hidden="false" customHeight="false" outlineLevel="0" collapsed="false">
      <c r="A984" s="7" t="s">
        <v>87</v>
      </c>
      <c r="B984" s="7" t="n">
        <v>4401001</v>
      </c>
      <c r="C984" s="7" t="s">
        <v>577</v>
      </c>
      <c r="D984" s="26" t="n">
        <v>6889.9</v>
      </c>
      <c r="E984" s="26" t="n">
        <v>0</v>
      </c>
      <c r="F984" s="26" t="n">
        <v>288.2</v>
      </c>
      <c r="G984" s="26" t="n">
        <v>0</v>
      </c>
      <c r="H984" s="26" t="n">
        <v>18497.8</v>
      </c>
      <c r="I984" s="26" t="n">
        <v>1964.7</v>
      </c>
      <c r="J984" s="26" t="n">
        <v>0</v>
      </c>
      <c r="K984" s="26" t="n">
        <v>1492.4</v>
      </c>
      <c r="L984" s="26" t="n">
        <v>0</v>
      </c>
      <c r="M984" s="26" t="n">
        <v>0</v>
      </c>
    </row>
    <row r="985" customFormat="false" ht="15" hidden="false" customHeight="false" outlineLevel="0" collapsed="false">
      <c r="A985" s="7" t="s">
        <v>85</v>
      </c>
      <c r="B985" s="7" t="n">
        <v>4401000</v>
      </c>
      <c r="C985" s="7" t="s">
        <v>578</v>
      </c>
      <c r="D985" s="26" t="n">
        <v>239</v>
      </c>
      <c r="E985" s="26" t="n">
        <v>0</v>
      </c>
      <c r="F985" s="26" t="n">
        <v>6</v>
      </c>
      <c r="G985" s="26" t="n">
        <v>1</v>
      </c>
      <c r="H985" s="26" t="n">
        <v>746</v>
      </c>
      <c r="I985" s="26" t="n">
        <v>91</v>
      </c>
      <c r="J985" s="26" t="n">
        <v>0</v>
      </c>
      <c r="K985" s="26" t="n">
        <v>61</v>
      </c>
      <c r="L985" s="26" t="n">
        <v>0</v>
      </c>
      <c r="M985" s="26" t="n">
        <v>0</v>
      </c>
    </row>
    <row r="986" customFormat="false" ht="15" hidden="false" customHeight="false" outlineLevel="0" collapsed="false">
      <c r="A986" s="7" t="s">
        <v>87</v>
      </c>
      <c r="B986" s="7" t="n">
        <v>4401000</v>
      </c>
      <c r="C986" s="7" t="s">
        <v>578</v>
      </c>
      <c r="D986" s="26" t="n">
        <v>5489.3</v>
      </c>
      <c r="E986" s="26" t="n">
        <v>0</v>
      </c>
      <c r="F986" s="26" t="n">
        <v>143.1</v>
      </c>
      <c r="G986" s="26" t="n">
        <v>20.7</v>
      </c>
      <c r="H986" s="26" t="n">
        <v>16445.7</v>
      </c>
      <c r="I986" s="26" t="n">
        <v>1849.1</v>
      </c>
      <c r="J986" s="26" t="n">
        <v>0</v>
      </c>
      <c r="K986" s="26" t="n">
        <v>870.8</v>
      </c>
      <c r="L986" s="26" t="n">
        <v>0</v>
      </c>
      <c r="M986" s="26" t="n">
        <v>0</v>
      </c>
    </row>
    <row r="987" customFormat="false" ht="15" hidden="false" customHeight="false" outlineLevel="0" collapsed="false">
      <c r="A987" s="7" t="s">
        <v>85</v>
      </c>
      <c r="B987" s="7" t="n">
        <v>4408069</v>
      </c>
      <c r="C987" s="7" t="s">
        <v>579</v>
      </c>
      <c r="D987" s="26" t="n">
        <v>2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0</v>
      </c>
      <c r="J987" s="26" t="n">
        <v>0</v>
      </c>
      <c r="K987" s="26" t="n">
        <v>0</v>
      </c>
      <c r="L987" s="26" t="n">
        <v>0</v>
      </c>
      <c r="M987" s="26" t="n">
        <v>0</v>
      </c>
    </row>
    <row r="988" customFormat="false" ht="15" hidden="false" customHeight="false" outlineLevel="0" collapsed="false">
      <c r="A988" s="7" t="s">
        <v>87</v>
      </c>
      <c r="B988" s="7" t="n">
        <v>4408069</v>
      </c>
      <c r="C988" s="7" t="s">
        <v>579</v>
      </c>
      <c r="D988" s="26" t="n">
        <v>178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0</v>
      </c>
      <c r="J988" s="26" t="n">
        <v>0</v>
      </c>
      <c r="K988" s="26" t="n">
        <v>0</v>
      </c>
      <c r="L988" s="26" t="n">
        <v>0</v>
      </c>
      <c r="M988" s="26" t="n">
        <v>0</v>
      </c>
    </row>
    <row r="989" customFormat="false" ht="15" hidden="false" customHeight="false" outlineLevel="0" collapsed="false">
      <c r="A989" s="7" t="s">
        <v>85</v>
      </c>
      <c r="B989" s="7" t="n">
        <v>4413452</v>
      </c>
      <c r="C989" s="7" t="s">
        <v>580</v>
      </c>
      <c r="D989" s="26" t="n">
        <v>58</v>
      </c>
      <c r="E989" s="26" t="n">
        <v>0</v>
      </c>
      <c r="F989" s="26" t="n">
        <v>0</v>
      </c>
      <c r="G989" s="26" t="n">
        <v>0</v>
      </c>
      <c r="H989" s="26" t="n">
        <v>661</v>
      </c>
      <c r="I989" s="26" t="n">
        <v>27</v>
      </c>
      <c r="J989" s="26" t="n">
        <v>0</v>
      </c>
      <c r="K989" s="26" t="n">
        <v>0</v>
      </c>
      <c r="L989" s="26" t="n">
        <v>0</v>
      </c>
      <c r="M989" s="26" t="n">
        <v>0</v>
      </c>
    </row>
    <row r="990" customFormat="false" ht="15" hidden="false" customHeight="false" outlineLevel="0" collapsed="false">
      <c r="A990" s="7" t="s">
        <v>87</v>
      </c>
      <c r="B990" s="7" t="n">
        <v>4413452</v>
      </c>
      <c r="C990" s="7" t="s">
        <v>580</v>
      </c>
      <c r="D990" s="26" t="n">
        <v>2648.4</v>
      </c>
      <c r="E990" s="26" t="n">
        <v>0</v>
      </c>
      <c r="F990" s="26" t="n">
        <v>0</v>
      </c>
      <c r="G990" s="26" t="n">
        <v>0</v>
      </c>
      <c r="H990" s="26" t="n">
        <v>26964.5</v>
      </c>
      <c r="I990" s="26" t="n">
        <v>1190.2</v>
      </c>
      <c r="J990" s="26" t="n">
        <v>0</v>
      </c>
      <c r="K990" s="26" t="n">
        <v>0</v>
      </c>
      <c r="L990" s="26" t="n">
        <v>0</v>
      </c>
      <c r="M990" s="26" t="n">
        <v>0</v>
      </c>
    </row>
    <row r="991" customFormat="false" ht="15" hidden="false" customHeight="false" outlineLevel="0" collapsed="false">
      <c r="A991" s="7" t="s">
        <v>85</v>
      </c>
      <c r="B991" s="7" t="n">
        <v>4413069</v>
      </c>
      <c r="C991" s="7" t="s">
        <v>581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-3</v>
      </c>
      <c r="I991" s="26" t="n">
        <v>0</v>
      </c>
      <c r="J991" s="26" t="n">
        <v>0</v>
      </c>
      <c r="K991" s="26" t="n">
        <v>0</v>
      </c>
      <c r="L991" s="26" t="n">
        <v>0</v>
      </c>
      <c r="M991" s="26" t="n">
        <v>0</v>
      </c>
    </row>
    <row r="992" customFormat="false" ht="15" hidden="false" customHeight="false" outlineLevel="0" collapsed="false">
      <c r="A992" s="7" t="s">
        <v>87</v>
      </c>
      <c r="B992" s="7" t="n">
        <v>4413069</v>
      </c>
      <c r="C992" s="7" t="s">
        <v>581</v>
      </c>
      <c r="D992" s="26" t="n">
        <v>0</v>
      </c>
      <c r="E992" s="26" t="n">
        <v>0</v>
      </c>
      <c r="F992" s="26" t="n">
        <v>0</v>
      </c>
      <c r="G992" s="26" t="n">
        <v>0</v>
      </c>
      <c r="H992" s="26" t="n">
        <v>-192.5</v>
      </c>
      <c r="I992" s="26" t="n">
        <v>0</v>
      </c>
      <c r="J992" s="26" t="n">
        <v>0</v>
      </c>
      <c r="K992" s="26" t="n">
        <v>0</v>
      </c>
      <c r="L992" s="26" t="n">
        <v>0</v>
      </c>
      <c r="M992" s="26" t="n">
        <v>0</v>
      </c>
    </row>
    <row r="993" customFormat="false" ht="15" hidden="false" customHeight="false" outlineLevel="0" collapsed="false">
      <c r="A993" s="7" t="s">
        <v>85</v>
      </c>
      <c r="B993" s="7" t="n">
        <v>4413070</v>
      </c>
      <c r="C993" s="7" t="s">
        <v>582</v>
      </c>
      <c r="D993" s="26" t="n">
        <v>0</v>
      </c>
      <c r="E993" s="26" t="n">
        <v>0</v>
      </c>
      <c r="F993" s="26" t="n">
        <v>0</v>
      </c>
      <c r="G993" s="26" t="n">
        <v>0</v>
      </c>
      <c r="H993" s="26" t="n">
        <v>-4</v>
      </c>
      <c r="I993" s="26" t="n">
        <v>0</v>
      </c>
      <c r="J993" s="26" t="n">
        <v>0</v>
      </c>
      <c r="K993" s="26" t="n">
        <v>0</v>
      </c>
      <c r="L993" s="26" t="n">
        <v>0</v>
      </c>
      <c r="M993" s="26" t="n">
        <v>0</v>
      </c>
    </row>
    <row r="994" customFormat="false" ht="15" hidden="false" customHeight="false" outlineLevel="0" collapsed="false">
      <c r="A994" s="7" t="s">
        <v>87</v>
      </c>
      <c r="B994" s="7" t="n">
        <v>4413070</v>
      </c>
      <c r="C994" s="7" t="s">
        <v>582</v>
      </c>
      <c r="D994" s="26" t="n">
        <v>0</v>
      </c>
      <c r="E994" s="26" t="n">
        <v>0</v>
      </c>
      <c r="F994" s="26" t="n">
        <v>0</v>
      </c>
      <c r="G994" s="26" t="n">
        <v>0</v>
      </c>
      <c r="H994" s="26" t="n">
        <v>-256.6</v>
      </c>
      <c r="I994" s="26" t="n">
        <v>0</v>
      </c>
      <c r="J994" s="26" t="n">
        <v>0</v>
      </c>
      <c r="K994" s="26" t="n">
        <v>0</v>
      </c>
      <c r="L994" s="26" t="n">
        <v>0</v>
      </c>
      <c r="M994" s="26" t="n">
        <v>0</v>
      </c>
    </row>
    <row r="995" customFormat="false" ht="15" hidden="false" customHeight="false" outlineLevel="0" collapsed="false">
      <c r="A995" s="7" t="s">
        <v>85</v>
      </c>
      <c r="B995" s="7" t="n">
        <v>4411015</v>
      </c>
      <c r="C995" s="7" t="s">
        <v>583</v>
      </c>
      <c r="D995" s="26" t="n">
        <v>36</v>
      </c>
      <c r="E995" s="26" t="n">
        <v>0</v>
      </c>
      <c r="F995" s="26" t="n">
        <v>0</v>
      </c>
      <c r="G995" s="26" t="n">
        <v>0</v>
      </c>
      <c r="H995" s="26" t="n">
        <v>67</v>
      </c>
      <c r="I995" s="26" t="n">
        <v>0</v>
      </c>
      <c r="J995" s="26" t="n">
        <v>0</v>
      </c>
      <c r="K995" s="26" t="n">
        <v>18</v>
      </c>
      <c r="L995" s="26" t="n">
        <v>0</v>
      </c>
      <c r="M995" s="26" t="n">
        <v>0</v>
      </c>
    </row>
    <row r="996" customFormat="false" ht="15" hidden="false" customHeight="false" outlineLevel="0" collapsed="false">
      <c r="A996" s="7" t="s">
        <v>87</v>
      </c>
      <c r="B996" s="7" t="n">
        <v>4411015</v>
      </c>
      <c r="C996" s="7" t="s">
        <v>583</v>
      </c>
      <c r="D996" s="26" t="n">
        <v>1677.4</v>
      </c>
      <c r="E996" s="26" t="n">
        <v>0</v>
      </c>
      <c r="F996" s="26" t="n">
        <v>0</v>
      </c>
      <c r="G996" s="26" t="n">
        <v>0</v>
      </c>
      <c r="H996" s="26" t="n">
        <v>2616.2</v>
      </c>
      <c r="I996" s="26" t="n">
        <v>0</v>
      </c>
      <c r="J996" s="26" t="n">
        <v>0</v>
      </c>
      <c r="K996" s="26" t="n">
        <v>583.7</v>
      </c>
      <c r="L996" s="26" t="n">
        <v>0</v>
      </c>
      <c r="M996" s="26" t="n">
        <v>0</v>
      </c>
    </row>
    <row r="997" customFormat="false" ht="15" hidden="false" customHeight="false" outlineLevel="0" collapsed="false">
      <c r="A997" s="7" t="s">
        <v>85</v>
      </c>
      <c r="B997" s="7" t="n">
        <v>4413307</v>
      </c>
      <c r="C997" s="7" t="s">
        <v>584</v>
      </c>
      <c r="D997" s="26" t="n">
        <v>74</v>
      </c>
      <c r="E997" s="26" t="n">
        <v>2</v>
      </c>
      <c r="F997" s="26" t="n">
        <v>5</v>
      </c>
      <c r="G997" s="26" t="n">
        <v>0</v>
      </c>
      <c r="H997" s="26" t="n">
        <v>677</v>
      </c>
      <c r="I997" s="26" t="n">
        <v>60</v>
      </c>
      <c r="J997" s="26" t="n">
        <v>0</v>
      </c>
      <c r="K997" s="26" t="n">
        <v>62</v>
      </c>
      <c r="L997" s="26" t="n">
        <v>0</v>
      </c>
      <c r="M997" s="26" t="n">
        <v>0</v>
      </c>
    </row>
    <row r="998" customFormat="false" ht="15" hidden="false" customHeight="false" outlineLevel="0" collapsed="false">
      <c r="A998" s="7" t="s">
        <v>87</v>
      </c>
      <c r="B998" s="7" t="n">
        <v>4413307</v>
      </c>
      <c r="C998" s="7" t="s">
        <v>584</v>
      </c>
      <c r="D998" s="26" t="n">
        <v>2293.5</v>
      </c>
      <c r="E998" s="26" t="n">
        <v>65.5</v>
      </c>
      <c r="F998" s="26" t="n">
        <v>163.8</v>
      </c>
      <c r="G998" s="26" t="n">
        <v>0</v>
      </c>
      <c r="H998" s="26" t="n">
        <v>18296.1</v>
      </c>
      <c r="I998" s="26" t="n">
        <v>1729.8</v>
      </c>
      <c r="J998" s="26" t="n">
        <v>0</v>
      </c>
      <c r="K998" s="26" t="n">
        <v>1262</v>
      </c>
      <c r="L998" s="26" t="n">
        <v>0</v>
      </c>
      <c r="M998" s="26" t="n">
        <v>0</v>
      </c>
    </row>
    <row r="999" customFormat="false" ht="15" hidden="false" customHeight="false" outlineLevel="0" collapsed="false">
      <c r="A999" s="7" t="s">
        <v>85</v>
      </c>
      <c r="B999" s="7" t="n">
        <v>4411000</v>
      </c>
      <c r="C999" s="7" t="s">
        <v>585</v>
      </c>
      <c r="D999" s="26" t="n">
        <v>164</v>
      </c>
      <c r="E999" s="26" t="n">
        <v>0</v>
      </c>
      <c r="F999" s="26" t="n">
        <v>0</v>
      </c>
      <c r="G999" s="26" t="n">
        <v>0</v>
      </c>
      <c r="H999" s="26" t="n">
        <v>1733</v>
      </c>
      <c r="I999" s="26" t="n">
        <v>105</v>
      </c>
      <c r="J999" s="26" t="n">
        <v>0</v>
      </c>
      <c r="K999" s="26" t="n">
        <v>76</v>
      </c>
      <c r="L999" s="26" t="n">
        <v>0</v>
      </c>
      <c r="M999" s="26" t="n">
        <v>0</v>
      </c>
    </row>
    <row r="1000" customFormat="false" ht="15" hidden="false" customHeight="false" outlineLevel="0" collapsed="false">
      <c r="A1000" s="7" t="s">
        <v>87</v>
      </c>
      <c r="B1000" s="7" t="n">
        <v>4411000</v>
      </c>
      <c r="C1000" s="7" t="s">
        <v>585</v>
      </c>
      <c r="D1000" s="26" t="n">
        <v>4670.1</v>
      </c>
      <c r="E1000" s="26" t="n">
        <v>0</v>
      </c>
      <c r="F1000" s="26" t="n">
        <v>0</v>
      </c>
      <c r="G1000" s="26" t="n">
        <v>0</v>
      </c>
      <c r="H1000" s="26" t="n">
        <v>41228.4</v>
      </c>
      <c r="I1000" s="26" t="n">
        <v>2628.3</v>
      </c>
      <c r="J1000" s="26" t="n">
        <v>0</v>
      </c>
      <c r="K1000" s="26" t="n">
        <v>1300.7</v>
      </c>
      <c r="L1000" s="26" t="n">
        <v>0</v>
      </c>
      <c r="M1000" s="26" t="n">
        <v>0</v>
      </c>
    </row>
    <row r="1001" customFormat="false" ht="15" hidden="false" customHeight="false" outlineLevel="0" collapsed="false">
      <c r="A1001" s="7" t="s">
        <v>85</v>
      </c>
      <c r="B1001" s="7" t="n">
        <v>4401002</v>
      </c>
      <c r="C1001" s="7" t="s">
        <v>586</v>
      </c>
      <c r="D1001" s="26" t="n">
        <v>181</v>
      </c>
      <c r="E1001" s="26" t="n">
        <v>0</v>
      </c>
      <c r="F1001" s="26" t="n">
        <v>3</v>
      </c>
      <c r="G1001" s="26" t="n">
        <v>0</v>
      </c>
      <c r="H1001" s="26" t="n">
        <v>0</v>
      </c>
      <c r="I1001" s="26" t="n">
        <v>160</v>
      </c>
      <c r="J1001" s="26" t="n">
        <v>0</v>
      </c>
      <c r="K1001" s="26" t="n">
        <v>138</v>
      </c>
      <c r="L1001" s="26" t="n">
        <v>0</v>
      </c>
      <c r="M1001" s="26" t="n">
        <v>0</v>
      </c>
    </row>
    <row r="1002" customFormat="false" ht="15" hidden="false" customHeight="false" outlineLevel="0" collapsed="false">
      <c r="A1002" s="7" t="s">
        <v>87</v>
      </c>
      <c r="B1002" s="7" t="n">
        <v>4401002</v>
      </c>
      <c r="C1002" s="7" t="s">
        <v>586</v>
      </c>
      <c r="D1002" s="26" t="n">
        <v>1552</v>
      </c>
      <c r="E1002" s="26" t="n">
        <v>0</v>
      </c>
      <c r="F1002" s="26" t="n">
        <v>26.6</v>
      </c>
      <c r="G1002" s="26" t="n">
        <v>0</v>
      </c>
      <c r="H1002" s="26" t="n">
        <v>0</v>
      </c>
      <c r="I1002" s="26" t="n">
        <v>1155.2</v>
      </c>
      <c r="J1002" s="26" t="n">
        <v>0</v>
      </c>
      <c r="K1002" s="26" t="n">
        <v>771.2</v>
      </c>
      <c r="L1002" s="26" t="n">
        <v>0</v>
      </c>
      <c r="M1002" s="26" t="n">
        <v>0</v>
      </c>
    </row>
    <row r="1003" customFormat="false" ht="15" hidden="false" customHeight="false" outlineLevel="0" collapsed="false">
      <c r="A1003" s="7" t="s">
        <v>85</v>
      </c>
      <c r="B1003" s="7" t="n">
        <v>4419006</v>
      </c>
      <c r="C1003" s="7" t="s">
        <v>587</v>
      </c>
      <c r="D1003" s="26" t="n">
        <v>531</v>
      </c>
      <c r="E1003" s="26" t="n">
        <v>0</v>
      </c>
      <c r="F1003" s="26" t="n">
        <v>3</v>
      </c>
      <c r="G1003" s="26" t="n">
        <v>0</v>
      </c>
      <c r="H1003" s="26" t="n">
        <v>-2</v>
      </c>
      <c r="I1003" s="26" t="n">
        <v>514</v>
      </c>
      <c r="J1003" s="26" t="n">
        <v>0</v>
      </c>
      <c r="K1003" s="26" t="n">
        <v>290</v>
      </c>
      <c r="L1003" s="26" t="n">
        <v>0</v>
      </c>
      <c r="M1003" s="26" t="n">
        <v>0</v>
      </c>
    </row>
    <row r="1004" customFormat="false" ht="15" hidden="false" customHeight="false" outlineLevel="0" collapsed="false">
      <c r="A1004" s="7" t="s">
        <v>87</v>
      </c>
      <c r="B1004" s="7" t="n">
        <v>4419006</v>
      </c>
      <c r="C1004" s="7" t="s">
        <v>587</v>
      </c>
      <c r="D1004" s="26" t="n">
        <v>7441.6</v>
      </c>
      <c r="E1004" s="26" t="n">
        <v>0</v>
      </c>
      <c r="F1004" s="26" t="n">
        <v>43.4</v>
      </c>
      <c r="G1004" s="26" t="n">
        <v>0</v>
      </c>
      <c r="H1004" s="26" t="n">
        <v>-24.4</v>
      </c>
      <c r="I1004" s="26" t="n">
        <v>6760.2</v>
      </c>
      <c r="J1004" s="26" t="n">
        <v>0</v>
      </c>
      <c r="K1004" s="26" t="n">
        <v>2925</v>
      </c>
      <c r="L1004" s="26" t="n">
        <v>0</v>
      </c>
      <c r="M1004" s="26" t="n">
        <v>0</v>
      </c>
    </row>
    <row r="1005" customFormat="false" ht="15" hidden="false" customHeight="false" outlineLevel="0" collapsed="false">
      <c r="A1005" s="7" t="s">
        <v>85</v>
      </c>
      <c r="B1005" s="7" t="n">
        <v>4413150</v>
      </c>
      <c r="C1005" s="7" t="s">
        <v>588</v>
      </c>
      <c r="D1005" s="26" t="n">
        <v>73</v>
      </c>
      <c r="E1005" s="26" t="n">
        <v>0</v>
      </c>
      <c r="F1005" s="26" t="n">
        <v>0</v>
      </c>
      <c r="G1005" s="26" t="n">
        <v>0</v>
      </c>
      <c r="H1005" s="26" t="n">
        <v>51</v>
      </c>
      <c r="I1005" s="26" t="n">
        <v>46</v>
      </c>
      <c r="J1005" s="26" t="n">
        <v>0</v>
      </c>
      <c r="K1005" s="26" t="n">
        <v>48</v>
      </c>
      <c r="L1005" s="26" t="n">
        <v>0</v>
      </c>
      <c r="M1005" s="26" t="n">
        <v>0</v>
      </c>
    </row>
    <row r="1006" customFormat="false" ht="15" hidden="false" customHeight="false" outlineLevel="0" collapsed="false">
      <c r="A1006" s="7" t="s">
        <v>87</v>
      </c>
      <c r="B1006" s="7" t="n">
        <v>4413150</v>
      </c>
      <c r="C1006" s="7" t="s">
        <v>588</v>
      </c>
      <c r="D1006" s="26" t="n">
        <v>2097.1</v>
      </c>
      <c r="E1006" s="26" t="n">
        <v>0</v>
      </c>
      <c r="F1006" s="26" t="n">
        <v>0</v>
      </c>
      <c r="G1006" s="26" t="n">
        <v>0</v>
      </c>
      <c r="H1006" s="26" t="n">
        <v>1263.2</v>
      </c>
      <c r="I1006" s="26" t="n">
        <v>1227.4</v>
      </c>
      <c r="J1006" s="26" t="n">
        <v>0</v>
      </c>
      <c r="K1006" s="26" t="n">
        <v>1004.4</v>
      </c>
      <c r="L1006" s="26" t="n">
        <v>0</v>
      </c>
      <c r="M1006" s="26" t="n">
        <v>0</v>
      </c>
    </row>
    <row r="1007" customFormat="false" ht="15" hidden="false" customHeight="false" outlineLevel="0" collapsed="false">
      <c r="A1007" s="7" t="s">
        <v>85</v>
      </c>
      <c r="B1007" s="7" t="n">
        <v>4417000</v>
      </c>
      <c r="C1007" s="7" t="s">
        <v>589</v>
      </c>
      <c r="D1007" s="26" t="n">
        <v>144</v>
      </c>
      <c r="E1007" s="26" t="n">
        <v>0</v>
      </c>
      <c r="F1007" s="26" t="n">
        <v>2</v>
      </c>
      <c r="G1007" s="26" t="n">
        <v>0</v>
      </c>
      <c r="H1007" s="26" t="n">
        <v>-4</v>
      </c>
      <c r="I1007" s="26" t="n">
        <v>103</v>
      </c>
      <c r="J1007" s="26" t="n">
        <v>0</v>
      </c>
      <c r="K1007" s="26" t="n">
        <v>46</v>
      </c>
      <c r="L1007" s="26" t="n">
        <v>0</v>
      </c>
      <c r="M1007" s="26" t="n">
        <v>0</v>
      </c>
    </row>
    <row r="1008" customFormat="false" ht="15" hidden="false" customHeight="false" outlineLevel="0" collapsed="false">
      <c r="A1008" s="7" t="s">
        <v>87</v>
      </c>
      <c r="B1008" s="7" t="n">
        <v>4417000</v>
      </c>
      <c r="C1008" s="7" t="s">
        <v>589</v>
      </c>
      <c r="D1008" s="26" t="n">
        <v>3555.7</v>
      </c>
      <c r="E1008" s="26" t="n">
        <v>0</v>
      </c>
      <c r="F1008" s="26" t="n">
        <v>50.5</v>
      </c>
      <c r="G1008" s="26" t="n">
        <v>0</v>
      </c>
      <c r="H1008" s="26" t="n">
        <v>-81.2</v>
      </c>
      <c r="I1008" s="26" t="n">
        <v>2253</v>
      </c>
      <c r="J1008" s="26" t="n">
        <v>0</v>
      </c>
      <c r="K1008" s="26" t="n">
        <v>821.2</v>
      </c>
      <c r="L1008" s="26" t="n">
        <v>0</v>
      </c>
      <c r="M1008" s="26" t="n">
        <v>0</v>
      </c>
    </row>
    <row r="1009" customFormat="false" ht="15" hidden="false" customHeight="false" outlineLevel="0" collapsed="false">
      <c r="A1009" s="7" t="s">
        <v>85</v>
      </c>
      <c r="B1009" s="7" t="n">
        <v>4417001</v>
      </c>
      <c r="C1009" s="7" t="s">
        <v>590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0</v>
      </c>
      <c r="J1009" s="26" t="n">
        <v>0</v>
      </c>
      <c r="K1009" s="26" t="n">
        <v>0</v>
      </c>
      <c r="L1009" s="26" t="n">
        <v>0</v>
      </c>
      <c r="M1009" s="26" t="n">
        <v>0</v>
      </c>
    </row>
    <row r="1010" customFormat="false" ht="15" hidden="false" customHeight="false" outlineLevel="0" collapsed="false">
      <c r="A1010" s="7" t="s">
        <v>87</v>
      </c>
      <c r="B1010" s="7" t="n">
        <v>4417001</v>
      </c>
      <c r="C1010" s="7" t="s">
        <v>590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0</v>
      </c>
      <c r="J1010" s="26" t="n">
        <v>0</v>
      </c>
      <c r="K1010" s="26" t="n">
        <v>0</v>
      </c>
      <c r="L1010" s="26" t="n">
        <v>0</v>
      </c>
      <c r="M1010" s="26" t="n">
        <v>0</v>
      </c>
    </row>
    <row r="1011" customFormat="false" ht="15" hidden="false" customHeight="false" outlineLevel="0" collapsed="false">
      <c r="A1011" s="7" t="s">
        <v>85</v>
      </c>
      <c r="B1011" s="7" t="n">
        <v>4415080</v>
      </c>
      <c r="C1011" s="7" t="s">
        <v>591</v>
      </c>
      <c r="D1011" s="26" t="n">
        <v>109</v>
      </c>
      <c r="E1011" s="26" t="n">
        <v>0</v>
      </c>
      <c r="F1011" s="26" t="n">
        <v>0</v>
      </c>
      <c r="G1011" s="26" t="n">
        <v>10</v>
      </c>
      <c r="H1011" s="26" t="n">
        <v>50</v>
      </c>
      <c r="I1011" s="26" t="n">
        <v>23</v>
      </c>
      <c r="J1011" s="26" t="n">
        <v>0</v>
      </c>
      <c r="K1011" s="26" t="n">
        <v>17</v>
      </c>
      <c r="L1011" s="26" t="n">
        <v>0</v>
      </c>
      <c r="M1011" s="26" t="n">
        <v>0</v>
      </c>
    </row>
    <row r="1012" customFormat="false" ht="15" hidden="false" customHeight="false" outlineLevel="0" collapsed="false">
      <c r="A1012" s="7" t="s">
        <v>87</v>
      </c>
      <c r="B1012" s="7" t="n">
        <v>4415080</v>
      </c>
      <c r="C1012" s="7" t="s">
        <v>591</v>
      </c>
      <c r="D1012" s="26" t="n">
        <v>1044</v>
      </c>
      <c r="E1012" s="26" t="n">
        <v>0</v>
      </c>
      <c r="F1012" s="26" t="n">
        <v>0</v>
      </c>
      <c r="G1012" s="26" t="n">
        <v>84.9</v>
      </c>
      <c r="H1012" s="26" t="n">
        <v>387.7</v>
      </c>
      <c r="I1012" s="26" t="n">
        <v>188.1</v>
      </c>
      <c r="J1012" s="26" t="n">
        <v>0</v>
      </c>
      <c r="K1012" s="26" t="n">
        <v>115.6</v>
      </c>
      <c r="L1012" s="26" t="n">
        <v>0</v>
      </c>
      <c r="M1012" s="26" t="n">
        <v>0</v>
      </c>
    </row>
    <row r="1013" customFormat="false" ht="15" hidden="false" customHeight="false" outlineLevel="0" collapsed="false">
      <c r="A1013" s="7" t="s">
        <v>85</v>
      </c>
      <c r="B1013" s="7" t="n">
        <v>4413152</v>
      </c>
      <c r="C1013" s="7" t="s">
        <v>592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0</v>
      </c>
      <c r="J1013" s="26" t="n">
        <v>0</v>
      </c>
      <c r="K1013" s="26" t="n">
        <v>0</v>
      </c>
      <c r="L1013" s="26" t="n">
        <v>0</v>
      </c>
      <c r="M1013" s="26" t="n">
        <v>0</v>
      </c>
    </row>
    <row r="1014" customFormat="false" ht="15" hidden="false" customHeight="false" outlineLevel="0" collapsed="false">
      <c r="A1014" s="7" t="s">
        <v>87</v>
      </c>
      <c r="B1014" s="7" t="n">
        <v>4413152</v>
      </c>
      <c r="C1014" s="7" t="s">
        <v>592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0</v>
      </c>
      <c r="J1014" s="26" t="n">
        <v>0</v>
      </c>
      <c r="K1014" s="26" t="n">
        <v>0</v>
      </c>
      <c r="L1014" s="26" t="n">
        <v>0</v>
      </c>
      <c r="M1014" s="26" t="n">
        <v>0</v>
      </c>
    </row>
    <row r="1015" customFormat="false" ht="15" hidden="false" customHeight="false" outlineLevel="0" collapsed="false">
      <c r="A1015" s="7" t="s">
        <v>85</v>
      </c>
      <c r="B1015" s="7" t="n">
        <v>4411029</v>
      </c>
      <c r="C1015" s="7" t="s">
        <v>593</v>
      </c>
      <c r="D1015" s="26" t="n">
        <v>1</v>
      </c>
      <c r="E1015" s="26" t="n">
        <v>0</v>
      </c>
      <c r="F1015" s="26" t="n">
        <v>0</v>
      </c>
      <c r="G1015" s="26" t="n">
        <v>0</v>
      </c>
      <c r="H1015" s="26" t="n">
        <v>24</v>
      </c>
      <c r="I1015" s="26" t="n">
        <v>0</v>
      </c>
      <c r="J1015" s="26" t="n">
        <v>0</v>
      </c>
      <c r="K1015" s="26" t="n">
        <v>9</v>
      </c>
      <c r="L1015" s="26" t="n">
        <v>0</v>
      </c>
      <c r="M1015" s="26" t="n">
        <v>0</v>
      </c>
    </row>
    <row r="1016" customFormat="false" ht="15" hidden="false" customHeight="false" outlineLevel="0" collapsed="false">
      <c r="A1016" s="7" t="s">
        <v>87</v>
      </c>
      <c r="B1016" s="7" t="n">
        <v>4411029</v>
      </c>
      <c r="C1016" s="7" t="s">
        <v>593</v>
      </c>
      <c r="D1016" s="26" t="n">
        <v>117.1</v>
      </c>
      <c r="E1016" s="26" t="n">
        <v>0</v>
      </c>
      <c r="F1016" s="26" t="n">
        <v>0</v>
      </c>
      <c r="G1016" s="26" t="n">
        <v>0</v>
      </c>
      <c r="H1016" s="26" t="n">
        <v>2400.9</v>
      </c>
      <c r="I1016" s="26" t="n">
        <v>0</v>
      </c>
      <c r="J1016" s="26" t="n">
        <v>0</v>
      </c>
      <c r="K1016" s="26" t="n">
        <v>639</v>
      </c>
      <c r="L1016" s="26" t="n">
        <v>0</v>
      </c>
      <c r="M1016" s="26" t="n">
        <v>0</v>
      </c>
    </row>
    <row r="1017" customFormat="false" ht="15" hidden="false" customHeight="false" outlineLevel="0" collapsed="false">
      <c r="A1017" s="7" t="s">
        <v>85</v>
      </c>
      <c r="B1017" s="7" t="n">
        <v>4408046</v>
      </c>
      <c r="C1017" s="7" t="s">
        <v>594</v>
      </c>
      <c r="D1017" s="26" t="n">
        <v>94</v>
      </c>
      <c r="E1017" s="26" t="n">
        <v>2</v>
      </c>
      <c r="F1017" s="26" t="n">
        <v>0</v>
      </c>
      <c r="G1017" s="26" t="n">
        <v>0</v>
      </c>
      <c r="H1017" s="26" t="n">
        <v>124</v>
      </c>
      <c r="I1017" s="26" t="n">
        <v>82</v>
      </c>
      <c r="J1017" s="26" t="n">
        <v>0</v>
      </c>
      <c r="K1017" s="26" t="n">
        <v>0</v>
      </c>
      <c r="L1017" s="26" t="n">
        <v>0</v>
      </c>
      <c r="M1017" s="26" t="n">
        <v>-1</v>
      </c>
    </row>
    <row r="1018" customFormat="false" ht="15" hidden="false" customHeight="false" outlineLevel="0" collapsed="false">
      <c r="A1018" s="7" t="s">
        <v>87</v>
      </c>
      <c r="B1018" s="7" t="n">
        <v>4408046</v>
      </c>
      <c r="C1018" s="7" t="s">
        <v>594</v>
      </c>
      <c r="D1018" s="26" t="n">
        <v>3046.1</v>
      </c>
      <c r="E1018" s="26" t="n">
        <v>66.5</v>
      </c>
      <c r="F1018" s="26" t="n">
        <v>0</v>
      </c>
      <c r="G1018" s="26" t="n">
        <v>0</v>
      </c>
      <c r="H1018" s="26" t="n">
        <v>3233.3</v>
      </c>
      <c r="I1018" s="26" t="n">
        <v>2230.5</v>
      </c>
      <c r="J1018" s="26" t="n">
        <v>0</v>
      </c>
      <c r="K1018" s="26" t="n">
        <v>0</v>
      </c>
      <c r="L1018" s="26" t="n">
        <v>0</v>
      </c>
      <c r="M1018" s="26" t="n">
        <v>-44.3</v>
      </c>
    </row>
    <row r="1019" customFormat="false" ht="15" hidden="false" customHeight="false" outlineLevel="0" collapsed="false">
      <c r="A1019" s="7" t="s">
        <v>85</v>
      </c>
      <c r="B1019" s="7" t="n">
        <v>4408047</v>
      </c>
      <c r="C1019" s="7" t="s">
        <v>595</v>
      </c>
      <c r="D1019" s="26" t="n">
        <v>103</v>
      </c>
      <c r="E1019" s="26" t="n">
        <v>0</v>
      </c>
      <c r="F1019" s="26" t="n">
        <v>2</v>
      </c>
      <c r="G1019" s="26" t="n">
        <v>0</v>
      </c>
      <c r="H1019" s="26" t="n">
        <v>138</v>
      </c>
      <c r="I1019" s="26" t="n">
        <v>100</v>
      </c>
      <c r="J1019" s="26" t="n">
        <v>0</v>
      </c>
      <c r="K1019" s="26" t="n">
        <v>0</v>
      </c>
      <c r="L1019" s="26" t="n">
        <v>0</v>
      </c>
      <c r="M1019" s="26" t="n">
        <v>-2</v>
      </c>
    </row>
    <row r="1020" customFormat="false" ht="15" hidden="false" customHeight="false" outlineLevel="0" collapsed="false">
      <c r="A1020" s="7" t="s">
        <v>87</v>
      </c>
      <c r="B1020" s="7" t="n">
        <v>4408047</v>
      </c>
      <c r="C1020" s="7" t="s">
        <v>595</v>
      </c>
      <c r="D1020" s="26" t="n">
        <v>3374.4</v>
      </c>
      <c r="E1020" s="26" t="n">
        <v>0</v>
      </c>
      <c r="F1020" s="26" t="n">
        <v>66.5</v>
      </c>
      <c r="G1020" s="26" t="n">
        <v>0</v>
      </c>
      <c r="H1020" s="26" t="n">
        <v>3527.4</v>
      </c>
      <c r="I1020" s="26" t="n">
        <v>2716.9</v>
      </c>
      <c r="J1020" s="26" t="n">
        <v>0</v>
      </c>
      <c r="K1020" s="26" t="n">
        <v>0</v>
      </c>
      <c r="L1020" s="26" t="n">
        <v>0</v>
      </c>
      <c r="M1020" s="26" t="n">
        <v>-88.6</v>
      </c>
    </row>
    <row r="1021" customFormat="false" ht="15" hidden="false" customHeight="false" outlineLevel="0" collapsed="false">
      <c r="A1021" s="7" t="s">
        <v>85</v>
      </c>
      <c r="B1021" s="7" t="n">
        <v>4408048</v>
      </c>
      <c r="C1021" s="7" t="s">
        <v>596</v>
      </c>
      <c r="D1021" s="26" t="n">
        <v>52</v>
      </c>
      <c r="E1021" s="26" t="n">
        <v>2</v>
      </c>
      <c r="F1021" s="26" t="n">
        <v>3</v>
      </c>
      <c r="G1021" s="26" t="n">
        <v>0</v>
      </c>
      <c r="H1021" s="26" t="n">
        <v>102</v>
      </c>
      <c r="I1021" s="26" t="n">
        <v>62</v>
      </c>
      <c r="J1021" s="26" t="n">
        <v>0</v>
      </c>
      <c r="K1021" s="26" t="n">
        <v>0</v>
      </c>
      <c r="L1021" s="26" t="n">
        <v>0</v>
      </c>
      <c r="M1021" s="26" t="n">
        <v>0</v>
      </c>
    </row>
    <row r="1022" customFormat="false" ht="15" hidden="false" customHeight="false" outlineLevel="0" collapsed="false">
      <c r="A1022" s="7" t="s">
        <v>87</v>
      </c>
      <c r="B1022" s="7" t="n">
        <v>4408048</v>
      </c>
      <c r="C1022" s="7" t="s">
        <v>596</v>
      </c>
      <c r="D1022" s="26" t="n">
        <v>1693.8</v>
      </c>
      <c r="E1022" s="26" t="n">
        <v>66.5</v>
      </c>
      <c r="F1022" s="26" t="n">
        <v>99.7</v>
      </c>
      <c r="G1022" s="26" t="n">
        <v>0</v>
      </c>
      <c r="H1022" s="26" t="n">
        <v>2639.1</v>
      </c>
      <c r="I1022" s="26" t="n">
        <v>1684</v>
      </c>
      <c r="J1022" s="26" t="n">
        <v>0</v>
      </c>
      <c r="K1022" s="26" t="n">
        <v>0</v>
      </c>
      <c r="L1022" s="26" t="n">
        <v>0</v>
      </c>
      <c r="M1022" s="26" t="n">
        <v>0</v>
      </c>
    </row>
    <row r="1023" customFormat="false" ht="15" hidden="false" customHeight="false" outlineLevel="0" collapsed="false">
      <c r="A1023" s="7" t="s">
        <v>85</v>
      </c>
      <c r="B1023" s="7" t="n">
        <v>4408049</v>
      </c>
      <c r="C1023" s="7" t="s">
        <v>597</v>
      </c>
      <c r="D1023" s="26" t="n">
        <v>26</v>
      </c>
      <c r="E1023" s="26" t="n">
        <v>2</v>
      </c>
      <c r="F1023" s="26" t="n">
        <v>2</v>
      </c>
      <c r="G1023" s="26" t="n">
        <v>0</v>
      </c>
      <c r="H1023" s="26" t="n">
        <v>37</v>
      </c>
      <c r="I1023" s="26" t="n">
        <v>33</v>
      </c>
      <c r="J1023" s="26" t="n">
        <v>0</v>
      </c>
      <c r="K1023" s="26" t="n">
        <v>0</v>
      </c>
      <c r="L1023" s="26" t="n">
        <v>0</v>
      </c>
      <c r="M1023" s="26" t="n">
        <v>0</v>
      </c>
    </row>
    <row r="1024" customFormat="false" ht="15" hidden="false" customHeight="false" outlineLevel="0" collapsed="false">
      <c r="A1024" s="7" t="s">
        <v>87</v>
      </c>
      <c r="B1024" s="7" t="n">
        <v>4408049</v>
      </c>
      <c r="C1024" s="7" t="s">
        <v>597</v>
      </c>
      <c r="D1024" s="26" t="n">
        <v>838.3</v>
      </c>
      <c r="E1024" s="26" t="n">
        <v>66.5</v>
      </c>
      <c r="F1024" s="26" t="n">
        <v>66.5</v>
      </c>
      <c r="G1024" s="26" t="n">
        <v>0</v>
      </c>
      <c r="H1024" s="26" t="n">
        <v>938.9</v>
      </c>
      <c r="I1024" s="26" t="n">
        <v>897.2</v>
      </c>
      <c r="J1024" s="26" t="n">
        <v>0</v>
      </c>
      <c r="K1024" s="26" t="n">
        <v>0</v>
      </c>
      <c r="L1024" s="26" t="n">
        <v>0</v>
      </c>
      <c r="M1024" s="26" t="n">
        <v>0</v>
      </c>
    </row>
    <row r="1025" customFormat="false" ht="15" hidden="false" customHeight="false" outlineLevel="0" collapsed="false">
      <c r="A1025" s="7" t="s">
        <v>85</v>
      </c>
      <c r="B1025" s="7" t="n">
        <v>4408050</v>
      </c>
      <c r="C1025" s="7" t="s">
        <v>598</v>
      </c>
      <c r="D1025" s="26" t="n">
        <v>2</v>
      </c>
      <c r="E1025" s="26" t="n">
        <v>0</v>
      </c>
      <c r="F1025" s="26" t="n">
        <v>0</v>
      </c>
      <c r="G1025" s="26" t="n">
        <v>0</v>
      </c>
      <c r="H1025" s="26" t="n">
        <v>-2</v>
      </c>
      <c r="I1025" s="26" t="n">
        <v>0</v>
      </c>
      <c r="J1025" s="26" t="n">
        <v>0</v>
      </c>
      <c r="K1025" s="26" t="n">
        <v>0</v>
      </c>
      <c r="L1025" s="26" t="n">
        <v>0</v>
      </c>
      <c r="M1025" s="26" t="n">
        <v>0</v>
      </c>
    </row>
    <row r="1026" customFormat="false" ht="15" hidden="false" customHeight="false" outlineLevel="0" collapsed="false">
      <c r="A1026" s="7" t="s">
        <v>87</v>
      </c>
      <c r="B1026" s="7" t="n">
        <v>4408050</v>
      </c>
      <c r="C1026" s="7" t="s">
        <v>598</v>
      </c>
      <c r="D1026" s="26" t="n">
        <v>66.5</v>
      </c>
      <c r="E1026" s="26" t="n">
        <v>0</v>
      </c>
      <c r="F1026" s="26" t="n">
        <v>0</v>
      </c>
      <c r="G1026" s="26" t="n">
        <v>0</v>
      </c>
      <c r="H1026" s="26" t="n">
        <v>-47.9</v>
      </c>
      <c r="I1026" s="26" t="n">
        <v>0</v>
      </c>
      <c r="J1026" s="26" t="n">
        <v>0</v>
      </c>
      <c r="K1026" s="26" t="n">
        <v>0</v>
      </c>
      <c r="L1026" s="26" t="n">
        <v>0</v>
      </c>
      <c r="M1026" s="26" t="n">
        <v>0</v>
      </c>
    </row>
    <row r="1027" customFormat="false" ht="15" hidden="false" customHeight="false" outlineLevel="0" collapsed="false">
      <c r="A1027" s="7" t="s">
        <v>85</v>
      </c>
      <c r="B1027" s="7" t="n">
        <v>4408275</v>
      </c>
      <c r="C1027" s="7" t="s">
        <v>599</v>
      </c>
      <c r="D1027" s="26" t="n">
        <v>22</v>
      </c>
      <c r="E1027" s="26" t="n">
        <v>0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0</v>
      </c>
      <c r="L1027" s="26" t="n">
        <v>0</v>
      </c>
      <c r="M1027" s="26" t="n">
        <v>0</v>
      </c>
    </row>
    <row r="1028" customFormat="false" ht="15" hidden="false" customHeight="false" outlineLevel="0" collapsed="false">
      <c r="A1028" s="7" t="s">
        <v>87</v>
      </c>
      <c r="B1028" s="7" t="n">
        <v>4408275</v>
      </c>
      <c r="C1028" s="7" t="s">
        <v>599</v>
      </c>
      <c r="D1028" s="26" t="n">
        <v>1035.8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0</v>
      </c>
      <c r="L1028" s="26" t="n">
        <v>0</v>
      </c>
      <c r="M1028" s="26" t="n">
        <v>0</v>
      </c>
    </row>
    <row r="1029" customFormat="false" ht="15" hidden="false" customHeight="false" outlineLevel="0" collapsed="false">
      <c r="A1029" s="7" t="s">
        <v>85</v>
      </c>
      <c r="B1029" s="7" t="n">
        <v>4408052</v>
      </c>
      <c r="C1029" s="7" t="s">
        <v>600</v>
      </c>
      <c r="D1029" s="26" t="n">
        <v>289</v>
      </c>
      <c r="E1029" s="26" t="n">
        <v>0</v>
      </c>
      <c r="F1029" s="26" t="n">
        <v>3</v>
      </c>
      <c r="G1029" s="26" t="n">
        <v>0</v>
      </c>
      <c r="H1029" s="26" t="n">
        <v>1444</v>
      </c>
      <c r="I1029" s="26" t="n">
        <v>112</v>
      </c>
      <c r="J1029" s="26" t="n">
        <v>0</v>
      </c>
      <c r="K1029" s="26" t="n">
        <v>120</v>
      </c>
      <c r="L1029" s="26" t="n">
        <v>0</v>
      </c>
      <c r="M1029" s="26" t="n">
        <v>-2</v>
      </c>
    </row>
    <row r="1030" customFormat="false" ht="15" hidden="false" customHeight="false" outlineLevel="0" collapsed="false">
      <c r="A1030" s="7" t="s">
        <v>87</v>
      </c>
      <c r="B1030" s="7" t="n">
        <v>4408052</v>
      </c>
      <c r="C1030" s="7" t="s">
        <v>600</v>
      </c>
      <c r="D1030" s="26" t="n">
        <v>11298.4</v>
      </c>
      <c r="E1030" s="26" t="n">
        <v>0</v>
      </c>
      <c r="F1030" s="26" t="n">
        <v>119.4</v>
      </c>
      <c r="G1030" s="26" t="n">
        <v>0</v>
      </c>
      <c r="H1030" s="26" t="n">
        <v>47527.6</v>
      </c>
      <c r="I1030" s="26" t="n">
        <v>3950.5</v>
      </c>
      <c r="J1030" s="26" t="n">
        <v>0</v>
      </c>
      <c r="K1030" s="26" t="n">
        <v>2766.6</v>
      </c>
      <c r="L1030" s="26" t="n">
        <v>0</v>
      </c>
      <c r="M1030" s="26" t="n">
        <v>-106.1</v>
      </c>
    </row>
    <row r="1031" customFormat="false" ht="15" hidden="false" customHeight="false" outlineLevel="0" collapsed="false">
      <c r="A1031" s="7" t="s">
        <v>85</v>
      </c>
      <c r="B1031" s="7" t="n">
        <v>4408053</v>
      </c>
      <c r="C1031" s="7" t="s">
        <v>601</v>
      </c>
      <c r="D1031" s="26" t="n">
        <v>378</v>
      </c>
      <c r="E1031" s="26" t="n">
        <v>0</v>
      </c>
      <c r="F1031" s="26" t="n">
        <v>3</v>
      </c>
      <c r="G1031" s="26" t="n">
        <v>0</v>
      </c>
      <c r="H1031" s="26" t="n">
        <v>1974</v>
      </c>
      <c r="I1031" s="26" t="n">
        <v>221</v>
      </c>
      <c r="J1031" s="26" t="n">
        <v>0</v>
      </c>
      <c r="K1031" s="26" t="n">
        <v>154</v>
      </c>
      <c r="L1031" s="26" t="n">
        <v>0</v>
      </c>
      <c r="M1031" s="26" t="n">
        <v>-1</v>
      </c>
    </row>
    <row r="1032" customFormat="false" ht="15" hidden="false" customHeight="false" outlineLevel="0" collapsed="false">
      <c r="A1032" s="7" t="s">
        <v>87</v>
      </c>
      <c r="B1032" s="7" t="n">
        <v>4408053</v>
      </c>
      <c r="C1032" s="7" t="s">
        <v>601</v>
      </c>
      <c r="D1032" s="26" t="n">
        <v>14787</v>
      </c>
      <c r="E1032" s="26" t="n">
        <v>0</v>
      </c>
      <c r="F1032" s="26" t="n">
        <v>119.4</v>
      </c>
      <c r="G1032" s="26" t="n">
        <v>0</v>
      </c>
      <c r="H1032" s="26" t="n">
        <v>65075.9</v>
      </c>
      <c r="I1032" s="26" t="n">
        <v>7792.8</v>
      </c>
      <c r="J1032" s="26" t="n">
        <v>0</v>
      </c>
      <c r="K1032" s="26" t="n">
        <v>3505.6</v>
      </c>
      <c r="L1032" s="26" t="n">
        <v>0</v>
      </c>
      <c r="M1032" s="26" t="n">
        <v>-53.1</v>
      </c>
    </row>
    <row r="1033" customFormat="false" ht="15" hidden="false" customHeight="false" outlineLevel="0" collapsed="false">
      <c r="A1033" s="7" t="s">
        <v>85</v>
      </c>
      <c r="B1033" s="7" t="n">
        <v>4408051</v>
      </c>
      <c r="C1033" s="7" t="s">
        <v>602</v>
      </c>
      <c r="D1033" s="26" t="n">
        <v>160</v>
      </c>
      <c r="E1033" s="26" t="n">
        <v>0</v>
      </c>
      <c r="F1033" s="26" t="n">
        <v>3</v>
      </c>
      <c r="G1033" s="26" t="n">
        <v>0</v>
      </c>
      <c r="H1033" s="26" t="n">
        <v>1482</v>
      </c>
      <c r="I1033" s="26" t="n">
        <v>118</v>
      </c>
      <c r="J1033" s="26" t="n">
        <v>0</v>
      </c>
      <c r="K1033" s="26" t="n">
        <v>62</v>
      </c>
      <c r="L1033" s="26" t="n">
        <v>0</v>
      </c>
      <c r="M1033" s="26" t="n">
        <v>-1</v>
      </c>
    </row>
    <row r="1034" customFormat="false" ht="15" hidden="false" customHeight="false" outlineLevel="0" collapsed="false">
      <c r="A1034" s="7" t="s">
        <v>87</v>
      </c>
      <c r="B1034" s="7" t="n">
        <v>4408051</v>
      </c>
      <c r="C1034" s="7" t="s">
        <v>602</v>
      </c>
      <c r="D1034" s="26" t="n">
        <v>6289.8</v>
      </c>
      <c r="E1034" s="26" t="n">
        <v>0</v>
      </c>
      <c r="F1034" s="26" t="n">
        <v>119.4</v>
      </c>
      <c r="G1034" s="26" t="n">
        <v>0</v>
      </c>
      <c r="H1034" s="26" t="n">
        <v>48883.5</v>
      </c>
      <c r="I1034" s="26" t="n">
        <v>4164.5</v>
      </c>
      <c r="J1034" s="26" t="n">
        <v>0</v>
      </c>
      <c r="K1034" s="26" t="n">
        <v>1447.5</v>
      </c>
      <c r="L1034" s="26" t="n">
        <v>0</v>
      </c>
      <c r="M1034" s="26" t="n">
        <v>-53.1</v>
      </c>
    </row>
    <row r="1035" customFormat="false" ht="15" hidden="false" customHeight="false" outlineLevel="0" collapsed="false">
      <c r="A1035" s="7" t="s">
        <v>85</v>
      </c>
      <c r="B1035" s="7" t="n">
        <v>4408054</v>
      </c>
      <c r="C1035" s="7" t="s">
        <v>603</v>
      </c>
      <c r="D1035" s="26" t="n">
        <v>115</v>
      </c>
      <c r="E1035" s="26" t="n">
        <v>0</v>
      </c>
      <c r="F1035" s="26" t="n">
        <v>3</v>
      </c>
      <c r="G1035" s="26" t="n">
        <v>0</v>
      </c>
      <c r="H1035" s="26" t="n">
        <v>581</v>
      </c>
      <c r="I1035" s="26" t="n">
        <v>84</v>
      </c>
      <c r="J1035" s="26" t="n">
        <v>0</v>
      </c>
      <c r="K1035" s="26" t="n">
        <v>46</v>
      </c>
      <c r="L1035" s="26" t="n">
        <v>0</v>
      </c>
      <c r="M1035" s="26" t="n">
        <v>-5</v>
      </c>
    </row>
    <row r="1036" customFormat="false" ht="15" hidden="false" customHeight="false" outlineLevel="0" collapsed="false">
      <c r="A1036" s="7" t="s">
        <v>87</v>
      </c>
      <c r="B1036" s="7" t="n">
        <v>4408054</v>
      </c>
      <c r="C1036" s="7" t="s">
        <v>603</v>
      </c>
      <c r="D1036" s="26" t="n">
        <v>4467.3</v>
      </c>
      <c r="E1036" s="26" t="n">
        <v>0</v>
      </c>
      <c r="F1036" s="26" t="n">
        <v>119.4</v>
      </c>
      <c r="G1036" s="26" t="n">
        <v>0</v>
      </c>
      <c r="H1036" s="26" t="n">
        <v>19145</v>
      </c>
      <c r="I1036" s="26" t="n">
        <v>2966</v>
      </c>
      <c r="J1036" s="26" t="n">
        <v>0</v>
      </c>
      <c r="K1036" s="26" t="n">
        <v>1093.2</v>
      </c>
      <c r="L1036" s="26" t="n">
        <v>0</v>
      </c>
      <c r="M1036" s="26" t="n">
        <v>-265.3</v>
      </c>
    </row>
    <row r="1037" customFormat="false" ht="15" hidden="false" customHeight="false" outlineLevel="0" collapsed="false">
      <c r="A1037" s="7" t="s">
        <v>85</v>
      </c>
      <c r="B1037" s="7" t="n">
        <v>4413399</v>
      </c>
      <c r="C1037" s="7" t="s">
        <v>604</v>
      </c>
      <c r="D1037" s="26" t="n">
        <v>1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0</v>
      </c>
      <c r="L1037" s="26" t="n">
        <v>0</v>
      </c>
      <c r="M1037" s="26" t="n">
        <v>0</v>
      </c>
    </row>
    <row r="1038" customFormat="false" ht="15" hidden="false" customHeight="false" outlineLevel="0" collapsed="false">
      <c r="A1038" s="7" t="s">
        <v>87</v>
      </c>
      <c r="B1038" s="7" t="n">
        <v>4413399</v>
      </c>
      <c r="C1038" s="7" t="s">
        <v>604</v>
      </c>
      <c r="D1038" s="26" t="n">
        <v>36.5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0</v>
      </c>
      <c r="L1038" s="26" t="n">
        <v>0</v>
      </c>
      <c r="M1038" s="26" t="n">
        <v>0</v>
      </c>
    </row>
    <row r="1039" customFormat="false" ht="15" hidden="false" customHeight="false" outlineLevel="0" collapsed="false">
      <c r="A1039" s="7" t="s">
        <v>85</v>
      </c>
      <c r="B1039" s="7" t="n">
        <v>4413400</v>
      </c>
      <c r="C1039" s="7" t="s">
        <v>605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0</v>
      </c>
      <c r="L1039" s="26" t="n">
        <v>0</v>
      </c>
      <c r="M1039" s="26" t="n">
        <v>0</v>
      </c>
    </row>
    <row r="1040" customFormat="false" ht="15" hidden="false" customHeight="false" outlineLevel="0" collapsed="false">
      <c r="A1040" s="7" t="s">
        <v>87</v>
      </c>
      <c r="B1040" s="7" t="n">
        <v>4413400</v>
      </c>
      <c r="C1040" s="7" t="s">
        <v>605</v>
      </c>
      <c r="D1040" s="26" t="n">
        <v>0</v>
      </c>
      <c r="E1040" s="26" t="n">
        <v>0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0</v>
      </c>
      <c r="L1040" s="26" t="n">
        <v>0</v>
      </c>
      <c r="M1040" s="26" t="n">
        <v>0</v>
      </c>
    </row>
    <row r="1041" customFormat="false" ht="15" hidden="false" customHeight="false" outlineLevel="0" collapsed="false">
      <c r="A1041" s="7" t="s">
        <v>85</v>
      </c>
      <c r="B1041" s="7" t="n">
        <v>4411017</v>
      </c>
      <c r="C1041" s="7" t="s">
        <v>606</v>
      </c>
      <c r="D1041" s="26" t="n">
        <v>11</v>
      </c>
      <c r="E1041" s="26" t="n">
        <v>0</v>
      </c>
      <c r="F1041" s="26" t="n">
        <v>0</v>
      </c>
      <c r="G1041" s="26" t="n">
        <v>0</v>
      </c>
      <c r="H1041" s="26" t="n">
        <v>115</v>
      </c>
      <c r="I1041" s="26" t="n">
        <v>0</v>
      </c>
      <c r="J1041" s="26" t="n">
        <v>0</v>
      </c>
      <c r="K1041" s="26" t="n">
        <v>0</v>
      </c>
      <c r="L1041" s="26" t="n">
        <v>0</v>
      </c>
      <c r="M1041" s="26" t="n">
        <v>0</v>
      </c>
    </row>
    <row r="1042" customFormat="false" ht="15" hidden="false" customHeight="false" outlineLevel="0" collapsed="false">
      <c r="A1042" s="7" t="s">
        <v>87</v>
      </c>
      <c r="B1042" s="7" t="n">
        <v>4411017</v>
      </c>
      <c r="C1042" s="7" t="s">
        <v>606</v>
      </c>
      <c r="D1042" s="26" t="n">
        <v>407</v>
      </c>
      <c r="E1042" s="26" t="n">
        <v>0</v>
      </c>
      <c r="F1042" s="26" t="n">
        <v>0</v>
      </c>
      <c r="G1042" s="26" t="n">
        <v>0</v>
      </c>
      <c r="H1042" s="26" t="n">
        <v>3365.3</v>
      </c>
      <c r="I1042" s="26" t="n">
        <v>0</v>
      </c>
      <c r="J1042" s="26" t="n">
        <v>0</v>
      </c>
      <c r="K1042" s="26" t="n">
        <v>0</v>
      </c>
      <c r="L1042" s="26" t="n">
        <v>0</v>
      </c>
      <c r="M1042" s="26" t="n">
        <v>0</v>
      </c>
    </row>
    <row r="1043" customFormat="false" ht="15" hidden="false" customHeight="false" outlineLevel="0" collapsed="false">
      <c r="A1043" s="7" t="s">
        <v>85</v>
      </c>
      <c r="B1043" s="7" t="n">
        <v>4411018</v>
      </c>
      <c r="C1043" s="7" t="s">
        <v>607</v>
      </c>
      <c r="D1043" s="26" t="n">
        <v>16</v>
      </c>
      <c r="E1043" s="26" t="n">
        <v>0</v>
      </c>
      <c r="F1043" s="26" t="n">
        <v>0</v>
      </c>
      <c r="G1043" s="26" t="n">
        <v>0</v>
      </c>
      <c r="H1043" s="26" t="n">
        <v>162</v>
      </c>
      <c r="I1043" s="26" t="n">
        <v>0</v>
      </c>
      <c r="J1043" s="26" t="n">
        <v>0</v>
      </c>
      <c r="K1043" s="26" t="n">
        <v>0</v>
      </c>
      <c r="L1043" s="26" t="n">
        <v>0</v>
      </c>
      <c r="M1043" s="26" t="n">
        <v>0</v>
      </c>
    </row>
    <row r="1044" customFormat="false" ht="15" hidden="false" customHeight="false" outlineLevel="0" collapsed="false">
      <c r="A1044" s="7" t="s">
        <v>87</v>
      </c>
      <c r="B1044" s="7" t="n">
        <v>4411018</v>
      </c>
      <c r="C1044" s="7" t="s">
        <v>607</v>
      </c>
      <c r="D1044" s="26" t="n">
        <v>591.7</v>
      </c>
      <c r="E1044" s="26" t="n">
        <v>0</v>
      </c>
      <c r="F1044" s="26" t="n">
        <v>0</v>
      </c>
      <c r="G1044" s="26" t="n">
        <v>0</v>
      </c>
      <c r="H1044" s="26" t="n">
        <v>4690.8</v>
      </c>
      <c r="I1044" s="26" t="n">
        <v>0</v>
      </c>
      <c r="J1044" s="26" t="n">
        <v>0</v>
      </c>
      <c r="K1044" s="26" t="n">
        <v>0</v>
      </c>
      <c r="L1044" s="26" t="n">
        <v>0</v>
      </c>
      <c r="M1044" s="26" t="n">
        <v>0</v>
      </c>
    </row>
    <row r="1045" customFormat="false" ht="15" hidden="false" customHeight="false" outlineLevel="0" collapsed="false">
      <c r="A1045" s="7" t="s">
        <v>85</v>
      </c>
      <c r="B1045" s="7" t="n">
        <v>4411019</v>
      </c>
      <c r="C1045" s="7" t="s">
        <v>608</v>
      </c>
      <c r="D1045" s="26" t="n">
        <v>9</v>
      </c>
      <c r="E1045" s="26" t="n">
        <v>0</v>
      </c>
      <c r="F1045" s="26" t="n">
        <v>1</v>
      </c>
      <c r="G1045" s="26" t="n">
        <v>0</v>
      </c>
      <c r="H1045" s="26" t="n">
        <v>157</v>
      </c>
      <c r="I1045" s="26" t="n">
        <v>0</v>
      </c>
      <c r="J1045" s="26" t="n">
        <v>0</v>
      </c>
      <c r="K1045" s="26" t="n">
        <v>0</v>
      </c>
      <c r="L1045" s="26" t="n">
        <v>0</v>
      </c>
      <c r="M1045" s="26" t="n">
        <v>0</v>
      </c>
    </row>
    <row r="1046" customFormat="false" ht="15" hidden="false" customHeight="false" outlineLevel="0" collapsed="false">
      <c r="A1046" s="7" t="s">
        <v>87</v>
      </c>
      <c r="B1046" s="7" t="n">
        <v>4411019</v>
      </c>
      <c r="C1046" s="7" t="s">
        <v>608</v>
      </c>
      <c r="D1046" s="26" t="n">
        <v>322.1</v>
      </c>
      <c r="E1046" s="26" t="n">
        <v>0</v>
      </c>
      <c r="F1046" s="26" t="n">
        <v>37.5</v>
      </c>
      <c r="G1046" s="26" t="n">
        <v>0</v>
      </c>
      <c r="H1046" s="26" t="n">
        <v>4541.8</v>
      </c>
      <c r="I1046" s="26" t="n">
        <v>0</v>
      </c>
      <c r="J1046" s="26" t="n">
        <v>0</v>
      </c>
      <c r="K1046" s="26" t="n">
        <v>0</v>
      </c>
      <c r="L1046" s="26" t="n">
        <v>0</v>
      </c>
      <c r="M1046" s="26" t="n">
        <v>0</v>
      </c>
    </row>
    <row r="1047" customFormat="false" ht="15" hidden="false" customHeight="false" outlineLevel="0" collapsed="false">
      <c r="A1047" s="7" t="s">
        <v>85</v>
      </c>
      <c r="B1047" s="7" t="n">
        <v>4411020</v>
      </c>
      <c r="C1047" s="7" t="s">
        <v>609</v>
      </c>
      <c r="D1047" s="26" t="n">
        <v>5</v>
      </c>
      <c r="E1047" s="26" t="n">
        <v>0</v>
      </c>
      <c r="F1047" s="26" t="n">
        <v>0</v>
      </c>
      <c r="G1047" s="26" t="n">
        <v>0</v>
      </c>
      <c r="H1047" s="26" t="n">
        <v>34</v>
      </c>
      <c r="I1047" s="26" t="n">
        <v>0</v>
      </c>
      <c r="J1047" s="26" t="n">
        <v>0</v>
      </c>
      <c r="K1047" s="26" t="n">
        <v>0</v>
      </c>
      <c r="L1047" s="26" t="n">
        <v>0</v>
      </c>
      <c r="M1047" s="26" t="n">
        <v>0</v>
      </c>
    </row>
    <row r="1048" customFormat="false" ht="15" hidden="false" customHeight="false" outlineLevel="0" collapsed="false">
      <c r="A1048" s="7" t="s">
        <v>87</v>
      </c>
      <c r="B1048" s="7" t="n">
        <v>4411020</v>
      </c>
      <c r="C1048" s="7" t="s">
        <v>609</v>
      </c>
      <c r="D1048" s="26" t="n">
        <v>184.8</v>
      </c>
      <c r="E1048" s="26" t="n">
        <v>0</v>
      </c>
      <c r="F1048" s="26" t="n">
        <v>0</v>
      </c>
      <c r="G1048" s="26" t="n">
        <v>0</v>
      </c>
      <c r="H1048" s="26" t="n">
        <v>993.8</v>
      </c>
      <c r="I1048" s="26" t="n">
        <v>0</v>
      </c>
      <c r="J1048" s="26" t="n">
        <v>0</v>
      </c>
      <c r="K1048" s="26" t="n">
        <v>0</v>
      </c>
      <c r="L1048" s="26" t="n">
        <v>0</v>
      </c>
      <c r="M1048" s="26" t="n">
        <v>0</v>
      </c>
    </row>
    <row r="1049" customFormat="false" ht="15" hidden="false" customHeight="false" outlineLevel="0" collapsed="false">
      <c r="A1049" s="7" t="s">
        <v>85</v>
      </c>
      <c r="B1049" s="7" t="n">
        <v>4411021</v>
      </c>
      <c r="C1049" s="7" t="s">
        <v>610</v>
      </c>
      <c r="D1049" s="26" t="n">
        <v>13</v>
      </c>
      <c r="E1049" s="26" t="n">
        <v>0</v>
      </c>
      <c r="F1049" s="26" t="n">
        <v>0</v>
      </c>
      <c r="G1049" s="26" t="n">
        <v>0</v>
      </c>
      <c r="H1049" s="26" t="n">
        <v>183</v>
      </c>
      <c r="I1049" s="26" t="n">
        <v>0</v>
      </c>
      <c r="J1049" s="26" t="n">
        <v>0</v>
      </c>
      <c r="K1049" s="26" t="n">
        <v>0</v>
      </c>
      <c r="L1049" s="26" t="n">
        <v>0</v>
      </c>
      <c r="M1049" s="26" t="n">
        <v>0</v>
      </c>
    </row>
    <row r="1050" customFormat="false" ht="15" hidden="false" customHeight="false" outlineLevel="0" collapsed="false">
      <c r="A1050" s="7" t="s">
        <v>87</v>
      </c>
      <c r="B1050" s="7" t="n">
        <v>4411021</v>
      </c>
      <c r="C1050" s="7" t="s">
        <v>610</v>
      </c>
      <c r="D1050" s="26" t="n">
        <v>512</v>
      </c>
      <c r="E1050" s="26" t="n">
        <v>0</v>
      </c>
      <c r="F1050" s="26" t="n">
        <v>0</v>
      </c>
      <c r="G1050" s="26" t="n">
        <v>0</v>
      </c>
      <c r="H1050" s="26" t="n">
        <v>5400.6</v>
      </c>
      <c r="I1050" s="26" t="n">
        <v>0</v>
      </c>
      <c r="J1050" s="26" t="n">
        <v>0</v>
      </c>
      <c r="K1050" s="26" t="n">
        <v>0</v>
      </c>
      <c r="L1050" s="26" t="n">
        <v>0</v>
      </c>
      <c r="M1050" s="26" t="n">
        <v>0</v>
      </c>
    </row>
    <row r="1051" customFormat="false" ht="15" hidden="false" customHeight="false" outlineLevel="0" collapsed="false">
      <c r="A1051" s="7" t="s">
        <v>85</v>
      </c>
      <c r="B1051" s="7" t="n">
        <v>4411022</v>
      </c>
      <c r="C1051" s="7" t="s">
        <v>611</v>
      </c>
      <c r="D1051" s="26" t="n">
        <v>27</v>
      </c>
      <c r="E1051" s="26" t="n">
        <v>0</v>
      </c>
      <c r="F1051" s="26" t="n">
        <v>0</v>
      </c>
      <c r="G1051" s="26" t="n">
        <v>0</v>
      </c>
      <c r="H1051" s="26" t="n">
        <v>326</v>
      </c>
      <c r="I1051" s="26" t="n">
        <v>0</v>
      </c>
      <c r="J1051" s="26" t="n">
        <v>0</v>
      </c>
      <c r="K1051" s="26" t="n">
        <v>0</v>
      </c>
      <c r="L1051" s="26" t="n">
        <v>0</v>
      </c>
      <c r="M1051" s="26" t="n">
        <v>0</v>
      </c>
    </row>
    <row r="1052" customFormat="false" ht="15" hidden="false" customHeight="false" outlineLevel="0" collapsed="false">
      <c r="A1052" s="7" t="s">
        <v>87</v>
      </c>
      <c r="B1052" s="7" t="n">
        <v>4411022</v>
      </c>
      <c r="C1052" s="7" t="s">
        <v>611</v>
      </c>
      <c r="D1052" s="26" t="n">
        <v>1063.8</v>
      </c>
      <c r="E1052" s="26" t="n">
        <v>0</v>
      </c>
      <c r="F1052" s="26" t="n">
        <v>0</v>
      </c>
      <c r="G1052" s="26" t="n">
        <v>0</v>
      </c>
      <c r="H1052" s="26" t="n">
        <v>9647.9</v>
      </c>
      <c r="I1052" s="26" t="n">
        <v>0</v>
      </c>
      <c r="J1052" s="26" t="n">
        <v>0</v>
      </c>
      <c r="K1052" s="26" t="n">
        <v>0</v>
      </c>
      <c r="L1052" s="26" t="n">
        <v>0</v>
      </c>
      <c r="M1052" s="26" t="n">
        <v>0</v>
      </c>
    </row>
    <row r="1053" customFormat="false" ht="15" hidden="false" customHeight="false" outlineLevel="0" collapsed="false">
      <c r="A1053" s="7" t="s">
        <v>85</v>
      </c>
      <c r="B1053" s="7" t="n">
        <v>4411023</v>
      </c>
      <c r="C1053" s="7" t="s">
        <v>612</v>
      </c>
      <c r="D1053" s="26" t="n">
        <v>26</v>
      </c>
      <c r="E1053" s="26" t="n">
        <v>0</v>
      </c>
      <c r="F1053" s="26" t="n">
        <v>0</v>
      </c>
      <c r="G1053" s="26" t="n">
        <v>0</v>
      </c>
      <c r="H1053" s="26" t="n">
        <v>249</v>
      </c>
      <c r="I1053" s="26" t="n">
        <v>0</v>
      </c>
      <c r="J1053" s="26" t="n">
        <v>0</v>
      </c>
      <c r="K1053" s="26" t="n">
        <v>0</v>
      </c>
      <c r="L1053" s="26" t="n">
        <v>0</v>
      </c>
      <c r="M1053" s="26" t="n">
        <v>0</v>
      </c>
    </row>
    <row r="1054" customFormat="false" ht="15" hidden="false" customHeight="false" outlineLevel="0" collapsed="false">
      <c r="A1054" s="7" t="s">
        <v>87</v>
      </c>
      <c r="B1054" s="7" t="n">
        <v>4411023</v>
      </c>
      <c r="C1054" s="7" t="s">
        <v>612</v>
      </c>
      <c r="D1054" s="26" t="n">
        <v>1016</v>
      </c>
      <c r="E1054" s="26" t="n">
        <v>0</v>
      </c>
      <c r="F1054" s="26" t="n">
        <v>0</v>
      </c>
      <c r="G1054" s="26" t="n">
        <v>0</v>
      </c>
      <c r="H1054" s="26" t="n">
        <v>7258</v>
      </c>
      <c r="I1054" s="26" t="n">
        <v>0</v>
      </c>
      <c r="J1054" s="26" t="n">
        <v>0</v>
      </c>
      <c r="K1054" s="26" t="n">
        <v>0</v>
      </c>
      <c r="L1054" s="26" t="n">
        <v>0</v>
      </c>
      <c r="M1054" s="26" t="n">
        <v>0</v>
      </c>
    </row>
    <row r="1055" customFormat="false" ht="15" hidden="false" customHeight="false" outlineLevel="0" collapsed="false">
      <c r="A1055" s="7" t="s">
        <v>85</v>
      </c>
      <c r="B1055" s="7" t="n">
        <v>4411024</v>
      </c>
      <c r="C1055" s="7" t="s">
        <v>613</v>
      </c>
      <c r="D1055" s="26" t="n">
        <v>5</v>
      </c>
      <c r="E1055" s="26" t="n">
        <v>0</v>
      </c>
      <c r="F1055" s="26" t="n">
        <v>0</v>
      </c>
      <c r="G1055" s="26" t="n">
        <v>0</v>
      </c>
      <c r="H1055" s="26" t="n">
        <v>56</v>
      </c>
      <c r="I1055" s="26" t="n">
        <v>0</v>
      </c>
      <c r="J1055" s="26" t="n">
        <v>0</v>
      </c>
      <c r="K1055" s="26" t="n">
        <v>0</v>
      </c>
      <c r="L1055" s="26" t="n">
        <v>0</v>
      </c>
      <c r="M1055" s="26" t="n">
        <v>0</v>
      </c>
    </row>
    <row r="1056" customFormat="false" ht="15" hidden="false" customHeight="false" outlineLevel="0" collapsed="false">
      <c r="A1056" s="7" t="s">
        <v>87</v>
      </c>
      <c r="B1056" s="7" t="n">
        <v>4411024</v>
      </c>
      <c r="C1056" s="7" t="s">
        <v>613</v>
      </c>
      <c r="D1056" s="26" t="n">
        <v>199</v>
      </c>
      <c r="E1056" s="26" t="n">
        <v>0</v>
      </c>
      <c r="F1056" s="26" t="n">
        <v>0</v>
      </c>
      <c r="G1056" s="26" t="n">
        <v>0</v>
      </c>
      <c r="H1056" s="26" t="n">
        <v>1669</v>
      </c>
      <c r="I1056" s="26" t="n">
        <v>0</v>
      </c>
      <c r="J1056" s="26" t="n">
        <v>0</v>
      </c>
      <c r="K1056" s="26" t="n">
        <v>0</v>
      </c>
      <c r="L1056" s="26" t="n">
        <v>0</v>
      </c>
      <c r="M1056" s="26" t="n">
        <v>0</v>
      </c>
    </row>
    <row r="1057" customFormat="false" ht="15" hidden="false" customHeight="false" outlineLevel="0" collapsed="false">
      <c r="A1057" s="7" t="s">
        <v>85</v>
      </c>
      <c r="B1057" s="7" t="n">
        <v>4411031</v>
      </c>
      <c r="C1057" s="7" t="s">
        <v>614</v>
      </c>
      <c r="D1057" s="26" t="n">
        <v>2</v>
      </c>
      <c r="E1057" s="26" t="n">
        <v>0</v>
      </c>
      <c r="F1057" s="26" t="n">
        <v>0</v>
      </c>
      <c r="G1057" s="26" t="n">
        <v>0</v>
      </c>
      <c r="H1057" s="26" t="n">
        <v>32</v>
      </c>
      <c r="I1057" s="26" t="n">
        <v>0</v>
      </c>
      <c r="J1057" s="26" t="n">
        <v>0</v>
      </c>
      <c r="K1057" s="26" t="n">
        <v>8</v>
      </c>
      <c r="L1057" s="26" t="n">
        <v>0</v>
      </c>
      <c r="M1057" s="26" t="n">
        <v>0</v>
      </c>
    </row>
    <row r="1058" customFormat="false" ht="15" hidden="false" customHeight="false" outlineLevel="0" collapsed="false">
      <c r="A1058" s="7" t="s">
        <v>87</v>
      </c>
      <c r="B1058" s="7" t="n">
        <v>4411031</v>
      </c>
      <c r="C1058" s="7" t="s">
        <v>614</v>
      </c>
      <c r="D1058" s="26" t="n">
        <v>234.3</v>
      </c>
      <c r="E1058" s="26" t="n">
        <v>0</v>
      </c>
      <c r="F1058" s="26" t="n">
        <v>0</v>
      </c>
      <c r="G1058" s="26" t="n">
        <v>0</v>
      </c>
      <c r="H1058" s="26" t="n">
        <v>3213.1</v>
      </c>
      <c r="I1058" s="26" t="n">
        <v>0</v>
      </c>
      <c r="J1058" s="26" t="n">
        <v>0</v>
      </c>
      <c r="K1058" s="26" t="n">
        <v>568</v>
      </c>
      <c r="L1058" s="26" t="n">
        <v>0</v>
      </c>
      <c r="M1058" s="26" t="n">
        <v>0</v>
      </c>
    </row>
    <row r="1059" customFormat="false" ht="15" hidden="false" customHeight="false" outlineLevel="0" collapsed="false">
      <c r="A1059" s="7" t="s">
        <v>85</v>
      </c>
      <c r="B1059" s="7" t="n">
        <v>4411026</v>
      </c>
      <c r="C1059" s="7" t="s">
        <v>615</v>
      </c>
      <c r="D1059" s="26" t="n">
        <v>2</v>
      </c>
      <c r="E1059" s="26" t="n">
        <v>0</v>
      </c>
      <c r="F1059" s="26" t="n">
        <v>0</v>
      </c>
      <c r="G1059" s="26" t="n">
        <v>0</v>
      </c>
      <c r="H1059" s="26" t="n">
        <v>24</v>
      </c>
      <c r="I1059" s="26" t="n">
        <v>0</v>
      </c>
      <c r="J1059" s="26" t="n">
        <v>0</v>
      </c>
      <c r="K1059" s="26" t="n">
        <v>6</v>
      </c>
      <c r="L1059" s="26" t="n">
        <v>0</v>
      </c>
      <c r="M1059" s="26" t="n">
        <v>0</v>
      </c>
    </row>
    <row r="1060" customFormat="false" ht="15" hidden="false" customHeight="false" outlineLevel="0" collapsed="false">
      <c r="A1060" s="7" t="s">
        <v>87</v>
      </c>
      <c r="B1060" s="7" t="n">
        <v>4411026</v>
      </c>
      <c r="C1060" s="7" t="s">
        <v>615</v>
      </c>
      <c r="D1060" s="26" t="n">
        <v>234.3</v>
      </c>
      <c r="E1060" s="26" t="n">
        <v>0</v>
      </c>
      <c r="F1060" s="26" t="n">
        <v>0</v>
      </c>
      <c r="G1060" s="26" t="n">
        <v>0</v>
      </c>
      <c r="H1060" s="26" t="n">
        <v>2400.9</v>
      </c>
      <c r="I1060" s="26" t="n">
        <v>0</v>
      </c>
      <c r="J1060" s="26" t="n">
        <v>0</v>
      </c>
      <c r="K1060" s="26" t="n">
        <v>426</v>
      </c>
      <c r="L1060" s="26" t="n">
        <v>0</v>
      </c>
      <c r="M1060" s="26" t="n">
        <v>0</v>
      </c>
    </row>
    <row r="1061" customFormat="false" ht="15" hidden="false" customHeight="false" outlineLevel="0" collapsed="false">
      <c r="A1061" s="7" t="s">
        <v>85</v>
      </c>
      <c r="B1061" s="7" t="n">
        <v>4411027</v>
      </c>
      <c r="C1061" s="7" t="s">
        <v>616</v>
      </c>
      <c r="D1061" s="26" t="n">
        <v>1</v>
      </c>
      <c r="E1061" s="26" t="n">
        <v>0</v>
      </c>
      <c r="F1061" s="26" t="n">
        <v>0</v>
      </c>
      <c r="G1061" s="26" t="n">
        <v>0</v>
      </c>
      <c r="H1061" s="26" t="n">
        <v>43</v>
      </c>
      <c r="I1061" s="26" t="n">
        <v>0</v>
      </c>
      <c r="J1061" s="26" t="n">
        <v>0</v>
      </c>
      <c r="K1061" s="26" t="n">
        <v>11</v>
      </c>
      <c r="L1061" s="26" t="n">
        <v>0</v>
      </c>
      <c r="M1061" s="26" t="n">
        <v>0</v>
      </c>
    </row>
    <row r="1062" customFormat="false" ht="15" hidden="false" customHeight="false" outlineLevel="0" collapsed="false">
      <c r="A1062" s="7" t="s">
        <v>87</v>
      </c>
      <c r="B1062" s="7" t="n">
        <v>4411027</v>
      </c>
      <c r="C1062" s="7" t="s">
        <v>616</v>
      </c>
      <c r="D1062" s="26" t="n">
        <v>117.1</v>
      </c>
      <c r="E1062" s="26" t="n">
        <v>0</v>
      </c>
      <c r="F1062" s="26" t="n">
        <v>0</v>
      </c>
      <c r="G1062" s="26" t="n">
        <v>0</v>
      </c>
      <c r="H1062" s="26" t="n">
        <v>4334.9</v>
      </c>
      <c r="I1062" s="26" t="n">
        <v>0</v>
      </c>
      <c r="J1062" s="26" t="n">
        <v>0</v>
      </c>
      <c r="K1062" s="26" t="n">
        <v>781</v>
      </c>
      <c r="L1062" s="26" t="n">
        <v>0</v>
      </c>
      <c r="M1062" s="26" t="n">
        <v>0</v>
      </c>
    </row>
    <row r="1063" customFormat="false" ht="15" hidden="false" customHeight="false" outlineLevel="0" collapsed="false">
      <c r="A1063" s="7" t="s">
        <v>85</v>
      </c>
      <c r="B1063" s="7" t="n">
        <v>4411028</v>
      </c>
      <c r="C1063" s="7" t="s">
        <v>617</v>
      </c>
      <c r="D1063" s="26" t="n">
        <v>1</v>
      </c>
      <c r="E1063" s="26" t="n">
        <v>0</v>
      </c>
      <c r="F1063" s="26" t="n">
        <v>0</v>
      </c>
      <c r="G1063" s="26" t="n">
        <v>0</v>
      </c>
      <c r="H1063" s="26" t="n">
        <v>30</v>
      </c>
      <c r="I1063" s="26" t="n">
        <v>0</v>
      </c>
      <c r="J1063" s="26" t="n">
        <v>0</v>
      </c>
      <c r="K1063" s="26" t="n">
        <v>5</v>
      </c>
      <c r="L1063" s="26" t="n">
        <v>0</v>
      </c>
      <c r="M1063" s="26" t="n">
        <v>0</v>
      </c>
    </row>
    <row r="1064" customFormat="false" ht="15" hidden="false" customHeight="false" outlineLevel="0" collapsed="false">
      <c r="A1064" s="7" t="s">
        <v>87</v>
      </c>
      <c r="B1064" s="7" t="n">
        <v>4411028</v>
      </c>
      <c r="C1064" s="7" t="s">
        <v>617</v>
      </c>
      <c r="D1064" s="26" t="n">
        <v>117.1</v>
      </c>
      <c r="E1064" s="26" t="n">
        <v>0</v>
      </c>
      <c r="F1064" s="26" t="n">
        <v>0</v>
      </c>
      <c r="G1064" s="26" t="n">
        <v>0</v>
      </c>
      <c r="H1064" s="26" t="n">
        <v>3010</v>
      </c>
      <c r="I1064" s="26" t="n">
        <v>0</v>
      </c>
      <c r="J1064" s="26" t="n">
        <v>0</v>
      </c>
      <c r="K1064" s="26" t="n">
        <v>355</v>
      </c>
      <c r="L1064" s="26" t="n">
        <v>0</v>
      </c>
      <c r="M1064" s="26" t="n">
        <v>0</v>
      </c>
    </row>
    <row r="1065" customFormat="false" ht="15" hidden="false" customHeight="false" outlineLevel="0" collapsed="false">
      <c r="A1065" s="7" t="s">
        <v>85</v>
      </c>
      <c r="B1065" s="7" t="n">
        <v>4411030</v>
      </c>
      <c r="C1065" s="7" t="s">
        <v>618</v>
      </c>
      <c r="D1065" s="26" t="n">
        <v>1</v>
      </c>
      <c r="E1065" s="26" t="n">
        <v>0</v>
      </c>
      <c r="F1065" s="26" t="n">
        <v>0</v>
      </c>
      <c r="G1065" s="26" t="n">
        <v>0</v>
      </c>
      <c r="H1065" s="26" t="n">
        <v>43</v>
      </c>
      <c r="I1065" s="26" t="n">
        <v>0</v>
      </c>
      <c r="J1065" s="26" t="n">
        <v>0</v>
      </c>
      <c r="K1065" s="26" t="n">
        <v>14</v>
      </c>
      <c r="L1065" s="26" t="n">
        <v>0</v>
      </c>
      <c r="M1065" s="26" t="n">
        <v>0</v>
      </c>
    </row>
    <row r="1066" customFormat="false" ht="15" hidden="false" customHeight="false" outlineLevel="0" collapsed="false">
      <c r="A1066" s="7" t="s">
        <v>87</v>
      </c>
      <c r="B1066" s="7" t="n">
        <v>4411030</v>
      </c>
      <c r="C1066" s="7" t="s">
        <v>618</v>
      </c>
      <c r="D1066" s="26" t="n">
        <v>117.1</v>
      </c>
      <c r="E1066" s="26" t="n">
        <v>0</v>
      </c>
      <c r="F1066" s="26" t="n">
        <v>0</v>
      </c>
      <c r="G1066" s="26" t="n">
        <v>0</v>
      </c>
      <c r="H1066" s="26" t="n">
        <v>4329.8</v>
      </c>
      <c r="I1066" s="26" t="n">
        <v>0</v>
      </c>
      <c r="J1066" s="26" t="n">
        <v>0</v>
      </c>
      <c r="K1066" s="26" t="n">
        <v>994</v>
      </c>
      <c r="L1066" s="26" t="n">
        <v>0</v>
      </c>
      <c r="M1066" s="26" t="n">
        <v>0</v>
      </c>
    </row>
    <row r="1067" customFormat="false" ht="15" hidden="false" customHeight="false" outlineLevel="0" collapsed="false">
      <c r="A1067" s="7" t="s">
        <v>85</v>
      </c>
      <c r="B1067" s="7" t="n">
        <v>4415162</v>
      </c>
      <c r="C1067" s="7" t="s">
        <v>619</v>
      </c>
      <c r="D1067" s="26" t="n">
        <v>293</v>
      </c>
      <c r="E1067" s="26" t="n">
        <v>4</v>
      </c>
      <c r="F1067" s="26" t="n">
        <v>4</v>
      </c>
      <c r="G1067" s="26" t="n">
        <v>0</v>
      </c>
      <c r="H1067" s="26" t="n">
        <v>1715</v>
      </c>
      <c r="I1067" s="26" t="n">
        <v>470</v>
      </c>
      <c r="J1067" s="26" t="n">
        <v>0</v>
      </c>
      <c r="K1067" s="26" t="n">
        <v>0</v>
      </c>
      <c r="L1067" s="26" t="n">
        <v>0</v>
      </c>
      <c r="M1067" s="26" t="n">
        <v>0</v>
      </c>
    </row>
    <row r="1068" customFormat="false" ht="15" hidden="false" customHeight="false" outlineLevel="0" collapsed="false">
      <c r="A1068" s="7" t="s">
        <v>87</v>
      </c>
      <c r="B1068" s="7" t="n">
        <v>4415162</v>
      </c>
      <c r="C1068" s="7" t="s">
        <v>619</v>
      </c>
      <c r="D1068" s="26" t="n">
        <v>5748.3</v>
      </c>
      <c r="E1068" s="26" t="n">
        <v>80.4</v>
      </c>
      <c r="F1068" s="26" t="n">
        <v>80.4</v>
      </c>
      <c r="G1068" s="26" t="n">
        <v>0</v>
      </c>
      <c r="H1068" s="26" t="n">
        <v>25642.7</v>
      </c>
      <c r="I1068" s="26" t="n">
        <v>7238</v>
      </c>
      <c r="J1068" s="26" t="n">
        <v>0</v>
      </c>
      <c r="K1068" s="26" t="n">
        <v>0</v>
      </c>
      <c r="L1068" s="26" t="n">
        <v>0</v>
      </c>
      <c r="M1068" s="26" t="n">
        <v>0</v>
      </c>
    </row>
    <row r="1069" customFormat="false" ht="15" hidden="false" customHeight="false" outlineLevel="0" collapsed="false">
      <c r="A1069" s="7" t="s">
        <v>85</v>
      </c>
      <c r="B1069" s="7" t="n">
        <v>4415161</v>
      </c>
      <c r="C1069" s="7" t="s">
        <v>620</v>
      </c>
      <c r="D1069" s="26" t="n">
        <v>348</v>
      </c>
      <c r="E1069" s="26" t="n">
        <v>0</v>
      </c>
      <c r="F1069" s="26" t="n">
        <v>4</v>
      </c>
      <c r="G1069" s="26" t="n">
        <v>0</v>
      </c>
      <c r="H1069" s="26" t="n">
        <v>1858</v>
      </c>
      <c r="I1069" s="26" t="n">
        <v>533</v>
      </c>
      <c r="J1069" s="26" t="n">
        <v>0</v>
      </c>
      <c r="K1069" s="26" t="n">
        <v>0</v>
      </c>
      <c r="L1069" s="26" t="n">
        <v>0</v>
      </c>
      <c r="M1069" s="26" t="n">
        <v>0</v>
      </c>
    </row>
    <row r="1070" customFormat="false" ht="15" hidden="false" customHeight="false" outlineLevel="0" collapsed="false">
      <c r="A1070" s="7" t="s">
        <v>87</v>
      </c>
      <c r="B1070" s="7" t="n">
        <v>4415161</v>
      </c>
      <c r="C1070" s="7" t="s">
        <v>620</v>
      </c>
      <c r="D1070" s="26" t="n">
        <v>6831.3</v>
      </c>
      <c r="E1070" s="26" t="n">
        <v>0</v>
      </c>
      <c r="F1070" s="26" t="n">
        <v>80.4</v>
      </c>
      <c r="G1070" s="26" t="n">
        <v>0</v>
      </c>
      <c r="H1070" s="26" t="n">
        <v>27773.9</v>
      </c>
      <c r="I1070" s="26" t="n">
        <v>8208.2</v>
      </c>
      <c r="J1070" s="26" t="n">
        <v>0</v>
      </c>
      <c r="K1070" s="26" t="n">
        <v>0</v>
      </c>
      <c r="L1070" s="26" t="n">
        <v>0</v>
      </c>
      <c r="M1070" s="26" t="n">
        <v>0</v>
      </c>
    </row>
    <row r="1071" customFormat="false" ht="15" hidden="false" customHeight="false" outlineLevel="0" collapsed="false">
      <c r="A1071" s="7" t="s">
        <v>85</v>
      </c>
      <c r="B1071" s="7" t="n">
        <v>4415160</v>
      </c>
      <c r="C1071" s="7" t="s">
        <v>621</v>
      </c>
      <c r="D1071" s="26" t="n">
        <v>215</v>
      </c>
      <c r="E1071" s="26" t="n">
        <v>2</v>
      </c>
      <c r="F1071" s="26" t="n">
        <v>4</v>
      </c>
      <c r="G1071" s="26" t="n">
        <v>0</v>
      </c>
      <c r="H1071" s="26" t="n">
        <v>1535</v>
      </c>
      <c r="I1071" s="26" t="n">
        <v>373</v>
      </c>
      <c r="J1071" s="26" t="n">
        <v>0</v>
      </c>
      <c r="K1071" s="26" t="n">
        <v>0</v>
      </c>
      <c r="L1071" s="26" t="n">
        <v>0</v>
      </c>
      <c r="M1071" s="26" t="n">
        <v>0</v>
      </c>
    </row>
    <row r="1072" customFormat="false" ht="15" hidden="false" customHeight="false" outlineLevel="0" collapsed="false">
      <c r="A1072" s="7" t="s">
        <v>87</v>
      </c>
      <c r="B1072" s="7" t="n">
        <v>4415160</v>
      </c>
      <c r="C1072" s="7" t="s">
        <v>621</v>
      </c>
      <c r="D1072" s="26" t="n">
        <v>4225.6</v>
      </c>
      <c r="E1072" s="26" t="n">
        <v>40.2</v>
      </c>
      <c r="F1072" s="26" t="n">
        <v>80.4</v>
      </c>
      <c r="G1072" s="26" t="n">
        <v>0</v>
      </c>
      <c r="H1072" s="26" t="n">
        <v>23030.3</v>
      </c>
      <c r="I1072" s="26" t="n">
        <v>5744.2</v>
      </c>
      <c r="J1072" s="26" t="n">
        <v>0</v>
      </c>
      <c r="K1072" s="26" t="n">
        <v>0</v>
      </c>
      <c r="L1072" s="26" t="n">
        <v>0</v>
      </c>
      <c r="M1072" s="26" t="n">
        <v>0</v>
      </c>
    </row>
    <row r="1073" customFormat="false" ht="15" hidden="false" customHeight="false" outlineLevel="0" collapsed="false">
      <c r="A1073" s="7" t="s">
        <v>85</v>
      </c>
      <c r="B1073" s="7" t="n">
        <v>4415163</v>
      </c>
      <c r="C1073" s="7" t="s">
        <v>622</v>
      </c>
      <c r="D1073" s="26" t="n">
        <v>150</v>
      </c>
      <c r="E1073" s="26" t="n">
        <v>0</v>
      </c>
      <c r="F1073" s="26" t="n">
        <v>4</v>
      </c>
      <c r="G1073" s="26" t="n">
        <v>0</v>
      </c>
      <c r="H1073" s="26" t="n">
        <v>1034</v>
      </c>
      <c r="I1073" s="26" t="n">
        <v>215</v>
      </c>
      <c r="J1073" s="26" t="n">
        <v>0</v>
      </c>
      <c r="K1073" s="26" t="n">
        <v>0</v>
      </c>
      <c r="L1073" s="26" t="n">
        <v>0</v>
      </c>
      <c r="M1073" s="26" t="n">
        <v>0</v>
      </c>
    </row>
    <row r="1074" customFormat="false" ht="15" hidden="false" customHeight="false" outlineLevel="0" collapsed="false">
      <c r="A1074" s="7" t="s">
        <v>87</v>
      </c>
      <c r="B1074" s="7" t="n">
        <v>4415163</v>
      </c>
      <c r="C1074" s="7" t="s">
        <v>622</v>
      </c>
      <c r="D1074" s="26" t="n">
        <v>2965.8</v>
      </c>
      <c r="E1074" s="26" t="n">
        <v>0</v>
      </c>
      <c r="F1074" s="26" t="n">
        <v>80.4</v>
      </c>
      <c r="G1074" s="26" t="n">
        <v>0</v>
      </c>
      <c r="H1074" s="26" t="n">
        <v>15493.9</v>
      </c>
      <c r="I1074" s="26" t="n">
        <v>3311</v>
      </c>
      <c r="J1074" s="26" t="n">
        <v>0</v>
      </c>
      <c r="K1074" s="26" t="n">
        <v>0</v>
      </c>
      <c r="L1074" s="26" t="n">
        <v>0</v>
      </c>
      <c r="M1074" s="26" t="n">
        <v>0</v>
      </c>
    </row>
    <row r="1075" customFormat="false" ht="15" hidden="false" customHeight="false" outlineLevel="0" collapsed="false">
      <c r="A1075" s="7" t="s">
        <v>85</v>
      </c>
      <c r="B1075" s="7" t="n">
        <v>4408057</v>
      </c>
      <c r="C1075" s="7" t="s">
        <v>623</v>
      </c>
      <c r="D1075" s="26" t="n">
        <v>0</v>
      </c>
      <c r="E1075" s="26" t="n">
        <v>0</v>
      </c>
      <c r="F1075" s="26" t="n">
        <v>0</v>
      </c>
      <c r="G1075" s="26" t="n">
        <v>0</v>
      </c>
      <c r="H1075" s="26" t="n">
        <v>0</v>
      </c>
      <c r="I1075" s="26" t="n">
        <v>0</v>
      </c>
      <c r="J1075" s="26" t="n">
        <v>0</v>
      </c>
      <c r="K1075" s="26" t="n">
        <v>0</v>
      </c>
      <c r="L1075" s="26" t="n">
        <v>0</v>
      </c>
      <c r="M1075" s="26" t="n">
        <v>0</v>
      </c>
    </row>
    <row r="1076" customFormat="false" ht="15" hidden="false" customHeight="false" outlineLevel="0" collapsed="false">
      <c r="A1076" s="7" t="s">
        <v>87</v>
      </c>
      <c r="B1076" s="7" t="n">
        <v>4408057</v>
      </c>
      <c r="C1076" s="7" t="s">
        <v>623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0</v>
      </c>
      <c r="L1076" s="26" t="n">
        <v>0</v>
      </c>
      <c r="M1076" s="26" t="n">
        <v>0</v>
      </c>
    </row>
    <row r="1077" customFormat="false" ht="15" hidden="false" customHeight="false" outlineLevel="0" collapsed="false">
      <c r="A1077" s="7" t="s">
        <v>85</v>
      </c>
      <c r="B1077" s="7" t="n">
        <v>4408059</v>
      </c>
      <c r="C1077" s="7" t="s">
        <v>624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0</v>
      </c>
      <c r="L1077" s="26" t="n">
        <v>0</v>
      </c>
      <c r="M1077" s="26" t="n">
        <v>0</v>
      </c>
    </row>
    <row r="1078" customFormat="false" ht="15" hidden="false" customHeight="false" outlineLevel="0" collapsed="false">
      <c r="A1078" s="7" t="s">
        <v>87</v>
      </c>
      <c r="B1078" s="7" t="n">
        <v>4408059</v>
      </c>
      <c r="C1078" s="7" t="s">
        <v>624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0</v>
      </c>
      <c r="L1078" s="26" t="n">
        <v>0</v>
      </c>
      <c r="M1078" s="26" t="n">
        <v>0</v>
      </c>
    </row>
    <row r="1079" customFormat="false" ht="15" hidden="false" customHeight="false" outlineLevel="0" collapsed="false">
      <c r="A1079" s="7" t="s">
        <v>85</v>
      </c>
      <c r="B1079" s="7" t="n">
        <v>4408060</v>
      </c>
      <c r="C1079" s="7" t="s">
        <v>625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-1</v>
      </c>
      <c r="I1079" s="26" t="n">
        <v>0</v>
      </c>
      <c r="J1079" s="26" t="n">
        <v>0</v>
      </c>
      <c r="K1079" s="26" t="n">
        <v>0</v>
      </c>
      <c r="L1079" s="26" t="n">
        <v>0</v>
      </c>
      <c r="M1079" s="26" t="n">
        <v>0</v>
      </c>
    </row>
    <row r="1080" customFormat="false" ht="15" hidden="false" customHeight="false" outlineLevel="0" collapsed="false">
      <c r="A1080" s="7" t="s">
        <v>87</v>
      </c>
      <c r="B1080" s="7" t="n">
        <v>4408060</v>
      </c>
      <c r="C1080" s="7" t="s">
        <v>625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-63.6</v>
      </c>
      <c r="I1080" s="26" t="n">
        <v>0</v>
      </c>
      <c r="J1080" s="26" t="n">
        <v>0</v>
      </c>
      <c r="K1080" s="26" t="n">
        <v>0</v>
      </c>
      <c r="L1080" s="26" t="n">
        <v>0</v>
      </c>
      <c r="M1080" s="26" t="n">
        <v>0</v>
      </c>
    </row>
    <row r="1081" customFormat="false" ht="15" hidden="false" customHeight="false" outlineLevel="0" collapsed="false">
      <c r="A1081" s="7" t="s">
        <v>85</v>
      </c>
      <c r="B1081" s="7" t="n">
        <v>4408061</v>
      </c>
      <c r="C1081" s="7" t="s">
        <v>626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0</v>
      </c>
      <c r="J1081" s="26" t="n">
        <v>0</v>
      </c>
      <c r="K1081" s="26" t="n">
        <v>0</v>
      </c>
      <c r="L1081" s="26" t="n">
        <v>0</v>
      </c>
      <c r="M1081" s="26" t="n">
        <v>0</v>
      </c>
    </row>
    <row r="1082" customFormat="false" ht="15" hidden="false" customHeight="false" outlineLevel="0" collapsed="false">
      <c r="A1082" s="7" t="s">
        <v>87</v>
      </c>
      <c r="B1082" s="7" t="n">
        <v>4408061</v>
      </c>
      <c r="C1082" s="7" t="s">
        <v>626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0</v>
      </c>
      <c r="J1082" s="26" t="n">
        <v>0</v>
      </c>
      <c r="K1082" s="26" t="n">
        <v>0</v>
      </c>
      <c r="L1082" s="26" t="n">
        <v>0</v>
      </c>
      <c r="M1082" s="26" t="n">
        <v>0</v>
      </c>
    </row>
    <row r="1083" customFormat="false" ht="15" hidden="false" customHeight="false" outlineLevel="0" collapsed="false">
      <c r="A1083" s="7" t="s">
        <v>85</v>
      </c>
      <c r="B1083" s="7" t="n">
        <v>4408062</v>
      </c>
      <c r="C1083" s="7" t="s">
        <v>627</v>
      </c>
      <c r="D1083" s="26" t="n">
        <v>-1</v>
      </c>
      <c r="E1083" s="26" t="n">
        <v>0</v>
      </c>
      <c r="F1083" s="26" t="n">
        <v>0</v>
      </c>
      <c r="G1083" s="26" t="n">
        <v>0</v>
      </c>
      <c r="H1083" s="26" t="n">
        <v>-1</v>
      </c>
      <c r="I1083" s="26" t="n">
        <v>-1</v>
      </c>
      <c r="J1083" s="26" t="n">
        <v>0</v>
      </c>
      <c r="K1083" s="26" t="n">
        <v>0</v>
      </c>
      <c r="L1083" s="26" t="n">
        <v>0</v>
      </c>
      <c r="M1083" s="26" t="n">
        <v>0</v>
      </c>
    </row>
    <row r="1084" customFormat="false" ht="15" hidden="false" customHeight="false" outlineLevel="0" collapsed="false">
      <c r="A1084" s="7" t="s">
        <v>87</v>
      </c>
      <c r="B1084" s="7" t="n">
        <v>4408062</v>
      </c>
      <c r="C1084" s="7" t="s">
        <v>627</v>
      </c>
      <c r="D1084" s="26" t="n">
        <v>-53.2</v>
      </c>
      <c r="E1084" s="26" t="n">
        <v>0</v>
      </c>
      <c r="F1084" s="26" t="n">
        <v>0</v>
      </c>
      <c r="G1084" s="26" t="n">
        <v>0</v>
      </c>
      <c r="H1084" s="26" t="n">
        <v>-60.4</v>
      </c>
      <c r="I1084" s="26" t="n">
        <v>-68.5</v>
      </c>
      <c r="J1084" s="26" t="n">
        <v>0</v>
      </c>
      <c r="K1084" s="26" t="n">
        <v>0</v>
      </c>
      <c r="L1084" s="26" t="n">
        <v>0</v>
      </c>
      <c r="M1084" s="26" t="n">
        <v>0</v>
      </c>
    </row>
    <row r="1085" customFormat="false" ht="15" hidden="false" customHeight="false" outlineLevel="0" collapsed="false">
      <c r="A1085" s="7" t="s">
        <v>85</v>
      </c>
      <c r="B1085" s="7" t="n">
        <v>4415000</v>
      </c>
      <c r="C1085" s="7" t="s">
        <v>628</v>
      </c>
      <c r="D1085" s="26" t="n">
        <v>61</v>
      </c>
      <c r="E1085" s="26" t="n">
        <v>0</v>
      </c>
      <c r="F1085" s="26" t="n">
        <v>0</v>
      </c>
      <c r="G1085" s="26" t="n">
        <v>0</v>
      </c>
      <c r="H1085" s="26" t="n">
        <v>316</v>
      </c>
      <c r="I1085" s="26" t="n">
        <v>57</v>
      </c>
      <c r="J1085" s="26" t="n">
        <v>0</v>
      </c>
      <c r="K1085" s="26" t="n">
        <v>0</v>
      </c>
      <c r="L1085" s="26" t="n">
        <v>0</v>
      </c>
      <c r="M1085" s="26" t="n">
        <v>-1</v>
      </c>
    </row>
    <row r="1086" customFormat="false" ht="15" hidden="false" customHeight="false" outlineLevel="0" collapsed="false">
      <c r="A1086" s="7" t="s">
        <v>87</v>
      </c>
      <c r="B1086" s="7" t="n">
        <v>4415000</v>
      </c>
      <c r="C1086" s="7" t="s">
        <v>628</v>
      </c>
      <c r="D1086" s="26" t="n">
        <v>6058</v>
      </c>
      <c r="E1086" s="26" t="n">
        <v>0</v>
      </c>
      <c r="F1086" s="26" t="n">
        <v>0</v>
      </c>
      <c r="G1086" s="26" t="n">
        <v>0</v>
      </c>
      <c r="H1086" s="26" t="n">
        <v>26095.1</v>
      </c>
      <c r="I1086" s="26" t="n">
        <v>5027.4</v>
      </c>
      <c r="J1086" s="26" t="n">
        <v>0</v>
      </c>
      <c r="K1086" s="26" t="n">
        <v>0</v>
      </c>
      <c r="L1086" s="26" t="n">
        <v>0</v>
      </c>
      <c r="M1086" s="26" t="n">
        <v>-137.4</v>
      </c>
    </row>
    <row r="1087" customFormat="false" ht="15" hidden="false" customHeight="false" outlineLevel="0" collapsed="false">
      <c r="A1087" s="7" t="s">
        <v>85</v>
      </c>
      <c r="B1087" s="7" t="n">
        <v>4415001</v>
      </c>
      <c r="C1087" s="7" t="s">
        <v>629</v>
      </c>
      <c r="D1087" s="26" t="n">
        <v>41</v>
      </c>
      <c r="E1087" s="26" t="n">
        <v>0</v>
      </c>
      <c r="F1087" s="26" t="n">
        <v>0</v>
      </c>
      <c r="G1087" s="26" t="n">
        <v>0</v>
      </c>
      <c r="H1087" s="26" t="n">
        <v>385</v>
      </c>
      <c r="I1087" s="26" t="n">
        <v>59</v>
      </c>
      <c r="J1087" s="26" t="n">
        <v>0</v>
      </c>
      <c r="K1087" s="26" t="n">
        <v>0</v>
      </c>
      <c r="L1087" s="26" t="n">
        <v>0</v>
      </c>
      <c r="M1087" s="26" t="n">
        <v>-2</v>
      </c>
    </row>
    <row r="1088" customFormat="false" ht="15" hidden="false" customHeight="false" outlineLevel="0" collapsed="false">
      <c r="A1088" s="7" t="s">
        <v>87</v>
      </c>
      <c r="B1088" s="7" t="n">
        <v>4415001</v>
      </c>
      <c r="C1088" s="7" t="s">
        <v>629</v>
      </c>
      <c r="D1088" s="26" t="n">
        <v>4043.7</v>
      </c>
      <c r="E1088" s="26" t="n">
        <v>0</v>
      </c>
      <c r="F1088" s="26" t="n">
        <v>0</v>
      </c>
      <c r="G1088" s="26" t="n">
        <v>0</v>
      </c>
      <c r="H1088" s="26" t="n">
        <v>32031.2</v>
      </c>
      <c r="I1088" s="26" t="n">
        <v>5160.9</v>
      </c>
      <c r="J1088" s="26" t="n">
        <v>0</v>
      </c>
      <c r="K1088" s="26" t="n">
        <v>0</v>
      </c>
      <c r="L1088" s="26" t="n">
        <v>0</v>
      </c>
      <c r="M1088" s="26" t="n">
        <v>-274.9</v>
      </c>
    </row>
    <row r="1089" customFormat="false" ht="15" hidden="false" customHeight="false" outlineLevel="0" collapsed="false">
      <c r="A1089" s="7" t="s">
        <v>85</v>
      </c>
      <c r="B1089" s="7" t="n">
        <v>4415002</v>
      </c>
      <c r="C1089" s="7" t="s">
        <v>630</v>
      </c>
      <c r="D1089" s="26" t="n">
        <v>28</v>
      </c>
      <c r="E1089" s="26" t="n">
        <v>0</v>
      </c>
      <c r="F1089" s="26" t="n">
        <v>0</v>
      </c>
      <c r="G1089" s="26" t="n">
        <v>0</v>
      </c>
      <c r="H1089" s="26" t="n">
        <v>278</v>
      </c>
      <c r="I1089" s="26" t="n">
        <v>40</v>
      </c>
      <c r="J1089" s="26" t="n">
        <v>0</v>
      </c>
      <c r="K1089" s="26" t="n">
        <v>0</v>
      </c>
      <c r="L1089" s="26" t="n">
        <v>0</v>
      </c>
      <c r="M1089" s="26" t="n">
        <v>0</v>
      </c>
    </row>
    <row r="1090" customFormat="false" ht="15" hidden="false" customHeight="false" outlineLevel="0" collapsed="false">
      <c r="A1090" s="7" t="s">
        <v>87</v>
      </c>
      <c r="B1090" s="7" t="n">
        <v>4415002</v>
      </c>
      <c r="C1090" s="7" t="s">
        <v>630</v>
      </c>
      <c r="D1090" s="26" t="n">
        <v>2810.4</v>
      </c>
      <c r="E1090" s="26" t="n">
        <v>0</v>
      </c>
      <c r="F1090" s="26" t="n">
        <v>0</v>
      </c>
      <c r="G1090" s="26" t="n">
        <v>0</v>
      </c>
      <c r="H1090" s="26" t="n">
        <v>22928.6</v>
      </c>
      <c r="I1090" s="26" t="n">
        <v>3528</v>
      </c>
      <c r="J1090" s="26" t="n">
        <v>0</v>
      </c>
      <c r="K1090" s="26" t="n">
        <v>0</v>
      </c>
      <c r="L1090" s="26" t="n">
        <v>0</v>
      </c>
      <c r="M1090" s="26" t="n">
        <v>0</v>
      </c>
    </row>
    <row r="1091" customFormat="false" ht="15" hidden="false" customHeight="false" outlineLevel="0" collapsed="false">
      <c r="A1091" s="7" t="s">
        <v>85</v>
      </c>
      <c r="B1091" s="7" t="n">
        <v>4415003</v>
      </c>
      <c r="C1091" s="7" t="s">
        <v>631</v>
      </c>
      <c r="D1091" s="26" t="n">
        <v>29</v>
      </c>
      <c r="E1091" s="26" t="n">
        <v>0</v>
      </c>
      <c r="F1091" s="26" t="n">
        <v>0</v>
      </c>
      <c r="G1091" s="26" t="n">
        <v>0</v>
      </c>
      <c r="H1091" s="26" t="n">
        <v>197</v>
      </c>
      <c r="I1091" s="26" t="n">
        <v>33</v>
      </c>
      <c r="J1091" s="26" t="n">
        <v>0</v>
      </c>
      <c r="K1091" s="26" t="n">
        <v>0</v>
      </c>
      <c r="L1091" s="26" t="n">
        <v>0</v>
      </c>
      <c r="M1091" s="26" t="n">
        <v>-1</v>
      </c>
    </row>
    <row r="1092" customFormat="false" ht="15" hidden="false" customHeight="false" outlineLevel="0" collapsed="false">
      <c r="A1092" s="7" t="s">
        <v>87</v>
      </c>
      <c r="B1092" s="7" t="n">
        <v>4415003</v>
      </c>
      <c r="C1092" s="7" t="s">
        <v>631</v>
      </c>
      <c r="D1092" s="26" t="n">
        <v>2941.9</v>
      </c>
      <c r="E1092" s="26" t="n">
        <v>0</v>
      </c>
      <c r="F1092" s="26" t="n">
        <v>0</v>
      </c>
      <c r="G1092" s="26" t="n">
        <v>0</v>
      </c>
      <c r="H1092" s="26" t="n">
        <v>16329.4</v>
      </c>
      <c r="I1092" s="26" t="n">
        <v>2910.6</v>
      </c>
      <c r="J1092" s="26" t="n">
        <v>0</v>
      </c>
      <c r="K1092" s="26" t="n">
        <v>0</v>
      </c>
      <c r="L1092" s="26" t="n">
        <v>0</v>
      </c>
      <c r="M1092" s="26" t="n">
        <v>-137.4</v>
      </c>
    </row>
    <row r="1093" customFormat="false" ht="15" hidden="false" customHeight="false" outlineLevel="0" collapsed="false">
      <c r="A1093" s="7" t="s">
        <v>85</v>
      </c>
      <c r="B1093" s="7" t="n">
        <v>4415142</v>
      </c>
      <c r="C1093" s="7" t="s">
        <v>632</v>
      </c>
      <c r="D1093" s="26" t="n">
        <v>0</v>
      </c>
      <c r="E1093" s="26" t="n">
        <v>0</v>
      </c>
      <c r="F1093" s="26" t="n">
        <v>0</v>
      </c>
      <c r="G1093" s="26" t="n">
        <v>0</v>
      </c>
      <c r="H1093" s="26" t="n">
        <v>0</v>
      </c>
      <c r="I1093" s="26" t="n">
        <v>0</v>
      </c>
      <c r="J1093" s="26" t="n">
        <v>0</v>
      </c>
      <c r="K1093" s="26" t="n">
        <v>0</v>
      </c>
      <c r="L1093" s="26" t="n">
        <v>0</v>
      </c>
      <c r="M1093" s="26" t="n">
        <v>0</v>
      </c>
    </row>
    <row r="1094" customFormat="false" ht="15" hidden="false" customHeight="false" outlineLevel="0" collapsed="false">
      <c r="A1094" s="7" t="s">
        <v>87</v>
      </c>
      <c r="B1094" s="7" t="n">
        <v>4415142</v>
      </c>
      <c r="C1094" s="7" t="s">
        <v>632</v>
      </c>
      <c r="D1094" s="26" t="n">
        <v>0</v>
      </c>
      <c r="E1094" s="26" t="n">
        <v>0</v>
      </c>
      <c r="F1094" s="26" t="n">
        <v>0</v>
      </c>
      <c r="G1094" s="26" t="n">
        <v>0</v>
      </c>
      <c r="H1094" s="26" t="n">
        <v>0</v>
      </c>
      <c r="I1094" s="26" t="n">
        <v>0</v>
      </c>
      <c r="J1094" s="26" t="n">
        <v>0</v>
      </c>
      <c r="K1094" s="26" t="n">
        <v>0</v>
      </c>
      <c r="L1094" s="26" t="n">
        <v>0</v>
      </c>
      <c r="M1094" s="26" t="n">
        <v>0</v>
      </c>
    </row>
    <row r="1095" customFormat="false" ht="15" hidden="false" customHeight="false" outlineLevel="0" collapsed="false">
      <c r="A1095" s="7" t="s">
        <v>85</v>
      </c>
      <c r="B1095" s="7" t="n">
        <v>4415004</v>
      </c>
      <c r="C1095" s="7" t="s">
        <v>633</v>
      </c>
      <c r="D1095" s="26" t="n">
        <v>2</v>
      </c>
      <c r="E1095" s="26" t="n">
        <v>0</v>
      </c>
      <c r="F1095" s="26" t="n">
        <v>0</v>
      </c>
      <c r="G1095" s="26" t="n">
        <v>0</v>
      </c>
      <c r="H1095" s="26" t="n">
        <v>0</v>
      </c>
      <c r="I1095" s="26" t="n">
        <v>0</v>
      </c>
      <c r="J1095" s="26" t="n">
        <v>0</v>
      </c>
      <c r="K1095" s="26" t="n">
        <v>0</v>
      </c>
      <c r="L1095" s="26" t="n">
        <v>0</v>
      </c>
      <c r="M1095" s="26" t="n">
        <v>0</v>
      </c>
    </row>
    <row r="1096" customFormat="false" ht="15" hidden="false" customHeight="false" outlineLevel="0" collapsed="false">
      <c r="A1096" s="7" t="s">
        <v>87</v>
      </c>
      <c r="B1096" s="7" t="n">
        <v>4415004</v>
      </c>
      <c r="C1096" s="7" t="s">
        <v>633</v>
      </c>
      <c r="D1096" s="26" t="n">
        <v>206.1</v>
      </c>
      <c r="E1096" s="26" t="n">
        <v>0</v>
      </c>
      <c r="F1096" s="26" t="n">
        <v>0</v>
      </c>
      <c r="G1096" s="26" t="n">
        <v>0</v>
      </c>
      <c r="H1096" s="26" t="n">
        <v>0</v>
      </c>
      <c r="I1096" s="26" t="n">
        <v>0</v>
      </c>
      <c r="J1096" s="26" t="n">
        <v>0</v>
      </c>
      <c r="K1096" s="26" t="n">
        <v>0</v>
      </c>
      <c r="L1096" s="26" t="n">
        <v>0</v>
      </c>
      <c r="M1096" s="26" t="n">
        <v>0</v>
      </c>
    </row>
    <row r="1097" customFormat="false" ht="15" hidden="false" customHeight="false" outlineLevel="0" collapsed="false">
      <c r="A1097" s="7" t="s">
        <v>85</v>
      </c>
      <c r="B1097" s="7" t="n">
        <v>4415158</v>
      </c>
      <c r="C1097" s="7" t="s">
        <v>634</v>
      </c>
      <c r="D1097" s="26" t="n">
        <v>337</v>
      </c>
      <c r="E1097" s="26" t="n">
        <v>0</v>
      </c>
      <c r="F1097" s="26" t="n">
        <v>0</v>
      </c>
      <c r="G1097" s="26" t="n">
        <v>0</v>
      </c>
      <c r="H1097" s="26" t="n">
        <v>3673</v>
      </c>
      <c r="I1097" s="26" t="n">
        <v>331</v>
      </c>
      <c r="J1097" s="26" t="n">
        <v>0</v>
      </c>
      <c r="K1097" s="26" t="n">
        <v>648</v>
      </c>
      <c r="L1097" s="26" t="n">
        <v>0</v>
      </c>
      <c r="M1097" s="26" t="n">
        <v>-1</v>
      </c>
    </row>
    <row r="1098" customFormat="false" ht="15" hidden="false" customHeight="false" outlineLevel="0" collapsed="false">
      <c r="A1098" s="7" t="s">
        <v>87</v>
      </c>
      <c r="B1098" s="7" t="n">
        <v>4415158</v>
      </c>
      <c r="C1098" s="7" t="s">
        <v>634</v>
      </c>
      <c r="D1098" s="26" t="n">
        <v>26307.6</v>
      </c>
      <c r="E1098" s="26" t="n">
        <v>0</v>
      </c>
      <c r="F1098" s="26" t="n">
        <v>0</v>
      </c>
      <c r="G1098" s="26" t="n">
        <v>0</v>
      </c>
      <c r="H1098" s="26" t="n">
        <v>248607.4</v>
      </c>
      <c r="I1098" s="26" t="n">
        <v>24083.6</v>
      </c>
      <c r="J1098" s="26" t="n">
        <v>0</v>
      </c>
      <c r="K1098" s="26" t="n">
        <v>29484</v>
      </c>
      <c r="L1098" s="26" t="n">
        <v>0</v>
      </c>
      <c r="M1098" s="26" t="n">
        <v>-106.2</v>
      </c>
    </row>
    <row r="1099" customFormat="false" ht="15" hidden="false" customHeight="false" outlineLevel="0" collapsed="false">
      <c r="A1099" s="7" t="s">
        <v>85</v>
      </c>
      <c r="B1099" s="7" t="n">
        <v>4415170</v>
      </c>
      <c r="C1099" s="7" t="s">
        <v>635</v>
      </c>
      <c r="D1099" s="26" t="n">
        <v>0</v>
      </c>
      <c r="E1099" s="26" t="n">
        <v>0</v>
      </c>
      <c r="F1099" s="26" t="n">
        <v>0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0</v>
      </c>
      <c r="L1099" s="26" t="n">
        <v>0</v>
      </c>
      <c r="M1099" s="26" t="n">
        <v>0</v>
      </c>
    </row>
    <row r="1100" customFormat="false" ht="15" hidden="false" customHeight="false" outlineLevel="0" collapsed="false">
      <c r="A1100" s="7" t="s">
        <v>87</v>
      </c>
      <c r="B1100" s="7" t="n">
        <v>4415170</v>
      </c>
      <c r="C1100" s="7" t="s">
        <v>635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0</v>
      </c>
      <c r="L1100" s="26" t="n">
        <v>0</v>
      </c>
      <c r="M1100" s="26" t="n">
        <v>0</v>
      </c>
    </row>
    <row r="1101" customFormat="false" ht="15" hidden="false" customHeight="false" outlineLevel="0" collapsed="false">
      <c r="A1101" s="7" t="s">
        <v>85</v>
      </c>
      <c r="B1101" s="7" t="n">
        <v>4415171</v>
      </c>
      <c r="C1101" s="7" t="s">
        <v>636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0</v>
      </c>
      <c r="L1101" s="26" t="n">
        <v>0</v>
      </c>
      <c r="M1101" s="26" t="n">
        <v>0</v>
      </c>
    </row>
    <row r="1102" customFormat="false" ht="15" hidden="false" customHeight="false" outlineLevel="0" collapsed="false">
      <c r="A1102" s="7" t="s">
        <v>87</v>
      </c>
      <c r="B1102" s="7" t="n">
        <v>4415171</v>
      </c>
      <c r="C1102" s="7" t="s">
        <v>636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0</v>
      </c>
      <c r="L1102" s="26" t="n">
        <v>0</v>
      </c>
      <c r="M1102" s="26" t="n">
        <v>0</v>
      </c>
    </row>
    <row r="1103" customFormat="false" ht="15" hidden="false" customHeight="false" outlineLevel="0" collapsed="false">
      <c r="A1103" s="7" t="s">
        <v>85</v>
      </c>
      <c r="B1103" s="7" t="n">
        <v>4415165</v>
      </c>
      <c r="C1103" s="7" t="s">
        <v>637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0</v>
      </c>
      <c r="L1103" s="26" t="n">
        <v>0</v>
      </c>
      <c r="M1103" s="26" t="n">
        <v>0</v>
      </c>
    </row>
    <row r="1104" customFormat="false" ht="15" hidden="false" customHeight="false" outlineLevel="0" collapsed="false">
      <c r="A1104" s="7" t="s">
        <v>87</v>
      </c>
      <c r="B1104" s="7" t="n">
        <v>4415165</v>
      </c>
      <c r="C1104" s="7" t="s">
        <v>637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0</v>
      </c>
      <c r="L1104" s="26" t="n">
        <v>0</v>
      </c>
      <c r="M1104" s="26" t="n">
        <v>0</v>
      </c>
    </row>
    <row r="1105" customFormat="false" ht="15" hidden="false" customHeight="false" outlineLevel="0" collapsed="false">
      <c r="A1105" s="7" t="s">
        <v>85</v>
      </c>
      <c r="B1105" s="7" t="n">
        <v>4415164</v>
      </c>
      <c r="C1105" s="7" t="s">
        <v>638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-1</v>
      </c>
      <c r="I1105" s="26" t="n">
        <v>0</v>
      </c>
      <c r="J1105" s="26" t="n">
        <v>0</v>
      </c>
      <c r="K1105" s="26" t="n">
        <v>0</v>
      </c>
      <c r="L1105" s="26" t="n">
        <v>0</v>
      </c>
      <c r="M1105" s="26" t="n">
        <v>0</v>
      </c>
    </row>
    <row r="1106" customFormat="false" ht="15" hidden="false" customHeight="false" outlineLevel="0" collapsed="false">
      <c r="A1106" s="7" t="s">
        <v>87</v>
      </c>
      <c r="B1106" s="7" t="n">
        <v>4415164</v>
      </c>
      <c r="C1106" s="7" t="s">
        <v>638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-94.2</v>
      </c>
      <c r="I1106" s="26" t="n">
        <v>0</v>
      </c>
      <c r="J1106" s="26" t="n">
        <v>0</v>
      </c>
      <c r="K1106" s="26" t="n">
        <v>0</v>
      </c>
      <c r="L1106" s="26" t="n">
        <v>0</v>
      </c>
      <c r="M1106" s="26" t="n">
        <v>0</v>
      </c>
    </row>
    <row r="1107" customFormat="false" ht="15" hidden="false" customHeight="false" outlineLevel="0" collapsed="false">
      <c r="A1107" s="7" t="s">
        <v>85</v>
      </c>
      <c r="B1107" s="7" t="n">
        <v>4415166</v>
      </c>
      <c r="C1107" s="7" t="s">
        <v>639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0</v>
      </c>
      <c r="J1107" s="26" t="n">
        <v>0</v>
      </c>
      <c r="K1107" s="26" t="n">
        <v>0</v>
      </c>
      <c r="L1107" s="26" t="n">
        <v>0</v>
      </c>
      <c r="M1107" s="26" t="n">
        <v>0</v>
      </c>
    </row>
    <row r="1108" customFormat="false" ht="15" hidden="false" customHeight="false" outlineLevel="0" collapsed="false">
      <c r="A1108" s="7" t="s">
        <v>87</v>
      </c>
      <c r="B1108" s="7" t="n">
        <v>4415166</v>
      </c>
      <c r="C1108" s="7" t="s">
        <v>639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0</v>
      </c>
      <c r="J1108" s="26" t="n">
        <v>0</v>
      </c>
      <c r="K1108" s="26" t="n">
        <v>0</v>
      </c>
      <c r="L1108" s="26" t="n">
        <v>0</v>
      </c>
      <c r="M1108" s="26" t="n">
        <v>0</v>
      </c>
    </row>
    <row r="1109" customFormat="false" ht="15" hidden="false" customHeight="false" outlineLevel="0" collapsed="false">
      <c r="A1109" s="7" t="s">
        <v>85</v>
      </c>
      <c r="B1109" s="7" t="n">
        <v>4415173</v>
      </c>
      <c r="C1109" s="7" t="s">
        <v>640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0</v>
      </c>
      <c r="J1109" s="26" t="n">
        <v>0</v>
      </c>
      <c r="K1109" s="26" t="n">
        <v>0</v>
      </c>
      <c r="L1109" s="26" t="n">
        <v>0</v>
      </c>
      <c r="M1109" s="26" t="n">
        <v>0</v>
      </c>
    </row>
    <row r="1110" customFormat="false" ht="15" hidden="false" customHeight="false" outlineLevel="0" collapsed="false">
      <c r="A1110" s="7" t="s">
        <v>87</v>
      </c>
      <c r="B1110" s="7" t="n">
        <v>4415173</v>
      </c>
      <c r="C1110" s="7" t="s">
        <v>640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0</v>
      </c>
      <c r="J1110" s="26" t="n">
        <v>0</v>
      </c>
      <c r="K1110" s="26" t="n">
        <v>0</v>
      </c>
      <c r="L1110" s="26" t="n">
        <v>0</v>
      </c>
      <c r="M1110" s="26" t="n">
        <v>0</v>
      </c>
    </row>
    <row r="1111" customFormat="false" ht="15" hidden="false" customHeight="false" outlineLevel="0" collapsed="false">
      <c r="A1111" s="7" t="s">
        <v>85</v>
      </c>
      <c r="B1111" s="7" t="n">
        <v>4415174</v>
      </c>
      <c r="C1111" s="7" t="s">
        <v>641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0</v>
      </c>
      <c r="J1111" s="26" t="n">
        <v>0</v>
      </c>
      <c r="K1111" s="26" t="n">
        <v>0</v>
      </c>
      <c r="L1111" s="26" t="n">
        <v>0</v>
      </c>
      <c r="M1111" s="26" t="n">
        <v>0</v>
      </c>
    </row>
    <row r="1112" customFormat="false" ht="15" hidden="false" customHeight="false" outlineLevel="0" collapsed="false">
      <c r="A1112" s="7" t="s">
        <v>87</v>
      </c>
      <c r="B1112" s="7" t="n">
        <v>4415174</v>
      </c>
      <c r="C1112" s="7" t="s">
        <v>641</v>
      </c>
      <c r="D1112" s="26" t="n">
        <v>0</v>
      </c>
      <c r="E1112" s="26" t="n">
        <v>0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0</v>
      </c>
      <c r="L1112" s="26" t="n">
        <v>0</v>
      </c>
      <c r="M1112" s="26" t="n">
        <v>0</v>
      </c>
    </row>
    <row r="1113" customFormat="false" ht="15" hidden="false" customHeight="false" outlineLevel="0" collapsed="false">
      <c r="A1113" s="7" t="s">
        <v>85</v>
      </c>
      <c r="B1113" s="7" t="n">
        <v>4415167</v>
      </c>
      <c r="C1113" s="7" t="s">
        <v>642</v>
      </c>
      <c r="D1113" s="26" t="n">
        <v>0</v>
      </c>
      <c r="E1113" s="26" t="n">
        <v>0</v>
      </c>
      <c r="F1113" s="26" t="n">
        <v>0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  <c r="L1113" s="26" t="n">
        <v>0</v>
      </c>
      <c r="M1113" s="26" t="n">
        <v>0</v>
      </c>
    </row>
    <row r="1114" customFormat="false" ht="15" hidden="false" customHeight="false" outlineLevel="0" collapsed="false">
      <c r="A1114" s="7" t="s">
        <v>87</v>
      </c>
      <c r="B1114" s="7" t="n">
        <v>4415167</v>
      </c>
      <c r="C1114" s="7" t="s">
        <v>642</v>
      </c>
      <c r="D1114" s="26" t="n">
        <v>0</v>
      </c>
      <c r="E1114" s="26" t="n">
        <v>0</v>
      </c>
      <c r="F1114" s="26" t="n">
        <v>0</v>
      </c>
      <c r="G1114" s="26" t="n">
        <v>0</v>
      </c>
      <c r="H1114" s="26" t="n">
        <v>0</v>
      </c>
      <c r="I1114" s="26" t="n">
        <v>0</v>
      </c>
      <c r="J1114" s="26" t="n">
        <v>0</v>
      </c>
      <c r="K1114" s="26" t="n">
        <v>0</v>
      </c>
      <c r="L1114" s="26" t="n">
        <v>0</v>
      </c>
      <c r="M1114" s="26" t="n">
        <v>0</v>
      </c>
    </row>
    <row r="1115" customFormat="false" ht="15" hidden="false" customHeight="false" outlineLevel="0" collapsed="false">
      <c r="A1115" s="7" t="s">
        <v>85</v>
      </c>
      <c r="B1115" s="7" t="n">
        <v>4415168</v>
      </c>
      <c r="C1115" s="7" t="s">
        <v>643</v>
      </c>
      <c r="D1115" s="26" t="n">
        <v>0</v>
      </c>
      <c r="E1115" s="26" t="n">
        <v>0</v>
      </c>
      <c r="F1115" s="26" t="n">
        <v>0</v>
      </c>
      <c r="G1115" s="26" t="n">
        <v>0</v>
      </c>
      <c r="H1115" s="26" t="n">
        <v>0</v>
      </c>
      <c r="I1115" s="26" t="n">
        <v>0</v>
      </c>
      <c r="J1115" s="26" t="n">
        <v>0</v>
      </c>
      <c r="K1115" s="26" t="n">
        <v>0</v>
      </c>
      <c r="L1115" s="26" t="n">
        <v>0</v>
      </c>
      <c r="M1115" s="26" t="n">
        <v>0</v>
      </c>
    </row>
    <row r="1116" customFormat="false" ht="15" hidden="false" customHeight="false" outlineLevel="0" collapsed="false">
      <c r="A1116" s="7" t="s">
        <v>87</v>
      </c>
      <c r="B1116" s="7" t="n">
        <v>4415168</v>
      </c>
      <c r="C1116" s="7" t="s">
        <v>643</v>
      </c>
      <c r="D1116" s="26" t="n">
        <v>0</v>
      </c>
      <c r="E1116" s="26" t="n">
        <v>0</v>
      </c>
      <c r="F1116" s="26" t="n">
        <v>0</v>
      </c>
      <c r="G1116" s="26" t="n">
        <v>0</v>
      </c>
      <c r="H1116" s="26" t="n">
        <v>0</v>
      </c>
      <c r="I1116" s="26" t="n">
        <v>0</v>
      </c>
      <c r="J1116" s="26" t="n">
        <v>0</v>
      </c>
      <c r="K1116" s="26" t="n">
        <v>0</v>
      </c>
      <c r="L1116" s="26" t="n">
        <v>0</v>
      </c>
      <c r="M1116" s="26" t="n">
        <v>0</v>
      </c>
    </row>
    <row r="1117" customFormat="false" ht="15" hidden="false" customHeight="false" outlineLevel="0" collapsed="false">
      <c r="A1117" s="7" t="s">
        <v>85</v>
      </c>
      <c r="B1117" s="7" t="n">
        <v>4415169</v>
      </c>
      <c r="C1117" s="7" t="s">
        <v>644</v>
      </c>
      <c r="D1117" s="26" t="n">
        <v>0</v>
      </c>
      <c r="E1117" s="26" t="n">
        <v>0</v>
      </c>
      <c r="F1117" s="26" t="n">
        <v>0</v>
      </c>
      <c r="G1117" s="26" t="n">
        <v>0</v>
      </c>
      <c r="H1117" s="26" t="n">
        <v>0</v>
      </c>
      <c r="I1117" s="26" t="n">
        <v>0</v>
      </c>
      <c r="J1117" s="26" t="n">
        <v>0</v>
      </c>
      <c r="K1117" s="26" t="n">
        <v>0</v>
      </c>
      <c r="L1117" s="26" t="n">
        <v>0</v>
      </c>
      <c r="M1117" s="26" t="n">
        <v>0</v>
      </c>
    </row>
    <row r="1118" customFormat="false" ht="15" hidden="false" customHeight="false" outlineLevel="0" collapsed="false">
      <c r="A1118" s="7" t="s">
        <v>87</v>
      </c>
      <c r="B1118" s="7" t="n">
        <v>4415169</v>
      </c>
      <c r="C1118" s="7" t="s">
        <v>644</v>
      </c>
      <c r="D1118" s="26" t="n">
        <v>0</v>
      </c>
      <c r="E1118" s="26" t="n">
        <v>0</v>
      </c>
      <c r="F1118" s="26" t="n">
        <v>0</v>
      </c>
      <c r="G1118" s="26" t="n">
        <v>0</v>
      </c>
      <c r="H1118" s="26" t="n">
        <v>0</v>
      </c>
      <c r="I1118" s="26" t="n">
        <v>0</v>
      </c>
      <c r="J1118" s="26" t="n">
        <v>0</v>
      </c>
      <c r="K1118" s="26" t="n">
        <v>0</v>
      </c>
      <c r="L1118" s="26" t="n">
        <v>0</v>
      </c>
      <c r="M1118" s="26" t="n">
        <v>0</v>
      </c>
    </row>
    <row r="1119" customFormat="false" ht="15" hidden="false" customHeight="false" outlineLevel="0" collapsed="false">
      <c r="A1119" s="7" t="s">
        <v>85</v>
      </c>
      <c r="B1119" s="7" t="n">
        <v>4415159</v>
      </c>
      <c r="C1119" s="7" t="s">
        <v>645</v>
      </c>
      <c r="D1119" s="26" t="n">
        <v>105</v>
      </c>
      <c r="E1119" s="26" t="n">
        <v>0</v>
      </c>
      <c r="F1119" s="26" t="n">
        <v>0</v>
      </c>
      <c r="G1119" s="26" t="n">
        <v>0</v>
      </c>
      <c r="H1119" s="26" t="n">
        <v>129</v>
      </c>
      <c r="I1119" s="26" t="n">
        <v>30</v>
      </c>
      <c r="J1119" s="26" t="n">
        <v>0</v>
      </c>
      <c r="K1119" s="26" t="n">
        <v>274</v>
      </c>
      <c r="L1119" s="26" t="n">
        <v>0</v>
      </c>
      <c r="M1119" s="26" t="n">
        <v>0</v>
      </c>
    </row>
    <row r="1120" customFormat="false" ht="15" hidden="false" customHeight="false" outlineLevel="0" collapsed="false">
      <c r="A1120" s="7" t="s">
        <v>87</v>
      </c>
      <c r="B1120" s="7" t="n">
        <v>4415159</v>
      </c>
      <c r="C1120" s="7" t="s">
        <v>645</v>
      </c>
      <c r="D1120" s="26" t="n">
        <v>12242</v>
      </c>
      <c r="E1120" s="26" t="n">
        <v>0</v>
      </c>
      <c r="F1120" s="26" t="n">
        <v>0</v>
      </c>
      <c r="G1120" s="26" t="n">
        <v>0</v>
      </c>
      <c r="H1120" s="26" t="n">
        <v>13126.7</v>
      </c>
      <c r="I1120" s="26" t="n">
        <v>3307.6</v>
      </c>
      <c r="J1120" s="26" t="n">
        <v>0</v>
      </c>
      <c r="K1120" s="26" t="n">
        <v>21317.2</v>
      </c>
      <c r="L1120" s="26" t="n">
        <v>0</v>
      </c>
      <c r="M1120" s="26" t="n">
        <v>0</v>
      </c>
    </row>
    <row r="1121" customFormat="false" ht="15" hidden="false" customHeight="false" outlineLevel="0" collapsed="false">
      <c r="A1121" s="7" t="s">
        <v>85</v>
      </c>
      <c r="B1121" s="7" t="n">
        <v>4415093</v>
      </c>
      <c r="C1121" s="7" t="s">
        <v>646</v>
      </c>
      <c r="D1121" s="26" t="n">
        <v>0</v>
      </c>
      <c r="E1121" s="26" t="n">
        <v>0</v>
      </c>
      <c r="F1121" s="26" t="n">
        <v>0</v>
      </c>
      <c r="G1121" s="26" t="n">
        <v>0</v>
      </c>
      <c r="H1121" s="26" t="n">
        <v>-1</v>
      </c>
      <c r="I1121" s="26" t="n">
        <v>0</v>
      </c>
      <c r="J1121" s="26" t="n">
        <v>0</v>
      </c>
      <c r="K1121" s="26" t="n">
        <v>0</v>
      </c>
      <c r="L1121" s="26" t="n">
        <v>0</v>
      </c>
      <c r="M1121" s="26" t="n">
        <v>0</v>
      </c>
    </row>
    <row r="1122" customFormat="false" ht="15" hidden="false" customHeight="false" outlineLevel="0" collapsed="false">
      <c r="A1122" s="7" t="s">
        <v>87</v>
      </c>
      <c r="B1122" s="7" t="n">
        <v>4415093</v>
      </c>
      <c r="C1122" s="7" t="s">
        <v>646</v>
      </c>
      <c r="D1122" s="26" t="n">
        <v>0</v>
      </c>
      <c r="E1122" s="26" t="n">
        <v>0</v>
      </c>
      <c r="F1122" s="26" t="n">
        <v>0</v>
      </c>
      <c r="G1122" s="26" t="n">
        <v>0</v>
      </c>
      <c r="H1122" s="26" t="n">
        <v>-90.1</v>
      </c>
      <c r="I1122" s="26" t="n">
        <v>0</v>
      </c>
      <c r="J1122" s="26" t="n">
        <v>0</v>
      </c>
      <c r="K1122" s="26" t="n">
        <v>0</v>
      </c>
      <c r="L1122" s="26" t="n">
        <v>0</v>
      </c>
      <c r="M1122" s="26" t="n">
        <v>0</v>
      </c>
    </row>
    <row r="1123" customFormat="false" ht="15" hidden="false" customHeight="false" outlineLevel="0" collapsed="false">
      <c r="A1123" s="7" t="s">
        <v>85</v>
      </c>
      <c r="B1123" s="7" t="n">
        <v>4415124</v>
      </c>
      <c r="C1123" s="7" t="s">
        <v>647</v>
      </c>
      <c r="D1123" s="26" t="n">
        <v>0</v>
      </c>
      <c r="E1123" s="26" t="n">
        <v>0</v>
      </c>
      <c r="F1123" s="26" t="n">
        <v>0</v>
      </c>
      <c r="G1123" s="26" t="n">
        <v>0</v>
      </c>
      <c r="H1123" s="26" t="n">
        <v>0</v>
      </c>
      <c r="I1123" s="26" t="n">
        <v>0</v>
      </c>
      <c r="J1123" s="26" t="n">
        <v>0</v>
      </c>
      <c r="K1123" s="26" t="n">
        <v>0</v>
      </c>
      <c r="L1123" s="26" t="n">
        <v>0</v>
      </c>
      <c r="M1123" s="26" t="n">
        <v>0</v>
      </c>
    </row>
    <row r="1124" customFormat="false" ht="15" hidden="false" customHeight="false" outlineLevel="0" collapsed="false">
      <c r="A1124" s="7" t="s">
        <v>87</v>
      </c>
      <c r="B1124" s="7" t="n">
        <v>4415124</v>
      </c>
      <c r="C1124" s="7" t="s">
        <v>647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0</v>
      </c>
      <c r="L1124" s="26" t="n">
        <v>0</v>
      </c>
      <c r="M1124" s="26" t="n">
        <v>0</v>
      </c>
    </row>
    <row r="1125" customFormat="false" ht="15" hidden="false" customHeight="false" outlineLevel="0" collapsed="false">
      <c r="A1125" s="7" t="s">
        <v>85</v>
      </c>
      <c r="B1125" s="7" t="n">
        <v>4415125</v>
      </c>
      <c r="C1125" s="7" t="s">
        <v>648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0</v>
      </c>
      <c r="L1125" s="26" t="n">
        <v>0</v>
      </c>
      <c r="M1125" s="26" t="n">
        <v>0</v>
      </c>
    </row>
    <row r="1126" customFormat="false" ht="15" hidden="false" customHeight="false" outlineLevel="0" collapsed="false">
      <c r="A1126" s="7" t="s">
        <v>87</v>
      </c>
      <c r="B1126" s="7" t="n">
        <v>4415125</v>
      </c>
      <c r="C1126" s="7" t="s">
        <v>648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0</v>
      </c>
      <c r="L1126" s="26" t="n">
        <v>0</v>
      </c>
      <c r="M1126" s="26" t="n">
        <v>0</v>
      </c>
    </row>
    <row r="1127" customFormat="false" ht="15" hidden="false" customHeight="false" outlineLevel="0" collapsed="false">
      <c r="A1127" s="7" t="s">
        <v>85</v>
      </c>
      <c r="B1127" s="7" t="n">
        <v>4415090</v>
      </c>
      <c r="C1127" s="7" t="s">
        <v>649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0</v>
      </c>
      <c r="L1127" s="26" t="n">
        <v>0</v>
      </c>
      <c r="M1127" s="26" t="n">
        <v>0</v>
      </c>
    </row>
    <row r="1128" customFormat="false" ht="15" hidden="false" customHeight="false" outlineLevel="0" collapsed="false">
      <c r="A1128" s="7" t="s">
        <v>87</v>
      </c>
      <c r="B1128" s="7" t="n">
        <v>4415090</v>
      </c>
      <c r="C1128" s="7" t="s">
        <v>649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0</v>
      </c>
      <c r="L1128" s="26" t="n">
        <v>0</v>
      </c>
      <c r="M1128" s="26" t="n">
        <v>0</v>
      </c>
    </row>
    <row r="1129" customFormat="false" ht="15" hidden="false" customHeight="false" outlineLevel="0" collapsed="false">
      <c r="A1129" s="7" t="s">
        <v>85</v>
      </c>
      <c r="B1129" s="7" t="n">
        <v>4415089</v>
      </c>
      <c r="C1129" s="7" t="s">
        <v>650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-1</v>
      </c>
      <c r="I1129" s="26" t="n">
        <v>0</v>
      </c>
      <c r="J1129" s="26" t="n">
        <v>0</v>
      </c>
      <c r="K1129" s="26" t="n">
        <v>0</v>
      </c>
      <c r="L1129" s="26" t="n">
        <v>0</v>
      </c>
      <c r="M1129" s="26" t="n">
        <v>0</v>
      </c>
    </row>
    <row r="1130" customFormat="false" ht="15" hidden="false" customHeight="false" outlineLevel="0" collapsed="false">
      <c r="A1130" s="7" t="s">
        <v>87</v>
      </c>
      <c r="B1130" s="7" t="n">
        <v>4415089</v>
      </c>
      <c r="C1130" s="7" t="s">
        <v>650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0</v>
      </c>
      <c r="L1130" s="26" t="n">
        <v>0</v>
      </c>
      <c r="M1130" s="26" t="n">
        <v>0</v>
      </c>
    </row>
    <row r="1131" customFormat="false" ht="15" hidden="false" customHeight="false" outlineLevel="0" collapsed="false">
      <c r="A1131" s="7" t="s">
        <v>85</v>
      </c>
      <c r="B1131" s="7" t="n">
        <v>4415096</v>
      </c>
      <c r="C1131" s="7" t="s">
        <v>651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0</v>
      </c>
      <c r="L1131" s="26" t="n">
        <v>0</v>
      </c>
      <c r="M1131" s="26" t="n">
        <v>0</v>
      </c>
    </row>
    <row r="1132" customFormat="false" ht="15" hidden="false" customHeight="false" outlineLevel="0" collapsed="false">
      <c r="A1132" s="7" t="s">
        <v>87</v>
      </c>
      <c r="B1132" s="7" t="n">
        <v>4415096</v>
      </c>
      <c r="C1132" s="7" t="s">
        <v>651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0</v>
      </c>
      <c r="L1132" s="26" t="n">
        <v>0</v>
      </c>
      <c r="M1132" s="26" t="n">
        <v>0</v>
      </c>
    </row>
    <row r="1133" customFormat="false" ht="15" hidden="false" customHeight="false" outlineLevel="0" collapsed="false">
      <c r="A1133" s="7" t="s">
        <v>85</v>
      </c>
      <c r="B1133" s="7" t="n">
        <v>4415091</v>
      </c>
      <c r="C1133" s="7" t="s">
        <v>652</v>
      </c>
      <c r="D1133" s="26" t="n">
        <v>-2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0</v>
      </c>
      <c r="L1133" s="26" t="n">
        <v>0</v>
      </c>
      <c r="M1133" s="26" t="n">
        <v>0</v>
      </c>
    </row>
    <row r="1134" customFormat="false" ht="15" hidden="false" customHeight="false" outlineLevel="0" collapsed="false">
      <c r="A1134" s="7" t="s">
        <v>87</v>
      </c>
      <c r="B1134" s="7" t="n">
        <v>4415091</v>
      </c>
      <c r="C1134" s="7" t="s">
        <v>652</v>
      </c>
      <c r="D1134" s="26" t="n">
        <v>-194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0</v>
      </c>
      <c r="L1134" s="26" t="n">
        <v>0</v>
      </c>
      <c r="M1134" s="26" t="n">
        <v>0</v>
      </c>
    </row>
    <row r="1135" customFormat="false" ht="15" hidden="false" customHeight="false" outlineLevel="0" collapsed="false">
      <c r="A1135" s="7" t="s">
        <v>85</v>
      </c>
      <c r="B1135" s="7" t="n">
        <v>4415094</v>
      </c>
      <c r="C1135" s="7" t="s">
        <v>653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0</v>
      </c>
      <c r="L1135" s="26" t="n">
        <v>0</v>
      </c>
      <c r="M1135" s="26" t="n">
        <v>0</v>
      </c>
    </row>
    <row r="1136" customFormat="false" ht="15" hidden="false" customHeight="false" outlineLevel="0" collapsed="false">
      <c r="A1136" s="7" t="s">
        <v>87</v>
      </c>
      <c r="B1136" s="7" t="n">
        <v>4415094</v>
      </c>
      <c r="C1136" s="7" t="s">
        <v>653</v>
      </c>
      <c r="D1136" s="26" t="n">
        <v>0</v>
      </c>
      <c r="E1136" s="26" t="n">
        <v>0</v>
      </c>
      <c r="F1136" s="26" t="n">
        <v>0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  <c r="L1136" s="26" t="n">
        <v>0</v>
      </c>
      <c r="M1136" s="26" t="n">
        <v>0</v>
      </c>
    </row>
    <row r="1137" customFormat="false" ht="15" hidden="false" customHeight="false" outlineLevel="0" collapsed="false">
      <c r="A1137" s="7" t="s">
        <v>85</v>
      </c>
      <c r="B1137" s="7" t="n">
        <v>4415095</v>
      </c>
      <c r="C1137" s="7" t="s">
        <v>654</v>
      </c>
      <c r="D1137" s="26" t="n">
        <v>0</v>
      </c>
      <c r="E1137" s="26" t="n">
        <v>0</v>
      </c>
      <c r="F1137" s="26" t="n">
        <v>0</v>
      </c>
      <c r="G1137" s="26" t="n">
        <v>0</v>
      </c>
      <c r="H1137" s="26" t="n">
        <v>-1</v>
      </c>
      <c r="I1137" s="26" t="n">
        <v>0</v>
      </c>
      <c r="J1137" s="26" t="n">
        <v>0</v>
      </c>
      <c r="K1137" s="26" t="n">
        <v>0</v>
      </c>
      <c r="L1137" s="26" t="n">
        <v>0</v>
      </c>
      <c r="M1137" s="26" t="n">
        <v>0</v>
      </c>
    </row>
    <row r="1138" customFormat="false" ht="15" hidden="false" customHeight="false" outlineLevel="0" collapsed="false">
      <c r="A1138" s="7" t="s">
        <v>87</v>
      </c>
      <c r="B1138" s="7" t="n">
        <v>4415095</v>
      </c>
      <c r="C1138" s="7" t="s">
        <v>654</v>
      </c>
      <c r="D1138" s="26" t="n">
        <v>0</v>
      </c>
      <c r="E1138" s="26" t="n">
        <v>0</v>
      </c>
      <c r="F1138" s="26" t="n">
        <v>0</v>
      </c>
      <c r="G1138" s="26" t="n">
        <v>0</v>
      </c>
      <c r="H1138" s="26" t="n">
        <v>0</v>
      </c>
      <c r="I1138" s="26" t="n">
        <v>0</v>
      </c>
      <c r="J1138" s="26" t="n">
        <v>0</v>
      </c>
      <c r="K1138" s="26" t="n">
        <v>0</v>
      </c>
      <c r="L1138" s="26" t="n">
        <v>0</v>
      </c>
      <c r="M1138" s="26" t="n">
        <v>0</v>
      </c>
    </row>
    <row r="1139" customFormat="false" ht="15" hidden="false" customHeight="false" outlineLevel="0" collapsed="false">
      <c r="A1139" s="7" t="s">
        <v>85</v>
      </c>
      <c r="B1139" s="7" t="n">
        <v>4415025</v>
      </c>
      <c r="C1139" s="7" t="s">
        <v>655</v>
      </c>
      <c r="D1139" s="26" t="n">
        <v>0</v>
      </c>
      <c r="E1139" s="26" t="n">
        <v>0</v>
      </c>
      <c r="F1139" s="26" t="n">
        <v>0</v>
      </c>
      <c r="G1139" s="26" t="n">
        <v>0</v>
      </c>
      <c r="H1139" s="26" t="n">
        <v>0</v>
      </c>
      <c r="I1139" s="26" t="n">
        <v>7</v>
      </c>
      <c r="J1139" s="26" t="n">
        <v>0</v>
      </c>
      <c r="K1139" s="26" t="n">
        <v>0</v>
      </c>
      <c r="L1139" s="26" t="n">
        <v>0</v>
      </c>
      <c r="M1139" s="26" t="n">
        <v>0</v>
      </c>
    </row>
    <row r="1140" customFormat="false" ht="15" hidden="false" customHeight="false" outlineLevel="0" collapsed="false">
      <c r="A1140" s="7" t="s">
        <v>87</v>
      </c>
      <c r="B1140" s="7" t="n">
        <v>4415025</v>
      </c>
      <c r="C1140" s="7" t="s">
        <v>655</v>
      </c>
      <c r="D1140" s="26" t="n">
        <v>0</v>
      </c>
      <c r="E1140" s="26" t="n">
        <v>0</v>
      </c>
      <c r="F1140" s="26" t="n">
        <v>0</v>
      </c>
      <c r="G1140" s="26" t="n">
        <v>0</v>
      </c>
      <c r="H1140" s="26" t="n">
        <v>0</v>
      </c>
      <c r="I1140" s="26" t="n">
        <v>617.4</v>
      </c>
      <c r="J1140" s="26" t="n">
        <v>0</v>
      </c>
      <c r="K1140" s="26" t="n">
        <v>0</v>
      </c>
      <c r="L1140" s="26" t="n">
        <v>0</v>
      </c>
      <c r="M1140" s="26" t="n">
        <v>0</v>
      </c>
    </row>
    <row r="1141" customFormat="false" ht="15" hidden="false" customHeight="false" outlineLevel="0" collapsed="false">
      <c r="A1141" s="7" t="s">
        <v>85</v>
      </c>
      <c r="B1141" s="7" t="n">
        <v>4415005</v>
      </c>
      <c r="C1141" s="7" t="s">
        <v>656</v>
      </c>
      <c r="D1141" s="26" t="n">
        <v>32</v>
      </c>
      <c r="E1141" s="26" t="n">
        <v>0</v>
      </c>
      <c r="F1141" s="26" t="n">
        <v>0</v>
      </c>
      <c r="G1141" s="26" t="n">
        <v>0</v>
      </c>
      <c r="H1141" s="26" t="n">
        <v>301</v>
      </c>
      <c r="I1141" s="26" t="n">
        <v>48</v>
      </c>
      <c r="J1141" s="26" t="n">
        <v>0</v>
      </c>
      <c r="K1141" s="26" t="n">
        <v>0</v>
      </c>
      <c r="L1141" s="26" t="n">
        <v>0</v>
      </c>
      <c r="M1141" s="26" t="n">
        <v>0</v>
      </c>
    </row>
    <row r="1142" customFormat="false" ht="15" hidden="false" customHeight="false" outlineLevel="0" collapsed="false">
      <c r="A1142" s="7" t="s">
        <v>87</v>
      </c>
      <c r="B1142" s="7" t="n">
        <v>4415005</v>
      </c>
      <c r="C1142" s="7" t="s">
        <v>656</v>
      </c>
      <c r="D1142" s="26" t="n">
        <v>3194.4</v>
      </c>
      <c r="E1142" s="26" t="n">
        <v>0</v>
      </c>
      <c r="F1142" s="26" t="n">
        <v>0</v>
      </c>
      <c r="G1142" s="26" t="n">
        <v>0</v>
      </c>
      <c r="H1142" s="26" t="n">
        <v>24780</v>
      </c>
      <c r="I1142" s="26" t="n">
        <v>4233.6</v>
      </c>
      <c r="J1142" s="26" t="n">
        <v>0</v>
      </c>
      <c r="K1142" s="26" t="n">
        <v>0</v>
      </c>
      <c r="L1142" s="26" t="n">
        <v>0</v>
      </c>
      <c r="M1142" s="26" t="n">
        <v>0</v>
      </c>
    </row>
    <row r="1143" customFormat="false" ht="15" hidden="false" customHeight="false" outlineLevel="0" collapsed="false">
      <c r="A1143" s="7" t="s">
        <v>85</v>
      </c>
      <c r="B1143" s="7" t="n">
        <v>4415006</v>
      </c>
      <c r="C1143" s="7" t="s">
        <v>657</v>
      </c>
      <c r="D1143" s="26" t="n">
        <v>45</v>
      </c>
      <c r="E1143" s="26" t="n">
        <v>0</v>
      </c>
      <c r="F1143" s="26" t="n">
        <v>0</v>
      </c>
      <c r="G1143" s="26" t="n">
        <v>0</v>
      </c>
      <c r="H1143" s="26" t="n">
        <v>471</v>
      </c>
      <c r="I1143" s="26" t="n">
        <v>57</v>
      </c>
      <c r="J1143" s="26" t="n">
        <v>0</v>
      </c>
      <c r="K1143" s="26" t="n">
        <v>0</v>
      </c>
      <c r="L1143" s="26" t="n">
        <v>0</v>
      </c>
      <c r="M1143" s="26" t="n">
        <v>0</v>
      </c>
    </row>
    <row r="1144" customFormat="false" ht="15" hidden="false" customHeight="false" outlineLevel="0" collapsed="false">
      <c r="A1144" s="7" t="s">
        <v>87</v>
      </c>
      <c r="B1144" s="7" t="n">
        <v>4415006</v>
      </c>
      <c r="C1144" s="7" t="s">
        <v>657</v>
      </c>
      <c r="D1144" s="26" t="n">
        <v>4351.2</v>
      </c>
      <c r="E1144" s="26" t="n">
        <v>0</v>
      </c>
      <c r="F1144" s="26" t="n">
        <v>0</v>
      </c>
      <c r="G1144" s="26" t="n">
        <v>0</v>
      </c>
      <c r="H1144" s="26" t="n">
        <v>38572.1</v>
      </c>
      <c r="I1144" s="26" t="n">
        <v>5027.4</v>
      </c>
      <c r="J1144" s="26" t="n">
        <v>0</v>
      </c>
      <c r="K1144" s="26" t="n">
        <v>0</v>
      </c>
      <c r="L1144" s="26" t="n">
        <v>0</v>
      </c>
      <c r="M1144" s="26" t="n">
        <v>0</v>
      </c>
    </row>
    <row r="1145" customFormat="false" ht="15" hidden="false" customHeight="false" outlineLevel="0" collapsed="false">
      <c r="A1145" s="7" t="s">
        <v>85</v>
      </c>
      <c r="B1145" s="7" t="n">
        <v>4415007</v>
      </c>
      <c r="C1145" s="7" t="s">
        <v>658</v>
      </c>
      <c r="D1145" s="26" t="n">
        <v>13</v>
      </c>
      <c r="E1145" s="26" t="n">
        <v>0</v>
      </c>
      <c r="F1145" s="26" t="n">
        <v>0</v>
      </c>
      <c r="G1145" s="26" t="n">
        <v>0</v>
      </c>
      <c r="H1145" s="26" t="n">
        <v>441</v>
      </c>
      <c r="I1145" s="26" t="n">
        <v>61</v>
      </c>
      <c r="J1145" s="26" t="n">
        <v>0</v>
      </c>
      <c r="K1145" s="26" t="n">
        <v>0</v>
      </c>
      <c r="L1145" s="26" t="n">
        <v>0</v>
      </c>
      <c r="M1145" s="26" t="n">
        <v>0</v>
      </c>
    </row>
    <row r="1146" customFormat="false" ht="15" hidden="false" customHeight="false" outlineLevel="0" collapsed="false">
      <c r="A1146" s="7" t="s">
        <v>87</v>
      </c>
      <c r="B1146" s="7" t="n">
        <v>4415007</v>
      </c>
      <c r="C1146" s="7" t="s">
        <v>658</v>
      </c>
      <c r="D1146" s="26" t="n">
        <v>1308.9</v>
      </c>
      <c r="E1146" s="26" t="n">
        <v>0</v>
      </c>
      <c r="F1146" s="26" t="n">
        <v>0</v>
      </c>
      <c r="G1146" s="26" t="n">
        <v>0</v>
      </c>
      <c r="H1146" s="26" t="n">
        <v>36046.1</v>
      </c>
      <c r="I1146" s="26" t="n">
        <v>5380.2</v>
      </c>
      <c r="J1146" s="26" t="n">
        <v>0</v>
      </c>
      <c r="K1146" s="26" t="n">
        <v>0</v>
      </c>
      <c r="L1146" s="26" t="n">
        <v>0</v>
      </c>
      <c r="M1146" s="26" t="n">
        <v>0</v>
      </c>
    </row>
    <row r="1147" customFormat="false" ht="15" hidden="false" customHeight="false" outlineLevel="0" collapsed="false">
      <c r="A1147" s="7" t="s">
        <v>85</v>
      </c>
      <c r="B1147" s="7" t="n">
        <v>4415008</v>
      </c>
      <c r="C1147" s="7" t="s">
        <v>659</v>
      </c>
      <c r="D1147" s="26" t="n">
        <v>18</v>
      </c>
      <c r="E1147" s="26" t="n">
        <v>0</v>
      </c>
      <c r="F1147" s="26" t="n">
        <v>0</v>
      </c>
      <c r="G1147" s="26" t="n">
        <v>1</v>
      </c>
      <c r="H1147" s="26" t="n">
        <v>28</v>
      </c>
      <c r="I1147" s="26" t="n">
        <v>15</v>
      </c>
      <c r="J1147" s="26" t="n">
        <v>0</v>
      </c>
      <c r="K1147" s="26" t="n">
        <v>0</v>
      </c>
      <c r="L1147" s="26" t="n">
        <v>0</v>
      </c>
      <c r="M1147" s="26" t="n">
        <v>0</v>
      </c>
    </row>
    <row r="1148" customFormat="false" ht="15" hidden="false" customHeight="false" outlineLevel="0" collapsed="false">
      <c r="A1148" s="7" t="s">
        <v>87</v>
      </c>
      <c r="B1148" s="7" t="n">
        <v>4415008</v>
      </c>
      <c r="C1148" s="7" t="s">
        <v>659</v>
      </c>
      <c r="D1148" s="26" t="n">
        <v>1791</v>
      </c>
      <c r="E1148" s="26" t="n">
        <v>0</v>
      </c>
      <c r="F1148" s="26" t="n">
        <v>0</v>
      </c>
      <c r="G1148" s="26" t="n">
        <v>89.3</v>
      </c>
      <c r="H1148" s="26" t="n">
        <v>2568.4</v>
      </c>
      <c r="I1148" s="26" t="n">
        <v>1323</v>
      </c>
      <c r="J1148" s="26" t="n">
        <v>0</v>
      </c>
      <c r="K1148" s="26" t="n">
        <v>0</v>
      </c>
      <c r="L1148" s="26" t="n">
        <v>0</v>
      </c>
      <c r="M1148" s="26" t="n">
        <v>0</v>
      </c>
    </row>
    <row r="1149" customFormat="false" ht="15" hidden="false" customHeight="false" outlineLevel="0" collapsed="false">
      <c r="A1149" s="7" t="s">
        <v>85</v>
      </c>
      <c r="B1149" s="7" t="n">
        <v>4415009</v>
      </c>
      <c r="C1149" s="7" t="s">
        <v>660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0</v>
      </c>
      <c r="L1149" s="26" t="n">
        <v>0</v>
      </c>
      <c r="M1149" s="26" t="n">
        <v>0</v>
      </c>
    </row>
    <row r="1150" customFormat="false" ht="15" hidden="false" customHeight="false" outlineLevel="0" collapsed="false">
      <c r="A1150" s="7" t="s">
        <v>87</v>
      </c>
      <c r="B1150" s="7" t="n">
        <v>4415009</v>
      </c>
      <c r="C1150" s="7" t="s">
        <v>660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0</v>
      </c>
      <c r="L1150" s="26" t="n">
        <v>0</v>
      </c>
      <c r="M1150" s="26" t="n">
        <v>0</v>
      </c>
    </row>
    <row r="1151" customFormat="false" ht="15" hidden="false" customHeight="false" outlineLevel="0" collapsed="false">
      <c r="A1151" s="7" t="s">
        <v>85</v>
      </c>
      <c r="B1151" s="7" t="n">
        <v>4415021</v>
      </c>
      <c r="C1151" s="7" t="s">
        <v>661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0</v>
      </c>
      <c r="L1151" s="26" t="n">
        <v>0</v>
      </c>
      <c r="M1151" s="26" t="n">
        <v>0</v>
      </c>
    </row>
    <row r="1152" customFormat="false" ht="15" hidden="false" customHeight="false" outlineLevel="0" collapsed="false">
      <c r="A1152" s="7" t="s">
        <v>87</v>
      </c>
      <c r="B1152" s="7" t="n">
        <v>4415021</v>
      </c>
      <c r="C1152" s="7" t="s">
        <v>661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0</v>
      </c>
      <c r="L1152" s="26" t="n">
        <v>0</v>
      </c>
      <c r="M1152" s="26" t="n">
        <v>0</v>
      </c>
    </row>
    <row r="1153" customFormat="false" ht="15" hidden="false" customHeight="false" outlineLevel="0" collapsed="false">
      <c r="A1153" s="7" t="s">
        <v>85</v>
      </c>
      <c r="B1153" s="7" t="n">
        <v>4415028</v>
      </c>
      <c r="C1153" s="7" t="s">
        <v>662</v>
      </c>
      <c r="D1153" s="26" t="n">
        <v>446</v>
      </c>
      <c r="E1153" s="26" t="n">
        <v>3</v>
      </c>
      <c r="F1153" s="26" t="n">
        <v>1</v>
      </c>
      <c r="G1153" s="26" t="n">
        <v>0</v>
      </c>
      <c r="H1153" s="26" t="n">
        <v>144</v>
      </c>
      <c r="I1153" s="26" t="n">
        <v>45</v>
      </c>
      <c r="J1153" s="26" t="n">
        <v>1</v>
      </c>
      <c r="K1153" s="26" t="n">
        <v>167</v>
      </c>
      <c r="L1153" s="26" t="n">
        <v>0</v>
      </c>
      <c r="M1153" s="26" t="n">
        <v>0</v>
      </c>
    </row>
    <row r="1154" customFormat="false" ht="15" hidden="false" customHeight="false" outlineLevel="0" collapsed="false">
      <c r="A1154" s="7" t="s">
        <v>87</v>
      </c>
      <c r="B1154" s="7" t="n">
        <v>4415028</v>
      </c>
      <c r="C1154" s="7" t="s">
        <v>662</v>
      </c>
      <c r="D1154" s="26" t="n">
        <v>17324</v>
      </c>
      <c r="E1154" s="26" t="n">
        <v>126.4</v>
      </c>
      <c r="F1154" s="26" t="n">
        <v>42.1</v>
      </c>
      <c r="G1154" s="26" t="n">
        <v>0</v>
      </c>
      <c r="H1154" s="26" t="n">
        <v>3657.7</v>
      </c>
      <c r="I1154" s="26" t="n">
        <v>1082.7</v>
      </c>
      <c r="J1154" s="26" t="n">
        <v>39.3</v>
      </c>
      <c r="K1154" s="26" t="n">
        <v>3340</v>
      </c>
      <c r="L1154" s="26" t="n">
        <v>0</v>
      </c>
      <c r="M1154" s="26" t="n">
        <v>0</v>
      </c>
    </row>
    <row r="1155" customFormat="false" ht="15" hidden="false" customHeight="false" outlineLevel="0" collapsed="false">
      <c r="A1155" s="7" t="s">
        <v>85</v>
      </c>
      <c r="B1155" s="7" t="n">
        <v>4408268</v>
      </c>
      <c r="C1155" s="7" t="s">
        <v>663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0</v>
      </c>
      <c r="J1155" s="26" t="n">
        <v>0</v>
      </c>
      <c r="K1155" s="26" t="n">
        <v>72</v>
      </c>
      <c r="L1155" s="26" t="n">
        <v>0</v>
      </c>
      <c r="M1155" s="26" t="n">
        <v>0</v>
      </c>
    </row>
    <row r="1156" customFormat="false" ht="15" hidden="false" customHeight="false" outlineLevel="0" collapsed="false">
      <c r="A1156" s="7" t="s">
        <v>87</v>
      </c>
      <c r="B1156" s="7" t="n">
        <v>4408268</v>
      </c>
      <c r="C1156" s="7" t="s">
        <v>663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0</v>
      </c>
      <c r="J1156" s="26" t="n">
        <v>0</v>
      </c>
      <c r="K1156" s="26" t="n">
        <v>1133</v>
      </c>
      <c r="L1156" s="26" t="n">
        <v>0</v>
      </c>
      <c r="M1156" s="26" t="n">
        <v>0</v>
      </c>
    </row>
    <row r="1157" customFormat="false" ht="15" hidden="false" customHeight="false" outlineLevel="0" collapsed="false">
      <c r="A1157" s="7" t="s">
        <v>85</v>
      </c>
      <c r="B1157" s="7" t="n">
        <v>4408267</v>
      </c>
      <c r="C1157" s="7" t="s">
        <v>664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0</v>
      </c>
      <c r="J1157" s="26" t="n">
        <v>0</v>
      </c>
      <c r="K1157" s="26" t="n">
        <v>327</v>
      </c>
      <c r="L1157" s="26" t="n">
        <v>0</v>
      </c>
      <c r="M1157" s="26" t="n">
        <v>0</v>
      </c>
    </row>
    <row r="1158" customFormat="false" ht="15" hidden="false" customHeight="false" outlineLevel="0" collapsed="false">
      <c r="A1158" s="7" t="s">
        <v>87</v>
      </c>
      <c r="B1158" s="7" t="n">
        <v>4408267</v>
      </c>
      <c r="C1158" s="7" t="s">
        <v>664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0</v>
      </c>
      <c r="J1158" s="26" t="n">
        <v>0</v>
      </c>
      <c r="K1158" s="26" t="n">
        <v>5739.6</v>
      </c>
      <c r="L1158" s="26" t="n">
        <v>0</v>
      </c>
      <c r="M1158" s="26" t="n">
        <v>0</v>
      </c>
    </row>
    <row r="1159" customFormat="false" ht="15" hidden="false" customHeight="false" outlineLevel="0" collapsed="false">
      <c r="A1159" s="7" t="s">
        <v>85</v>
      </c>
      <c r="B1159" s="7" t="n">
        <v>4415177</v>
      </c>
      <c r="C1159" s="7" t="s">
        <v>665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0</v>
      </c>
      <c r="J1159" s="26" t="n">
        <v>0</v>
      </c>
      <c r="K1159" s="26" t="n">
        <v>32</v>
      </c>
      <c r="L1159" s="26" t="n">
        <v>0</v>
      </c>
      <c r="M1159" s="26" t="n">
        <v>0</v>
      </c>
    </row>
    <row r="1160" customFormat="false" ht="15" hidden="false" customHeight="false" outlineLevel="0" collapsed="false">
      <c r="A1160" s="7" t="s">
        <v>87</v>
      </c>
      <c r="B1160" s="7" t="n">
        <v>4415177</v>
      </c>
      <c r="C1160" s="7" t="s">
        <v>665</v>
      </c>
      <c r="D1160" s="26" t="n">
        <v>0</v>
      </c>
      <c r="E1160" s="26" t="n">
        <v>0</v>
      </c>
      <c r="F1160" s="26" t="n">
        <v>0</v>
      </c>
      <c r="G1160" s="26" t="n">
        <v>0</v>
      </c>
      <c r="H1160" s="26" t="n">
        <v>0</v>
      </c>
      <c r="I1160" s="26" t="n">
        <v>0</v>
      </c>
      <c r="J1160" s="26" t="n">
        <v>0</v>
      </c>
      <c r="K1160" s="26" t="n">
        <v>800</v>
      </c>
      <c r="L1160" s="26" t="n">
        <v>0</v>
      </c>
      <c r="M1160" s="26" t="n">
        <v>0</v>
      </c>
    </row>
    <row r="1161" customFormat="false" ht="15" hidden="false" customHeight="false" outlineLevel="0" collapsed="false">
      <c r="A1161" s="7" t="s">
        <v>85</v>
      </c>
      <c r="B1161" s="7" t="n">
        <v>4408095</v>
      </c>
      <c r="C1161" s="7" t="s">
        <v>666</v>
      </c>
      <c r="D1161" s="26" t="n">
        <v>60</v>
      </c>
      <c r="E1161" s="26" t="n">
        <v>0</v>
      </c>
      <c r="F1161" s="26" t="n">
        <v>1</v>
      </c>
      <c r="G1161" s="26" t="n">
        <v>0</v>
      </c>
      <c r="H1161" s="26" t="n">
        <v>77</v>
      </c>
      <c r="I1161" s="26" t="n">
        <v>21</v>
      </c>
      <c r="J1161" s="26" t="n">
        <v>0</v>
      </c>
      <c r="K1161" s="26" t="n">
        <v>0</v>
      </c>
      <c r="L1161" s="26" t="n">
        <v>0</v>
      </c>
      <c r="M1161" s="26" t="n">
        <v>0</v>
      </c>
    </row>
    <row r="1162" customFormat="false" ht="15" hidden="false" customHeight="false" outlineLevel="0" collapsed="false">
      <c r="A1162" s="7" t="s">
        <v>87</v>
      </c>
      <c r="B1162" s="7" t="n">
        <v>4408095</v>
      </c>
      <c r="C1162" s="7" t="s">
        <v>666</v>
      </c>
      <c r="D1162" s="26" t="n">
        <v>2100.8</v>
      </c>
      <c r="E1162" s="26" t="n">
        <v>0</v>
      </c>
      <c r="F1162" s="26" t="n">
        <v>35.6</v>
      </c>
      <c r="G1162" s="26" t="n">
        <v>0</v>
      </c>
      <c r="H1162" s="26" t="n">
        <v>2409.5</v>
      </c>
      <c r="I1162" s="26" t="n">
        <v>724.2</v>
      </c>
      <c r="J1162" s="26" t="n">
        <v>0</v>
      </c>
      <c r="K1162" s="26" t="n">
        <v>0</v>
      </c>
      <c r="L1162" s="26" t="n">
        <v>0</v>
      </c>
      <c r="M1162" s="26" t="n">
        <v>0</v>
      </c>
    </row>
    <row r="1163" customFormat="false" ht="15" hidden="false" customHeight="false" outlineLevel="0" collapsed="false">
      <c r="A1163" s="7" t="s">
        <v>85</v>
      </c>
      <c r="B1163" s="7" t="n">
        <v>4408094</v>
      </c>
      <c r="C1163" s="7" t="s">
        <v>667</v>
      </c>
      <c r="D1163" s="26" t="n">
        <v>60</v>
      </c>
      <c r="E1163" s="26" t="n">
        <v>0</v>
      </c>
      <c r="F1163" s="26" t="n">
        <v>1</v>
      </c>
      <c r="G1163" s="26" t="n">
        <v>0</v>
      </c>
      <c r="H1163" s="26" t="n">
        <v>108</v>
      </c>
      <c r="I1163" s="26" t="n">
        <v>27</v>
      </c>
      <c r="J1163" s="26" t="n">
        <v>0</v>
      </c>
      <c r="K1163" s="26" t="n">
        <v>0</v>
      </c>
      <c r="L1163" s="26" t="n">
        <v>0</v>
      </c>
      <c r="M1163" s="26" t="n">
        <v>0</v>
      </c>
    </row>
    <row r="1164" customFormat="false" ht="15" hidden="false" customHeight="false" outlineLevel="0" collapsed="false">
      <c r="A1164" s="7" t="s">
        <v>87</v>
      </c>
      <c r="B1164" s="7" t="n">
        <v>4408094</v>
      </c>
      <c r="C1164" s="7" t="s">
        <v>667</v>
      </c>
      <c r="D1164" s="26" t="n">
        <v>2098.8</v>
      </c>
      <c r="E1164" s="26" t="n">
        <v>0</v>
      </c>
      <c r="F1164" s="26" t="n">
        <v>35.6</v>
      </c>
      <c r="G1164" s="26" t="n">
        <v>0</v>
      </c>
      <c r="H1164" s="26" t="n">
        <v>3399.2</v>
      </c>
      <c r="I1164" s="26" t="n">
        <v>928</v>
      </c>
      <c r="J1164" s="26" t="n">
        <v>0</v>
      </c>
      <c r="K1164" s="26" t="n">
        <v>0</v>
      </c>
      <c r="L1164" s="26" t="n">
        <v>0</v>
      </c>
      <c r="M1164" s="26" t="n">
        <v>0</v>
      </c>
    </row>
    <row r="1165" customFormat="false" ht="15" hidden="false" customHeight="false" outlineLevel="0" collapsed="false">
      <c r="A1165" s="7" t="s">
        <v>85</v>
      </c>
      <c r="B1165" s="7" t="n">
        <v>4408097</v>
      </c>
      <c r="C1165" s="7" t="s">
        <v>668</v>
      </c>
      <c r="D1165" s="26" t="n">
        <v>37</v>
      </c>
      <c r="E1165" s="26" t="n">
        <v>0</v>
      </c>
      <c r="F1165" s="26" t="n">
        <v>0</v>
      </c>
      <c r="G1165" s="26" t="n">
        <v>0</v>
      </c>
      <c r="H1165" s="26" t="n">
        <v>63</v>
      </c>
      <c r="I1165" s="26" t="n">
        <v>0</v>
      </c>
      <c r="J1165" s="26" t="n">
        <v>0</v>
      </c>
      <c r="K1165" s="26" t="n">
        <v>0</v>
      </c>
      <c r="L1165" s="26" t="n">
        <v>0</v>
      </c>
      <c r="M1165" s="26" t="n">
        <v>0</v>
      </c>
    </row>
    <row r="1166" customFormat="false" ht="15" hidden="false" customHeight="false" outlineLevel="0" collapsed="false">
      <c r="A1166" s="7" t="s">
        <v>87</v>
      </c>
      <c r="B1166" s="7" t="n">
        <v>4408097</v>
      </c>
      <c r="C1166" s="7" t="s">
        <v>668</v>
      </c>
      <c r="D1166" s="26" t="n">
        <v>1290.3</v>
      </c>
      <c r="E1166" s="26" t="n">
        <v>0</v>
      </c>
      <c r="F1166" s="26" t="n">
        <v>0</v>
      </c>
      <c r="G1166" s="26" t="n">
        <v>0</v>
      </c>
      <c r="H1166" s="26" t="n">
        <v>1970.2</v>
      </c>
      <c r="I1166" s="26" t="n">
        <v>0</v>
      </c>
      <c r="J1166" s="26" t="n">
        <v>0</v>
      </c>
      <c r="K1166" s="26" t="n">
        <v>0</v>
      </c>
      <c r="L1166" s="26" t="n">
        <v>0</v>
      </c>
      <c r="M1166" s="26" t="n">
        <v>0</v>
      </c>
    </row>
    <row r="1167" customFormat="false" ht="15" hidden="false" customHeight="false" outlineLevel="0" collapsed="false">
      <c r="A1167" s="7" t="s">
        <v>85</v>
      </c>
      <c r="B1167" s="7" t="n">
        <v>4408096</v>
      </c>
      <c r="C1167" s="7" t="s">
        <v>669</v>
      </c>
      <c r="D1167" s="26" t="n">
        <v>52</v>
      </c>
      <c r="E1167" s="26" t="n">
        <v>0</v>
      </c>
      <c r="F1167" s="26" t="n">
        <v>0</v>
      </c>
      <c r="G1167" s="26" t="n">
        <v>0</v>
      </c>
      <c r="H1167" s="26" t="n">
        <v>58</v>
      </c>
      <c r="I1167" s="26" t="n">
        <v>0</v>
      </c>
      <c r="J1167" s="26" t="n">
        <v>0</v>
      </c>
      <c r="K1167" s="26" t="n">
        <v>0</v>
      </c>
      <c r="L1167" s="26" t="n">
        <v>0</v>
      </c>
      <c r="M1167" s="26" t="n">
        <v>-20</v>
      </c>
    </row>
    <row r="1168" customFormat="false" ht="15" hidden="false" customHeight="false" outlineLevel="0" collapsed="false">
      <c r="A1168" s="7" t="s">
        <v>87</v>
      </c>
      <c r="B1168" s="7" t="n">
        <v>4408096</v>
      </c>
      <c r="C1168" s="7" t="s">
        <v>669</v>
      </c>
      <c r="D1168" s="26" t="n">
        <v>1802.7</v>
      </c>
      <c r="E1168" s="26" t="n">
        <v>0</v>
      </c>
      <c r="F1168" s="26" t="n">
        <v>0</v>
      </c>
      <c r="G1168" s="26" t="n">
        <v>0</v>
      </c>
      <c r="H1168" s="26" t="n">
        <v>1829.6</v>
      </c>
      <c r="I1168" s="26" t="n">
        <v>0</v>
      </c>
      <c r="J1168" s="26" t="n">
        <v>0</v>
      </c>
      <c r="K1168" s="26" t="n">
        <v>0</v>
      </c>
      <c r="L1168" s="26" t="n">
        <v>0</v>
      </c>
      <c r="M1168" s="26" t="n">
        <v>-948.6</v>
      </c>
    </row>
    <row r="1169" customFormat="false" ht="15" hidden="false" customHeight="false" outlineLevel="0" collapsed="false">
      <c r="A1169" s="7" t="s">
        <v>85</v>
      </c>
      <c r="B1169" s="7" t="n">
        <v>4408098</v>
      </c>
      <c r="C1169" s="7" t="s">
        <v>670</v>
      </c>
      <c r="D1169" s="26" t="n">
        <v>295</v>
      </c>
      <c r="E1169" s="26" t="n">
        <v>3</v>
      </c>
      <c r="F1169" s="26" t="n">
        <v>2</v>
      </c>
      <c r="G1169" s="26" t="n">
        <v>0</v>
      </c>
      <c r="H1169" s="26" t="n">
        <v>3333</v>
      </c>
      <c r="I1169" s="26" t="n">
        <v>257</v>
      </c>
      <c r="J1169" s="26" t="n">
        <v>0</v>
      </c>
      <c r="K1169" s="26" t="n">
        <v>0</v>
      </c>
      <c r="L1169" s="26" t="n">
        <v>0</v>
      </c>
      <c r="M1169" s="26" t="n">
        <v>-1</v>
      </c>
    </row>
    <row r="1170" customFormat="false" ht="15" hidden="false" customHeight="false" outlineLevel="0" collapsed="false">
      <c r="A1170" s="7" t="s">
        <v>87</v>
      </c>
      <c r="B1170" s="7" t="n">
        <v>4408098</v>
      </c>
      <c r="C1170" s="7" t="s">
        <v>670</v>
      </c>
      <c r="D1170" s="26" t="n">
        <v>13506.1</v>
      </c>
      <c r="E1170" s="26" t="n">
        <v>140.5</v>
      </c>
      <c r="F1170" s="26" t="n">
        <v>93.6</v>
      </c>
      <c r="G1170" s="26" t="n">
        <v>0</v>
      </c>
      <c r="H1170" s="26" t="n">
        <v>124453.3</v>
      </c>
      <c r="I1170" s="26" t="n">
        <v>10215.3</v>
      </c>
      <c r="J1170" s="26" t="n">
        <v>0</v>
      </c>
      <c r="K1170" s="26" t="n">
        <v>0</v>
      </c>
      <c r="L1170" s="26" t="n">
        <v>0</v>
      </c>
      <c r="M1170" s="26" t="n">
        <v>-62.4</v>
      </c>
    </row>
    <row r="1171" customFormat="false" ht="15" hidden="false" customHeight="false" outlineLevel="0" collapsed="false">
      <c r="A1171" s="7" t="s">
        <v>85</v>
      </c>
      <c r="B1171" s="7" t="n">
        <v>4408264</v>
      </c>
      <c r="C1171" s="7" t="s">
        <v>671</v>
      </c>
      <c r="D1171" s="26" t="n">
        <v>177</v>
      </c>
      <c r="E1171" s="26" t="n">
        <v>0</v>
      </c>
      <c r="F1171" s="26" t="n">
        <v>0</v>
      </c>
      <c r="G1171" s="26" t="n">
        <v>2</v>
      </c>
      <c r="H1171" s="26" t="n">
        <v>0</v>
      </c>
      <c r="I1171" s="26" t="n">
        <v>0</v>
      </c>
      <c r="J1171" s="26" t="n">
        <v>0</v>
      </c>
      <c r="K1171" s="26" t="n">
        <v>0</v>
      </c>
      <c r="L1171" s="26" t="n">
        <v>0</v>
      </c>
      <c r="M1171" s="26" t="n">
        <v>0</v>
      </c>
    </row>
    <row r="1172" customFormat="false" ht="15" hidden="false" customHeight="false" outlineLevel="0" collapsed="false">
      <c r="A1172" s="7" t="s">
        <v>87</v>
      </c>
      <c r="B1172" s="7" t="n">
        <v>4408264</v>
      </c>
      <c r="C1172" s="7" t="s">
        <v>671</v>
      </c>
      <c r="D1172" s="26" t="n">
        <v>8071.8</v>
      </c>
      <c r="E1172" s="26" t="n">
        <v>0</v>
      </c>
      <c r="F1172" s="26" t="n">
        <v>0</v>
      </c>
      <c r="G1172" s="26" t="n">
        <v>81.2</v>
      </c>
      <c r="H1172" s="26" t="n">
        <v>0</v>
      </c>
      <c r="I1172" s="26" t="n">
        <v>0</v>
      </c>
      <c r="J1172" s="26" t="n">
        <v>0</v>
      </c>
      <c r="K1172" s="26" t="n">
        <v>0</v>
      </c>
      <c r="L1172" s="26" t="n">
        <v>0</v>
      </c>
      <c r="M1172" s="26" t="n">
        <v>0</v>
      </c>
    </row>
    <row r="1173" customFormat="false" ht="15" hidden="false" customHeight="false" outlineLevel="0" collapsed="false">
      <c r="A1173" s="7" t="s">
        <v>85</v>
      </c>
      <c r="B1173" s="7" t="n">
        <v>4408099</v>
      </c>
      <c r="C1173" s="7" t="s">
        <v>672</v>
      </c>
      <c r="D1173" s="26" t="n">
        <v>338</v>
      </c>
      <c r="E1173" s="26" t="n">
        <v>5</v>
      </c>
      <c r="F1173" s="26" t="n">
        <v>3</v>
      </c>
      <c r="G1173" s="26" t="n">
        <v>0</v>
      </c>
      <c r="H1173" s="26" t="n">
        <v>4102</v>
      </c>
      <c r="I1173" s="26" t="n">
        <v>283</v>
      </c>
      <c r="J1173" s="26" t="n">
        <v>3</v>
      </c>
      <c r="K1173" s="26" t="n">
        <v>0</v>
      </c>
      <c r="L1173" s="26" t="n">
        <v>0</v>
      </c>
      <c r="M1173" s="26" t="n">
        <v>-2</v>
      </c>
    </row>
    <row r="1174" customFormat="false" ht="15" hidden="false" customHeight="false" outlineLevel="0" collapsed="false">
      <c r="A1174" s="7" t="s">
        <v>87</v>
      </c>
      <c r="B1174" s="7" t="n">
        <v>4408099</v>
      </c>
      <c r="C1174" s="7" t="s">
        <v>672</v>
      </c>
      <c r="D1174" s="26" t="n">
        <v>15231.4</v>
      </c>
      <c r="E1174" s="26" t="n">
        <v>234.1</v>
      </c>
      <c r="F1174" s="26" t="n">
        <v>140.5</v>
      </c>
      <c r="G1174" s="26" t="n">
        <v>0</v>
      </c>
      <c r="H1174" s="26" t="n">
        <v>153089.5</v>
      </c>
      <c r="I1174" s="26" t="n">
        <v>11246.4</v>
      </c>
      <c r="J1174" s="26" t="n">
        <v>131.1</v>
      </c>
      <c r="K1174" s="26" t="n">
        <v>0</v>
      </c>
      <c r="L1174" s="26" t="n">
        <v>0</v>
      </c>
      <c r="M1174" s="26" t="n">
        <v>-124.9</v>
      </c>
    </row>
    <row r="1175" customFormat="false" ht="15" hidden="false" customHeight="false" outlineLevel="0" collapsed="false">
      <c r="A1175" s="7" t="s">
        <v>85</v>
      </c>
      <c r="B1175" s="7" t="n">
        <v>4415111</v>
      </c>
      <c r="C1175" s="7" t="s">
        <v>673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0</v>
      </c>
      <c r="L1175" s="26" t="n">
        <v>0</v>
      </c>
      <c r="M1175" s="26" t="n">
        <v>0</v>
      </c>
    </row>
    <row r="1176" customFormat="false" ht="15" hidden="false" customHeight="false" outlineLevel="0" collapsed="false">
      <c r="A1176" s="7" t="s">
        <v>87</v>
      </c>
      <c r="B1176" s="7" t="n">
        <v>4415111</v>
      </c>
      <c r="C1176" s="7" t="s">
        <v>673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0</v>
      </c>
      <c r="L1176" s="26" t="n">
        <v>0</v>
      </c>
      <c r="M1176" s="26" t="n">
        <v>0</v>
      </c>
    </row>
    <row r="1177" customFormat="false" ht="15" hidden="false" customHeight="false" outlineLevel="0" collapsed="false">
      <c r="A1177" s="7" t="s">
        <v>85</v>
      </c>
      <c r="B1177" s="7" t="n">
        <v>4415110</v>
      </c>
      <c r="C1177" s="7" t="s">
        <v>674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0</v>
      </c>
      <c r="L1177" s="26" t="n">
        <v>0</v>
      </c>
      <c r="M1177" s="26" t="n">
        <v>0</v>
      </c>
    </row>
    <row r="1178" customFormat="false" ht="15" hidden="false" customHeight="false" outlineLevel="0" collapsed="false">
      <c r="A1178" s="7" t="s">
        <v>87</v>
      </c>
      <c r="B1178" s="7" t="n">
        <v>4415110</v>
      </c>
      <c r="C1178" s="7" t="s">
        <v>674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0</v>
      </c>
      <c r="J1178" s="26" t="n">
        <v>0</v>
      </c>
      <c r="K1178" s="26" t="n">
        <v>0</v>
      </c>
      <c r="L1178" s="26" t="n">
        <v>0</v>
      </c>
      <c r="M1178" s="26" t="n">
        <v>0</v>
      </c>
    </row>
    <row r="1179" customFormat="false" ht="15" hidden="false" customHeight="false" outlineLevel="0" collapsed="false">
      <c r="A1179" s="7" t="s">
        <v>85</v>
      </c>
      <c r="B1179" s="7" t="n">
        <v>4415109</v>
      </c>
      <c r="C1179" s="7" t="s">
        <v>675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0</v>
      </c>
      <c r="J1179" s="26" t="n">
        <v>0</v>
      </c>
      <c r="K1179" s="26" t="n">
        <v>0</v>
      </c>
      <c r="L1179" s="26" t="n">
        <v>0</v>
      </c>
      <c r="M1179" s="26" t="n">
        <v>0</v>
      </c>
    </row>
    <row r="1180" customFormat="false" ht="15" hidden="false" customHeight="false" outlineLevel="0" collapsed="false">
      <c r="A1180" s="7" t="s">
        <v>87</v>
      </c>
      <c r="B1180" s="7" t="n">
        <v>4415109</v>
      </c>
      <c r="C1180" s="7" t="s">
        <v>675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0</v>
      </c>
      <c r="J1180" s="26" t="n">
        <v>0</v>
      </c>
      <c r="K1180" s="26" t="n">
        <v>0</v>
      </c>
      <c r="L1180" s="26" t="n">
        <v>0</v>
      </c>
      <c r="M1180" s="26" t="n">
        <v>0</v>
      </c>
    </row>
    <row r="1181" customFormat="false" ht="15" hidden="false" customHeight="false" outlineLevel="0" collapsed="false">
      <c r="A1181" s="7" t="s">
        <v>85</v>
      </c>
      <c r="B1181" s="7" t="n">
        <v>4415112</v>
      </c>
      <c r="C1181" s="7" t="s">
        <v>676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0</v>
      </c>
      <c r="J1181" s="26" t="n">
        <v>0</v>
      </c>
      <c r="K1181" s="26" t="n">
        <v>0</v>
      </c>
      <c r="L1181" s="26" t="n">
        <v>0</v>
      </c>
      <c r="M1181" s="26" t="n">
        <v>0</v>
      </c>
    </row>
    <row r="1182" customFormat="false" ht="15" hidden="false" customHeight="false" outlineLevel="0" collapsed="false">
      <c r="A1182" s="7" t="s">
        <v>87</v>
      </c>
      <c r="B1182" s="7" t="n">
        <v>4415112</v>
      </c>
      <c r="C1182" s="7" t="s">
        <v>676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0</v>
      </c>
      <c r="J1182" s="26" t="n">
        <v>0</v>
      </c>
      <c r="K1182" s="26" t="n">
        <v>0</v>
      </c>
      <c r="L1182" s="26" t="n">
        <v>0</v>
      </c>
      <c r="M1182" s="26" t="n">
        <v>0</v>
      </c>
    </row>
    <row r="1183" customFormat="false" ht="15" hidden="false" customHeight="false" outlineLevel="0" collapsed="false">
      <c r="A1183" s="7" t="s">
        <v>85</v>
      </c>
      <c r="B1183" s="7" t="n">
        <v>4415130</v>
      </c>
      <c r="C1183" s="7" t="s">
        <v>677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0</v>
      </c>
      <c r="J1183" s="26" t="n">
        <v>0</v>
      </c>
      <c r="K1183" s="26" t="n">
        <v>0</v>
      </c>
      <c r="L1183" s="26" t="n">
        <v>0</v>
      </c>
      <c r="M1183" s="26" t="n">
        <v>0</v>
      </c>
    </row>
    <row r="1184" customFormat="false" ht="15" hidden="false" customHeight="false" outlineLevel="0" collapsed="false">
      <c r="A1184" s="7" t="s">
        <v>87</v>
      </c>
      <c r="B1184" s="7" t="n">
        <v>4415130</v>
      </c>
      <c r="C1184" s="7" t="s">
        <v>677</v>
      </c>
      <c r="D1184" s="26" t="n">
        <v>0</v>
      </c>
      <c r="E1184" s="26" t="n">
        <v>0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0</v>
      </c>
      <c r="L1184" s="26" t="n">
        <v>0</v>
      </c>
      <c r="M1184" s="26" t="n">
        <v>0</v>
      </c>
    </row>
    <row r="1185" customFormat="false" ht="15" hidden="false" customHeight="false" outlineLevel="0" collapsed="false">
      <c r="A1185" s="7" t="s">
        <v>85</v>
      </c>
      <c r="B1185" s="7" t="n">
        <v>4415131</v>
      </c>
      <c r="C1185" s="7" t="s">
        <v>678</v>
      </c>
      <c r="D1185" s="26" t="n">
        <v>0</v>
      </c>
      <c r="E1185" s="26" t="n">
        <v>0</v>
      </c>
      <c r="F1185" s="26" t="n">
        <v>0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  <c r="L1185" s="26" t="n">
        <v>0</v>
      </c>
      <c r="M1185" s="26" t="n">
        <v>0</v>
      </c>
    </row>
    <row r="1186" customFormat="false" ht="15" hidden="false" customHeight="false" outlineLevel="0" collapsed="false">
      <c r="A1186" s="7" t="s">
        <v>87</v>
      </c>
      <c r="B1186" s="7" t="n">
        <v>4415131</v>
      </c>
      <c r="C1186" s="7" t="s">
        <v>678</v>
      </c>
      <c r="D1186" s="26" t="n">
        <v>0</v>
      </c>
      <c r="E1186" s="26" t="n">
        <v>0</v>
      </c>
      <c r="F1186" s="26" t="n">
        <v>0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  <c r="L1186" s="26" t="n">
        <v>0</v>
      </c>
      <c r="M1186" s="26" t="n">
        <v>0</v>
      </c>
    </row>
    <row r="1187" customFormat="false" ht="15" hidden="false" customHeight="false" outlineLevel="0" collapsed="false">
      <c r="A1187" s="7" t="s">
        <v>85</v>
      </c>
      <c r="B1187" s="7" t="n">
        <v>4415132</v>
      </c>
      <c r="C1187" s="7" t="s">
        <v>679</v>
      </c>
      <c r="D1187" s="26" t="n">
        <v>0</v>
      </c>
      <c r="E1187" s="26" t="n">
        <v>0</v>
      </c>
      <c r="F1187" s="26" t="n">
        <v>0</v>
      </c>
      <c r="G1187" s="26" t="n">
        <v>0</v>
      </c>
      <c r="H1187" s="26" t="n">
        <v>0</v>
      </c>
      <c r="I1187" s="26" t="n">
        <v>0</v>
      </c>
      <c r="J1187" s="26" t="n">
        <v>0</v>
      </c>
      <c r="K1187" s="26" t="n">
        <v>0</v>
      </c>
      <c r="L1187" s="26" t="n">
        <v>0</v>
      </c>
      <c r="M1187" s="26" t="n">
        <v>0</v>
      </c>
    </row>
    <row r="1188" customFormat="false" ht="15" hidden="false" customHeight="false" outlineLevel="0" collapsed="false">
      <c r="A1188" s="7" t="s">
        <v>87</v>
      </c>
      <c r="B1188" s="7" t="n">
        <v>4415132</v>
      </c>
      <c r="C1188" s="7" t="s">
        <v>679</v>
      </c>
      <c r="D1188" s="26" t="n">
        <v>0</v>
      </c>
      <c r="E1188" s="26" t="n">
        <v>0</v>
      </c>
      <c r="F1188" s="26" t="n">
        <v>0</v>
      </c>
      <c r="G1188" s="26" t="n">
        <v>0</v>
      </c>
      <c r="H1188" s="26" t="n">
        <v>0</v>
      </c>
      <c r="I1188" s="26" t="n">
        <v>0</v>
      </c>
      <c r="J1188" s="26" t="n">
        <v>0</v>
      </c>
      <c r="K1188" s="26" t="n">
        <v>0</v>
      </c>
      <c r="L1188" s="26" t="n">
        <v>0</v>
      </c>
      <c r="M1188" s="26" t="n">
        <v>0</v>
      </c>
    </row>
    <row r="1189" customFormat="false" ht="15" hidden="false" customHeight="false" outlineLevel="0" collapsed="false">
      <c r="A1189" s="7" t="s">
        <v>85</v>
      </c>
      <c r="B1189" s="7" t="n">
        <v>4415133</v>
      </c>
      <c r="C1189" s="7" t="s">
        <v>680</v>
      </c>
      <c r="D1189" s="26" t="n">
        <v>0</v>
      </c>
      <c r="E1189" s="26" t="n">
        <v>0</v>
      </c>
      <c r="F1189" s="26" t="n">
        <v>0</v>
      </c>
      <c r="G1189" s="26" t="n">
        <v>0</v>
      </c>
      <c r="H1189" s="26" t="n">
        <v>0</v>
      </c>
      <c r="I1189" s="26" t="n">
        <v>0</v>
      </c>
      <c r="J1189" s="26" t="n">
        <v>0</v>
      </c>
      <c r="K1189" s="26" t="n">
        <v>0</v>
      </c>
      <c r="L1189" s="26" t="n">
        <v>0</v>
      </c>
      <c r="M1189" s="26" t="n">
        <v>0</v>
      </c>
    </row>
    <row r="1190" customFormat="false" ht="15" hidden="false" customHeight="false" outlineLevel="0" collapsed="false">
      <c r="A1190" s="7" t="s">
        <v>87</v>
      </c>
      <c r="B1190" s="7" t="n">
        <v>4415133</v>
      </c>
      <c r="C1190" s="7" t="s">
        <v>680</v>
      </c>
      <c r="D1190" s="26" t="n">
        <v>0</v>
      </c>
      <c r="E1190" s="26" t="n">
        <v>0</v>
      </c>
      <c r="F1190" s="26" t="n">
        <v>0</v>
      </c>
      <c r="G1190" s="26" t="n">
        <v>0</v>
      </c>
      <c r="H1190" s="26" t="n">
        <v>0</v>
      </c>
      <c r="I1190" s="26" t="n">
        <v>0</v>
      </c>
      <c r="J1190" s="26" t="n">
        <v>0</v>
      </c>
      <c r="K1190" s="26" t="n">
        <v>0</v>
      </c>
      <c r="L1190" s="26" t="n">
        <v>0</v>
      </c>
      <c r="M1190" s="26" t="n">
        <v>0</v>
      </c>
    </row>
    <row r="1191" customFormat="false" ht="15" hidden="false" customHeight="false" outlineLevel="0" collapsed="false">
      <c r="A1191" s="7" t="s">
        <v>85</v>
      </c>
      <c r="B1191" s="7" t="n">
        <v>4415137</v>
      </c>
      <c r="C1191" s="7" t="s">
        <v>681</v>
      </c>
      <c r="D1191" s="26" t="n">
        <v>0</v>
      </c>
      <c r="E1191" s="26" t="n">
        <v>0</v>
      </c>
      <c r="F1191" s="26" t="n">
        <v>0</v>
      </c>
      <c r="G1191" s="26" t="n">
        <v>0</v>
      </c>
      <c r="H1191" s="26" t="n">
        <v>0</v>
      </c>
      <c r="I1191" s="26" t="n">
        <v>0</v>
      </c>
      <c r="J1191" s="26" t="n">
        <v>0</v>
      </c>
      <c r="K1191" s="26" t="n">
        <v>0</v>
      </c>
      <c r="L1191" s="26" t="n">
        <v>0</v>
      </c>
      <c r="M1191" s="26" t="n">
        <v>0</v>
      </c>
    </row>
    <row r="1192" customFormat="false" ht="15" hidden="false" customHeight="false" outlineLevel="0" collapsed="false">
      <c r="A1192" s="7" t="s">
        <v>87</v>
      </c>
      <c r="B1192" s="7" t="n">
        <v>4415137</v>
      </c>
      <c r="C1192" s="7" t="s">
        <v>681</v>
      </c>
      <c r="D1192" s="26" t="n">
        <v>0</v>
      </c>
      <c r="E1192" s="26" t="n">
        <v>0</v>
      </c>
      <c r="F1192" s="26" t="n">
        <v>0</v>
      </c>
      <c r="G1192" s="26" t="n">
        <v>0</v>
      </c>
      <c r="H1192" s="26" t="n">
        <v>0</v>
      </c>
      <c r="I1192" s="26" t="n">
        <v>0</v>
      </c>
      <c r="J1192" s="26" t="n">
        <v>0</v>
      </c>
      <c r="K1192" s="26" t="n">
        <v>0</v>
      </c>
      <c r="L1192" s="26" t="n">
        <v>0</v>
      </c>
      <c r="M1192" s="26" t="n">
        <v>0</v>
      </c>
    </row>
    <row r="1193" customFormat="false" ht="15" hidden="false" customHeight="false" outlineLevel="0" collapsed="false">
      <c r="A1193" s="7" t="s">
        <v>85</v>
      </c>
      <c r="B1193" s="7" t="n">
        <v>4415138</v>
      </c>
      <c r="C1193" s="7" t="s">
        <v>682</v>
      </c>
      <c r="D1193" s="26" t="n">
        <v>0</v>
      </c>
      <c r="E1193" s="26" t="n">
        <v>0</v>
      </c>
      <c r="F1193" s="26" t="n">
        <v>0</v>
      </c>
      <c r="G1193" s="26" t="n">
        <v>0</v>
      </c>
      <c r="H1193" s="26" t="n">
        <v>0</v>
      </c>
      <c r="I1193" s="26" t="n">
        <v>0</v>
      </c>
      <c r="J1193" s="26" t="n">
        <v>0</v>
      </c>
      <c r="K1193" s="26" t="n">
        <v>0</v>
      </c>
      <c r="L1193" s="26" t="n">
        <v>0</v>
      </c>
      <c r="M1193" s="26" t="n">
        <v>0</v>
      </c>
    </row>
    <row r="1194" customFormat="false" ht="15" hidden="false" customHeight="false" outlineLevel="0" collapsed="false">
      <c r="A1194" s="7" t="s">
        <v>87</v>
      </c>
      <c r="B1194" s="7" t="n">
        <v>4415138</v>
      </c>
      <c r="C1194" s="7" t="s">
        <v>682</v>
      </c>
      <c r="D1194" s="26" t="n">
        <v>0</v>
      </c>
      <c r="E1194" s="26" t="n">
        <v>0</v>
      </c>
      <c r="F1194" s="26" t="n">
        <v>0</v>
      </c>
      <c r="G1194" s="26" t="n">
        <v>0</v>
      </c>
      <c r="H1194" s="26" t="n">
        <v>0</v>
      </c>
      <c r="I1194" s="26" t="n">
        <v>0</v>
      </c>
      <c r="J1194" s="26" t="n">
        <v>0</v>
      </c>
      <c r="K1194" s="26" t="n">
        <v>0</v>
      </c>
      <c r="L1194" s="26" t="n">
        <v>0</v>
      </c>
      <c r="M1194" s="26" t="n">
        <v>0</v>
      </c>
    </row>
    <row r="1195" customFormat="false" ht="15" hidden="false" customHeight="false" outlineLevel="0" collapsed="false">
      <c r="A1195" s="7" t="s">
        <v>85</v>
      </c>
      <c r="B1195" s="7" t="n">
        <v>4415139</v>
      </c>
      <c r="C1195" s="7" t="s">
        <v>683</v>
      </c>
      <c r="D1195" s="26" t="n">
        <v>0</v>
      </c>
      <c r="E1195" s="26" t="n">
        <v>0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0</v>
      </c>
      <c r="L1195" s="26" t="n">
        <v>0</v>
      </c>
      <c r="M1195" s="26" t="n">
        <v>0</v>
      </c>
    </row>
    <row r="1196" customFormat="false" ht="15" hidden="false" customHeight="false" outlineLevel="0" collapsed="false">
      <c r="A1196" s="7" t="s">
        <v>87</v>
      </c>
      <c r="B1196" s="7" t="n">
        <v>4415139</v>
      </c>
      <c r="C1196" s="7" t="s">
        <v>683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0</v>
      </c>
      <c r="L1196" s="26" t="n">
        <v>0</v>
      </c>
      <c r="M1196" s="26" t="n">
        <v>0</v>
      </c>
    </row>
    <row r="1197" customFormat="false" ht="15" hidden="false" customHeight="false" outlineLevel="0" collapsed="false">
      <c r="A1197" s="7" t="s">
        <v>85</v>
      </c>
      <c r="B1197" s="7" t="n">
        <v>4415065</v>
      </c>
      <c r="C1197" s="7" t="s">
        <v>684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0</v>
      </c>
      <c r="L1197" s="26" t="n">
        <v>0</v>
      </c>
      <c r="M1197" s="26" t="n">
        <v>0</v>
      </c>
    </row>
    <row r="1198" customFormat="false" ht="15" hidden="false" customHeight="false" outlineLevel="0" collapsed="false">
      <c r="A1198" s="7" t="s">
        <v>87</v>
      </c>
      <c r="B1198" s="7" t="n">
        <v>4415065</v>
      </c>
      <c r="C1198" s="7" t="s">
        <v>684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0</v>
      </c>
      <c r="L1198" s="26" t="n">
        <v>0</v>
      </c>
      <c r="M1198" s="26" t="n">
        <v>0</v>
      </c>
    </row>
    <row r="1199" customFormat="false" ht="15" hidden="false" customHeight="false" outlineLevel="0" collapsed="false">
      <c r="A1199" s="7" t="s">
        <v>85</v>
      </c>
      <c r="B1199" s="7" t="n">
        <v>4415066</v>
      </c>
      <c r="C1199" s="7" t="s">
        <v>685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0</v>
      </c>
      <c r="L1199" s="26" t="n">
        <v>0</v>
      </c>
      <c r="M1199" s="26" t="n">
        <v>0</v>
      </c>
    </row>
    <row r="1200" customFormat="false" ht="15" hidden="false" customHeight="false" outlineLevel="0" collapsed="false">
      <c r="A1200" s="7" t="s">
        <v>87</v>
      </c>
      <c r="B1200" s="7" t="n">
        <v>4415066</v>
      </c>
      <c r="C1200" s="7" t="s">
        <v>685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0</v>
      </c>
      <c r="L1200" s="26" t="n">
        <v>0</v>
      </c>
      <c r="M1200" s="26" t="n">
        <v>0</v>
      </c>
    </row>
    <row r="1201" customFormat="false" ht="15" hidden="false" customHeight="false" outlineLevel="0" collapsed="false">
      <c r="A1201" s="7" t="s">
        <v>85</v>
      </c>
      <c r="B1201" s="7" t="n">
        <v>4415064</v>
      </c>
      <c r="C1201" s="7" t="s">
        <v>686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0</v>
      </c>
      <c r="L1201" s="26" t="n">
        <v>0</v>
      </c>
      <c r="M1201" s="26" t="n">
        <v>0</v>
      </c>
    </row>
    <row r="1202" customFormat="false" ht="15" hidden="false" customHeight="false" outlineLevel="0" collapsed="false">
      <c r="A1202" s="7" t="s">
        <v>87</v>
      </c>
      <c r="B1202" s="7" t="n">
        <v>4415064</v>
      </c>
      <c r="C1202" s="7" t="s">
        <v>686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0</v>
      </c>
      <c r="J1202" s="26" t="n">
        <v>0</v>
      </c>
      <c r="K1202" s="26" t="n">
        <v>0</v>
      </c>
      <c r="L1202" s="26" t="n">
        <v>0</v>
      </c>
      <c r="M1202" s="26" t="n">
        <v>0</v>
      </c>
    </row>
    <row r="1203" customFormat="false" ht="15" hidden="false" customHeight="false" outlineLevel="0" collapsed="false">
      <c r="A1203" s="7" t="s">
        <v>85</v>
      </c>
      <c r="B1203" s="7" t="n">
        <v>4415067</v>
      </c>
      <c r="C1203" s="7" t="s">
        <v>687</v>
      </c>
      <c r="D1203" s="26" t="n">
        <v>3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0</v>
      </c>
      <c r="J1203" s="26" t="n">
        <v>0</v>
      </c>
      <c r="K1203" s="26" t="n">
        <v>0</v>
      </c>
      <c r="L1203" s="26" t="n">
        <v>0</v>
      </c>
      <c r="M1203" s="26" t="n">
        <v>0</v>
      </c>
    </row>
    <row r="1204" customFormat="false" ht="15" hidden="false" customHeight="false" outlineLevel="0" collapsed="false">
      <c r="A1204" s="7" t="s">
        <v>87</v>
      </c>
      <c r="B1204" s="7" t="n">
        <v>4415067</v>
      </c>
      <c r="C1204" s="7" t="s">
        <v>687</v>
      </c>
      <c r="D1204" s="26" t="n">
        <v>209.7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0</v>
      </c>
      <c r="J1204" s="26" t="n">
        <v>0</v>
      </c>
      <c r="K1204" s="26" t="n">
        <v>0</v>
      </c>
      <c r="L1204" s="26" t="n">
        <v>0</v>
      </c>
      <c r="M1204" s="26" t="n">
        <v>0</v>
      </c>
    </row>
    <row r="1205" customFormat="false" ht="15" hidden="false" customHeight="false" outlineLevel="0" collapsed="false">
      <c r="A1205" s="7" t="s">
        <v>85</v>
      </c>
      <c r="B1205" s="7" t="n">
        <v>4415118</v>
      </c>
      <c r="C1205" s="7" t="s">
        <v>688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0</v>
      </c>
      <c r="L1205" s="26" t="n">
        <v>0</v>
      </c>
      <c r="M1205" s="26" t="n">
        <v>0</v>
      </c>
    </row>
    <row r="1206" customFormat="false" ht="15" hidden="false" customHeight="false" outlineLevel="0" collapsed="false">
      <c r="A1206" s="7" t="s">
        <v>87</v>
      </c>
      <c r="B1206" s="7" t="n">
        <v>4415118</v>
      </c>
      <c r="C1206" s="7" t="s">
        <v>688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0</v>
      </c>
      <c r="L1206" s="26" t="n">
        <v>0</v>
      </c>
      <c r="M1206" s="26" t="n">
        <v>0</v>
      </c>
    </row>
    <row r="1207" customFormat="false" ht="15" hidden="false" customHeight="false" outlineLevel="0" collapsed="false">
      <c r="A1207" s="7" t="s">
        <v>85</v>
      </c>
      <c r="B1207" s="7" t="n">
        <v>4415073</v>
      </c>
      <c r="C1207" s="7" t="s">
        <v>689</v>
      </c>
      <c r="D1207" s="26" t="n">
        <v>33</v>
      </c>
      <c r="E1207" s="26" t="n">
        <v>0</v>
      </c>
      <c r="F1207" s="26" t="n">
        <v>0</v>
      </c>
      <c r="G1207" s="26" t="n">
        <v>0</v>
      </c>
      <c r="H1207" s="26" t="n">
        <v>828</v>
      </c>
      <c r="I1207" s="26" t="n">
        <v>20</v>
      </c>
      <c r="J1207" s="26" t="n">
        <v>0</v>
      </c>
      <c r="K1207" s="26" t="n">
        <v>0</v>
      </c>
      <c r="L1207" s="26" t="n">
        <v>0</v>
      </c>
      <c r="M1207" s="26" t="n">
        <v>0</v>
      </c>
    </row>
    <row r="1208" customFormat="false" ht="15" hidden="false" customHeight="false" outlineLevel="0" collapsed="false">
      <c r="A1208" s="7" t="s">
        <v>87</v>
      </c>
      <c r="B1208" s="7" t="n">
        <v>4415073</v>
      </c>
      <c r="C1208" s="7" t="s">
        <v>689</v>
      </c>
      <c r="D1208" s="26" t="n">
        <v>2239.7</v>
      </c>
      <c r="E1208" s="26" t="n">
        <v>0</v>
      </c>
      <c r="F1208" s="26" t="n">
        <v>0</v>
      </c>
      <c r="G1208" s="26" t="n">
        <v>0</v>
      </c>
      <c r="H1208" s="26" t="n">
        <v>48838.9</v>
      </c>
      <c r="I1208" s="26" t="n">
        <v>1270</v>
      </c>
      <c r="J1208" s="26" t="n">
        <v>0</v>
      </c>
      <c r="K1208" s="26" t="n">
        <v>0</v>
      </c>
      <c r="L1208" s="26" t="n">
        <v>0</v>
      </c>
      <c r="M1208" s="26" t="n">
        <v>0</v>
      </c>
    </row>
    <row r="1209" customFormat="false" ht="15" hidden="false" customHeight="false" outlineLevel="0" collapsed="false">
      <c r="A1209" s="7" t="s">
        <v>85</v>
      </c>
      <c r="B1209" s="7" t="n">
        <v>4415072</v>
      </c>
      <c r="C1209" s="7" t="s">
        <v>690</v>
      </c>
      <c r="D1209" s="26" t="n">
        <v>39</v>
      </c>
      <c r="E1209" s="26" t="n">
        <v>0</v>
      </c>
      <c r="F1209" s="26" t="n">
        <v>0</v>
      </c>
      <c r="G1209" s="26" t="n">
        <v>0</v>
      </c>
      <c r="H1209" s="26" t="n">
        <v>1351</v>
      </c>
      <c r="I1209" s="26" t="n">
        <v>152</v>
      </c>
      <c r="J1209" s="26" t="n">
        <v>0</v>
      </c>
      <c r="K1209" s="26" t="n">
        <v>0</v>
      </c>
      <c r="L1209" s="26" t="n">
        <v>0</v>
      </c>
      <c r="M1209" s="26" t="n">
        <v>-3</v>
      </c>
    </row>
    <row r="1210" customFormat="false" ht="15" hidden="false" customHeight="false" outlineLevel="0" collapsed="false">
      <c r="A1210" s="7" t="s">
        <v>87</v>
      </c>
      <c r="B1210" s="7" t="n">
        <v>4415072</v>
      </c>
      <c r="C1210" s="7" t="s">
        <v>690</v>
      </c>
      <c r="D1210" s="26" t="n">
        <v>2706.4</v>
      </c>
      <c r="E1210" s="26" t="n">
        <v>0</v>
      </c>
      <c r="F1210" s="26" t="n">
        <v>0</v>
      </c>
      <c r="G1210" s="26" t="n">
        <v>0</v>
      </c>
      <c r="H1210" s="26" t="n">
        <v>79514</v>
      </c>
      <c r="I1210" s="26" t="n">
        <v>9583.6</v>
      </c>
      <c r="J1210" s="26" t="n">
        <v>0</v>
      </c>
      <c r="K1210" s="26" t="n">
        <v>0</v>
      </c>
      <c r="L1210" s="26" t="n">
        <v>0</v>
      </c>
      <c r="M1210" s="26" t="n">
        <v>-281</v>
      </c>
    </row>
    <row r="1211" customFormat="false" ht="15" hidden="false" customHeight="false" outlineLevel="0" collapsed="false">
      <c r="A1211" s="7" t="s">
        <v>85</v>
      </c>
      <c r="B1211" s="7" t="n">
        <v>4415176</v>
      </c>
      <c r="C1211" s="7" t="s">
        <v>691</v>
      </c>
      <c r="D1211" s="26" t="n">
        <v>0</v>
      </c>
      <c r="E1211" s="26" t="n">
        <v>0</v>
      </c>
      <c r="F1211" s="26" t="n">
        <v>0</v>
      </c>
      <c r="G1211" s="26" t="n">
        <v>0</v>
      </c>
      <c r="H1211" s="26" t="n">
        <v>0</v>
      </c>
      <c r="I1211" s="26" t="n">
        <v>0</v>
      </c>
      <c r="J1211" s="26" t="n">
        <v>0</v>
      </c>
      <c r="K1211" s="26" t="n">
        <v>0</v>
      </c>
      <c r="L1211" s="26" t="n">
        <v>0</v>
      </c>
      <c r="M1211" s="26" t="n">
        <v>0</v>
      </c>
    </row>
    <row r="1212" customFormat="false" ht="15" hidden="false" customHeight="false" outlineLevel="0" collapsed="false">
      <c r="A1212" s="7" t="s">
        <v>87</v>
      </c>
      <c r="B1212" s="7" t="n">
        <v>4415176</v>
      </c>
      <c r="C1212" s="7" t="s">
        <v>691</v>
      </c>
      <c r="D1212" s="26" t="n">
        <v>0</v>
      </c>
      <c r="E1212" s="26" t="n">
        <v>0</v>
      </c>
      <c r="F1212" s="26" t="n">
        <v>0</v>
      </c>
      <c r="G1212" s="26" t="n">
        <v>0</v>
      </c>
      <c r="H1212" s="26" t="n">
        <v>0</v>
      </c>
      <c r="I1212" s="26" t="n">
        <v>0</v>
      </c>
      <c r="J1212" s="26" t="n">
        <v>0</v>
      </c>
      <c r="K1212" s="26" t="n">
        <v>0</v>
      </c>
      <c r="L1212" s="26" t="n">
        <v>0</v>
      </c>
      <c r="M1212" s="26" t="n">
        <v>0</v>
      </c>
    </row>
    <row r="1213" customFormat="false" ht="15" hidden="false" customHeight="false" outlineLevel="0" collapsed="false">
      <c r="A1213" s="7" t="s">
        <v>85</v>
      </c>
      <c r="B1213" s="7" t="n">
        <v>4415075</v>
      </c>
      <c r="C1213" s="7" t="s">
        <v>692</v>
      </c>
      <c r="D1213" s="26" t="n">
        <v>38</v>
      </c>
      <c r="E1213" s="26" t="n">
        <v>0</v>
      </c>
      <c r="F1213" s="26" t="n">
        <v>0</v>
      </c>
      <c r="G1213" s="26" t="n">
        <v>0</v>
      </c>
      <c r="H1213" s="26" t="n">
        <v>146</v>
      </c>
      <c r="I1213" s="26" t="n">
        <v>0</v>
      </c>
      <c r="J1213" s="26" t="n">
        <v>0</v>
      </c>
      <c r="K1213" s="26" t="n">
        <v>0</v>
      </c>
      <c r="L1213" s="26" t="n">
        <v>0</v>
      </c>
      <c r="M1213" s="26" t="n">
        <v>0</v>
      </c>
    </row>
    <row r="1214" customFormat="false" ht="15" hidden="false" customHeight="false" outlineLevel="0" collapsed="false">
      <c r="A1214" s="7" t="s">
        <v>87</v>
      </c>
      <c r="B1214" s="7" t="n">
        <v>4415075</v>
      </c>
      <c r="C1214" s="7" t="s">
        <v>692</v>
      </c>
      <c r="D1214" s="26" t="n">
        <v>2578.7</v>
      </c>
      <c r="E1214" s="26" t="n">
        <v>0</v>
      </c>
      <c r="F1214" s="26" t="n">
        <v>0</v>
      </c>
      <c r="G1214" s="26" t="n">
        <v>0</v>
      </c>
      <c r="H1214" s="26" t="n">
        <v>8567.9</v>
      </c>
      <c r="I1214" s="26" t="n">
        <v>0</v>
      </c>
      <c r="J1214" s="26" t="n">
        <v>0</v>
      </c>
      <c r="K1214" s="26" t="n">
        <v>0</v>
      </c>
      <c r="L1214" s="26" t="n">
        <v>0</v>
      </c>
      <c r="M1214" s="26" t="n">
        <v>0</v>
      </c>
    </row>
    <row r="1215" customFormat="false" ht="15" hidden="false" customHeight="false" outlineLevel="0" collapsed="false">
      <c r="A1215" s="7" t="s">
        <v>85</v>
      </c>
      <c r="B1215" s="7" t="n">
        <v>4415074</v>
      </c>
      <c r="C1215" s="7" t="s">
        <v>693</v>
      </c>
      <c r="D1215" s="26" t="n">
        <v>63</v>
      </c>
      <c r="E1215" s="26" t="n">
        <v>0</v>
      </c>
      <c r="F1215" s="26" t="n">
        <v>0</v>
      </c>
      <c r="G1215" s="26" t="n">
        <v>0</v>
      </c>
      <c r="H1215" s="26" t="n">
        <v>215</v>
      </c>
      <c r="I1215" s="26" t="n">
        <v>0</v>
      </c>
      <c r="J1215" s="26" t="n">
        <v>0</v>
      </c>
      <c r="K1215" s="26" t="n">
        <v>0</v>
      </c>
      <c r="L1215" s="26" t="n">
        <v>0</v>
      </c>
      <c r="M1215" s="26" t="n">
        <v>0</v>
      </c>
    </row>
    <row r="1216" customFormat="false" ht="15" hidden="false" customHeight="false" outlineLevel="0" collapsed="false">
      <c r="A1216" s="7" t="s">
        <v>87</v>
      </c>
      <c r="B1216" s="7" t="n">
        <v>4415074</v>
      </c>
      <c r="C1216" s="7" t="s">
        <v>693</v>
      </c>
      <c r="D1216" s="26" t="n">
        <v>4281.1</v>
      </c>
      <c r="E1216" s="26" t="n">
        <v>0</v>
      </c>
      <c r="F1216" s="26" t="n">
        <v>0</v>
      </c>
      <c r="G1216" s="26" t="n">
        <v>0</v>
      </c>
      <c r="H1216" s="26" t="n">
        <v>12620.7</v>
      </c>
      <c r="I1216" s="26" t="n">
        <v>0</v>
      </c>
      <c r="J1216" s="26" t="n">
        <v>0</v>
      </c>
      <c r="K1216" s="26" t="n">
        <v>0</v>
      </c>
      <c r="L1216" s="26" t="n">
        <v>0</v>
      </c>
      <c r="M1216" s="26" t="n">
        <v>0</v>
      </c>
    </row>
    <row r="1217" customFormat="false" ht="15" hidden="false" customHeight="false" outlineLevel="0" collapsed="false">
      <c r="A1217" s="7" t="s">
        <v>85</v>
      </c>
      <c r="B1217" s="7" t="n">
        <v>4415071</v>
      </c>
      <c r="C1217" s="7" t="s">
        <v>694</v>
      </c>
      <c r="D1217" s="26" t="n">
        <v>1</v>
      </c>
      <c r="E1217" s="26" t="n">
        <v>0</v>
      </c>
      <c r="F1217" s="26" t="n">
        <v>0</v>
      </c>
      <c r="G1217" s="26" t="n">
        <v>0</v>
      </c>
      <c r="H1217" s="26" t="n">
        <v>0</v>
      </c>
      <c r="I1217" s="26" t="n">
        <v>0</v>
      </c>
      <c r="J1217" s="26" t="n">
        <v>0</v>
      </c>
      <c r="K1217" s="26" t="n">
        <v>0</v>
      </c>
      <c r="L1217" s="26" t="n">
        <v>0</v>
      </c>
      <c r="M1217" s="26" t="n">
        <v>0</v>
      </c>
    </row>
    <row r="1218" customFormat="false" ht="15" hidden="false" customHeight="false" outlineLevel="0" collapsed="false">
      <c r="A1218" s="7" t="s">
        <v>87</v>
      </c>
      <c r="B1218" s="7" t="n">
        <v>4415071</v>
      </c>
      <c r="C1218" s="7" t="s">
        <v>694</v>
      </c>
      <c r="D1218" s="26" t="n">
        <v>70.9</v>
      </c>
      <c r="E1218" s="26" t="n">
        <v>0</v>
      </c>
      <c r="F1218" s="26" t="n">
        <v>0</v>
      </c>
      <c r="G1218" s="26" t="n">
        <v>0</v>
      </c>
      <c r="H1218" s="26" t="n">
        <v>0</v>
      </c>
      <c r="I1218" s="26" t="n">
        <v>0</v>
      </c>
      <c r="J1218" s="26" t="n">
        <v>0</v>
      </c>
      <c r="K1218" s="26" t="n">
        <v>0</v>
      </c>
      <c r="L1218" s="26" t="n">
        <v>0</v>
      </c>
      <c r="M1218" s="26" t="n">
        <v>0</v>
      </c>
    </row>
    <row r="1219" customFormat="false" ht="15" hidden="false" customHeight="false" outlineLevel="0" collapsed="false">
      <c r="A1219" s="7" t="s">
        <v>85</v>
      </c>
      <c r="B1219" s="7" t="n">
        <v>4415069</v>
      </c>
      <c r="C1219" s="7" t="s">
        <v>695</v>
      </c>
      <c r="D1219" s="26" t="n">
        <v>5</v>
      </c>
      <c r="E1219" s="26" t="n">
        <v>0</v>
      </c>
      <c r="F1219" s="26" t="n">
        <v>0</v>
      </c>
      <c r="G1219" s="26" t="n">
        <v>0</v>
      </c>
      <c r="H1219" s="26" t="n">
        <v>0</v>
      </c>
      <c r="I1219" s="26" t="n">
        <v>0</v>
      </c>
      <c r="J1219" s="26" t="n">
        <v>0</v>
      </c>
      <c r="K1219" s="26" t="n">
        <v>0</v>
      </c>
      <c r="L1219" s="26" t="n">
        <v>0</v>
      </c>
      <c r="M1219" s="26" t="n">
        <v>0</v>
      </c>
    </row>
    <row r="1220" customFormat="false" ht="15" hidden="false" customHeight="false" outlineLevel="0" collapsed="false">
      <c r="A1220" s="7" t="s">
        <v>87</v>
      </c>
      <c r="B1220" s="7" t="n">
        <v>4415069</v>
      </c>
      <c r="C1220" s="7" t="s">
        <v>695</v>
      </c>
      <c r="D1220" s="26" t="n">
        <v>354.3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0</v>
      </c>
      <c r="L1220" s="26" t="n">
        <v>0</v>
      </c>
      <c r="M1220" s="26" t="n">
        <v>0</v>
      </c>
    </row>
    <row r="1221" customFormat="false" ht="15" hidden="false" customHeight="false" outlineLevel="0" collapsed="false">
      <c r="A1221" s="7" t="s">
        <v>85</v>
      </c>
      <c r="B1221" s="7" t="n">
        <v>4415070</v>
      </c>
      <c r="C1221" s="7" t="s">
        <v>696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-1</v>
      </c>
      <c r="I1221" s="26" t="n">
        <v>0</v>
      </c>
      <c r="J1221" s="26" t="n">
        <v>0</v>
      </c>
      <c r="K1221" s="26" t="n">
        <v>0</v>
      </c>
      <c r="L1221" s="26" t="n">
        <v>0</v>
      </c>
      <c r="M1221" s="26" t="n">
        <v>0</v>
      </c>
    </row>
    <row r="1222" customFormat="false" ht="15" hidden="false" customHeight="false" outlineLevel="0" collapsed="false">
      <c r="A1222" s="7" t="s">
        <v>87</v>
      </c>
      <c r="B1222" s="7" t="n">
        <v>4415070</v>
      </c>
      <c r="C1222" s="7" t="s">
        <v>696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-58.3</v>
      </c>
      <c r="I1222" s="26" t="n">
        <v>0</v>
      </c>
      <c r="J1222" s="26" t="n">
        <v>0</v>
      </c>
      <c r="K1222" s="26" t="n">
        <v>0</v>
      </c>
      <c r="L1222" s="26" t="n">
        <v>0</v>
      </c>
      <c r="M1222" s="26" t="n">
        <v>0</v>
      </c>
    </row>
    <row r="1223" customFormat="false" ht="15" hidden="false" customHeight="false" outlineLevel="0" collapsed="false">
      <c r="A1223" s="7" t="s">
        <v>85</v>
      </c>
      <c r="B1223" s="7" t="n">
        <v>4415068</v>
      </c>
      <c r="C1223" s="7" t="s">
        <v>697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0</v>
      </c>
      <c r="L1223" s="26" t="n">
        <v>0</v>
      </c>
      <c r="M1223" s="26" t="n">
        <v>0</v>
      </c>
    </row>
    <row r="1224" customFormat="false" ht="15" hidden="false" customHeight="false" outlineLevel="0" collapsed="false">
      <c r="A1224" s="7" t="s">
        <v>87</v>
      </c>
      <c r="B1224" s="7" t="n">
        <v>4415068</v>
      </c>
      <c r="C1224" s="7" t="s">
        <v>697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0</v>
      </c>
      <c r="L1224" s="26" t="n">
        <v>0</v>
      </c>
      <c r="M1224" s="26" t="n">
        <v>0</v>
      </c>
    </row>
    <row r="1225" customFormat="false" ht="15" hidden="false" customHeight="false" outlineLevel="0" collapsed="false">
      <c r="A1225" s="7" t="s">
        <v>85</v>
      </c>
      <c r="B1225" s="7" t="n">
        <v>4415029</v>
      </c>
      <c r="C1225" s="7" t="s">
        <v>698</v>
      </c>
      <c r="D1225" s="26" t="n">
        <v>38</v>
      </c>
      <c r="E1225" s="26" t="n">
        <v>0</v>
      </c>
      <c r="F1225" s="26" t="n">
        <v>0</v>
      </c>
      <c r="G1225" s="26" t="n">
        <v>0</v>
      </c>
      <c r="H1225" s="26" t="n">
        <v>158</v>
      </c>
      <c r="I1225" s="26" t="n">
        <v>30</v>
      </c>
      <c r="J1225" s="26" t="n">
        <v>0</v>
      </c>
      <c r="K1225" s="26" t="n">
        <v>0</v>
      </c>
      <c r="L1225" s="26" t="n">
        <v>0</v>
      </c>
      <c r="M1225" s="26" t="n">
        <v>0</v>
      </c>
    </row>
    <row r="1226" customFormat="false" ht="15" hidden="false" customHeight="false" outlineLevel="0" collapsed="false">
      <c r="A1226" s="7" t="s">
        <v>87</v>
      </c>
      <c r="B1226" s="7" t="n">
        <v>4415029</v>
      </c>
      <c r="C1226" s="7" t="s">
        <v>698</v>
      </c>
      <c r="D1226" s="26" t="n">
        <v>1141.8</v>
      </c>
      <c r="E1226" s="26" t="n">
        <v>0</v>
      </c>
      <c r="F1226" s="26" t="n">
        <v>0</v>
      </c>
      <c r="G1226" s="26" t="n">
        <v>0</v>
      </c>
      <c r="H1226" s="26" t="n">
        <v>3912.8</v>
      </c>
      <c r="I1226" s="26" t="n">
        <v>1216.8</v>
      </c>
      <c r="J1226" s="26" t="n">
        <v>0</v>
      </c>
      <c r="K1226" s="26" t="n">
        <v>0</v>
      </c>
      <c r="L1226" s="26" t="n">
        <v>0</v>
      </c>
      <c r="M1226" s="26" t="n">
        <v>0</v>
      </c>
    </row>
    <row r="1227" customFormat="false" ht="15" hidden="false" customHeight="false" outlineLevel="0" collapsed="false">
      <c r="A1227" s="7" t="s">
        <v>85</v>
      </c>
      <c r="B1227" s="7" t="n">
        <v>4418014</v>
      </c>
      <c r="C1227" s="7" t="s">
        <v>699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0</v>
      </c>
      <c r="J1227" s="26" t="n">
        <v>0</v>
      </c>
      <c r="K1227" s="26" t="n">
        <v>0</v>
      </c>
      <c r="L1227" s="26" t="n">
        <v>0</v>
      </c>
      <c r="M1227" s="26" t="n">
        <v>0</v>
      </c>
    </row>
    <row r="1228" customFormat="false" ht="15" hidden="false" customHeight="false" outlineLevel="0" collapsed="false">
      <c r="A1228" s="7" t="s">
        <v>87</v>
      </c>
      <c r="B1228" s="7" t="n">
        <v>4418014</v>
      </c>
      <c r="C1228" s="7" t="s">
        <v>699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0</v>
      </c>
      <c r="J1228" s="26" t="n">
        <v>0</v>
      </c>
      <c r="K1228" s="26" t="n">
        <v>0</v>
      </c>
      <c r="L1228" s="26" t="n">
        <v>0</v>
      </c>
      <c r="M1228" s="26" t="n">
        <v>0</v>
      </c>
    </row>
    <row r="1229" customFormat="false" ht="15" hidden="false" customHeight="false" outlineLevel="0" collapsed="false">
      <c r="A1229" s="7" t="s">
        <v>85</v>
      </c>
      <c r="B1229" s="7" t="n">
        <v>4418000</v>
      </c>
      <c r="C1229" s="7" t="s">
        <v>700</v>
      </c>
      <c r="D1229" s="26" t="n">
        <v>87</v>
      </c>
      <c r="E1229" s="26" t="n">
        <v>0</v>
      </c>
      <c r="F1229" s="26" t="n">
        <v>0</v>
      </c>
      <c r="G1229" s="26" t="n">
        <v>0</v>
      </c>
      <c r="H1229" s="26" t="n">
        <v>431</v>
      </c>
      <c r="I1229" s="26" t="n">
        <v>77</v>
      </c>
      <c r="J1229" s="26" t="n">
        <v>0</v>
      </c>
      <c r="K1229" s="26" t="n">
        <v>0</v>
      </c>
      <c r="L1229" s="26" t="n">
        <v>0</v>
      </c>
      <c r="M1229" s="26" t="n">
        <v>0</v>
      </c>
    </row>
    <row r="1230" customFormat="false" ht="15" hidden="false" customHeight="false" outlineLevel="0" collapsed="false">
      <c r="A1230" s="7" t="s">
        <v>87</v>
      </c>
      <c r="B1230" s="7" t="n">
        <v>4418000</v>
      </c>
      <c r="C1230" s="7" t="s">
        <v>700</v>
      </c>
      <c r="D1230" s="26" t="n">
        <v>4203.4</v>
      </c>
      <c r="E1230" s="26" t="n">
        <v>0</v>
      </c>
      <c r="F1230" s="26" t="n">
        <v>0</v>
      </c>
      <c r="G1230" s="26" t="n">
        <v>0</v>
      </c>
      <c r="H1230" s="26" t="n">
        <v>13864.9</v>
      </c>
      <c r="I1230" s="26" t="n">
        <v>2492.5</v>
      </c>
      <c r="J1230" s="26" t="n">
        <v>0</v>
      </c>
      <c r="K1230" s="26" t="n">
        <v>0</v>
      </c>
      <c r="L1230" s="26" t="n">
        <v>0</v>
      </c>
      <c r="M1230" s="26" t="n">
        <v>0</v>
      </c>
    </row>
    <row r="1231" customFormat="false" ht="15" hidden="false" customHeight="false" outlineLevel="0" collapsed="false">
      <c r="A1231" s="7" t="s">
        <v>85</v>
      </c>
      <c r="B1231" s="7" t="n">
        <v>4418001</v>
      </c>
      <c r="C1231" s="7" t="s">
        <v>701</v>
      </c>
      <c r="D1231" s="26" t="n">
        <v>55</v>
      </c>
      <c r="E1231" s="26" t="n">
        <v>0</v>
      </c>
      <c r="F1231" s="26" t="n">
        <v>0</v>
      </c>
      <c r="G1231" s="26" t="n">
        <v>0</v>
      </c>
      <c r="H1231" s="26" t="n">
        <v>408</v>
      </c>
      <c r="I1231" s="26" t="n">
        <v>72</v>
      </c>
      <c r="J1231" s="26" t="n">
        <v>0</v>
      </c>
      <c r="K1231" s="26" t="n">
        <v>0</v>
      </c>
      <c r="L1231" s="26" t="n">
        <v>0</v>
      </c>
      <c r="M1231" s="26" t="n">
        <v>0</v>
      </c>
    </row>
    <row r="1232" customFormat="false" ht="15" hidden="false" customHeight="false" outlineLevel="0" collapsed="false">
      <c r="A1232" s="7" t="s">
        <v>87</v>
      </c>
      <c r="B1232" s="7" t="n">
        <v>4418001</v>
      </c>
      <c r="C1232" s="7" t="s">
        <v>701</v>
      </c>
      <c r="D1232" s="26" t="n">
        <v>2656.9</v>
      </c>
      <c r="E1232" s="26" t="n">
        <v>0</v>
      </c>
      <c r="F1232" s="26" t="n">
        <v>0</v>
      </c>
      <c r="G1232" s="26" t="n">
        <v>0</v>
      </c>
      <c r="H1232" s="26" t="n">
        <v>12526</v>
      </c>
      <c r="I1232" s="26" t="n">
        <v>2326.3</v>
      </c>
      <c r="J1232" s="26" t="n">
        <v>0</v>
      </c>
      <c r="K1232" s="26" t="n">
        <v>0</v>
      </c>
      <c r="L1232" s="26" t="n">
        <v>0</v>
      </c>
      <c r="M1232" s="26" t="n">
        <v>0</v>
      </c>
    </row>
    <row r="1233" customFormat="false" ht="15" hidden="false" customHeight="false" outlineLevel="0" collapsed="false">
      <c r="A1233" s="7" t="s">
        <v>85</v>
      </c>
      <c r="B1233" s="7" t="n">
        <v>4418002</v>
      </c>
      <c r="C1233" s="7" t="s">
        <v>702</v>
      </c>
      <c r="D1233" s="26" t="n">
        <v>37</v>
      </c>
      <c r="E1233" s="26" t="n">
        <v>0</v>
      </c>
      <c r="F1233" s="26" t="n">
        <v>0</v>
      </c>
      <c r="G1233" s="26" t="n">
        <v>0</v>
      </c>
      <c r="H1233" s="26" t="n">
        <v>268</v>
      </c>
      <c r="I1233" s="26" t="n">
        <v>48</v>
      </c>
      <c r="J1233" s="26" t="n">
        <v>0</v>
      </c>
      <c r="K1233" s="26" t="n">
        <v>0</v>
      </c>
      <c r="L1233" s="26" t="n">
        <v>0</v>
      </c>
      <c r="M1233" s="26" t="n">
        <v>0</v>
      </c>
    </row>
    <row r="1234" customFormat="false" ht="15" hidden="false" customHeight="false" outlineLevel="0" collapsed="false">
      <c r="A1234" s="7" t="s">
        <v>87</v>
      </c>
      <c r="B1234" s="7" t="n">
        <v>4418002</v>
      </c>
      <c r="C1234" s="7" t="s">
        <v>702</v>
      </c>
      <c r="D1234" s="26" t="n">
        <v>1803.2</v>
      </c>
      <c r="E1234" s="26" t="n">
        <v>0</v>
      </c>
      <c r="F1234" s="26" t="n">
        <v>0</v>
      </c>
      <c r="G1234" s="26" t="n">
        <v>0</v>
      </c>
      <c r="H1234" s="26" t="n">
        <v>8507.3</v>
      </c>
      <c r="I1234" s="26" t="n">
        <v>1550.9</v>
      </c>
      <c r="J1234" s="26" t="n">
        <v>0</v>
      </c>
      <c r="K1234" s="26" t="n">
        <v>0</v>
      </c>
      <c r="L1234" s="26" t="n">
        <v>0</v>
      </c>
      <c r="M1234" s="26" t="n">
        <v>0</v>
      </c>
    </row>
    <row r="1235" customFormat="false" ht="15" hidden="false" customHeight="false" outlineLevel="0" collapsed="false">
      <c r="A1235" s="7" t="s">
        <v>85</v>
      </c>
      <c r="B1235" s="7" t="n">
        <v>4418003</v>
      </c>
      <c r="C1235" s="7" t="s">
        <v>703</v>
      </c>
      <c r="D1235" s="26" t="n">
        <v>48</v>
      </c>
      <c r="E1235" s="26" t="n">
        <v>0</v>
      </c>
      <c r="F1235" s="26" t="n">
        <v>0</v>
      </c>
      <c r="G1235" s="26" t="n">
        <v>0</v>
      </c>
      <c r="H1235" s="26" t="n">
        <v>307</v>
      </c>
      <c r="I1235" s="26" t="n">
        <v>66</v>
      </c>
      <c r="J1235" s="26" t="n">
        <v>0</v>
      </c>
      <c r="K1235" s="26" t="n">
        <v>0</v>
      </c>
      <c r="L1235" s="26" t="n">
        <v>0</v>
      </c>
      <c r="M1235" s="26" t="n">
        <v>0</v>
      </c>
    </row>
    <row r="1236" customFormat="false" ht="15" hidden="false" customHeight="false" outlineLevel="0" collapsed="false">
      <c r="A1236" s="7" t="s">
        <v>87</v>
      </c>
      <c r="B1236" s="7" t="n">
        <v>4418003</v>
      </c>
      <c r="C1236" s="7" t="s">
        <v>703</v>
      </c>
      <c r="D1236" s="26" t="n">
        <v>2337.3</v>
      </c>
      <c r="E1236" s="26" t="n">
        <v>0</v>
      </c>
      <c r="F1236" s="26" t="n">
        <v>0</v>
      </c>
      <c r="G1236" s="26" t="n">
        <v>0</v>
      </c>
      <c r="H1236" s="26" t="n">
        <v>9741.6</v>
      </c>
      <c r="I1236" s="26" t="n">
        <v>2134.8</v>
      </c>
      <c r="J1236" s="26" t="n">
        <v>0</v>
      </c>
      <c r="K1236" s="26" t="n">
        <v>0</v>
      </c>
      <c r="L1236" s="26" t="n">
        <v>0</v>
      </c>
      <c r="M1236" s="26" t="n">
        <v>0</v>
      </c>
    </row>
    <row r="1237" customFormat="false" ht="15" hidden="false" customHeight="false" outlineLevel="0" collapsed="false">
      <c r="A1237" s="7" t="s">
        <v>85</v>
      </c>
      <c r="B1237" s="7" t="n">
        <v>4418004</v>
      </c>
      <c r="C1237" s="7" t="s">
        <v>704</v>
      </c>
      <c r="D1237" s="26" t="n">
        <v>0</v>
      </c>
      <c r="E1237" s="26" t="n">
        <v>0</v>
      </c>
      <c r="F1237" s="26" t="n">
        <v>0</v>
      </c>
      <c r="G1237" s="26" t="n">
        <v>0</v>
      </c>
      <c r="H1237" s="26" t="n">
        <v>0</v>
      </c>
      <c r="I1237" s="26" t="n">
        <v>0</v>
      </c>
      <c r="J1237" s="26" t="n">
        <v>0</v>
      </c>
      <c r="K1237" s="26" t="n">
        <v>0</v>
      </c>
      <c r="L1237" s="26" t="n">
        <v>0</v>
      </c>
      <c r="M1237" s="26" t="n">
        <v>0</v>
      </c>
    </row>
    <row r="1238" customFormat="false" ht="15" hidden="false" customHeight="false" outlineLevel="0" collapsed="false">
      <c r="A1238" s="7" t="s">
        <v>87</v>
      </c>
      <c r="B1238" s="7" t="n">
        <v>4418004</v>
      </c>
      <c r="C1238" s="7" t="s">
        <v>704</v>
      </c>
      <c r="D1238" s="26" t="n">
        <v>0</v>
      </c>
      <c r="E1238" s="26" t="n">
        <v>0</v>
      </c>
      <c r="F1238" s="26" t="n">
        <v>0</v>
      </c>
      <c r="G1238" s="26" t="n">
        <v>0</v>
      </c>
      <c r="H1238" s="26" t="n">
        <v>0</v>
      </c>
      <c r="I1238" s="26" t="n">
        <v>0</v>
      </c>
      <c r="J1238" s="26" t="n">
        <v>0</v>
      </c>
      <c r="K1238" s="26" t="n">
        <v>0</v>
      </c>
      <c r="L1238" s="26" t="n">
        <v>0</v>
      </c>
      <c r="M1238" s="26" t="n">
        <v>0</v>
      </c>
    </row>
    <row r="1239" customFormat="false" ht="15" hidden="false" customHeight="false" outlineLevel="0" collapsed="false">
      <c r="A1239" s="7" t="s">
        <v>85</v>
      </c>
      <c r="B1239" s="7" t="n">
        <v>4418016</v>
      </c>
      <c r="C1239" s="7" t="s">
        <v>705</v>
      </c>
      <c r="D1239" s="26" t="n">
        <v>0</v>
      </c>
      <c r="E1239" s="26" t="n">
        <v>0</v>
      </c>
      <c r="F1239" s="26" t="n">
        <v>0</v>
      </c>
      <c r="G1239" s="26" t="n">
        <v>0</v>
      </c>
      <c r="H1239" s="26" t="n">
        <v>0</v>
      </c>
      <c r="I1239" s="26" t="n">
        <v>0</v>
      </c>
      <c r="J1239" s="26" t="n">
        <v>0</v>
      </c>
      <c r="K1239" s="26" t="n">
        <v>0</v>
      </c>
      <c r="L1239" s="26" t="n">
        <v>0</v>
      </c>
      <c r="M1239" s="26" t="n">
        <v>0</v>
      </c>
    </row>
    <row r="1240" customFormat="false" ht="15" hidden="false" customHeight="false" outlineLevel="0" collapsed="false">
      <c r="A1240" s="7" t="s">
        <v>87</v>
      </c>
      <c r="B1240" s="7" t="n">
        <v>4418016</v>
      </c>
      <c r="C1240" s="7" t="s">
        <v>705</v>
      </c>
      <c r="D1240" s="26" t="n">
        <v>0</v>
      </c>
      <c r="E1240" s="26" t="n">
        <v>0</v>
      </c>
      <c r="F1240" s="26" t="n">
        <v>0</v>
      </c>
      <c r="G1240" s="26" t="n">
        <v>0</v>
      </c>
      <c r="H1240" s="26" t="n">
        <v>0</v>
      </c>
      <c r="I1240" s="26" t="n">
        <v>0</v>
      </c>
      <c r="J1240" s="26" t="n">
        <v>0</v>
      </c>
      <c r="K1240" s="26" t="n">
        <v>0</v>
      </c>
      <c r="L1240" s="26" t="n">
        <v>0</v>
      </c>
      <c r="M1240" s="26" t="n">
        <v>0</v>
      </c>
    </row>
    <row r="1241" customFormat="false" ht="15" hidden="false" customHeight="false" outlineLevel="0" collapsed="false">
      <c r="A1241" s="7" t="s">
        <v>85</v>
      </c>
      <c r="B1241" s="7" t="n">
        <v>4418013</v>
      </c>
      <c r="C1241" s="7" t="s">
        <v>706</v>
      </c>
      <c r="D1241" s="26" t="n">
        <v>0</v>
      </c>
      <c r="E1241" s="26" t="n">
        <v>0</v>
      </c>
      <c r="F1241" s="26" t="n">
        <v>0</v>
      </c>
      <c r="G1241" s="26" t="n">
        <v>0</v>
      </c>
      <c r="H1241" s="26" t="n">
        <v>0</v>
      </c>
      <c r="I1241" s="26" t="n">
        <v>0</v>
      </c>
      <c r="J1241" s="26" t="n">
        <v>0</v>
      </c>
      <c r="K1241" s="26" t="n">
        <v>0</v>
      </c>
      <c r="L1241" s="26" t="n">
        <v>0</v>
      </c>
      <c r="M1241" s="26" t="n">
        <v>0</v>
      </c>
    </row>
    <row r="1242" customFormat="false" ht="15" hidden="false" customHeight="false" outlineLevel="0" collapsed="false">
      <c r="A1242" s="7" t="s">
        <v>87</v>
      </c>
      <c r="B1242" s="7" t="n">
        <v>4418013</v>
      </c>
      <c r="C1242" s="7" t="s">
        <v>706</v>
      </c>
      <c r="D1242" s="26" t="n">
        <v>0</v>
      </c>
      <c r="E1242" s="26" t="n">
        <v>0</v>
      </c>
      <c r="F1242" s="26" t="n">
        <v>0</v>
      </c>
      <c r="G1242" s="26" t="n">
        <v>0</v>
      </c>
      <c r="H1242" s="26" t="n">
        <v>0</v>
      </c>
      <c r="I1242" s="26" t="n">
        <v>0</v>
      </c>
      <c r="J1242" s="26" t="n">
        <v>0</v>
      </c>
      <c r="K1242" s="26" t="n">
        <v>0</v>
      </c>
      <c r="L1242" s="26" t="n">
        <v>0</v>
      </c>
      <c r="M1242" s="26" t="n">
        <v>0</v>
      </c>
    </row>
    <row r="1243" customFormat="false" ht="15" hidden="false" customHeight="false" outlineLevel="0" collapsed="false">
      <c r="A1243" s="7" t="s">
        <v>85</v>
      </c>
      <c r="B1243" s="7" t="n">
        <v>4418012</v>
      </c>
      <c r="C1243" s="7" t="s">
        <v>707</v>
      </c>
      <c r="D1243" s="26" t="n">
        <v>0</v>
      </c>
      <c r="E1243" s="26" t="n">
        <v>0</v>
      </c>
      <c r="F1243" s="26" t="n">
        <v>0</v>
      </c>
      <c r="G1243" s="26" t="n">
        <v>0</v>
      </c>
      <c r="H1243" s="26" t="n">
        <v>0</v>
      </c>
      <c r="I1243" s="26" t="n">
        <v>0</v>
      </c>
      <c r="J1243" s="26" t="n">
        <v>0</v>
      </c>
      <c r="K1243" s="26" t="n">
        <v>0</v>
      </c>
      <c r="L1243" s="26" t="n">
        <v>0</v>
      </c>
      <c r="M1243" s="26" t="n">
        <v>0</v>
      </c>
    </row>
    <row r="1244" customFormat="false" ht="15" hidden="false" customHeight="false" outlineLevel="0" collapsed="false">
      <c r="A1244" s="7" t="s">
        <v>87</v>
      </c>
      <c r="B1244" s="7" t="n">
        <v>4418012</v>
      </c>
      <c r="C1244" s="7" t="s">
        <v>707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0</v>
      </c>
      <c r="L1244" s="26" t="n">
        <v>0</v>
      </c>
      <c r="M1244" s="26" t="n">
        <v>0</v>
      </c>
    </row>
    <row r="1245" customFormat="false" ht="15" hidden="false" customHeight="false" outlineLevel="0" collapsed="false">
      <c r="A1245" s="7" t="s">
        <v>85</v>
      </c>
      <c r="B1245" s="7" t="n">
        <v>4418015</v>
      </c>
      <c r="C1245" s="7" t="s">
        <v>708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0</v>
      </c>
      <c r="L1245" s="26" t="n">
        <v>0</v>
      </c>
      <c r="M1245" s="26" t="n">
        <v>0</v>
      </c>
    </row>
    <row r="1246" customFormat="false" ht="15" hidden="false" customHeight="false" outlineLevel="0" collapsed="false">
      <c r="A1246" s="7" t="s">
        <v>87</v>
      </c>
      <c r="B1246" s="7" t="n">
        <v>4418015</v>
      </c>
      <c r="C1246" s="7" t="s">
        <v>708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0</v>
      </c>
      <c r="L1246" s="26" t="n">
        <v>0</v>
      </c>
      <c r="M1246" s="26" t="n">
        <v>0</v>
      </c>
    </row>
    <row r="1247" customFormat="false" ht="15" hidden="false" customHeight="false" outlineLevel="0" collapsed="false">
      <c r="A1247" s="7" t="s">
        <v>85</v>
      </c>
      <c r="B1247" s="7" t="n">
        <v>4418007</v>
      </c>
      <c r="C1247" s="7" t="s">
        <v>709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0</v>
      </c>
      <c r="L1247" s="26" t="n">
        <v>0</v>
      </c>
      <c r="M1247" s="26" t="n">
        <v>0</v>
      </c>
    </row>
    <row r="1248" customFormat="false" ht="15" hidden="false" customHeight="false" outlineLevel="0" collapsed="false">
      <c r="A1248" s="7" t="s">
        <v>87</v>
      </c>
      <c r="B1248" s="7" t="n">
        <v>4418007</v>
      </c>
      <c r="C1248" s="7" t="s">
        <v>709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0</v>
      </c>
      <c r="L1248" s="26" t="n">
        <v>0</v>
      </c>
      <c r="M1248" s="26" t="n">
        <v>0</v>
      </c>
    </row>
    <row r="1249" customFormat="false" ht="15" hidden="false" customHeight="false" outlineLevel="0" collapsed="false">
      <c r="A1249" s="7" t="s">
        <v>85</v>
      </c>
      <c r="B1249" s="7" t="n">
        <v>4418006</v>
      </c>
      <c r="C1249" s="7" t="s">
        <v>710</v>
      </c>
      <c r="D1249" s="26" t="n">
        <v>1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0</v>
      </c>
      <c r="J1249" s="26" t="n">
        <v>0</v>
      </c>
      <c r="K1249" s="26" t="n">
        <v>0</v>
      </c>
      <c r="L1249" s="26" t="n">
        <v>0</v>
      </c>
      <c r="M1249" s="26" t="n">
        <v>0</v>
      </c>
    </row>
    <row r="1250" customFormat="false" ht="15" hidden="false" customHeight="false" outlineLevel="0" collapsed="false">
      <c r="A1250" s="7" t="s">
        <v>87</v>
      </c>
      <c r="B1250" s="7" t="n">
        <v>4418006</v>
      </c>
      <c r="C1250" s="7" t="s">
        <v>710</v>
      </c>
      <c r="D1250" s="26" t="n">
        <v>66.5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0</v>
      </c>
      <c r="J1250" s="26" t="n">
        <v>0</v>
      </c>
      <c r="K1250" s="26" t="n">
        <v>0</v>
      </c>
      <c r="L1250" s="26" t="n">
        <v>0</v>
      </c>
      <c r="M1250" s="26" t="n">
        <v>0</v>
      </c>
    </row>
    <row r="1251" customFormat="false" ht="15" hidden="false" customHeight="false" outlineLevel="0" collapsed="false">
      <c r="A1251" s="7" t="s">
        <v>85</v>
      </c>
      <c r="B1251" s="7" t="n">
        <v>4418005</v>
      </c>
      <c r="C1251" s="7" t="s">
        <v>711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0</v>
      </c>
      <c r="J1251" s="26" t="n">
        <v>0</v>
      </c>
      <c r="K1251" s="26" t="n">
        <v>0</v>
      </c>
      <c r="L1251" s="26" t="n">
        <v>0</v>
      </c>
      <c r="M1251" s="26" t="n">
        <v>0</v>
      </c>
    </row>
    <row r="1252" customFormat="false" ht="15" hidden="false" customHeight="false" outlineLevel="0" collapsed="false">
      <c r="A1252" s="7" t="s">
        <v>87</v>
      </c>
      <c r="B1252" s="7" t="n">
        <v>4418005</v>
      </c>
      <c r="C1252" s="7" t="s">
        <v>711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0</v>
      </c>
      <c r="J1252" s="26" t="n">
        <v>0</v>
      </c>
      <c r="K1252" s="26" t="n">
        <v>0</v>
      </c>
      <c r="L1252" s="26" t="n">
        <v>0</v>
      </c>
      <c r="M1252" s="26" t="n">
        <v>0</v>
      </c>
    </row>
    <row r="1253" customFormat="false" ht="15" hidden="false" customHeight="false" outlineLevel="0" collapsed="false">
      <c r="A1253" s="7" t="s">
        <v>85</v>
      </c>
      <c r="B1253" s="7" t="n">
        <v>4419003</v>
      </c>
      <c r="C1253" s="7" t="s">
        <v>712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0</v>
      </c>
      <c r="J1253" s="26" t="n">
        <v>0</v>
      </c>
      <c r="K1253" s="26" t="n">
        <v>0</v>
      </c>
      <c r="L1253" s="26" t="n">
        <v>0</v>
      </c>
      <c r="M1253" s="26" t="n">
        <v>0</v>
      </c>
    </row>
    <row r="1254" customFormat="false" ht="15" hidden="false" customHeight="false" outlineLevel="0" collapsed="false">
      <c r="A1254" s="7" t="s">
        <v>87</v>
      </c>
      <c r="B1254" s="7" t="n">
        <v>4419003</v>
      </c>
      <c r="C1254" s="7" t="s">
        <v>712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0</v>
      </c>
      <c r="J1254" s="26" t="n">
        <v>0</v>
      </c>
      <c r="K1254" s="26" t="n">
        <v>0</v>
      </c>
      <c r="L1254" s="26" t="n">
        <v>0</v>
      </c>
      <c r="M1254" s="26" t="n">
        <v>0</v>
      </c>
    </row>
    <row r="1255" customFormat="false" ht="15" hidden="false" customHeight="false" outlineLevel="0" collapsed="false">
      <c r="A1255" s="7" t="s">
        <v>85</v>
      </c>
      <c r="B1255" s="7" t="n">
        <v>4419002</v>
      </c>
      <c r="C1255" s="7" t="s">
        <v>713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0</v>
      </c>
      <c r="J1255" s="26" t="n">
        <v>0</v>
      </c>
      <c r="K1255" s="26" t="n">
        <v>0</v>
      </c>
      <c r="L1255" s="26" t="n">
        <v>0</v>
      </c>
      <c r="M1255" s="26" t="n">
        <v>0</v>
      </c>
    </row>
    <row r="1256" customFormat="false" ht="15" hidden="false" customHeight="false" outlineLevel="0" collapsed="false">
      <c r="A1256" s="7" t="s">
        <v>87</v>
      </c>
      <c r="B1256" s="7" t="n">
        <v>4419002</v>
      </c>
      <c r="C1256" s="7" t="s">
        <v>713</v>
      </c>
      <c r="D1256" s="26" t="n">
        <v>0</v>
      </c>
      <c r="E1256" s="26" t="n">
        <v>0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0</v>
      </c>
      <c r="L1256" s="26" t="n">
        <v>0</v>
      </c>
      <c r="M1256" s="26" t="n">
        <v>0</v>
      </c>
    </row>
    <row r="1257" customFormat="false" ht="15" hidden="false" customHeight="false" outlineLevel="0" collapsed="false">
      <c r="A1257" s="7" t="s">
        <v>85</v>
      </c>
      <c r="B1257" s="7" t="n">
        <v>4419004</v>
      </c>
      <c r="C1257" s="7" t="s">
        <v>714</v>
      </c>
      <c r="D1257" s="26" t="n">
        <v>0</v>
      </c>
      <c r="E1257" s="26" t="n">
        <v>0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0</v>
      </c>
      <c r="L1257" s="26" t="n">
        <v>0</v>
      </c>
      <c r="M1257" s="26" t="n">
        <v>0</v>
      </c>
    </row>
    <row r="1258" customFormat="false" ht="15" hidden="false" customHeight="false" outlineLevel="0" collapsed="false">
      <c r="A1258" s="7" t="s">
        <v>87</v>
      </c>
      <c r="B1258" s="7" t="n">
        <v>4419004</v>
      </c>
      <c r="C1258" s="7" t="s">
        <v>714</v>
      </c>
      <c r="D1258" s="26" t="n">
        <v>0</v>
      </c>
      <c r="E1258" s="26" t="n">
        <v>0</v>
      </c>
      <c r="F1258" s="26" t="n">
        <v>0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  <c r="L1258" s="26" t="n">
        <v>0</v>
      </c>
      <c r="M1258" s="26" t="n">
        <v>0</v>
      </c>
    </row>
    <row r="1259" customFormat="false" ht="15" hidden="false" customHeight="false" outlineLevel="0" collapsed="false">
      <c r="A1259" s="7" t="s">
        <v>85</v>
      </c>
      <c r="B1259" s="7" t="n">
        <v>4419005</v>
      </c>
      <c r="C1259" s="7" t="s">
        <v>715</v>
      </c>
      <c r="D1259" s="26" t="n">
        <v>0</v>
      </c>
      <c r="E1259" s="26" t="n">
        <v>0</v>
      </c>
      <c r="F1259" s="26" t="n">
        <v>0</v>
      </c>
      <c r="G1259" s="26" t="n">
        <v>0</v>
      </c>
      <c r="H1259" s="26" t="n">
        <v>0</v>
      </c>
      <c r="I1259" s="26" t="n">
        <v>0</v>
      </c>
      <c r="J1259" s="26" t="n">
        <v>0</v>
      </c>
      <c r="K1259" s="26" t="n">
        <v>0</v>
      </c>
      <c r="L1259" s="26" t="n">
        <v>0</v>
      </c>
      <c r="M1259" s="26" t="n">
        <v>0</v>
      </c>
    </row>
    <row r="1260" customFormat="false" ht="15" hidden="false" customHeight="false" outlineLevel="0" collapsed="false">
      <c r="A1260" s="7" t="s">
        <v>87</v>
      </c>
      <c r="B1260" s="7" t="n">
        <v>4419005</v>
      </c>
      <c r="C1260" s="7" t="s">
        <v>715</v>
      </c>
      <c r="D1260" s="26" t="n">
        <v>0</v>
      </c>
      <c r="E1260" s="26" t="n">
        <v>0</v>
      </c>
      <c r="F1260" s="26" t="n">
        <v>0</v>
      </c>
      <c r="G1260" s="26" t="n">
        <v>0</v>
      </c>
      <c r="H1260" s="26" t="n">
        <v>0</v>
      </c>
      <c r="I1260" s="26" t="n">
        <v>0</v>
      </c>
      <c r="J1260" s="26" t="n">
        <v>0</v>
      </c>
      <c r="K1260" s="26" t="n">
        <v>0</v>
      </c>
      <c r="L1260" s="26" t="n">
        <v>0</v>
      </c>
      <c r="M1260" s="26" t="n">
        <v>0</v>
      </c>
    </row>
    <row r="1261" customFormat="false" ht="15" hidden="false" customHeight="false" outlineLevel="0" collapsed="false">
      <c r="A1261" s="7" t="s">
        <v>85</v>
      </c>
      <c r="B1261" s="7" t="n">
        <v>4409003</v>
      </c>
      <c r="C1261" s="7" t="s">
        <v>716</v>
      </c>
      <c r="D1261" s="26" t="n">
        <v>0</v>
      </c>
      <c r="E1261" s="26" t="n">
        <v>0</v>
      </c>
      <c r="F1261" s="26" t="n">
        <v>0</v>
      </c>
      <c r="G1261" s="26" t="n">
        <v>0</v>
      </c>
      <c r="H1261" s="26" t="n">
        <v>0</v>
      </c>
      <c r="I1261" s="26" t="n">
        <v>0</v>
      </c>
      <c r="J1261" s="26" t="n">
        <v>0</v>
      </c>
      <c r="K1261" s="26" t="n">
        <v>0</v>
      </c>
      <c r="L1261" s="26" t="n">
        <v>0</v>
      </c>
      <c r="M1261" s="26" t="n">
        <v>0</v>
      </c>
    </row>
    <row r="1262" customFormat="false" ht="15" hidden="false" customHeight="false" outlineLevel="0" collapsed="false">
      <c r="A1262" s="7" t="s">
        <v>87</v>
      </c>
      <c r="B1262" s="7" t="n">
        <v>4409003</v>
      </c>
      <c r="C1262" s="7" t="s">
        <v>716</v>
      </c>
      <c r="D1262" s="26" t="n">
        <v>0</v>
      </c>
      <c r="E1262" s="26" t="n">
        <v>0</v>
      </c>
      <c r="F1262" s="26" t="n">
        <v>0</v>
      </c>
      <c r="G1262" s="26" t="n">
        <v>0</v>
      </c>
      <c r="H1262" s="26" t="n">
        <v>0</v>
      </c>
      <c r="I1262" s="26" t="n">
        <v>0</v>
      </c>
      <c r="J1262" s="26" t="n">
        <v>0</v>
      </c>
      <c r="K1262" s="26" t="n">
        <v>0</v>
      </c>
      <c r="L1262" s="26" t="n">
        <v>0</v>
      </c>
      <c r="M1262" s="26" t="n">
        <v>0</v>
      </c>
    </row>
    <row r="1263" customFormat="false" ht="15" hidden="false" customHeight="false" outlineLevel="0" collapsed="false">
      <c r="A1263" s="7" t="s">
        <v>85</v>
      </c>
      <c r="B1263" s="7" t="n">
        <v>4403009</v>
      </c>
      <c r="C1263" s="7" t="s">
        <v>717</v>
      </c>
      <c r="D1263" s="26" t="n">
        <v>0</v>
      </c>
      <c r="E1263" s="26" t="n">
        <v>0</v>
      </c>
      <c r="F1263" s="26" t="n">
        <v>0</v>
      </c>
      <c r="G1263" s="26" t="n">
        <v>0</v>
      </c>
      <c r="H1263" s="26" t="n">
        <v>0</v>
      </c>
      <c r="I1263" s="26" t="n">
        <v>0</v>
      </c>
      <c r="J1263" s="26" t="n">
        <v>0</v>
      </c>
      <c r="K1263" s="26" t="n">
        <v>0</v>
      </c>
      <c r="L1263" s="26" t="n">
        <v>0</v>
      </c>
      <c r="M1263" s="26" t="n">
        <v>0</v>
      </c>
    </row>
    <row r="1264" customFormat="false" ht="15" hidden="false" customHeight="false" outlineLevel="0" collapsed="false">
      <c r="A1264" s="7" t="s">
        <v>87</v>
      </c>
      <c r="B1264" s="7" t="n">
        <v>4403009</v>
      </c>
      <c r="C1264" s="7" t="s">
        <v>717</v>
      </c>
      <c r="D1264" s="26" t="n">
        <v>0</v>
      </c>
      <c r="E1264" s="26" t="n">
        <v>0</v>
      </c>
      <c r="F1264" s="26" t="n">
        <v>0</v>
      </c>
      <c r="G1264" s="26" t="n">
        <v>0</v>
      </c>
      <c r="H1264" s="26" t="n">
        <v>0</v>
      </c>
      <c r="I1264" s="26" t="n">
        <v>0</v>
      </c>
      <c r="J1264" s="26" t="n">
        <v>0</v>
      </c>
      <c r="K1264" s="26" t="n">
        <v>0</v>
      </c>
      <c r="L1264" s="26" t="n">
        <v>0</v>
      </c>
      <c r="M1264" s="26" t="n">
        <v>0</v>
      </c>
    </row>
    <row r="1265" customFormat="false" ht="15" hidden="false" customHeight="false" outlineLevel="0" collapsed="false">
      <c r="A1265" s="7" t="s">
        <v>85</v>
      </c>
      <c r="B1265" s="7" t="n">
        <v>4419010</v>
      </c>
      <c r="C1265" s="7" t="s">
        <v>718</v>
      </c>
      <c r="D1265" s="26" t="n">
        <v>-4</v>
      </c>
      <c r="E1265" s="26" t="n">
        <v>0</v>
      </c>
      <c r="F1265" s="26" t="n">
        <v>0</v>
      </c>
      <c r="G1265" s="26" t="n">
        <v>0</v>
      </c>
      <c r="H1265" s="26" t="n">
        <v>0</v>
      </c>
      <c r="I1265" s="26" t="n">
        <v>0</v>
      </c>
      <c r="J1265" s="26" t="n">
        <v>0</v>
      </c>
      <c r="K1265" s="26" t="n">
        <v>0</v>
      </c>
      <c r="L1265" s="26" t="n">
        <v>0</v>
      </c>
      <c r="M1265" s="26" t="n">
        <v>0</v>
      </c>
    </row>
    <row r="1266" customFormat="false" ht="15" hidden="false" customHeight="false" outlineLevel="0" collapsed="false">
      <c r="A1266" s="7" t="s">
        <v>87</v>
      </c>
      <c r="B1266" s="7" t="n">
        <v>4419010</v>
      </c>
      <c r="C1266" s="7" t="s">
        <v>718</v>
      </c>
      <c r="D1266" s="26" t="n">
        <v>-132.5</v>
      </c>
      <c r="E1266" s="26" t="n">
        <v>0</v>
      </c>
      <c r="F1266" s="26" t="n">
        <v>0</v>
      </c>
      <c r="G1266" s="26" t="n">
        <v>0</v>
      </c>
      <c r="H1266" s="26" t="n">
        <v>0</v>
      </c>
      <c r="I1266" s="26" t="n">
        <v>0</v>
      </c>
      <c r="J1266" s="26" t="n">
        <v>0</v>
      </c>
      <c r="K1266" s="26" t="n">
        <v>0</v>
      </c>
      <c r="L1266" s="26" t="n">
        <v>0</v>
      </c>
      <c r="M1266" s="26" t="n">
        <v>0</v>
      </c>
    </row>
    <row r="1267" customFormat="false" ht="15" hidden="false" customHeight="false" outlineLevel="0" collapsed="false">
      <c r="A1267" s="7" t="s">
        <v>85</v>
      </c>
      <c r="B1267" s="7" t="n">
        <v>4404000</v>
      </c>
      <c r="C1267" s="7" t="s">
        <v>719</v>
      </c>
      <c r="D1267" s="26" t="n">
        <v>0</v>
      </c>
      <c r="E1267" s="26" t="n">
        <v>0</v>
      </c>
      <c r="F1267" s="26" t="n">
        <v>0</v>
      </c>
      <c r="G1267" s="26" t="n">
        <v>0</v>
      </c>
      <c r="H1267" s="26" t="n">
        <v>0</v>
      </c>
      <c r="I1267" s="26" t="n">
        <v>0</v>
      </c>
      <c r="J1267" s="26" t="n">
        <v>0</v>
      </c>
      <c r="K1267" s="26" t="n">
        <v>0</v>
      </c>
      <c r="L1267" s="26" t="n">
        <v>0</v>
      </c>
      <c r="M1267" s="26" t="n">
        <v>0</v>
      </c>
    </row>
    <row r="1268" customFormat="false" ht="15" hidden="false" customHeight="false" outlineLevel="0" collapsed="false">
      <c r="A1268" s="7" t="s">
        <v>87</v>
      </c>
      <c r="B1268" s="7" t="n">
        <v>4404000</v>
      </c>
      <c r="C1268" s="7" t="s">
        <v>719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0</v>
      </c>
      <c r="L1268" s="26" t="n">
        <v>0</v>
      </c>
      <c r="M1268" s="26" t="n">
        <v>0</v>
      </c>
    </row>
    <row r="1269" customFormat="false" ht="15" hidden="false" customHeight="false" outlineLevel="0" collapsed="false">
      <c r="A1269" s="7" t="s">
        <v>85</v>
      </c>
      <c r="B1269" s="7" t="n">
        <v>4422003</v>
      </c>
      <c r="C1269" s="7" t="s">
        <v>720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0</v>
      </c>
      <c r="L1269" s="26" t="n">
        <v>0</v>
      </c>
      <c r="M1269" s="26" t="n">
        <v>0</v>
      </c>
    </row>
    <row r="1270" customFormat="false" ht="15" hidden="false" customHeight="false" outlineLevel="0" collapsed="false">
      <c r="A1270" s="7" t="s">
        <v>87</v>
      </c>
      <c r="B1270" s="7" t="n">
        <v>4422003</v>
      </c>
      <c r="C1270" s="7" t="s">
        <v>720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0</v>
      </c>
      <c r="L1270" s="26" t="n">
        <v>0</v>
      </c>
      <c r="M1270" s="26" t="n">
        <v>0</v>
      </c>
    </row>
    <row r="1271" customFormat="false" ht="15" hidden="false" customHeight="false" outlineLevel="0" collapsed="false">
      <c r="A1271" s="7" t="s">
        <v>85</v>
      </c>
      <c r="B1271" s="7" t="n">
        <v>4409002</v>
      </c>
      <c r="C1271" s="7" t="s">
        <v>721</v>
      </c>
      <c r="D1271" s="26" t="n">
        <v>-4</v>
      </c>
      <c r="E1271" s="26" t="n">
        <v>0</v>
      </c>
      <c r="F1271" s="26" t="n">
        <v>0</v>
      </c>
      <c r="G1271" s="26" t="n">
        <v>0</v>
      </c>
      <c r="H1271" s="26" t="n">
        <v>-2</v>
      </c>
      <c r="I1271" s="26" t="n">
        <v>-6</v>
      </c>
      <c r="J1271" s="26" t="n">
        <v>0</v>
      </c>
      <c r="K1271" s="26" t="n">
        <v>0</v>
      </c>
      <c r="L1271" s="26" t="n">
        <v>0</v>
      </c>
      <c r="M1271" s="26" t="n">
        <v>0</v>
      </c>
    </row>
    <row r="1272" customFormat="false" ht="15" hidden="false" customHeight="false" outlineLevel="0" collapsed="false">
      <c r="A1272" s="7" t="s">
        <v>87</v>
      </c>
      <c r="B1272" s="7" t="n">
        <v>4409002</v>
      </c>
      <c r="C1272" s="7" t="s">
        <v>721</v>
      </c>
      <c r="D1272" s="26" t="n">
        <v>-113.3</v>
      </c>
      <c r="E1272" s="26" t="n">
        <v>0</v>
      </c>
      <c r="F1272" s="26" t="n">
        <v>0</v>
      </c>
      <c r="G1272" s="26" t="n">
        <v>0</v>
      </c>
      <c r="H1272" s="26" t="n">
        <v>-57.8</v>
      </c>
      <c r="I1272" s="26" t="n">
        <v>-191.6</v>
      </c>
      <c r="J1272" s="26" t="n">
        <v>0</v>
      </c>
      <c r="K1272" s="26" t="n">
        <v>0</v>
      </c>
      <c r="L1272" s="26" t="n">
        <v>0</v>
      </c>
      <c r="M1272" s="26" t="n">
        <v>0</v>
      </c>
    </row>
    <row r="1273" customFormat="false" ht="15" hidden="false" customHeight="false" outlineLevel="0" collapsed="false">
      <c r="A1273" s="7" t="s">
        <v>85</v>
      </c>
      <c r="B1273" s="7" t="n">
        <v>4413002</v>
      </c>
      <c r="C1273" s="7" t="s">
        <v>722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-7</v>
      </c>
      <c r="I1273" s="26" t="n">
        <v>-2</v>
      </c>
      <c r="J1273" s="26" t="n">
        <v>0</v>
      </c>
      <c r="K1273" s="26" t="n">
        <v>0</v>
      </c>
      <c r="L1273" s="26" t="n">
        <v>0</v>
      </c>
      <c r="M1273" s="26" t="n">
        <v>0</v>
      </c>
    </row>
    <row r="1274" customFormat="false" ht="15" hidden="false" customHeight="false" outlineLevel="0" collapsed="false">
      <c r="A1274" s="7" t="s">
        <v>87</v>
      </c>
      <c r="B1274" s="7" t="n">
        <v>4413002</v>
      </c>
      <c r="C1274" s="7" t="s">
        <v>722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-392.6</v>
      </c>
      <c r="I1274" s="26" t="n">
        <v>-123.5</v>
      </c>
      <c r="J1274" s="26" t="n">
        <v>0</v>
      </c>
      <c r="K1274" s="26" t="n">
        <v>0</v>
      </c>
      <c r="L1274" s="26" t="n">
        <v>0</v>
      </c>
      <c r="M1274" s="26" t="n">
        <v>0</v>
      </c>
    </row>
    <row r="1275" customFormat="false" ht="15" hidden="false" customHeight="false" outlineLevel="0" collapsed="false">
      <c r="A1275" s="7" t="s">
        <v>85</v>
      </c>
      <c r="B1275" s="7" t="n">
        <v>4413003</v>
      </c>
      <c r="C1275" s="7" t="s">
        <v>723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-9</v>
      </c>
      <c r="I1275" s="26" t="n">
        <v>-2</v>
      </c>
      <c r="J1275" s="26" t="n">
        <v>0</v>
      </c>
      <c r="K1275" s="26" t="n">
        <v>0</v>
      </c>
      <c r="L1275" s="26" t="n">
        <v>0</v>
      </c>
      <c r="M1275" s="26" t="n">
        <v>0</v>
      </c>
    </row>
    <row r="1276" customFormat="false" ht="15" hidden="false" customHeight="false" outlineLevel="0" collapsed="false">
      <c r="A1276" s="7" t="s">
        <v>87</v>
      </c>
      <c r="B1276" s="7" t="n">
        <v>4413003</v>
      </c>
      <c r="C1276" s="7" t="s">
        <v>723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-483.8</v>
      </c>
      <c r="I1276" s="26" t="n">
        <v>-123.5</v>
      </c>
      <c r="J1276" s="26" t="n">
        <v>0</v>
      </c>
      <c r="K1276" s="26" t="n">
        <v>0</v>
      </c>
      <c r="L1276" s="26" t="n">
        <v>0</v>
      </c>
      <c r="M1276" s="26" t="n">
        <v>0</v>
      </c>
    </row>
    <row r="1277" customFormat="false" ht="15" hidden="false" customHeight="false" outlineLevel="0" collapsed="false">
      <c r="A1277" s="7" t="s">
        <v>85</v>
      </c>
      <c r="B1277" s="7" t="n">
        <v>4413000</v>
      </c>
      <c r="C1277" s="7" t="s">
        <v>724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-8</v>
      </c>
      <c r="I1277" s="26" t="n">
        <v>-3</v>
      </c>
      <c r="J1277" s="26" t="n">
        <v>0</v>
      </c>
      <c r="K1277" s="26" t="n">
        <v>0</v>
      </c>
      <c r="L1277" s="26" t="n">
        <v>0</v>
      </c>
      <c r="M1277" s="26" t="n">
        <v>0</v>
      </c>
    </row>
    <row r="1278" customFormat="false" ht="15" hidden="false" customHeight="false" outlineLevel="0" collapsed="false">
      <c r="A1278" s="7" t="s">
        <v>87</v>
      </c>
      <c r="B1278" s="7" t="n">
        <v>4413000</v>
      </c>
      <c r="C1278" s="7" t="s">
        <v>724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-435.6</v>
      </c>
      <c r="I1278" s="26" t="n">
        <v>-185.2</v>
      </c>
      <c r="J1278" s="26" t="n">
        <v>0</v>
      </c>
      <c r="K1278" s="26" t="n">
        <v>0</v>
      </c>
      <c r="L1278" s="26" t="n">
        <v>0</v>
      </c>
      <c r="M1278" s="26" t="n">
        <v>0</v>
      </c>
    </row>
    <row r="1279" customFormat="false" ht="15" hidden="false" customHeight="false" outlineLevel="0" collapsed="false">
      <c r="A1279" s="7" t="s">
        <v>85</v>
      </c>
      <c r="B1279" s="7" t="n">
        <v>4413004</v>
      </c>
      <c r="C1279" s="7" t="s">
        <v>725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-11</v>
      </c>
      <c r="I1279" s="26" t="n">
        <v>-1</v>
      </c>
      <c r="J1279" s="26" t="n">
        <v>0</v>
      </c>
      <c r="K1279" s="26" t="n">
        <v>0</v>
      </c>
      <c r="L1279" s="26" t="n">
        <v>0</v>
      </c>
      <c r="M1279" s="26" t="n">
        <v>0</v>
      </c>
    </row>
    <row r="1280" customFormat="false" ht="15" hidden="false" customHeight="false" outlineLevel="0" collapsed="false">
      <c r="A1280" s="7" t="s">
        <v>87</v>
      </c>
      <c r="B1280" s="7" t="n">
        <v>4413004</v>
      </c>
      <c r="C1280" s="7" t="s">
        <v>725</v>
      </c>
      <c r="D1280" s="26" t="n">
        <v>0</v>
      </c>
      <c r="E1280" s="26" t="n">
        <v>0</v>
      </c>
      <c r="F1280" s="26" t="n">
        <v>0</v>
      </c>
      <c r="G1280" s="26" t="n">
        <v>0</v>
      </c>
      <c r="H1280" s="26" t="n">
        <v>-616.2</v>
      </c>
      <c r="I1280" s="26" t="n">
        <v>-61.7</v>
      </c>
      <c r="J1280" s="26" t="n">
        <v>0</v>
      </c>
      <c r="K1280" s="26" t="n">
        <v>0</v>
      </c>
      <c r="L1280" s="26" t="n">
        <v>0</v>
      </c>
      <c r="M1280" s="26" t="n">
        <v>0</v>
      </c>
    </row>
    <row r="1281" customFormat="false" ht="15" hidden="false" customHeight="false" outlineLevel="0" collapsed="false">
      <c r="A1281" s="7" t="s">
        <v>85</v>
      </c>
      <c r="B1281" s="7" t="n">
        <v>4413005</v>
      </c>
      <c r="C1281" s="7" t="s">
        <v>726</v>
      </c>
      <c r="D1281" s="26" t="n">
        <v>0</v>
      </c>
      <c r="E1281" s="26" t="n">
        <v>0</v>
      </c>
      <c r="F1281" s="26" t="n">
        <v>0</v>
      </c>
      <c r="G1281" s="26" t="n">
        <v>0</v>
      </c>
      <c r="H1281" s="26" t="n">
        <v>-1</v>
      </c>
      <c r="I1281" s="26" t="n">
        <v>-1</v>
      </c>
      <c r="J1281" s="26" t="n">
        <v>0</v>
      </c>
      <c r="K1281" s="26" t="n">
        <v>0</v>
      </c>
      <c r="L1281" s="26" t="n">
        <v>0</v>
      </c>
      <c r="M1281" s="26" t="n">
        <v>0</v>
      </c>
    </row>
    <row r="1282" customFormat="false" ht="15" hidden="false" customHeight="false" outlineLevel="0" collapsed="false">
      <c r="A1282" s="7" t="s">
        <v>87</v>
      </c>
      <c r="B1282" s="7" t="n">
        <v>4413005</v>
      </c>
      <c r="C1282" s="7" t="s">
        <v>726</v>
      </c>
      <c r="D1282" s="26" t="n">
        <v>0</v>
      </c>
      <c r="E1282" s="26" t="n">
        <v>0</v>
      </c>
      <c r="F1282" s="26" t="n">
        <v>0</v>
      </c>
      <c r="G1282" s="26" t="n">
        <v>0</v>
      </c>
      <c r="H1282" s="26" t="n">
        <v>-54.5</v>
      </c>
      <c r="I1282" s="26" t="n">
        <v>-61.7</v>
      </c>
      <c r="J1282" s="26" t="n">
        <v>0</v>
      </c>
      <c r="K1282" s="26" t="n">
        <v>0</v>
      </c>
      <c r="L1282" s="26" t="n">
        <v>0</v>
      </c>
      <c r="M1282" s="26" t="n">
        <v>0</v>
      </c>
    </row>
    <row r="1283" customFormat="false" ht="15" hidden="false" customHeight="false" outlineLevel="0" collapsed="false">
      <c r="A1283" s="7" t="s">
        <v>85</v>
      </c>
      <c r="B1283" s="7" t="n">
        <v>4415011</v>
      </c>
      <c r="C1283" s="7" t="s">
        <v>727</v>
      </c>
      <c r="D1283" s="26" t="n">
        <v>0</v>
      </c>
      <c r="E1283" s="26" t="n">
        <v>0</v>
      </c>
      <c r="F1283" s="26" t="n">
        <v>0</v>
      </c>
      <c r="G1283" s="26" t="n">
        <v>0</v>
      </c>
      <c r="H1283" s="26" t="n">
        <v>0</v>
      </c>
      <c r="I1283" s="26" t="n">
        <v>0</v>
      </c>
      <c r="J1283" s="26" t="n">
        <v>0</v>
      </c>
      <c r="K1283" s="26" t="n">
        <v>0</v>
      </c>
      <c r="L1283" s="26" t="n">
        <v>0</v>
      </c>
      <c r="M1283" s="26" t="n">
        <v>0</v>
      </c>
    </row>
    <row r="1284" customFormat="false" ht="15" hidden="false" customHeight="false" outlineLevel="0" collapsed="false">
      <c r="A1284" s="7" t="s">
        <v>87</v>
      </c>
      <c r="B1284" s="7" t="n">
        <v>4415011</v>
      </c>
      <c r="C1284" s="7" t="s">
        <v>727</v>
      </c>
      <c r="D1284" s="26" t="n">
        <v>0</v>
      </c>
      <c r="E1284" s="26" t="n">
        <v>0</v>
      </c>
      <c r="F1284" s="26" t="n">
        <v>0</v>
      </c>
      <c r="G1284" s="26" t="n">
        <v>0</v>
      </c>
      <c r="H1284" s="26" t="n">
        <v>0</v>
      </c>
      <c r="I1284" s="26" t="n">
        <v>0</v>
      </c>
      <c r="J1284" s="26" t="n">
        <v>0</v>
      </c>
      <c r="K1284" s="26" t="n">
        <v>0</v>
      </c>
      <c r="L1284" s="26" t="n">
        <v>0</v>
      </c>
      <c r="M1284" s="26" t="n">
        <v>0</v>
      </c>
    </row>
    <row r="1285" customFormat="false" ht="15" hidden="false" customHeight="false" outlineLevel="0" collapsed="false">
      <c r="A1285" s="7" t="s">
        <v>85</v>
      </c>
      <c r="B1285" s="7" t="n">
        <v>4415012</v>
      </c>
      <c r="C1285" s="7" t="s">
        <v>728</v>
      </c>
      <c r="D1285" s="26" t="n">
        <v>0</v>
      </c>
      <c r="E1285" s="26" t="n">
        <v>0</v>
      </c>
      <c r="F1285" s="26" t="n">
        <v>0</v>
      </c>
      <c r="G1285" s="26" t="n">
        <v>0</v>
      </c>
      <c r="H1285" s="26" t="n">
        <v>0</v>
      </c>
      <c r="I1285" s="26" t="n">
        <v>0</v>
      </c>
      <c r="J1285" s="26" t="n">
        <v>0</v>
      </c>
      <c r="K1285" s="26" t="n">
        <v>0</v>
      </c>
      <c r="L1285" s="26" t="n">
        <v>0</v>
      </c>
      <c r="M1285" s="26" t="n">
        <v>0</v>
      </c>
    </row>
    <row r="1286" customFormat="false" ht="15" hidden="false" customHeight="false" outlineLevel="0" collapsed="false">
      <c r="A1286" s="7" t="s">
        <v>87</v>
      </c>
      <c r="B1286" s="7" t="n">
        <v>4415012</v>
      </c>
      <c r="C1286" s="7" t="s">
        <v>728</v>
      </c>
      <c r="D1286" s="26" t="n">
        <v>0</v>
      </c>
      <c r="E1286" s="26" t="n">
        <v>0</v>
      </c>
      <c r="F1286" s="26" t="n">
        <v>0</v>
      </c>
      <c r="G1286" s="26" t="n">
        <v>0</v>
      </c>
      <c r="H1286" s="26" t="n">
        <v>0</v>
      </c>
      <c r="I1286" s="26" t="n">
        <v>0</v>
      </c>
      <c r="J1286" s="26" t="n">
        <v>0</v>
      </c>
      <c r="K1286" s="26" t="n">
        <v>0</v>
      </c>
      <c r="L1286" s="26" t="n">
        <v>0</v>
      </c>
      <c r="M1286" s="26" t="n">
        <v>0</v>
      </c>
    </row>
    <row r="1287" customFormat="false" ht="15" hidden="false" customHeight="false" outlineLevel="0" collapsed="false">
      <c r="A1287" s="7" t="s">
        <v>85</v>
      </c>
      <c r="B1287" s="7" t="n">
        <v>4415013</v>
      </c>
      <c r="C1287" s="7" t="s">
        <v>729</v>
      </c>
      <c r="D1287" s="26" t="n">
        <v>2</v>
      </c>
      <c r="E1287" s="26" t="n">
        <v>0</v>
      </c>
      <c r="F1287" s="26" t="n">
        <v>0</v>
      </c>
      <c r="G1287" s="26" t="n">
        <v>0</v>
      </c>
      <c r="H1287" s="26" t="n">
        <v>0</v>
      </c>
      <c r="I1287" s="26" t="n">
        <v>0</v>
      </c>
      <c r="J1287" s="26" t="n">
        <v>0</v>
      </c>
      <c r="K1287" s="26" t="n">
        <v>0</v>
      </c>
      <c r="L1287" s="26" t="n">
        <v>0</v>
      </c>
      <c r="M1287" s="26" t="n">
        <v>0</v>
      </c>
    </row>
    <row r="1288" customFormat="false" ht="15" hidden="false" customHeight="false" outlineLevel="0" collapsed="false">
      <c r="A1288" s="7" t="s">
        <v>87</v>
      </c>
      <c r="B1288" s="7" t="n">
        <v>4415013</v>
      </c>
      <c r="C1288" s="7" t="s">
        <v>729</v>
      </c>
      <c r="D1288" s="26" t="n">
        <v>425.5</v>
      </c>
      <c r="E1288" s="26" t="n">
        <v>0</v>
      </c>
      <c r="F1288" s="26" t="n">
        <v>0</v>
      </c>
      <c r="G1288" s="26" t="n">
        <v>0</v>
      </c>
      <c r="H1288" s="26" t="n">
        <v>0</v>
      </c>
      <c r="I1288" s="26" t="n">
        <v>0</v>
      </c>
      <c r="J1288" s="26" t="n">
        <v>0</v>
      </c>
      <c r="K1288" s="26" t="n">
        <v>0</v>
      </c>
      <c r="L1288" s="26" t="n">
        <v>0</v>
      </c>
      <c r="M1288" s="26" t="n">
        <v>0</v>
      </c>
    </row>
    <row r="1289" customFormat="false" ht="15" hidden="false" customHeight="false" outlineLevel="0" collapsed="false">
      <c r="A1289" s="7" t="s">
        <v>85</v>
      </c>
      <c r="B1289" s="7" t="n">
        <v>4413347</v>
      </c>
      <c r="C1289" s="7" t="s">
        <v>730</v>
      </c>
      <c r="D1289" s="26" t="n">
        <v>2</v>
      </c>
      <c r="E1289" s="26" t="n">
        <v>0</v>
      </c>
      <c r="F1289" s="26" t="n">
        <v>0</v>
      </c>
      <c r="G1289" s="26" t="n">
        <v>0</v>
      </c>
      <c r="H1289" s="26" t="n">
        <v>0</v>
      </c>
      <c r="I1289" s="26" t="n">
        <v>0</v>
      </c>
      <c r="J1289" s="26" t="n">
        <v>0</v>
      </c>
      <c r="K1289" s="26" t="n">
        <v>0</v>
      </c>
      <c r="L1289" s="26" t="n">
        <v>0</v>
      </c>
      <c r="M1289" s="26" t="n">
        <v>0</v>
      </c>
    </row>
    <row r="1290" customFormat="false" ht="15" hidden="false" customHeight="false" outlineLevel="0" collapsed="false">
      <c r="A1290" s="7" t="s">
        <v>87</v>
      </c>
      <c r="B1290" s="7" t="n">
        <v>4413347</v>
      </c>
      <c r="C1290" s="7" t="s">
        <v>730</v>
      </c>
      <c r="D1290" s="26" t="n">
        <v>255.8</v>
      </c>
      <c r="E1290" s="26" t="n">
        <v>0</v>
      </c>
      <c r="F1290" s="26" t="n">
        <v>0</v>
      </c>
      <c r="G1290" s="26" t="n">
        <v>0</v>
      </c>
      <c r="H1290" s="26" t="n">
        <v>0</v>
      </c>
      <c r="I1290" s="26" t="n">
        <v>0</v>
      </c>
      <c r="J1290" s="26" t="n">
        <v>0</v>
      </c>
      <c r="K1290" s="26" t="n">
        <v>0</v>
      </c>
      <c r="L1290" s="26" t="n">
        <v>0</v>
      </c>
      <c r="M1290" s="26" t="n">
        <v>0</v>
      </c>
    </row>
    <row r="1291" customFormat="false" ht="15" hidden="false" customHeight="false" outlineLevel="0" collapsed="false">
      <c r="A1291" s="7" t="s">
        <v>85</v>
      </c>
      <c r="B1291" s="7" t="n">
        <v>4413336</v>
      </c>
      <c r="C1291" s="7" t="s">
        <v>731</v>
      </c>
      <c r="D1291" s="26" t="n">
        <v>0</v>
      </c>
      <c r="E1291" s="26" t="n">
        <v>0</v>
      </c>
      <c r="F1291" s="26" t="n">
        <v>0</v>
      </c>
      <c r="G1291" s="26" t="n">
        <v>0</v>
      </c>
      <c r="H1291" s="26" t="n">
        <v>0</v>
      </c>
      <c r="I1291" s="26" t="n">
        <v>0</v>
      </c>
      <c r="J1291" s="26" t="n">
        <v>0</v>
      </c>
      <c r="K1291" s="26" t="n">
        <v>0</v>
      </c>
      <c r="L1291" s="26" t="n">
        <v>0</v>
      </c>
      <c r="M1291" s="26" t="n">
        <v>0</v>
      </c>
    </row>
    <row r="1292" customFormat="false" ht="15" hidden="false" customHeight="false" outlineLevel="0" collapsed="false">
      <c r="A1292" s="7" t="s">
        <v>87</v>
      </c>
      <c r="B1292" s="7" t="n">
        <v>4413336</v>
      </c>
      <c r="C1292" s="7" t="s">
        <v>731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0</v>
      </c>
      <c r="L1292" s="26" t="n">
        <v>0</v>
      </c>
      <c r="M1292" s="26" t="n">
        <v>0</v>
      </c>
    </row>
    <row r="1293" customFormat="false" ht="15" hidden="false" customHeight="false" outlineLevel="0" collapsed="false">
      <c r="A1293" s="7" t="s">
        <v>85</v>
      </c>
      <c r="B1293" s="7" t="n">
        <v>4413335</v>
      </c>
      <c r="C1293" s="7" t="s">
        <v>732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  <c r="L1293" s="26" t="n">
        <v>0</v>
      </c>
      <c r="M1293" s="26" t="n">
        <v>0</v>
      </c>
    </row>
    <row r="1294" customFormat="false" ht="15" hidden="false" customHeight="false" outlineLevel="0" collapsed="false">
      <c r="A1294" s="7" t="s">
        <v>87</v>
      </c>
      <c r="B1294" s="7" t="n">
        <v>4413335</v>
      </c>
      <c r="C1294" s="7" t="s">
        <v>732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  <c r="L1294" s="26" t="n">
        <v>0</v>
      </c>
      <c r="M1294" s="26" t="n">
        <v>0</v>
      </c>
    </row>
    <row r="1295" customFormat="false" ht="15" hidden="false" customHeight="false" outlineLevel="0" collapsed="false">
      <c r="A1295" s="7" t="s">
        <v>85</v>
      </c>
      <c r="B1295" s="7" t="n">
        <v>4413337</v>
      </c>
      <c r="C1295" s="7" t="s">
        <v>733</v>
      </c>
      <c r="D1295" s="26" t="n">
        <v>5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0</v>
      </c>
      <c r="L1295" s="26" t="n">
        <v>0</v>
      </c>
      <c r="M1295" s="26" t="n">
        <v>0</v>
      </c>
    </row>
    <row r="1296" customFormat="false" ht="15" hidden="false" customHeight="false" outlineLevel="0" collapsed="false">
      <c r="A1296" s="7" t="s">
        <v>87</v>
      </c>
      <c r="B1296" s="7" t="n">
        <v>4413337</v>
      </c>
      <c r="C1296" s="7" t="s">
        <v>733</v>
      </c>
      <c r="D1296" s="26" t="n">
        <v>639.6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0</v>
      </c>
      <c r="L1296" s="26" t="n">
        <v>0</v>
      </c>
      <c r="M1296" s="26" t="n">
        <v>0</v>
      </c>
    </row>
    <row r="1297" customFormat="false" ht="15" hidden="false" customHeight="false" outlineLevel="0" collapsed="false">
      <c r="A1297" s="7" t="s">
        <v>85</v>
      </c>
      <c r="B1297" s="7" t="n">
        <v>4413338</v>
      </c>
      <c r="C1297" s="7" t="s">
        <v>734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-1</v>
      </c>
      <c r="I1297" s="26" t="n">
        <v>0</v>
      </c>
      <c r="J1297" s="26" t="n">
        <v>0</v>
      </c>
      <c r="K1297" s="26" t="n">
        <v>0</v>
      </c>
      <c r="L1297" s="26" t="n">
        <v>0</v>
      </c>
      <c r="M1297" s="26" t="n">
        <v>0</v>
      </c>
    </row>
    <row r="1298" customFormat="false" ht="15" hidden="false" customHeight="false" outlineLevel="0" collapsed="false">
      <c r="A1298" s="7" t="s">
        <v>87</v>
      </c>
      <c r="B1298" s="7" t="n">
        <v>4413338</v>
      </c>
      <c r="C1298" s="7" t="s">
        <v>734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-131.1</v>
      </c>
      <c r="I1298" s="26" t="n">
        <v>0</v>
      </c>
      <c r="J1298" s="26" t="n">
        <v>0</v>
      </c>
      <c r="K1298" s="26" t="n">
        <v>0</v>
      </c>
      <c r="L1298" s="26" t="n">
        <v>0</v>
      </c>
      <c r="M1298" s="26" t="n">
        <v>0</v>
      </c>
    </row>
    <row r="1299" customFormat="false" ht="15" hidden="false" customHeight="false" outlineLevel="0" collapsed="false">
      <c r="A1299" s="7" t="s">
        <v>85</v>
      </c>
      <c r="B1299" s="7" t="n">
        <v>4415015</v>
      </c>
      <c r="C1299" s="7" t="s">
        <v>735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0</v>
      </c>
      <c r="L1299" s="26" t="n">
        <v>0</v>
      </c>
      <c r="M1299" s="26" t="n">
        <v>0</v>
      </c>
    </row>
    <row r="1300" customFormat="false" ht="15" hidden="false" customHeight="false" outlineLevel="0" collapsed="false">
      <c r="A1300" s="7" t="s">
        <v>87</v>
      </c>
      <c r="B1300" s="7" t="n">
        <v>4415015</v>
      </c>
      <c r="C1300" s="7" t="s">
        <v>735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0</v>
      </c>
      <c r="L1300" s="26" t="n">
        <v>0</v>
      </c>
      <c r="M1300" s="26" t="n">
        <v>0</v>
      </c>
    </row>
    <row r="1301" customFormat="false" ht="15" hidden="false" customHeight="false" outlineLevel="0" collapsed="false">
      <c r="A1301" s="7" t="s">
        <v>85</v>
      </c>
      <c r="B1301" s="7" t="n">
        <v>4415016</v>
      </c>
      <c r="C1301" s="7" t="s">
        <v>736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0</v>
      </c>
      <c r="L1301" s="26" t="n">
        <v>0</v>
      </c>
      <c r="M1301" s="26" t="n">
        <v>0</v>
      </c>
    </row>
    <row r="1302" customFormat="false" ht="15" hidden="false" customHeight="false" outlineLevel="0" collapsed="false">
      <c r="A1302" s="7" t="s">
        <v>87</v>
      </c>
      <c r="B1302" s="7" t="n">
        <v>4415016</v>
      </c>
      <c r="C1302" s="7" t="s">
        <v>736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0</v>
      </c>
      <c r="L1302" s="26" t="n">
        <v>0</v>
      </c>
      <c r="M1302" s="26" t="n">
        <v>0</v>
      </c>
    </row>
    <row r="1303" customFormat="false" ht="15" hidden="false" customHeight="false" outlineLevel="0" collapsed="false">
      <c r="A1303" s="7" t="s">
        <v>85</v>
      </c>
      <c r="B1303" s="7" t="n">
        <v>4415017</v>
      </c>
      <c r="C1303" s="7" t="s">
        <v>737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0</v>
      </c>
      <c r="L1303" s="26" t="n">
        <v>0</v>
      </c>
      <c r="M1303" s="26" t="n">
        <v>0</v>
      </c>
    </row>
    <row r="1304" customFormat="false" ht="15" hidden="false" customHeight="false" outlineLevel="0" collapsed="false">
      <c r="A1304" s="7" t="s">
        <v>87</v>
      </c>
      <c r="B1304" s="7" t="n">
        <v>4415017</v>
      </c>
      <c r="C1304" s="7" t="s">
        <v>737</v>
      </c>
      <c r="D1304" s="26" t="n">
        <v>0</v>
      </c>
      <c r="E1304" s="26" t="n">
        <v>0</v>
      </c>
      <c r="F1304" s="26" t="n">
        <v>0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  <c r="L1304" s="26" t="n">
        <v>0</v>
      </c>
      <c r="M1304" s="26" t="n">
        <v>0</v>
      </c>
    </row>
    <row r="1305" customFormat="false" ht="15" hidden="false" customHeight="false" outlineLevel="0" collapsed="false">
      <c r="A1305" s="7" t="s">
        <v>85</v>
      </c>
      <c r="B1305" s="7" t="n">
        <v>4415018</v>
      </c>
      <c r="C1305" s="7" t="s">
        <v>738</v>
      </c>
      <c r="D1305" s="26" t="n">
        <v>0</v>
      </c>
      <c r="E1305" s="26" t="n">
        <v>0</v>
      </c>
      <c r="F1305" s="26" t="n">
        <v>0</v>
      </c>
      <c r="G1305" s="26" t="n">
        <v>0</v>
      </c>
      <c r="H1305" s="26" t="n">
        <v>0</v>
      </c>
      <c r="I1305" s="26" t="n">
        <v>0</v>
      </c>
      <c r="J1305" s="26" t="n">
        <v>0</v>
      </c>
      <c r="K1305" s="26" t="n">
        <v>0</v>
      </c>
      <c r="L1305" s="26" t="n">
        <v>0</v>
      </c>
      <c r="M1305" s="26" t="n">
        <v>0</v>
      </c>
    </row>
    <row r="1306" customFormat="false" ht="15" hidden="false" customHeight="false" outlineLevel="0" collapsed="false">
      <c r="A1306" s="7" t="s">
        <v>87</v>
      </c>
      <c r="B1306" s="7" t="n">
        <v>4415018</v>
      </c>
      <c r="C1306" s="7" t="s">
        <v>738</v>
      </c>
      <c r="D1306" s="26" t="n">
        <v>0</v>
      </c>
      <c r="E1306" s="26" t="n">
        <v>0</v>
      </c>
      <c r="F1306" s="26" t="n">
        <v>0</v>
      </c>
      <c r="G1306" s="26" t="n">
        <v>0</v>
      </c>
      <c r="H1306" s="26" t="n">
        <v>0</v>
      </c>
      <c r="I1306" s="26" t="n">
        <v>0</v>
      </c>
      <c r="J1306" s="26" t="n">
        <v>0</v>
      </c>
      <c r="K1306" s="26" t="n">
        <v>0</v>
      </c>
      <c r="L1306" s="26" t="n">
        <v>0</v>
      </c>
      <c r="M1306" s="26" t="n">
        <v>0</v>
      </c>
    </row>
    <row r="1307" customFormat="false" ht="15" hidden="false" customHeight="false" outlineLevel="0" collapsed="false">
      <c r="A1307" s="7" t="s">
        <v>85</v>
      </c>
      <c r="B1307" s="7" t="n">
        <v>4413428</v>
      </c>
      <c r="C1307" s="7" t="s">
        <v>739</v>
      </c>
      <c r="D1307" s="26" t="n">
        <v>0</v>
      </c>
      <c r="E1307" s="26" t="n">
        <v>0</v>
      </c>
      <c r="F1307" s="26" t="n">
        <v>0</v>
      </c>
      <c r="G1307" s="26" t="n">
        <v>0</v>
      </c>
      <c r="H1307" s="26" t="n">
        <v>0</v>
      </c>
      <c r="I1307" s="26" t="n">
        <v>0</v>
      </c>
      <c r="J1307" s="26" t="n">
        <v>0</v>
      </c>
      <c r="K1307" s="26" t="n">
        <v>0</v>
      </c>
      <c r="L1307" s="26" t="n">
        <v>0</v>
      </c>
      <c r="M1307" s="26" t="n">
        <v>0</v>
      </c>
    </row>
    <row r="1308" customFormat="false" ht="15" hidden="false" customHeight="false" outlineLevel="0" collapsed="false">
      <c r="A1308" s="7" t="s">
        <v>87</v>
      </c>
      <c r="B1308" s="7" t="n">
        <v>4413428</v>
      </c>
      <c r="C1308" s="7" t="s">
        <v>739</v>
      </c>
      <c r="D1308" s="26" t="n">
        <v>0</v>
      </c>
      <c r="E1308" s="26" t="n">
        <v>0</v>
      </c>
      <c r="F1308" s="26" t="n">
        <v>0</v>
      </c>
      <c r="G1308" s="26" t="n">
        <v>0</v>
      </c>
      <c r="H1308" s="26" t="n">
        <v>0</v>
      </c>
      <c r="I1308" s="26" t="n">
        <v>0</v>
      </c>
      <c r="J1308" s="26" t="n">
        <v>0</v>
      </c>
      <c r="K1308" s="26" t="n">
        <v>0</v>
      </c>
      <c r="L1308" s="26" t="n">
        <v>0</v>
      </c>
      <c r="M1308" s="26" t="n">
        <v>0</v>
      </c>
    </row>
    <row r="1309" customFormat="false" ht="15" hidden="false" customHeight="false" outlineLevel="0" collapsed="false">
      <c r="A1309" s="7" t="s">
        <v>85</v>
      </c>
      <c r="B1309" s="7" t="n">
        <v>4413429</v>
      </c>
      <c r="C1309" s="7" t="s">
        <v>740</v>
      </c>
      <c r="D1309" s="26" t="n">
        <v>0</v>
      </c>
      <c r="E1309" s="26" t="n">
        <v>0</v>
      </c>
      <c r="F1309" s="26" t="n">
        <v>0</v>
      </c>
      <c r="G1309" s="26" t="n">
        <v>0</v>
      </c>
      <c r="H1309" s="26" t="n">
        <v>0</v>
      </c>
      <c r="I1309" s="26" t="n">
        <v>0</v>
      </c>
      <c r="J1309" s="26" t="n">
        <v>0</v>
      </c>
      <c r="K1309" s="26" t="n">
        <v>0</v>
      </c>
      <c r="L1309" s="26" t="n">
        <v>0</v>
      </c>
      <c r="M1309" s="26" t="n">
        <v>0</v>
      </c>
    </row>
    <row r="1310" customFormat="false" ht="15" hidden="false" customHeight="false" outlineLevel="0" collapsed="false">
      <c r="A1310" s="7" t="s">
        <v>87</v>
      </c>
      <c r="B1310" s="7" t="n">
        <v>4413429</v>
      </c>
      <c r="C1310" s="7" t="s">
        <v>740</v>
      </c>
      <c r="D1310" s="26" t="n">
        <v>0</v>
      </c>
      <c r="E1310" s="26" t="n">
        <v>0</v>
      </c>
      <c r="F1310" s="26" t="n">
        <v>0</v>
      </c>
      <c r="G1310" s="26" t="n">
        <v>0</v>
      </c>
      <c r="H1310" s="26" t="n">
        <v>0</v>
      </c>
      <c r="I1310" s="26" t="n">
        <v>0</v>
      </c>
      <c r="J1310" s="26" t="n">
        <v>0</v>
      </c>
      <c r="K1310" s="26" t="n">
        <v>0</v>
      </c>
      <c r="L1310" s="26" t="n">
        <v>0</v>
      </c>
      <c r="M1310" s="26" t="n">
        <v>0</v>
      </c>
    </row>
    <row r="1311" customFormat="false" ht="15" hidden="false" customHeight="false" outlineLevel="0" collapsed="false">
      <c r="A1311" s="7" t="s">
        <v>85</v>
      </c>
      <c r="B1311" s="7" t="n">
        <v>4413430</v>
      </c>
      <c r="C1311" s="7" t="s">
        <v>741</v>
      </c>
      <c r="D1311" s="26" t="n">
        <v>0</v>
      </c>
      <c r="E1311" s="26" t="n">
        <v>0</v>
      </c>
      <c r="F1311" s="26" t="n">
        <v>0</v>
      </c>
      <c r="G1311" s="26" t="n">
        <v>0</v>
      </c>
      <c r="H1311" s="26" t="n">
        <v>0</v>
      </c>
      <c r="I1311" s="26" t="n">
        <v>0</v>
      </c>
      <c r="J1311" s="26" t="n">
        <v>0</v>
      </c>
      <c r="K1311" s="26" t="n">
        <v>0</v>
      </c>
      <c r="L1311" s="26" t="n">
        <v>0</v>
      </c>
      <c r="M1311" s="26" t="n">
        <v>0</v>
      </c>
    </row>
    <row r="1312" customFormat="false" ht="15" hidden="false" customHeight="false" outlineLevel="0" collapsed="false">
      <c r="A1312" s="7" t="s">
        <v>87</v>
      </c>
      <c r="B1312" s="7" t="n">
        <v>4413430</v>
      </c>
      <c r="C1312" s="7" t="s">
        <v>741</v>
      </c>
      <c r="D1312" s="26" t="n">
        <v>0</v>
      </c>
      <c r="E1312" s="26" t="n">
        <v>0</v>
      </c>
      <c r="F1312" s="26" t="n">
        <v>0</v>
      </c>
      <c r="G1312" s="26" t="n">
        <v>0</v>
      </c>
      <c r="H1312" s="26" t="n">
        <v>0</v>
      </c>
      <c r="I1312" s="26" t="n">
        <v>0</v>
      </c>
      <c r="J1312" s="26" t="n">
        <v>0</v>
      </c>
      <c r="K1312" s="26" t="n">
        <v>0</v>
      </c>
      <c r="L1312" s="26" t="n">
        <v>0</v>
      </c>
      <c r="M1312" s="26" t="n">
        <v>0</v>
      </c>
    </row>
    <row r="1313" customFormat="false" ht="15" hidden="false" customHeight="false" outlineLevel="0" collapsed="false">
      <c r="A1313" s="7" t="s">
        <v>85</v>
      </c>
      <c r="B1313" s="7" t="n">
        <v>4413431</v>
      </c>
      <c r="C1313" s="7" t="s">
        <v>742</v>
      </c>
      <c r="D1313" s="26" t="n">
        <v>0</v>
      </c>
      <c r="E1313" s="26" t="n">
        <v>0</v>
      </c>
      <c r="F1313" s="26" t="n">
        <v>0</v>
      </c>
      <c r="G1313" s="26" t="n">
        <v>0</v>
      </c>
      <c r="H1313" s="26" t="n">
        <v>0</v>
      </c>
      <c r="I1313" s="26" t="n">
        <v>0</v>
      </c>
      <c r="J1313" s="26" t="n">
        <v>0</v>
      </c>
      <c r="K1313" s="26" t="n">
        <v>0</v>
      </c>
      <c r="L1313" s="26" t="n">
        <v>0</v>
      </c>
      <c r="M1313" s="26" t="n">
        <v>0</v>
      </c>
    </row>
    <row r="1314" customFormat="false" ht="15" hidden="false" customHeight="false" outlineLevel="0" collapsed="false">
      <c r="A1314" s="7" t="s">
        <v>87</v>
      </c>
      <c r="B1314" s="7" t="n">
        <v>4413431</v>
      </c>
      <c r="C1314" s="7" t="s">
        <v>742</v>
      </c>
      <c r="D1314" s="26" t="n">
        <v>0</v>
      </c>
      <c r="E1314" s="26" t="n">
        <v>0</v>
      </c>
      <c r="F1314" s="26" t="n">
        <v>0</v>
      </c>
      <c r="G1314" s="26" t="n">
        <v>0</v>
      </c>
      <c r="H1314" s="26" t="n">
        <v>0</v>
      </c>
      <c r="I1314" s="26" t="n">
        <v>0</v>
      </c>
      <c r="J1314" s="26" t="n">
        <v>0</v>
      </c>
      <c r="K1314" s="26" t="n">
        <v>0</v>
      </c>
      <c r="L1314" s="26" t="n">
        <v>0</v>
      </c>
      <c r="M1314" s="26" t="n">
        <v>0</v>
      </c>
    </row>
    <row r="1315" customFormat="false" ht="15" hidden="false" customHeight="false" outlineLevel="0" collapsed="false">
      <c r="A1315" s="7" t="s">
        <v>85</v>
      </c>
      <c r="B1315" s="7" t="n">
        <v>4413432</v>
      </c>
      <c r="C1315" s="7" t="s">
        <v>743</v>
      </c>
      <c r="D1315" s="26" t="n">
        <v>0</v>
      </c>
      <c r="E1315" s="26" t="n">
        <v>0</v>
      </c>
      <c r="F1315" s="26" t="n">
        <v>0</v>
      </c>
      <c r="G1315" s="26" t="n">
        <v>0</v>
      </c>
      <c r="H1315" s="26" t="n">
        <v>0</v>
      </c>
      <c r="I1315" s="26" t="n">
        <v>0</v>
      </c>
      <c r="J1315" s="26" t="n">
        <v>0</v>
      </c>
      <c r="K1315" s="26" t="n">
        <v>0</v>
      </c>
      <c r="L1315" s="26" t="n">
        <v>0</v>
      </c>
      <c r="M1315" s="26" t="n">
        <v>0</v>
      </c>
    </row>
    <row r="1316" customFormat="false" ht="15" hidden="false" customHeight="false" outlineLevel="0" collapsed="false">
      <c r="A1316" s="7" t="s">
        <v>87</v>
      </c>
      <c r="B1316" s="7" t="n">
        <v>4413432</v>
      </c>
      <c r="C1316" s="7" t="s">
        <v>743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0</v>
      </c>
      <c r="L1316" s="26" t="n">
        <v>0</v>
      </c>
      <c r="M1316" s="26" t="n">
        <v>0</v>
      </c>
    </row>
    <row r="1317" customFormat="false" ht="15" hidden="false" customHeight="false" outlineLevel="0" collapsed="false">
      <c r="A1317" s="7" t="s">
        <v>85</v>
      </c>
      <c r="B1317" s="7" t="n">
        <v>4415019</v>
      </c>
      <c r="C1317" s="7" t="s">
        <v>744</v>
      </c>
      <c r="D1317" s="26" t="n">
        <v>7</v>
      </c>
      <c r="E1317" s="26" t="n">
        <v>0</v>
      </c>
      <c r="F1317" s="26" t="n">
        <v>0</v>
      </c>
      <c r="G1317" s="26" t="n">
        <v>0</v>
      </c>
      <c r="H1317" s="26" t="n">
        <v>4</v>
      </c>
      <c r="I1317" s="26" t="n">
        <v>0</v>
      </c>
      <c r="J1317" s="26" t="n">
        <v>0</v>
      </c>
      <c r="K1317" s="26" t="n">
        <v>7</v>
      </c>
      <c r="L1317" s="26" t="n">
        <v>0</v>
      </c>
      <c r="M1317" s="26" t="n">
        <v>0</v>
      </c>
    </row>
    <row r="1318" customFormat="false" ht="15" hidden="false" customHeight="false" outlineLevel="0" collapsed="false">
      <c r="A1318" s="7" t="s">
        <v>87</v>
      </c>
      <c r="B1318" s="7" t="n">
        <v>4415019</v>
      </c>
      <c r="C1318" s="7" t="s">
        <v>744</v>
      </c>
      <c r="D1318" s="26" t="n">
        <v>974.9</v>
      </c>
      <c r="E1318" s="26" t="n">
        <v>0</v>
      </c>
      <c r="F1318" s="26" t="n">
        <v>0</v>
      </c>
      <c r="G1318" s="26" t="n">
        <v>0</v>
      </c>
      <c r="H1318" s="26" t="n">
        <v>257.2</v>
      </c>
      <c r="I1318" s="26" t="n">
        <v>0</v>
      </c>
      <c r="J1318" s="26" t="n">
        <v>0</v>
      </c>
      <c r="K1318" s="26" t="n">
        <v>632.8</v>
      </c>
      <c r="L1318" s="26" t="n">
        <v>0</v>
      </c>
      <c r="M1318" s="26" t="n">
        <v>0</v>
      </c>
    </row>
    <row r="1319" customFormat="false" ht="15" hidden="false" customHeight="false" outlineLevel="0" collapsed="false">
      <c r="A1319" s="7" t="s">
        <v>85</v>
      </c>
      <c r="B1319" s="7" t="n">
        <v>4413043</v>
      </c>
      <c r="C1319" s="7" t="s">
        <v>745</v>
      </c>
      <c r="D1319" s="26" t="n">
        <v>117</v>
      </c>
      <c r="E1319" s="26" t="n">
        <v>0</v>
      </c>
      <c r="F1319" s="26" t="n">
        <v>1</v>
      </c>
      <c r="G1319" s="26" t="n">
        <v>0</v>
      </c>
      <c r="H1319" s="26" t="n">
        <v>1259</v>
      </c>
      <c r="I1319" s="26" t="n">
        <v>117</v>
      </c>
      <c r="J1319" s="26" t="n">
        <v>0</v>
      </c>
      <c r="K1319" s="26" t="n">
        <v>106</v>
      </c>
      <c r="L1319" s="26" t="n">
        <v>0</v>
      </c>
      <c r="M1319" s="26" t="n">
        <v>0</v>
      </c>
    </row>
    <row r="1320" customFormat="false" ht="15" hidden="false" customHeight="false" outlineLevel="0" collapsed="false">
      <c r="A1320" s="7" t="s">
        <v>87</v>
      </c>
      <c r="B1320" s="7" t="n">
        <v>4413043</v>
      </c>
      <c r="C1320" s="7" t="s">
        <v>745</v>
      </c>
      <c r="D1320" s="26" t="n">
        <v>5295</v>
      </c>
      <c r="E1320" s="26" t="n">
        <v>0</v>
      </c>
      <c r="F1320" s="26" t="n">
        <v>46.8</v>
      </c>
      <c r="G1320" s="26" t="n">
        <v>0</v>
      </c>
      <c r="H1320" s="26" t="n">
        <v>47925.6</v>
      </c>
      <c r="I1320" s="26" t="n">
        <v>4755.8</v>
      </c>
      <c r="J1320" s="26" t="n">
        <v>0</v>
      </c>
      <c r="K1320" s="26" t="n">
        <v>2958.1</v>
      </c>
      <c r="L1320" s="26" t="n">
        <v>0</v>
      </c>
      <c r="M1320" s="26" t="n">
        <v>0</v>
      </c>
    </row>
    <row r="1321" customFormat="false" ht="15" hidden="false" customHeight="false" outlineLevel="0" collapsed="false">
      <c r="A1321" s="7" t="s">
        <v>85</v>
      </c>
      <c r="B1321" s="7" t="n">
        <v>4413041</v>
      </c>
      <c r="C1321" s="7" t="s">
        <v>746</v>
      </c>
      <c r="D1321" s="26" t="n">
        <v>95</v>
      </c>
      <c r="E1321" s="26" t="n">
        <v>0</v>
      </c>
      <c r="F1321" s="26" t="n">
        <v>1</v>
      </c>
      <c r="G1321" s="26" t="n">
        <v>0</v>
      </c>
      <c r="H1321" s="26" t="n">
        <v>1287</v>
      </c>
      <c r="I1321" s="26" t="n">
        <v>106</v>
      </c>
      <c r="J1321" s="26" t="n">
        <v>0</v>
      </c>
      <c r="K1321" s="26" t="n">
        <v>124</v>
      </c>
      <c r="L1321" s="26" t="n">
        <v>0</v>
      </c>
      <c r="M1321" s="26" t="n">
        <v>-2</v>
      </c>
    </row>
    <row r="1322" customFormat="false" ht="15" hidden="false" customHeight="false" outlineLevel="0" collapsed="false">
      <c r="A1322" s="7" t="s">
        <v>87</v>
      </c>
      <c r="B1322" s="7" t="n">
        <v>4413041</v>
      </c>
      <c r="C1322" s="7" t="s">
        <v>746</v>
      </c>
      <c r="D1322" s="26" t="n">
        <v>4284.9</v>
      </c>
      <c r="E1322" s="26" t="n">
        <v>0</v>
      </c>
      <c r="F1322" s="26" t="n">
        <v>46.8</v>
      </c>
      <c r="G1322" s="26" t="n">
        <v>0</v>
      </c>
      <c r="H1322" s="26" t="n">
        <v>49029.3</v>
      </c>
      <c r="I1322" s="26" t="n">
        <v>4293</v>
      </c>
      <c r="J1322" s="26" t="n">
        <v>0</v>
      </c>
      <c r="K1322" s="26" t="n">
        <v>3457.1</v>
      </c>
      <c r="L1322" s="26" t="n">
        <v>0</v>
      </c>
      <c r="M1322" s="26" t="n">
        <v>-124.9</v>
      </c>
    </row>
    <row r="1323" customFormat="false" ht="15" hidden="false" customHeight="false" outlineLevel="0" collapsed="false">
      <c r="A1323" s="7" t="s">
        <v>85</v>
      </c>
      <c r="B1323" s="7" t="n">
        <v>4413042</v>
      </c>
      <c r="C1323" s="7" t="s">
        <v>747</v>
      </c>
      <c r="D1323" s="26" t="n">
        <v>45</v>
      </c>
      <c r="E1323" s="26" t="n">
        <v>0</v>
      </c>
      <c r="F1323" s="26" t="n">
        <v>4</v>
      </c>
      <c r="G1323" s="26" t="n">
        <v>0</v>
      </c>
      <c r="H1323" s="26" t="n">
        <v>821</v>
      </c>
      <c r="I1323" s="26" t="n">
        <v>71</v>
      </c>
      <c r="J1323" s="26" t="n">
        <v>0</v>
      </c>
      <c r="K1323" s="26" t="n">
        <v>47</v>
      </c>
      <c r="L1323" s="26" t="n">
        <v>0</v>
      </c>
      <c r="M1323" s="26" t="n">
        <v>0</v>
      </c>
    </row>
    <row r="1324" customFormat="false" ht="15" hidden="false" customHeight="false" outlineLevel="0" collapsed="false">
      <c r="A1324" s="7" t="s">
        <v>87</v>
      </c>
      <c r="B1324" s="7" t="n">
        <v>4413042</v>
      </c>
      <c r="C1324" s="7" t="s">
        <v>747</v>
      </c>
      <c r="D1324" s="26" t="n">
        <v>2066.3</v>
      </c>
      <c r="E1324" s="26" t="n">
        <v>0</v>
      </c>
      <c r="F1324" s="26" t="n">
        <v>187.3</v>
      </c>
      <c r="G1324" s="26" t="n">
        <v>0</v>
      </c>
      <c r="H1324" s="26" t="n">
        <v>31177</v>
      </c>
      <c r="I1324" s="26" t="n">
        <v>2878.4</v>
      </c>
      <c r="J1324" s="26" t="n">
        <v>0</v>
      </c>
      <c r="K1324" s="26" t="n">
        <v>1309.1</v>
      </c>
      <c r="L1324" s="26" t="n">
        <v>0</v>
      </c>
      <c r="M1324" s="26" t="n">
        <v>0</v>
      </c>
    </row>
    <row r="1325" customFormat="false" ht="15" hidden="false" customHeight="false" outlineLevel="0" collapsed="false">
      <c r="A1325" s="7" t="s">
        <v>85</v>
      </c>
      <c r="B1325" s="7" t="n">
        <v>4413044</v>
      </c>
      <c r="C1325" s="7" t="s">
        <v>748</v>
      </c>
      <c r="D1325" s="26" t="n">
        <v>71</v>
      </c>
      <c r="E1325" s="26" t="n">
        <v>0</v>
      </c>
      <c r="F1325" s="26" t="n">
        <v>0</v>
      </c>
      <c r="G1325" s="26" t="n">
        <v>0</v>
      </c>
      <c r="H1325" s="26" t="n">
        <v>814</v>
      </c>
      <c r="I1325" s="26" t="n">
        <v>63</v>
      </c>
      <c r="J1325" s="26" t="n">
        <v>0</v>
      </c>
      <c r="K1325" s="26" t="n">
        <v>87</v>
      </c>
      <c r="L1325" s="26" t="n">
        <v>0</v>
      </c>
      <c r="M1325" s="26" t="n">
        <v>-1</v>
      </c>
    </row>
    <row r="1326" customFormat="false" ht="15" hidden="false" customHeight="false" outlineLevel="0" collapsed="false">
      <c r="A1326" s="7" t="s">
        <v>87</v>
      </c>
      <c r="B1326" s="7" t="n">
        <v>4413044</v>
      </c>
      <c r="C1326" s="7" t="s">
        <v>748</v>
      </c>
      <c r="D1326" s="26" t="n">
        <v>3245.5</v>
      </c>
      <c r="E1326" s="26" t="n">
        <v>0</v>
      </c>
      <c r="F1326" s="26" t="n">
        <v>0</v>
      </c>
      <c r="G1326" s="26" t="n">
        <v>0</v>
      </c>
      <c r="H1326" s="26" t="n">
        <v>30996.2</v>
      </c>
      <c r="I1326" s="26" t="n">
        <v>2563</v>
      </c>
      <c r="J1326" s="26" t="n">
        <v>0</v>
      </c>
      <c r="K1326" s="26" t="n">
        <v>2401.1</v>
      </c>
      <c r="L1326" s="26" t="n">
        <v>0</v>
      </c>
      <c r="M1326" s="26" t="n">
        <v>-62.4</v>
      </c>
    </row>
    <row r="1327" customFormat="false" ht="15" hidden="false" customHeight="false" outlineLevel="0" collapsed="false">
      <c r="A1327" s="7" t="s">
        <v>85</v>
      </c>
      <c r="B1327" s="7" t="n">
        <v>4413045</v>
      </c>
      <c r="C1327" s="7" t="s">
        <v>749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0</v>
      </c>
      <c r="J1327" s="26" t="n">
        <v>0</v>
      </c>
      <c r="K1327" s="26" t="n">
        <v>0</v>
      </c>
      <c r="L1327" s="26" t="n">
        <v>0</v>
      </c>
      <c r="M1327" s="26" t="n">
        <v>0</v>
      </c>
    </row>
    <row r="1328" customFormat="false" ht="15" hidden="false" customHeight="false" outlineLevel="0" collapsed="false">
      <c r="A1328" s="7" t="s">
        <v>87</v>
      </c>
      <c r="B1328" s="7" t="n">
        <v>4413045</v>
      </c>
      <c r="C1328" s="7" t="s">
        <v>749</v>
      </c>
      <c r="D1328" s="26" t="n">
        <v>0</v>
      </c>
      <c r="E1328" s="26" t="n">
        <v>0</v>
      </c>
      <c r="F1328" s="26" t="n">
        <v>0</v>
      </c>
      <c r="G1328" s="26" t="n">
        <v>0</v>
      </c>
      <c r="H1328" s="26" t="n">
        <v>0</v>
      </c>
      <c r="I1328" s="26" t="n">
        <v>0</v>
      </c>
      <c r="J1328" s="26" t="n">
        <v>0</v>
      </c>
      <c r="K1328" s="26" t="n">
        <v>0</v>
      </c>
      <c r="L1328" s="26" t="n">
        <v>0</v>
      </c>
      <c r="M1328" s="26" t="n">
        <v>0</v>
      </c>
    </row>
    <row r="1329" customFormat="false" ht="15" hidden="false" customHeight="false" outlineLevel="0" collapsed="false">
      <c r="A1329" s="7" t="s">
        <v>85</v>
      </c>
      <c r="B1329" s="7" t="n">
        <v>4413046</v>
      </c>
      <c r="C1329" s="7" t="s">
        <v>750</v>
      </c>
      <c r="D1329" s="26" t="n">
        <v>17</v>
      </c>
      <c r="E1329" s="26" t="n">
        <v>0</v>
      </c>
      <c r="F1329" s="26" t="n">
        <v>0</v>
      </c>
      <c r="G1329" s="26" t="n">
        <v>0</v>
      </c>
      <c r="H1329" s="26" t="n">
        <v>36</v>
      </c>
      <c r="I1329" s="26" t="n">
        <v>46</v>
      </c>
      <c r="J1329" s="26" t="n">
        <v>0</v>
      </c>
      <c r="K1329" s="26" t="n">
        <v>27</v>
      </c>
      <c r="L1329" s="26" t="n">
        <v>0</v>
      </c>
      <c r="M1329" s="26" t="n">
        <v>0</v>
      </c>
    </row>
    <row r="1330" customFormat="false" ht="15" hidden="false" customHeight="false" outlineLevel="0" collapsed="false">
      <c r="A1330" s="7" t="s">
        <v>87</v>
      </c>
      <c r="B1330" s="7" t="n">
        <v>4413046</v>
      </c>
      <c r="C1330" s="7" t="s">
        <v>750</v>
      </c>
      <c r="D1330" s="26" t="n">
        <v>785.9</v>
      </c>
      <c r="E1330" s="26" t="n">
        <v>0</v>
      </c>
      <c r="F1330" s="26" t="n">
        <v>0</v>
      </c>
      <c r="G1330" s="26" t="n">
        <v>0</v>
      </c>
      <c r="H1330" s="26" t="n">
        <v>1372.6</v>
      </c>
      <c r="I1330" s="26" t="n">
        <v>1863</v>
      </c>
      <c r="J1330" s="26" t="n">
        <v>0</v>
      </c>
      <c r="K1330" s="26" t="n">
        <v>759.4</v>
      </c>
      <c r="L1330" s="26" t="n">
        <v>0</v>
      </c>
      <c r="M1330" s="26" t="n">
        <v>0</v>
      </c>
    </row>
    <row r="1331" customFormat="false" ht="15" hidden="false" customHeight="false" outlineLevel="0" collapsed="false">
      <c r="A1331" s="7" t="s">
        <v>85</v>
      </c>
      <c r="B1331" s="7" t="n">
        <v>4413161</v>
      </c>
      <c r="C1331" s="7" t="s">
        <v>751</v>
      </c>
      <c r="D1331" s="26" t="n">
        <v>59</v>
      </c>
      <c r="E1331" s="26" t="n">
        <v>0</v>
      </c>
      <c r="F1331" s="26" t="n">
        <v>0</v>
      </c>
      <c r="G1331" s="26" t="n">
        <v>0</v>
      </c>
      <c r="H1331" s="26" t="n">
        <v>70</v>
      </c>
      <c r="I1331" s="26" t="n">
        <v>132</v>
      </c>
      <c r="J1331" s="26" t="n">
        <v>0</v>
      </c>
      <c r="K1331" s="26" t="n">
        <v>53</v>
      </c>
      <c r="L1331" s="26" t="n">
        <v>0</v>
      </c>
      <c r="M1331" s="26" t="n">
        <v>0</v>
      </c>
    </row>
    <row r="1332" customFormat="false" ht="15" hidden="false" customHeight="false" outlineLevel="0" collapsed="false">
      <c r="A1332" s="7" t="s">
        <v>87</v>
      </c>
      <c r="B1332" s="7" t="n">
        <v>4413161</v>
      </c>
      <c r="C1332" s="7" t="s">
        <v>751</v>
      </c>
      <c r="D1332" s="26" t="n">
        <v>3859.5</v>
      </c>
      <c r="E1332" s="26" t="n">
        <v>0</v>
      </c>
      <c r="F1332" s="26" t="n">
        <v>0</v>
      </c>
      <c r="G1332" s="26" t="n">
        <v>0</v>
      </c>
      <c r="H1332" s="26" t="n">
        <v>3738.1</v>
      </c>
      <c r="I1332" s="26" t="n">
        <v>7564.9</v>
      </c>
      <c r="J1332" s="26" t="n">
        <v>0</v>
      </c>
      <c r="K1332" s="26" t="n">
        <v>2161.2</v>
      </c>
      <c r="L1332" s="26" t="n">
        <v>0</v>
      </c>
      <c r="M1332" s="26" t="n">
        <v>0</v>
      </c>
    </row>
    <row r="1333" customFormat="false" ht="15" hidden="false" customHeight="false" outlineLevel="0" collapsed="false">
      <c r="A1333" s="7" t="s">
        <v>85</v>
      </c>
      <c r="B1333" s="7" t="n">
        <v>4413160</v>
      </c>
      <c r="C1333" s="7" t="s">
        <v>752</v>
      </c>
      <c r="D1333" s="26" t="n">
        <v>28</v>
      </c>
      <c r="E1333" s="26" t="n">
        <v>0</v>
      </c>
      <c r="F1333" s="26" t="n">
        <v>0</v>
      </c>
      <c r="G1333" s="26" t="n">
        <v>0</v>
      </c>
      <c r="H1333" s="26" t="n">
        <v>83</v>
      </c>
      <c r="I1333" s="26" t="n">
        <v>143</v>
      </c>
      <c r="J1333" s="26" t="n">
        <v>0</v>
      </c>
      <c r="K1333" s="26" t="n">
        <v>43</v>
      </c>
      <c r="L1333" s="26" t="n">
        <v>0</v>
      </c>
      <c r="M1333" s="26" t="n">
        <v>0</v>
      </c>
    </row>
    <row r="1334" customFormat="false" ht="15" hidden="false" customHeight="false" outlineLevel="0" collapsed="false">
      <c r="A1334" s="7" t="s">
        <v>87</v>
      </c>
      <c r="B1334" s="7" t="n">
        <v>4413160</v>
      </c>
      <c r="C1334" s="7" t="s">
        <v>752</v>
      </c>
      <c r="D1334" s="26" t="n">
        <v>1897</v>
      </c>
      <c r="E1334" s="26" t="n">
        <v>0</v>
      </c>
      <c r="F1334" s="26" t="n">
        <v>0</v>
      </c>
      <c r="G1334" s="26" t="n">
        <v>0</v>
      </c>
      <c r="H1334" s="26" t="n">
        <v>4452.2</v>
      </c>
      <c r="I1334" s="26" t="n">
        <v>8195.3</v>
      </c>
      <c r="J1334" s="26" t="n">
        <v>0</v>
      </c>
      <c r="K1334" s="26" t="n">
        <v>1686.8</v>
      </c>
      <c r="L1334" s="26" t="n">
        <v>0</v>
      </c>
      <c r="M1334" s="26" t="n">
        <v>0</v>
      </c>
    </row>
    <row r="1335" customFormat="false" ht="15" hidden="false" customHeight="false" outlineLevel="0" collapsed="false">
      <c r="A1335" s="7" t="s">
        <v>85</v>
      </c>
      <c r="B1335" s="7" t="n">
        <v>4413159</v>
      </c>
      <c r="C1335" s="7" t="s">
        <v>753</v>
      </c>
      <c r="D1335" s="26" t="n">
        <v>12</v>
      </c>
      <c r="E1335" s="26" t="n">
        <v>0</v>
      </c>
      <c r="F1335" s="26" t="n">
        <v>0</v>
      </c>
      <c r="G1335" s="26" t="n">
        <v>0</v>
      </c>
      <c r="H1335" s="26" t="n">
        <v>38</v>
      </c>
      <c r="I1335" s="26" t="n">
        <v>0</v>
      </c>
      <c r="J1335" s="26" t="n">
        <v>0</v>
      </c>
      <c r="K1335" s="26" t="n">
        <v>23</v>
      </c>
      <c r="L1335" s="26" t="n">
        <v>0</v>
      </c>
      <c r="M1335" s="26" t="n">
        <v>0</v>
      </c>
    </row>
    <row r="1336" customFormat="false" ht="15" hidden="false" customHeight="false" outlineLevel="0" collapsed="false">
      <c r="A1336" s="7" t="s">
        <v>87</v>
      </c>
      <c r="B1336" s="7" t="n">
        <v>4413159</v>
      </c>
      <c r="C1336" s="7" t="s">
        <v>753</v>
      </c>
      <c r="D1336" s="26" t="n">
        <v>796.2</v>
      </c>
      <c r="E1336" s="26" t="n">
        <v>0</v>
      </c>
      <c r="F1336" s="26" t="n">
        <v>0</v>
      </c>
      <c r="G1336" s="26" t="n">
        <v>0</v>
      </c>
      <c r="H1336" s="26" t="n">
        <v>2051.7</v>
      </c>
      <c r="I1336" s="26" t="n">
        <v>0</v>
      </c>
      <c r="J1336" s="26" t="n">
        <v>0</v>
      </c>
      <c r="K1336" s="26" t="n">
        <v>875</v>
      </c>
      <c r="L1336" s="26" t="n">
        <v>0</v>
      </c>
      <c r="M1336" s="26" t="n">
        <v>0</v>
      </c>
    </row>
    <row r="1337" customFormat="false" ht="15" hidden="false" customHeight="false" outlineLevel="0" collapsed="false">
      <c r="A1337" s="7" t="s">
        <v>85</v>
      </c>
      <c r="B1337" s="7" t="n">
        <v>4413162</v>
      </c>
      <c r="C1337" s="7" t="s">
        <v>754</v>
      </c>
      <c r="D1337" s="26" t="n">
        <v>24</v>
      </c>
      <c r="E1337" s="26" t="n">
        <v>0</v>
      </c>
      <c r="F1337" s="26" t="n">
        <v>0</v>
      </c>
      <c r="G1337" s="26" t="n">
        <v>0</v>
      </c>
      <c r="H1337" s="26" t="n">
        <v>59</v>
      </c>
      <c r="I1337" s="26" t="n">
        <v>110</v>
      </c>
      <c r="J1337" s="26" t="n">
        <v>0</v>
      </c>
      <c r="K1337" s="26" t="n">
        <v>23</v>
      </c>
      <c r="L1337" s="26" t="n">
        <v>0</v>
      </c>
      <c r="M1337" s="26" t="n">
        <v>0</v>
      </c>
    </row>
    <row r="1338" customFormat="false" ht="15" hidden="false" customHeight="false" outlineLevel="0" collapsed="false">
      <c r="A1338" s="7" t="s">
        <v>87</v>
      </c>
      <c r="B1338" s="7" t="n">
        <v>4413162</v>
      </c>
      <c r="C1338" s="7" t="s">
        <v>754</v>
      </c>
      <c r="D1338" s="26" t="n">
        <v>1601.9</v>
      </c>
      <c r="E1338" s="26" t="n">
        <v>0</v>
      </c>
      <c r="F1338" s="26" t="n">
        <v>0</v>
      </c>
      <c r="G1338" s="26" t="n">
        <v>0</v>
      </c>
      <c r="H1338" s="26" t="n">
        <v>3227.7</v>
      </c>
      <c r="I1338" s="26" t="n">
        <v>6304.1</v>
      </c>
      <c r="J1338" s="26" t="n">
        <v>0</v>
      </c>
      <c r="K1338" s="26" t="n">
        <v>906.6</v>
      </c>
      <c r="L1338" s="26" t="n">
        <v>0</v>
      </c>
      <c r="M1338" s="26" t="n">
        <v>0</v>
      </c>
    </row>
    <row r="1339" customFormat="false" ht="15" hidden="false" customHeight="false" outlineLevel="0" collapsed="false">
      <c r="A1339" s="7" t="s">
        <v>85</v>
      </c>
      <c r="B1339" s="7" t="n">
        <v>4413303</v>
      </c>
      <c r="C1339" s="7" t="s">
        <v>755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0</v>
      </c>
      <c r="J1339" s="26" t="n">
        <v>0</v>
      </c>
      <c r="K1339" s="26" t="n">
        <v>4</v>
      </c>
      <c r="L1339" s="26" t="n">
        <v>0</v>
      </c>
      <c r="M1339" s="26" t="n">
        <v>0</v>
      </c>
    </row>
    <row r="1340" customFormat="false" ht="15" hidden="false" customHeight="false" outlineLevel="0" collapsed="false">
      <c r="A1340" s="7" t="s">
        <v>87</v>
      </c>
      <c r="B1340" s="7" t="n">
        <v>4413303</v>
      </c>
      <c r="C1340" s="7" t="s">
        <v>755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158.1</v>
      </c>
      <c r="L1340" s="26" t="n">
        <v>0</v>
      </c>
      <c r="M1340" s="26" t="n">
        <v>0</v>
      </c>
    </row>
    <row r="1341" customFormat="false" ht="15" hidden="false" customHeight="false" outlineLevel="0" collapsed="false">
      <c r="A1341" s="7" t="s">
        <v>85</v>
      </c>
      <c r="B1341" s="7" t="n">
        <v>4413048</v>
      </c>
      <c r="C1341" s="7" t="s">
        <v>756</v>
      </c>
      <c r="D1341" s="26" t="n">
        <v>133</v>
      </c>
      <c r="E1341" s="26" t="n">
        <v>0</v>
      </c>
      <c r="F1341" s="26" t="n">
        <v>3</v>
      </c>
      <c r="G1341" s="26" t="n">
        <v>0</v>
      </c>
      <c r="H1341" s="26" t="n">
        <v>1131</v>
      </c>
      <c r="I1341" s="26" t="n">
        <v>163</v>
      </c>
      <c r="J1341" s="26" t="n">
        <v>0</v>
      </c>
      <c r="K1341" s="26" t="n">
        <v>89</v>
      </c>
      <c r="L1341" s="26" t="n">
        <v>0</v>
      </c>
      <c r="M1341" s="26" t="n">
        <v>-2</v>
      </c>
    </row>
    <row r="1342" customFormat="false" ht="15" hidden="false" customHeight="false" outlineLevel="0" collapsed="false">
      <c r="A1342" s="7" t="s">
        <v>87</v>
      </c>
      <c r="B1342" s="7" t="n">
        <v>4413048</v>
      </c>
      <c r="C1342" s="7" t="s">
        <v>756</v>
      </c>
      <c r="D1342" s="26" t="n">
        <v>3953.1</v>
      </c>
      <c r="E1342" s="26" t="n">
        <v>0</v>
      </c>
      <c r="F1342" s="26" t="n">
        <v>92.7</v>
      </c>
      <c r="G1342" s="26" t="n">
        <v>0</v>
      </c>
      <c r="H1342" s="26" t="n">
        <v>29543.5</v>
      </c>
      <c r="I1342" s="26" t="n">
        <v>4526.9</v>
      </c>
      <c r="J1342" s="26" t="n">
        <v>0</v>
      </c>
      <c r="K1342" s="26" t="n">
        <v>1445</v>
      </c>
      <c r="L1342" s="26" t="n">
        <v>0</v>
      </c>
      <c r="M1342" s="26" t="n">
        <v>-82.4</v>
      </c>
    </row>
    <row r="1343" customFormat="false" ht="15" hidden="false" customHeight="false" outlineLevel="0" collapsed="false">
      <c r="A1343" s="7" t="s">
        <v>85</v>
      </c>
      <c r="B1343" s="7" t="n">
        <v>4413049</v>
      </c>
      <c r="C1343" s="7" t="s">
        <v>757</v>
      </c>
      <c r="D1343" s="26" t="n">
        <v>132</v>
      </c>
      <c r="E1343" s="26" t="n">
        <v>0</v>
      </c>
      <c r="F1343" s="26" t="n">
        <v>3</v>
      </c>
      <c r="G1343" s="26" t="n">
        <v>0</v>
      </c>
      <c r="H1343" s="26" t="n">
        <v>1129</v>
      </c>
      <c r="I1343" s="26" t="n">
        <v>145</v>
      </c>
      <c r="J1343" s="26" t="n">
        <v>0</v>
      </c>
      <c r="K1343" s="26" t="n">
        <v>92</v>
      </c>
      <c r="L1343" s="26" t="n">
        <v>0</v>
      </c>
      <c r="M1343" s="26" t="n">
        <v>-1</v>
      </c>
    </row>
    <row r="1344" customFormat="false" ht="15" hidden="false" customHeight="false" outlineLevel="0" collapsed="false">
      <c r="A1344" s="7" t="s">
        <v>87</v>
      </c>
      <c r="B1344" s="7" t="n">
        <v>4413049</v>
      </c>
      <c r="C1344" s="7" t="s">
        <v>757</v>
      </c>
      <c r="D1344" s="26" t="n">
        <v>3907.6</v>
      </c>
      <c r="E1344" s="26" t="n">
        <v>0</v>
      </c>
      <c r="F1344" s="26" t="n">
        <v>92.7</v>
      </c>
      <c r="G1344" s="26" t="n">
        <v>0</v>
      </c>
      <c r="H1344" s="26" t="n">
        <v>29394.3</v>
      </c>
      <c r="I1344" s="26" t="n">
        <v>4031.1</v>
      </c>
      <c r="J1344" s="26" t="n">
        <v>0</v>
      </c>
      <c r="K1344" s="26" t="n">
        <v>1500.3</v>
      </c>
      <c r="L1344" s="26" t="n">
        <v>0</v>
      </c>
      <c r="M1344" s="26" t="n">
        <v>-41.2</v>
      </c>
    </row>
    <row r="1345" customFormat="false" ht="15" hidden="false" customHeight="false" outlineLevel="0" collapsed="false">
      <c r="A1345" s="7" t="s">
        <v>85</v>
      </c>
      <c r="B1345" s="7" t="n">
        <v>4413047</v>
      </c>
      <c r="C1345" s="7" t="s">
        <v>758</v>
      </c>
      <c r="D1345" s="26" t="n">
        <v>48</v>
      </c>
      <c r="E1345" s="26" t="n">
        <v>0</v>
      </c>
      <c r="F1345" s="26" t="n">
        <v>3</v>
      </c>
      <c r="G1345" s="26" t="n">
        <v>0</v>
      </c>
      <c r="H1345" s="26" t="n">
        <v>812</v>
      </c>
      <c r="I1345" s="26" t="n">
        <v>91</v>
      </c>
      <c r="J1345" s="26" t="n">
        <v>0</v>
      </c>
      <c r="K1345" s="26" t="n">
        <v>36</v>
      </c>
      <c r="L1345" s="26" t="n">
        <v>0</v>
      </c>
      <c r="M1345" s="26" t="n">
        <v>-1</v>
      </c>
    </row>
    <row r="1346" customFormat="false" ht="15" hidden="false" customHeight="false" outlineLevel="0" collapsed="false">
      <c r="A1346" s="7" t="s">
        <v>87</v>
      </c>
      <c r="B1346" s="7" t="n">
        <v>4413047</v>
      </c>
      <c r="C1346" s="7" t="s">
        <v>758</v>
      </c>
      <c r="D1346" s="26" t="n">
        <v>1463.7</v>
      </c>
      <c r="E1346" s="26" t="n">
        <v>0</v>
      </c>
      <c r="F1346" s="26" t="n">
        <v>92.7</v>
      </c>
      <c r="G1346" s="26" t="n">
        <v>0</v>
      </c>
      <c r="H1346" s="26" t="n">
        <v>21127.4</v>
      </c>
      <c r="I1346" s="26" t="n">
        <v>2530.1</v>
      </c>
      <c r="J1346" s="26" t="n">
        <v>0</v>
      </c>
      <c r="K1346" s="26" t="n">
        <v>578</v>
      </c>
      <c r="L1346" s="26" t="n">
        <v>0</v>
      </c>
      <c r="M1346" s="26" t="n">
        <v>-41.2</v>
      </c>
    </row>
    <row r="1347" customFormat="false" ht="15" hidden="false" customHeight="false" outlineLevel="0" collapsed="false">
      <c r="A1347" s="7" t="s">
        <v>85</v>
      </c>
      <c r="B1347" s="7" t="n">
        <v>4413050</v>
      </c>
      <c r="C1347" s="7" t="s">
        <v>759</v>
      </c>
      <c r="D1347" s="26" t="n">
        <v>89</v>
      </c>
      <c r="E1347" s="26" t="n">
        <v>0</v>
      </c>
      <c r="F1347" s="26" t="n">
        <v>3</v>
      </c>
      <c r="G1347" s="26" t="n">
        <v>0</v>
      </c>
      <c r="H1347" s="26" t="n">
        <v>772</v>
      </c>
      <c r="I1347" s="26" t="n">
        <v>118</v>
      </c>
      <c r="J1347" s="26" t="n">
        <v>0</v>
      </c>
      <c r="K1347" s="26" t="n">
        <v>93</v>
      </c>
      <c r="L1347" s="26" t="n">
        <v>0</v>
      </c>
      <c r="M1347" s="26" t="n">
        <v>0</v>
      </c>
    </row>
    <row r="1348" customFormat="false" ht="15" hidden="false" customHeight="false" outlineLevel="0" collapsed="false">
      <c r="A1348" s="7" t="s">
        <v>87</v>
      </c>
      <c r="B1348" s="7" t="n">
        <v>4413050</v>
      </c>
      <c r="C1348" s="7" t="s">
        <v>759</v>
      </c>
      <c r="D1348" s="26" t="n">
        <v>2671.8</v>
      </c>
      <c r="E1348" s="26" t="n">
        <v>0</v>
      </c>
      <c r="F1348" s="26" t="n">
        <v>92.7</v>
      </c>
      <c r="G1348" s="26" t="n">
        <v>0</v>
      </c>
      <c r="H1348" s="26" t="n">
        <v>20147.4</v>
      </c>
      <c r="I1348" s="26" t="n">
        <v>3277.7</v>
      </c>
      <c r="J1348" s="26" t="n">
        <v>0</v>
      </c>
      <c r="K1348" s="26" t="n">
        <v>1500.3</v>
      </c>
      <c r="L1348" s="26" t="n">
        <v>0</v>
      </c>
      <c r="M1348" s="26" t="n">
        <v>0</v>
      </c>
    </row>
    <row r="1349" customFormat="false" ht="15" hidden="false" customHeight="false" outlineLevel="0" collapsed="false">
      <c r="A1349" s="7" t="s">
        <v>85</v>
      </c>
      <c r="B1349" s="7" t="n">
        <v>4413324</v>
      </c>
      <c r="C1349" s="7" t="s">
        <v>760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0</v>
      </c>
      <c r="J1349" s="26" t="n">
        <v>0</v>
      </c>
      <c r="K1349" s="26" t="n">
        <v>0</v>
      </c>
      <c r="L1349" s="26" t="n">
        <v>0</v>
      </c>
      <c r="M1349" s="26" t="n">
        <v>0</v>
      </c>
    </row>
    <row r="1350" customFormat="false" ht="15" hidden="false" customHeight="false" outlineLevel="0" collapsed="false">
      <c r="A1350" s="7" t="s">
        <v>87</v>
      </c>
      <c r="B1350" s="7" t="n">
        <v>4413324</v>
      </c>
      <c r="C1350" s="7" t="s">
        <v>760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0</v>
      </c>
      <c r="J1350" s="26" t="n">
        <v>0</v>
      </c>
      <c r="K1350" s="26" t="n">
        <v>0</v>
      </c>
      <c r="L1350" s="26" t="n">
        <v>0</v>
      </c>
      <c r="M1350" s="26" t="n">
        <v>0</v>
      </c>
    </row>
    <row r="1351" customFormat="false" ht="15" hidden="false" customHeight="false" outlineLevel="0" collapsed="false">
      <c r="A1351" s="7" t="s">
        <v>85</v>
      </c>
      <c r="B1351" s="7" t="n">
        <v>4413051</v>
      </c>
      <c r="C1351" s="7" t="s">
        <v>761</v>
      </c>
      <c r="D1351" s="26" t="n">
        <v>36</v>
      </c>
      <c r="E1351" s="26" t="n">
        <v>0</v>
      </c>
      <c r="F1351" s="26" t="n">
        <v>0</v>
      </c>
      <c r="G1351" s="26" t="n">
        <v>1</v>
      </c>
      <c r="H1351" s="26" t="n">
        <v>77</v>
      </c>
      <c r="I1351" s="26" t="n">
        <v>78</v>
      </c>
      <c r="J1351" s="26" t="n">
        <v>0</v>
      </c>
      <c r="K1351" s="26" t="n">
        <v>11</v>
      </c>
      <c r="L1351" s="26" t="n">
        <v>0</v>
      </c>
      <c r="M1351" s="26" t="n">
        <v>0</v>
      </c>
    </row>
    <row r="1352" customFormat="false" ht="15" hidden="false" customHeight="false" outlineLevel="0" collapsed="false">
      <c r="A1352" s="7" t="s">
        <v>87</v>
      </c>
      <c r="B1352" s="7" t="n">
        <v>4413051</v>
      </c>
      <c r="C1352" s="7" t="s">
        <v>761</v>
      </c>
      <c r="D1352" s="26" t="n">
        <v>1061.4</v>
      </c>
      <c r="E1352" s="26" t="n">
        <v>0</v>
      </c>
      <c r="F1352" s="26" t="n">
        <v>0</v>
      </c>
      <c r="G1352" s="26" t="n">
        <v>26.8</v>
      </c>
      <c r="H1352" s="26" t="n">
        <v>2012.9</v>
      </c>
      <c r="I1352" s="26" t="n">
        <v>2165.3</v>
      </c>
      <c r="J1352" s="26" t="n">
        <v>0</v>
      </c>
      <c r="K1352" s="26" t="n">
        <v>178.5</v>
      </c>
      <c r="L1352" s="26" t="n">
        <v>0</v>
      </c>
      <c r="M1352" s="26" t="n">
        <v>0</v>
      </c>
    </row>
    <row r="1353" customFormat="false" ht="15" hidden="false" customHeight="false" outlineLevel="0" collapsed="false">
      <c r="A1353" s="7" t="s">
        <v>85</v>
      </c>
      <c r="B1353" s="7" t="n">
        <v>4413490</v>
      </c>
      <c r="C1353" s="7" t="s">
        <v>762</v>
      </c>
      <c r="D1353" s="26" t="n">
        <v>180</v>
      </c>
      <c r="E1353" s="26" t="n">
        <v>0</v>
      </c>
      <c r="F1353" s="26" t="n">
        <v>3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  <c r="L1353" s="26" t="n">
        <v>0</v>
      </c>
      <c r="M1353" s="26" t="n">
        <v>0</v>
      </c>
    </row>
    <row r="1354" customFormat="false" ht="15" hidden="false" customHeight="false" outlineLevel="0" collapsed="false">
      <c r="A1354" s="7" t="s">
        <v>87</v>
      </c>
      <c r="B1354" s="7" t="n">
        <v>4413490</v>
      </c>
      <c r="C1354" s="7" t="s">
        <v>762</v>
      </c>
      <c r="D1354" s="26" t="n">
        <v>5517</v>
      </c>
      <c r="E1354" s="26" t="n">
        <v>0</v>
      </c>
      <c r="F1354" s="26" t="n">
        <v>92.7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  <c r="L1354" s="26" t="n">
        <v>0</v>
      </c>
      <c r="M1354" s="26" t="n">
        <v>0</v>
      </c>
    </row>
    <row r="1355" customFormat="false" ht="15" hidden="false" customHeight="false" outlineLevel="0" collapsed="false">
      <c r="A1355" s="7" t="s">
        <v>85</v>
      </c>
      <c r="B1355" s="7" t="n">
        <v>4413492</v>
      </c>
      <c r="C1355" s="7" t="s">
        <v>763</v>
      </c>
      <c r="D1355" s="26" t="n">
        <v>143</v>
      </c>
      <c r="E1355" s="26" t="n">
        <v>0</v>
      </c>
      <c r="F1355" s="26" t="n">
        <v>3</v>
      </c>
      <c r="G1355" s="26" t="n">
        <v>0</v>
      </c>
      <c r="H1355" s="26" t="n">
        <v>0</v>
      </c>
      <c r="I1355" s="26" t="n">
        <v>0</v>
      </c>
      <c r="J1355" s="26" t="n">
        <v>0</v>
      </c>
      <c r="K1355" s="26" t="n">
        <v>0</v>
      </c>
      <c r="L1355" s="26" t="n">
        <v>0</v>
      </c>
      <c r="M1355" s="26" t="n">
        <v>0</v>
      </c>
    </row>
    <row r="1356" customFormat="false" ht="15" hidden="false" customHeight="false" outlineLevel="0" collapsed="false">
      <c r="A1356" s="7" t="s">
        <v>87</v>
      </c>
      <c r="B1356" s="7" t="n">
        <v>4413492</v>
      </c>
      <c r="C1356" s="7" t="s">
        <v>763</v>
      </c>
      <c r="D1356" s="26" t="n">
        <v>4392.6</v>
      </c>
      <c r="E1356" s="26" t="n">
        <v>0</v>
      </c>
      <c r="F1356" s="26" t="n">
        <v>92.7</v>
      </c>
      <c r="G1356" s="26" t="n">
        <v>0</v>
      </c>
      <c r="H1356" s="26" t="n">
        <v>0</v>
      </c>
      <c r="I1356" s="26" t="n">
        <v>0</v>
      </c>
      <c r="J1356" s="26" t="n">
        <v>0</v>
      </c>
      <c r="K1356" s="26" t="n">
        <v>0</v>
      </c>
      <c r="L1356" s="26" t="n">
        <v>0</v>
      </c>
      <c r="M1356" s="26" t="n">
        <v>0</v>
      </c>
    </row>
    <row r="1357" customFormat="false" ht="15" hidden="false" customHeight="false" outlineLevel="0" collapsed="false">
      <c r="A1357" s="7" t="s">
        <v>85</v>
      </c>
      <c r="B1357" s="7" t="n">
        <v>4413493</v>
      </c>
      <c r="C1357" s="7" t="s">
        <v>764</v>
      </c>
      <c r="D1357" s="26" t="n">
        <v>74</v>
      </c>
      <c r="E1357" s="26" t="n">
        <v>0</v>
      </c>
      <c r="F1357" s="26" t="n">
        <v>3</v>
      </c>
      <c r="G1357" s="26" t="n">
        <v>0</v>
      </c>
      <c r="H1357" s="26" t="n">
        <v>0</v>
      </c>
      <c r="I1357" s="26" t="n">
        <v>0</v>
      </c>
      <c r="J1357" s="26" t="n">
        <v>0</v>
      </c>
      <c r="K1357" s="26" t="n">
        <v>0</v>
      </c>
      <c r="L1357" s="26" t="n">
        <v>0</v>
      </c>
      <c r="M1357" s="26" t="n">
        <v>0</v>
      </c>
    </row>
    <row r="1358" customFormat="false" ht="15" hidden="false" customHeight="false" outlineLevel="0" collapsed="false">
      <c r="A1358" s="7" t="s">
        <v>87</v>
      </c>
      <c r="B1358" s="7" t="n">
        <v>4413493</v>
      </c>
      <c r="C1358" s="7" t="s">
        <v>764</v>
      </c>
      <c r="D1358" s="26" t="n">
        <v>2267.3</v>
      </c>
      <c r="E1358" s="26" t="n">
        <v>0</v>
      </c>
      <c r="F1358" s="26" t="n">
        <v>92.7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  <c r="L1358" s="26" t="n">
        <v>0</v>
      </c>
      <c r="M1358" s="26" t="n">
        <v>0</v>
      </c>
    </row>
    <row r="1359" customFormat="false" ht="15" hidden="false" customHeight="false" outlineLevel="0" collapsed="false">
      <c r="A1359" s="7" t="s">
        <v>85</v>
      </c>
      <c r="B1359" s="7" t="n">
        <v>4413491</v>
      </c>
      <c r="C1359" s="7" t="s">
        <v>765</v>
      </c>
      <c r="D1359" s="26" t="n">
        <v>97</v>
      </c>
      <c r="E1359" s="26" t="n">
        <v>0</v>
      </c>
      <c r="F1359" s="26" t="n">
        <v>2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  <c r="L1359" s="26" t="n">
        <v>0</v>
      </c>
      <c r="M1359" s="26" t="n">
        <v>0</v>
      </c>
    </row>
    <row r="1360" customFormat="false" ht="15" hidden="false" customHeight="false" outlineLevel="0" collapsed="false">
      <c r="A1360" s="7" t="s">
        <v>87</v>
      </c>
      <c r="B1360" s="7" t="n">
        <v>4413491</v>
      </c>
      <c r="C1360" s="7" t="s">
        <v>765</v>
      </c>
      <c r="D1360" s="26" t="n">
        <v>2957.2</v>
      </c>
      <c r="E1360" s="26" t="n">
        <v>0</v>
      </c>
      <c r="F1360" s="26" t="n">
        <v>61.8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  <c r="L1360" s="26" t="n">
        <v>0</v>
      </c>
      <c r="M1360" s="26" t="n">
        <v>0</v>
      </c>
    </row>
    <row r="1361" customFormat="false" ht="15" hidden="false" customHeight="false" outlineLevel="0" collapsed="false">
      <c r="A1361" s="7" t="s">
        <v>85</v>
      </c>
      <c r="B1361" s="7" t="n">
        <v>4413494</v>
      </c>
      <c r="C1361" s="7" t="s">
        <v>766</v>
      </c>
      <c r="D1361" s="26" t="n">
        <v>32</v>
      </c>
      <c r="E1361" s="26" t="n">
        <v>0</v>
      </c>
      <c r="F1361" s="26" t="n">
        <v>1</v>
      </c>
      <c r="G1361" s="26" t="n">
        <v>0</v>
      </c>
      <c r="H1361" s="26" t="n">
        <v>0</v>
      </c>
      <c r="I1361" s="26" t="n">
        <v>0</v>
      </c>
      <c r="J1361" s="26" t="n">
        <v>0</v>
      </c>
      <c r="K1361" s="26" t="n">
        <v>0</v>
      </c>
      <c r="L1361" s="26" t="n">
        <v>0</v>
      </c>
      <c r="M1361" s="26" t="n">
        <v>0</v>
      </c>
    </row>
    <row r="1362" customFormat="false" ht="15" hidden="false" customHeight="false" outlineLevel="0" collapsed="false">
      <c r="A1362" s="7" t="s">
        <v>87</v>
      </c>
      <c r="B1362" s="7" t="n">
        <v>4413494</v>
      </c>
      <c r="C1362" s="7" t="s">
        <v>766</v>
      </c>
      <c r="D1362" s="26" t="n">
        <v>978.2</v>
      </c>
      <c r="E1362" s="26" t="n">
        <v>0</v>
      </c>
      <c r="F1362" s="26" t="n">
        <v>30.9</v>
      </c>
      <c r="G1362" s="26" t="n">
        <v>0</v>
      </c>
      <c r="H1362" s="26" t="n">
        <v>0</v>
      </c>
      <c r="I1362" s="26" t="n">
        <v>0</v>
      </c>
      <c r="J1362" s="26" t="n">
        <v>0</v>
      </c>
      <c r="K1362" s="26" t="n">
        <v>0</v>
      </c>
      <c r="L1362" s="26" t="n">
        <v>0</v>
      </c>
      <c r="M1362" s="26" t="n">
        <v>0</v>
      </c>
    </row>
    <row r="1363" customFormat="false" ht="15" hidden="false" customHeight="false" outlineLevel="0" collapsed="false">
      <c r="A1363" s="7" t="s">
        <v>85</v>
      </c>
      <c r="B1363" s="7" t="n">
        <v>4413053</v>
      </c>
      <c r="C1363" s="7" t="s">
        <v>767</v>
      </c>
      <c r="D1363" s="26" t="n">
        <v>294</v>
      </c>
      <c r="E1363" s="26" t="n">
        <v>1</v>
      </c>
      <c r="F1363" s="26" t="n">
        <v>1</v>
      </c>
      <c r="G1363" s="26" t="n">
        <v>0</v>
      </c>
      <c r="H1363" s="26" t="n">
        <v>1993</v>
      </c>
      <c r="I1363" s="26" t="n">
        <v>206</v>
      </c>
      <c r="J1363" s="26" t="n">
        <v>0</v>
      </c>
      <c r="K1363" s="26" t="n">
        <v>0</v>
      </c>
      <c r="L1363" s="26" t="n">
        <v>0</v>
      </c>
      <c r="M1363" s="26" t="n">
        <v>-2</v>
      </c>
    </row>
    <row r="1364" customFormat="false" ht="15" hidden="false" customHeight="false" outlineLevel="0" collapsed="false">
      <c r="A1364" s="7" t="s">
        <v>87</v>
      </c>
      <c r="B1364" s="7" t="n">
        <v>4413053</v>
      </c>
      <c r="C1364" s="7" t="s">
        <v>767</v>
      </c>
      <c r="D1364" s="26" t="n">
        <v>8832.8</v>
      </c>
      <c r="E1364" s="26" t="n">
        <v>30.9</v>
      </c>
      <c r="F1364" s="26" t="n">
        <v>30.9</v>
      </c>
      <c r="G1364" s="26" t="n">
        <v>0</v>
      </c>
      <c r="H1364" s="26" t="n">
        <v>52313.2</v>
      </c>
      <c r="I1364" s="26" t="n">
        <v>5732.4</v>
      </c>
      <c r="J1364" s="26" t="n">
        <v>0</v>
      </c>
      <c r="K1364" s="26" t="n">
        <v>0</v>
      </c>
      <c r="L1364" s="26" t="n">
        <v>0</v>
      </c>
      <c r="M1364" s="26" t="n">
        <v>-82.4</v>
      </c>
    </row>
    <row r="1365" customFormat="false" ht="15" hidden="false" customHeight="false" outlineLevel="0" collapsed="false">
      <c r="A1365" s="7" t="s">
        <v>85</v>
      </c>
      <c r="B1365" s="7" t="n">
        <v>4413054</v>
      </c>
      <c r="C1365" s="7" t="s">
        <v>768</v>
      </c>
      <c r="D1365" s="26" t="n">
        <v>294</v>
      </c>
      <c r="E1365" s="26" t="n">
        <v>1</v>
      </c>
      <c r="F1365" s="26" t="n">
        <v>1</v>
      </c>
      <c r="G1365" s="26" t="n">
        <v>0</v>
      </c>
      <c r="H1365" s="26" t="n">
        <v>2393</v>
      </c>
      <c r="I1365" s="26" t="n">
        <v>251</v>
      </c>
      <c r="J1365" s="26" t="n">
        <v>0</v>
      </c>
      <c r="K1365" s="26" t="n">
        <v>0</v>
      </c>
      <c r="L1365" s="26" t="n">
        <v>0</v>
      </c>
      <c r="M1365" s="26" t="n">
        <v>-2</v>
      </c>
    </row>
    <row r="1366" customFormat="false" ht="15" hidden="false" customHeight="false" outlineLevel="0" collapsed="false">
      <c r="A1366" s="7" t="s">
        <v>87</v>
      </c>
      <c r="B1366" s="7" t="n">
        <v>4413054</v>
      </c>
      <c r="C1366" s="7" t="s">
        <v>768</v>
      </c>
      <c r="D1366" s="26" t="n">
        <v>8813.5</v>
      </c>
      <c r="E1366" s="26" t="n">
        <v>30.9</v>
      </c>
      <c r="F1366" s="26" t="n">
        <v>30.9</v>
      </c>
      <c r="G1366" s="26" t="n">
        <v>0</v>
      </c>
      <c r="H1366" s="26" t="n">
        <v>62436.3</v>
      </c>
      <c r="I1366" s="26" t="n">
        <v>6977.6</v>
      </c>
      <c r="J1366" s="26" t="n">
        <v>0</v>
      </c>
      <c r="K1366" s="26" t="n">
        <v>0</v>
      </c>
      <c r="L1366" s="26" t="n">
        <v>0</v>
      </c>
      <c r="M1366" s="26" t="n">
        <v>-82.4</v>
      </c>
    </row>
    <row r="1367" customFormat="false" ht="15" hidden="false" customHeight="false" outlineLevel="0" collapsed="false">
      <c r="A1367" s="7" t="s">
        <v>85</v>
      </c>
      <c r="B1367" s="7" t="n">
        <v>4413052</v>
      </c>
      <c r="C1367" s="7" t="s">
        <v>769</v>
      </c>
      <c r="D1367" s="26" t="n">
        <v>124</v>
      </c>
      <c r="E1367" s="26" t="n">
        <v>1</v>
      </c>
      <c r="F1367" s="26" t="n">
        <v>1</v>
      </c>
      <c r="G1367" s="26" t="n">
        <v>0</v>
      </c>
      <c r="H1367" s="26" t="n">
        <v>1383</v>
      </c>
      <c r="I1367" s="26" t="n">
        <v>117</v>
      </c>
      <c r="J1367" s="26" t="n">
        <v>0</v>
      </c>
      <c r="K1367" s="26" t="n">
        <v>0</v>
      </c>
      <c r="L1367" s="26" t="n">
        <v>0</v>
      </c>
      <c r="M1367" s="26" t="n">
        <v>-1</v>
      </c>
    </row>
    <row r="1368" customFormat="false" ht="15" hidden="false" customHeight="false" outlineLevel="0" collapsed="false">
      <c r="A1368" s="7" t="s">
        <v>87</v>
      </c>
      <c r="B1368" s="7" t="n">
        <v>4413052</v>
      </c>
      <c r="C1368" s="7" t="s">
        <v>769</v>
      </c>
      <c r="D1368" s="26" t="n">
        <v>3742.6</v>
      </c>
      <c r="E1368" s="26" t="n">
        <v>30.9</v>
      </c>
      <c r="F1368" s="26" t="n">
        <v>30.9</v>
      </c>
      <c r="G1368" s="26" t="n">
        <v>0</v>
      </c>
      <c r="H1368" s="26" t="n">
        <v>36153.3</v>
      </c>
      <c r="I1368" s="26" t="n">
        <v>3251.9</v>
      </c>
      <c r="J1368" s="26" t="n">
        <v>0</v>
      </c>
      <c r="K1368" s="26" t="n">
        <v>0</v>
      </c>
      <c r="L1368" s="26" t="n">
        <v>0</v>
      </c>
      <c r="M1368" s="26" t="n">
        <v>-41.2</v>
      </c>
    </row>
    <row r="1369" customFormat="false" ht="15" hidden="false" customHeight="false" outlineLevel="0" collapsed="false">
      <c r="A1369" s="7" t="s">
        <v>85</v>
      </c>
      <c r="B1369" s="7" t="n">
        <v>4413055</v>
      </c>
      <c r="C1369" s="7" t="s">
        <v>770</v>
      </c>
      <c r="D1369" s="26" t="n">
        <v>161</v>
      </c>
      <c r="E1369" s="26" t="n">
        <v>1</v>
      </c>
      <c r="F1369" s="26" t="n">
        <v>1</v>
      </c>
      <c r="G1369" s="26" t="n">
        <v>0</v>
      </c>
      <c r="H1369" s="26" t="n">
        <v>1275</v>
      </c>
      <c r="I1369" s="26" t="n">
        <v>157</v>
      </c>
      <c r="J1369" s="26" t="n">
        <v>0</v>
      </c>
      <c r="K1369" s="26" t="n">
        <v>0</v>
      </c>
      <c r="L1369" s="26" t="n">
        <v>0</v>
      </c>
      <c r="M1369" s="26" t="n">
        <v>-3</v>
      </c>
    </row>
    <row r="1370" customFormat="false" ht="15" hidden="false" customHeight="false" outlineLevel="0" collapsed="false">
      <c r="A1370" s="7" t="s">
        <v>87</v>
      </c>
      <c r="B1370" s="7" t="n">
        <v>4413055</v>
      </c>
      <c r="C1370" s="7" t="s">
        <v>770</v>
      </c>
      <c r="D1370" s="26" t="n">
        <v>4828.9</v>
      </c>
      <c r="E1370" s="26" t="n">
        <v>30.9</v>
      </c>
      <c r="F1370" s="26" t="n">
        <v>30.9</v>
      </c>
      <c r="G1370" s="26" t="n">
        <v>0</v>
      </c>
      <c r="H1370" s="26" t="n">
        <v>33303.3</v>
      </c>
      <c r="I1370" s="26" t="n">
        <v>4364.2</v>
      </c>
      <c r="J1370" s="26" t="n">
        <v>0</v>
      </c>
      <c r="K1370" s="26" t="n">
        <v>0</v>
      </c>
      <c r="L1370" s="26" t="n">
        <v>0</v>
      </c>
      <c r="M1370" s="26" t="n">
        <v>-123.6</v>
      </c>
    </row>
    <row r="1371" customFormat="false" ht="15" hidden="false" customHeight="false" outlineLevel="0" collapsed="false">
      <c r="A1371" s="7" t="s">
        <v>85</v>
      </c>
      <c r="B1371" s="7" t="n">
        <v>4413530</v>
      </c>
      <c r="C1371" s="7" t="s">
        <v>771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0</v>
      </c>
      <c r="J1371" s="26" t="n">
        <v>0</v>
      </c>
      <c r="K1371" s="26" t="n">
        <v>0</v>
      </c>
      <c r="L1371" s="26" t="n">
        <v>0</v>
      </c>
      <c r="M1371" s="26" t="n">
        <v>0</v>
      </c>
    </row>
    <row r="1372" customFormat="false" ht="15" hidden="false" customHeight="false" outlineLevel="0" collapsed="false">
      <c r="A1372" s="7" t="s">
        <v>87</v>
      </c>
      <c r="B1372" s="7" t="n">
        <v>4413530</v>
      </c>
      <c r="C1372" s="7" t="s">
        <v>771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0</v>
      </c>
      <c r="J1372" s="26" t="n">
        <v>0</v>
      </c>
      <c r="K1372" s="26" t="n">
        <v>0</v>
      </c>
      <c r="L1372" s="26" t="n">
        <v>0</v>
      </c>
      <c r="M1372" s="26" t="n">
        <v>0</v>
      </c>
    </row>
    <row r="1373" customFormat="false" ht="15" hidden="false" customHeight="false" outlineLevel="0" collapsed="false">
      <c r="A1373" s="7" t="s">
        <v>85</v>
      </c>
      <c r="B1373" s="7" t="n">
        <v>4413326</v>
      </c>
      <c r="C1373" s="7" t="s">
        <v>772</v>
      </c>
      <c r="D1373" s="26" t="n">
        <v>326</v>
      </c>
      <c r="E1373" s="26" t="n">
        <v>5</v>
      </c>
      <c r="F1373" s="26" t="n">
        <v>4</v>
      </c>
      <c r="G1373" s="26" t="n">
        <v>0</v>
      </c>
      <c r="H1373" s="26" t="n">
        <v>0</v>
      </c>
      <c r="I1373" s="26" t="n">
        <v>0</v>
      </c>
      <c r="J1373" s="26" t="n">
        <v>0</v>
      </c>
      <c r="K1373" s="26" t="n">
        <v>0</v>
      </c>
      <c r="L1373" s="26" t="n">
        <v>0</v>
      </c>
      <c r="M1373" s="26" t="n">
        <v>0</v>
      </c>
    </row>
    <row r="1374" customFormat="false" ht="15" hidden="false" customHeight="false" outlineLevel="0" collapsed="false">
      <c r="A1374" s="7" t="s">
        <v>87</v>
      </c>
      <c r="B1374" s="7" t="n">
        <v>4413326</v>
      </c>
      <c r="C1374" s="7" t="s">
        <v>772</v>
      </c>
      <c r="D1374" s="26" t="n">
        <v>10761.9</v>
      </c>
      <c r="E1374" s="26" t="n">
        <v>187.3</v>
      </c>
      <c r="F1374" s="26" t="n">
        <v>149.8</v>
      </c>
      <c r="G1374" s="26" t="n">
        <v>0</v>
      </c>
      <c r="H1374" s="26" t="n">
        <v>0</v>
      </c>
      <c r="I1374" s="26" t="n">
        <v>0</v>
      </c>
      <c r="J1374" s="26" t="n">
        <v>0</v>
      </c>
      <c r="K1374" s="26" t="n">
        <v>0</v>
      </c>
      <c r="L1374" s="26" t="n">
        <v>0</v>
      </c>
      <c r="M1374" s="26" t="n">
        <v>0</v>
      </c>
    </row>
    <row r="1375" customFormat="false" ht="15" hidden="false" customHeight="false" outlineLevel="0" collapsed="false">
      <c r="A1375" s="7" t="s">
        <v>85</v>
      </c>
      <c r="B1375" s="7" t="n">
        <v>4413534</v>
      </c>
      <c r="C1375" s="7" t="s">
        <v>773</v>
      </c>
      <c r="D1375" s="26" t="n">
        <v>8</v>
      </c>
      <c r="E1375" s="26" t="n">
        <v>0</v>
      </c>
      <c r="F1375" s="26" t="n">
        <v>0</v>
      </c>
      <c r="G1375" s="26" t="n">
        <v>0</v>
      </c>
      <c r="H1375" s="26" t="n">
        <v>43</v>
      </c>
      <c r="I1375" s="26" t="n">
        <v>0</v>
      </c>
      <c r="J1375" s="26" t="n">
        <v>0</v>
      </c>
      <c r="K1375" s="26" t="n">
        <v>21</v>
      </c>
      <c r="L1375" s="26" t="n">
        <v>0</v>
      </c>
      <c r="M1375" s="26" t="n">
        <v>0</v>
      </c>
    </row>
    <row r="1376" customFormat="false" ht="15" hidden="false" customHeight="false" outlineLevel="0" collapsed="false">
      <c r="A1376" s="7" t="s">
        <v>87</v>
      </c>
      <c r="B1376" s="7" t="n">
        <v>4413534</v>
      </c>
      <c r="C1376" s="7" t="s">
        <v>773</v>
      </c>
      <c r="D1376" s="26" t="n">
        <v>1301.1</v>
      </c>
      <c r="E1376" s="26" t="n">
        <v>0</v>
      </c>
      <c r="F1376" s="26" t="n">
        <v>0</v>
      </c>
      <c r="G1376" s="26" t="n">
        <v>0</v>
      </c>
      <c r="H1376" s="26" t="n">
        <v>6048</v>
      </c>
      <c r="I1376" s="26" t="n">
        <v>0</v>
      </c>
      <c r="J1376" s="26" t="n">
        <v>0</v>
      </c>
      <c r="K1376" s="26" t="n">
        <v>1932</v>
      </c>
      <c r="L1376" s="26" t="n">
        <v>0</v>
      </c>
      <c r="M1376" s="26" t="n">
        <v>0</v>
      </c>
    </row>
    <row r="1377" customFormat="false" ht="15" hidden="false" customHeight="false" outlineLevel="0" collapsed="false">
      <c r="A1377" s="7" t="s">
        <v>85</v>
      </c>
      <c r="B1377" s="7" t="n">
        <v>4408269</v>
      </c>
      <c r="C1377" s="7" t="s">
        <v>774</v>
      </c>
      <c r="D1377" s="26" t="n">
        <v>0</v>
      </c>
      <c r="E1377" s="26" t="n">
        <v>0</v>
      </c>
      <c r="F1377" s="26" t="n">
        <v>0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97</v>
      </c>
      <c r="L1377" s="26" t="n">
        <v>0</v>
      </c>
      <c r="M1377" s="26" t="n">
        <v>0</v>
      </c>
    </row>
    <row r="1378" customFormat="false" ht="15" hidden="false" customHeight="false" outlineLevel="0" collapsed="false">
      <c r="A1378" s="7" t="s">
        <v>87</v>
      </c>
      <c r="B1378" s="7" t="n">
        <v>4408269</v>
      </c>
      <c r="C1378" s="7" t="s">
        <v>774</v>
      </c>
      <c r="D1378" s="26" t="n">
        <v>0</v>
      </c>
      <c r="E1378" s="26" t="n">
        <v>0</v>
      </c>
      <c r="F1378" s="26" t="n">
        <v>0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1989.8</v>
      </c>
      <c r="L1378" s="26" t="n">
        <v>0</v>
      </c>
      <c r="M1378" s="26" t="n">
        <v>0</v>
      </c>
    </row>
    <row r="1379" customFormat="false" ht="15" hidden="false" customHeight="false" outlineLevel="0" collapsed="false">
      <c r="A1379" s="7" t="s">
        <v>85</v>
      </c>
      <c r="B1379" s="7" t="n">
        <v>4415105</v>
      </c>
      <c r="C1379" s="7" t="s">
        <v>775</v>
      </c>
      <c r="D1379" s="26" t="n">
        <v>0</v>
      </c>
      <c r="E1379" s="26" t="n">
        <v>0</v>
      </c>
      <c r="F1379" s="26" t="n">
        <v>0</v>
      </c>
      <c r="G1379" s="26" t="n">
        <v>0</v>
      </c>
      <c r="H1379" s="26" t="n">
        <v>0</v>
      </c>
      <c r="I1379" s="26" t="n">
        <v>0</v>
      </c>
      <c r="J1379" s="26" t="n">
        <v>0</v>
      </c>
      <c r="K1379" s="26" t="n">
        <v>0</v>
      </c>
      <c r="L1379" s="26" t="n">
        <v>0</v>
      </c>
      <c r="M1379" s="26" t="n">
        <v>0</v>
      </c>
    </row>
    <row r="1380" customFormat="false" ht="15" hidden="false" customHeight="false" outlineLevel="0" collapsed="false">
      <c r="A1380" s="7" t="s">
        <v>87</v>
      </c>
      <c r="B1380" s="7" t="n">
        <v>4415105</v>
      </c>
      <c r="C1380" s="7" t="s">
        <v>775</v>
      </c>
      <c r="D1380" s="26" t="n">
        <v>0</v>
      </c>
      <c r="E1380" s="26" t="n">
        <v>0</v>
      </c>
      <c r="F1380" s="26" t="n">
        <v>0</v>
      </c>
      <c r="G1380" s="26" t="n">
        <v>0</v>
      </c>
      <c r="H1380" s="26" t="n">
        <v>0</v>
      </c>
      <c r="I1380" s="26" t="n">
        <v>0</v>
      </c>
      <c r="J1380" s="26" t="n">
        <v>0</v>
      </c>
      <c r="K1380" s="26" t="n">
        <v>0</v>
      </c>
      <c r="L1380" s="26" t="n">
        <v>0</v>
      </c>
      <c r="M1380" s="26" t="n">
        <v>0</v>
      </c>
    </row>
    <row r="1381" customFormat="false" ht="15" hidden="false" customHeight="false" outlineLevel="0" collapsed="false">
      <c r="A1381" s="7" t="s">
        <v>85</v>
      </c>
      <c r="B1381" s="7" t="n">
        <v>4415084</v>
      </c>
      <c r="C1381" s="7" t="s">
        <v>776</v>
      </c>
      <c r="D1381" s="26" t="n">
        <v>0</v>
      </c>
      <c r="E1381" s="26" t="n">
        <v>0</v>
      </c>
      <c r="F1381" s="26" t="n">
        <v>0</v>
      </c>
      <c r="G1381" s="26" t="n">
        <v>0</v>
      </c>
      <c r="H1381" s="26" t="n">
        <v>0</v>
      </c>
      <c r="I1381" s="26" t="n">
        <v>0</v>
      </c>
      <c r="J1381" s="26" t="n">
        <v>0</v>
      </c>
      <c r="K1381" s="26" t="n">
        <v>0</v>
      </c>
      <c r="L1381" s="26" t="n">
        <v>0</v>
      </c>
      <c r="M1381" s="26" t="n">
        <v>0</v>
      </c>
    </row>
    <row r="1382" customFormat="false" ht="15" hidden="false" customHeight="false" outlineLevel="0" collapsed="false">
      <c r="A1382" s="7" t="s">
        <v>87</v>
      </c>
      <c r="B1382" s="7" t="n">
        <v>4415084</v>
      </c>
      <c r="C1382" s="7" t="s">
        <v>776</v>
      </c>
      <c r="D1382" s="26" t="n">
        <v>0</v>
      </c>
      <c r="E1382" s="26" t="n">
        <v>0</v>
      </c>
      <c r="F1382" s="26" t="n">
        <v>0</v>
      </c>
      <c r="G1382" s="26" t="n">
        <v>0</v>
      </c>
      <c r="H1382" s="26" t="n">
        <v>0</v>
      </c>
      <c r="I1382" s="26" t="n">
        <v>0</v>
      </c>
      <c r="J1382" s="26" t="n">
        <v>0</v>
      </c>
      <c r="K1382" s="26" t="n">
        <v>0</v>
      </c>
      <c r="L1382" s="26" t="n">
        <v>0</v>
      </c>
      <c r="M1382" s="26" t="n">
        <v>0</v>
      </c>
    </row>
    <row r="1383" customFormat="false" ht="15" hidden="false" customHeight="false" outlineLevel="0" collapsed="false">
      <c r="A1383" s="7" t="s">
        <v>85</v>
      </c>
      <c r="B1383" s="7" t="n">
        <v>4415083</v>
      </c>
      <c r="C1383" s="7" t="s">
        <v>777</v>
      </c>
      <c r="D1383" s="26" t="n">
        <v>0</v>
      </c>
      <c r="E1383" s="26" t="n">
        <v>0</v>
      </c>
      <c r="F1383" s="26" t="n">
        <v>0</v>
      </c>
      <c r="G1383" s="26" t="n">
        <v>0</v>
      </c>
      <c r="H1383" s="26" t="n">
        <v>0</v>
      </c>
      <c r="I1383" s="26" t="n">
        <v>0</v>
      </c>
      <c r="J1383" s="26" t="n">
        <v>0</v>
      </c>
      <c r="K1383" s="26" t="n">
        <v>0</v>
      </c>
      <c r="L1383" s="26" t="n">
        <v>0</v>
      </c>
      <c r="M1383" s="26" t="n">
        <v>0</v>
      </c>
    </row>
    <row r="1384" customFormat="false" ht="15" hidden="false" customHeight="false" outlineLevel="0" collapsed="false">
      <c r="A1384" s="7" t="s">
        <v>87</v>
      </c>
      <c r="B1384" s="7" t="n">
        <v>4415083</v>
      </c>
      <c r="C1384" s="7" t="s">
        <v>777</v>
      </c>
      <c r="D1384" s="26" t="n">
        <v>0</v>
      </c>
      <c r="E1384" s="26" t="n">
        <v>0</v>
      </c>
      <c r="F1384" s="26" t="n">
        <v>0</v>
      </c>
      <c r="G1384" s="26" t="n">
        <v>0</v>
      </c>
      <c r="H1384" s="26" t="n">
        <v>0</v>
      </c>
      <c r="I1384" s="26" t="n">
        <v>0</v>
      </c>
      <c r="J1384" s="26" t="n">
        <v>0</v>
      </c>
      <c r="K1384" s="26" t="n">
        <v>0</v>
      </c>
      <c r="L1384" s="26" t="n">
        <v>0</v>
      </c>
      <c r="M1384" s="26" t="n">
        <v>0</v>
      </c>
    </row>
    <row r="1385" customFormat="false" ht="15" hidden="false" customHeight="false" outlineLevel="0" collapsed="false">
      <c r="A1385" s="7" t="s">
        <v>85</v>
      </c>
      <c r="B1385" s="7" t="n">
        <v>4415120</v>
      </c>
      <c r="C1385" s="7" t="s">
        <v>778</v>
      </c>
      <c r="D1385" s="26" t="n">
        <v>0</v>
      </c>
      <c r="E1385" s="26" t="n">
        <v>0</v>
      </c>
      <c r="F1385" s="26" t="n">
        <v>0</v>
      </c>
      <c r="G1385" s="26" t="n">
        <v>0</v>
      </c>
      <c r="H1385" s="26" t="n">
        <v>0</v>
      </c>
      <c r="I1385" s="26" t="n">
        <v>0</v>
      </c>
      <c r="J1385" s="26" t="n">
        <v>0</v>
      </c>
      <c r="K1385" s="26" t="n">
        <v>0</v>
      </c>
      <c r="L1385" s="26" t="n">
        <v>0</v>
      </c>
      <c r="M1385" s="26" t="n">
        <v>0</v>
      </c>
    </row>
    <row r="1386" customFormat="false" ht="15" hidden="false" customHeight="false" outlineLevel="0" collapsed="false">
      <c r="A1386" s="7" t="s">
        <v>87</v>
      </c>
      <c r="B1386" s="7" t="n">
        <v>4415120</v>
      </c>
      <c r="C1386" s="7" t="s">
        <v>778</v>
      </c>
      <c r="D1386" s="26" t="n">
        <v>0</v>
      </c>
      <c r="E1386" s="26" t="n">
        <v>0</v>
      </c>
      <c r="F1386" s="26" t="n">
        <v>0</v>
      </c>
      <c r="G1386" s="26" t="n">
        <v>0</v>
      </c>
      <c r="H1386" s="26" t="n">
        <v>0</v>
      </c>
      <c r="I1386" s="26" t="n">
        <v>0</v>
      </c>
      <c r="J1386" s="26" t="n">
        <v>0</v>
      </c>
      <c r="K1386" s="26" t="n">
        <v>0</v>
      </c>
      <c r="L1386" s="26" t="n">
        <v>0</v>
      </c>
      <c r="M1386" s="26" t="n">
        <v>0</v>
      </c>
    </row>
    <row r="1387" customFormat="false" ht="15" hidden="false" customHeight="false" outlineLevel="0" collapsed="false">
      <c r="A1387" s="7" t="s">
        <v>85</v>
      </c>
      <c r="B1387" s="7" t="n">
        <v>4413217</v>
      </c>
      <c r="C1387" s="7" t="s">
        <v>779</v>
      </c>
      <c r="D1387" s="26" t="n">
        <v>0</v>
      </c>
      <c r="E1387" s="26" t="n">
        <v>0</v>
      </c>
      <c r="F1387" s="26" t="n">
        <v>0</v>
      </c>
      <c r="G1387" s="26" t="n">
        <v>0</v>
      </c>
      <c r="H1387" s="26" t="n">
        <v>0</v>
      </c>
      <c r="I1387" s="26" t="n">
        <v>0</v>
      </c>
      <c r="J1387" s="26" t="n">
        <v>0</v>
      </c>
      <c r="K1387" s="26" t="n">
        <v>0</v>
      </c>
      <c r="L1387" s="26" t="n">
        <v>0</v>
      </c>
      <c r="M1387" s="26" t="n">
        <v>0</v>
      </c>
    </row>
    <row r="1388" customFormat="false" ht="15" hidden="false" customHeight="false" outlineLevel="0" collapsed="false">
      <c r="A1388" s="7" t="s">
        <v>87</v>
      </c>
      <c r="B1388" s="7" t="n">
        <v>4413217</v>
      </c>
      <c r="C1388" s="7" t="s">
        <v>779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0</v>
      </c>
      <c r="L1388" s="26" t="n">
        <v>0</v>
      </c>
      <c r="M1388" s="26" t="n">
        <v>0</v>
      </c>
    </row>
    <row r="1389" customFormat="false" ht="15" hidden="false" customHeight="false" outlineLevel="0" collapsed="false">
      <c r="A1389" s="7" t="s">
        <v>85</v>
      </c>
      <c r="B1389" s="7" t="n">
        <v>4413216</v>
      </c>
      <c r="C1389" s="7" t="s">
        <v>780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0</v>
      </c>
      <c r="L1389" s="26" t="n">
        <v>0</v>
      </c>
      <c r="M1389" s="26" t="n">
        <v>0</v>
      </c>
    </row>
    <row r="1390" customFormat="false" ht="15" hidden="false" customHeight="false" outlineLevel="0" collapsed="false">
      <c r="A1390" s="7" t="s">
        <v>87</v>
      </c>
      <c r="B1390" s="7" t="n">
        <v>4413216</v>
      </c>
      <c r="C1390" s="7" t="s">
        <v>780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0</v>
      </c>
      <c r="L1390" s="26" t="n">
        <v>0</v>
      </c>
      <c r="M1390" s="26" t="n">
        <v>0</v>
      </c>
    </row>
    <row r="1391" customFormat="false" ht="15" hidden="false" customHeight="false" outlineLevel="0" collapsed="false">
      <c r="A1391" s="7" t="s">
        <v>85</v>
      </c>
      <c r="B1391" s="7" t="n">
        <v>4413215</v>
      </c>
      <c r="C1391" s="7" t="s">
        <v>781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0</v>
      </c>
      <c r="L1391" s="26" t="n">
        <v>0</v>
      </c>
      <c r="M1391" s="26" t="n">
        <v>0</v>
      </c>
    </row>
    <row r="1392" customFormat="false" ht="15" hidden="false" customHeight="false" outlineLevel="0" collapsed="false">
      <c r="A1392" s="7" t="s">
        <v>87</v>
      </c>
      <c r="B1392" s="7" t="n">
        <v>4413215</v>
      </c>
      <c r="C1392" s="7" t="s">
        <v>781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0</v>
      </c>
      <c r="L1392" s="26" t="n">
        <v>0</v>
      </c>
      <c r="M1392" s="26" t="n">
        <v>0</v>
      </c>
    </row>
    <row r="1393" customFormat="false" ht="15" hidden="false" customHeight="false" outlineLevel="0" collapsed="false">
      <c r="A1393" s="7" t="s">
        <v>85</v>
      </c>
      <c r="B1393" s="7" t="n">
        <v>4413218</v>
      </c>
      <c r="C1393" s="7" t="s">
        <v>782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0</v>
      </c>
      <c r="J1393" s="26" t="n">
        <v>0</v>
      </c>
      <c r="K1393" s="26" t="n">
        <v>0</v>
      </c>
      <c r="L1393" s="26" t="n">
        <v>0</v>
      </c>
      <c r="M1393" s="26" t="n">
        <v>0</v>
      </c>
    </row>
    <row r="1394" customFormat="false" ht="15" hidden="false" customHeight="false" outlineLevel="0" collapsed="false">
      <c r="A1394" s="7" t="s">
        <v>87</v>
      </c>
      <c r="B1394" s="7" t="n">
        <v>4413218</v>
      </c>
      <c r="C1394" s="7" t="s">
        <v>782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0</v>
      </c>
      <c r="J1394" s="26" t="n">
        <v>0</v>
      </c>
      <c r="K1394" s="26" t="n">
        <v>0</v>
      </c>
      <c r="L1394" s="26" t="n">
        <v>0</v>
      </c>
      <c r="M1394" s="26" t="n">
        <v>0</v>
      </c>
    </row>
    <row r="1395" customFormat="false" ht="15" hidden="false" customHeight="false" outlineLevel="0" collapsed="false">
      <c r="A1395" s="7" t="s">
        <v>85</v>
      </c>
      <c r="B1395" s="7" t="n">
        <v>4420036</v>
      </c>
      <c r="C1395" s="7" t="s">
        <v>783</v>
      </c>
      <c r="D1395" s="26" t="n">
        <v>3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0</v>
      </c>
      <c r="J1395" s="26" t="n">
        <v>0</v>
      </c>
      <c r="K1395" s="26" t="n">
        <v>0</v>
      </c>
      <c r="L1395" s="26" t="n">
        <v>0</v>
      </c>
      <c r="M1395" s="26" t="n">
        <v>0</v>
      </c>
    </row>
    <row r="1396" customFormat="false" ht="15" hidden="false" customHeight="false" outlineLevel="0" collapsed="false">
      <c r="A1396" s="7" t="s">
        <v>87</v>
      </c>
      <c r="B1396" s="7" t="n">
        <v>4420036</v>
      </c>
      <c r="C1396" s="7" t="s">
        <v>783</v>
      </c>
      <c r="D1396" s="26" t="n">
        <v>185.1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0</v>
      </c>
      <c r="J1396" s="26" t="n">
        <v>0</v>
      </c>
      <c r="K1396" s="26" t="n">
        <v>0</v>
      </c>
      <c r="L1396" s="26" t="n">
        <v>0</v>
      </c>
      <c r="M1396" s="26" t="n">
        <v>0</v>
      </c>
    </row>
    <row r="1397" customFormat="false" ht="15" hidden="false" customHeight="false" outlineLevel="0" collapsed="false">
      <c r="A1397" s="7" t="s">
        <v>85</v>
      </c>
      <c r="B1397" s="7" t="n">
        <v>4420035</v>
      </c>
      <c r="C1397" s="7" t="s">
        <v>784</v>
      </c>
      <c r="D1397" s="26" t="n">
        <v>3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0</v>
      </c>
      <c r="J1397" s="26" t="n">
        <v>0</v>
      </c>
      <c r="K1397" s="26" t="n">
        <v>0</v>
      </c>
      <c r="L1397" s="26" t="n">
        <v>0</v>
      </c>
      <c r="M1397" s="26" t="n">
        <v>0</v>
      </c>
    </row>
    <row r="1398" customFormat="false" ht="15" hidden="false" customHeight="false" outlineLevel="0" collapsed="false">
      <c r="A1398" s="7" t="s">
        <v>87</v>
      </c>
      <c r="B1398" s="7" t="n">
        <v>4420035</v>
      </c>
      <c r="C1398" s="7" t="s">
        <v>784</v>
      </c>
      <c r="D1398" s="26" t="n">
        <v>194.6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0</v>
      </c>
      <c r="J1398" s="26" t="n">
        <v>0</v>
      </c>
      <c r="K1398" s="26" t="n">
        <v>0</v>
      </c>
      <c r="L1398" s="26" t="n">
        <v>0</v>
      </c>
      <c r="M1398" s="26" t="n">
        <v>0</v>
      </c>
    </row>
    <row r="1399" customFormat="false" ht="15" hidden="false" customHeight="false" outlineLevel="0" collapsed="false">
      <c r="A1399" s="7" t="s">
        <v>85</v>
      </c>
      <c r="B1399" s="7" t="n">
        <v>4420038</v>
      </c>
      <c r="C1399" s="7" t="s">
        <v>785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0</v>
      </c>
      <c r="J1399" s="26" t="n">
        <v>0</v>
      </c>
      <c r="K1399" s="26" t="n">
        <v>0</v>
      </c>
      <c r="L1399" s="26" t="n">
        <v>0</v>
      </c>
      <c r="M1399" s="26" t="n">
        <v>0</v>
      </c>
    </row>
    <row r="1400" customFormat="false" ht="15" hidden="false" customHeight="false" outlineLevel="0" collapsed="false">
      <c r="A1400" s="7" t="s">
        <v>87</v>
      </c>
      <c r="B1400" s="7" t="n">
        <v>4420038</v>
      </c>
      <c r="C1400" s="7" t="s">
        <v>785</v>
      </c>
      <c r="D1400" s="26" t="n">
        <v>0</v>
      </c>
      <c r="E1400" s="26" t="n">
        <v>0</v>
      </c>
      <c r="F1400" s="26" t="n">
        <v>0</v>
      </c>
      <c r="G1400" s="26" t="n">
        <v>0</v>
      </c>
      <c r="H1400" s="26" t="n">
        <v>0</v>
      </c>
      <c r="I1400" s="26" t="n">
        <v>0</v>
      </c>
      <c r="J1400" s="26" t="n">
        <v>0</v>
      </c>
      <c r="K1400" s="26" t="n">
        <v>0</v>
      </c>
      <c r="L1400" s="26" t="n">
        <v>0</v>
      </c>
      <c r="M1400" s="26" t="n">
        <v>0</v>
      </c>
    </row>
    <row r="1401" customFormat="false" ht="15" hidden="false" customHeight="false" outlineLevel="0" collapsed="false">
      <c r="A1401" s="7" t="s">
        <v>85</v>
      </c>
      <c r="B1401" s="7" t="n">
        <v>4420037</v>
      </c>
      <c r="C1401" s="7" t="s">
        <v>786</v>
      </c>
      <c r="D1401" s="26" t="n">
        <v>4</v>
      </c>
      <c r="E1401" s="26" t="n">
        <v>-2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0</v>
      </c>
      <c r="L1401" s="26" t="n">
        <v>0</v>
      </c>
      <c r="M1401" s="26" t="n">
        <v>0</v>
      </c>
    </row>
    <row r="1402" customFormat="false" ht="15" hidden="false" customHeight="false" outlineLevel="0" collapsed="false">
      <c r="A1402" s="7" t="s">
        <v>87</v>
      </c>
      <c r="B1402" s="7" t="n">
        <v>4420037</v>
      </c>
      <c r="C1402" s="7" t="s">
        <v>786</v>
      </c>
      <c r="D1402" s="26" t="n">
        <v>293.1</v>
      </c>
      <c r="E1402" s="26" t="n">
        <v>-146.6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0</v>
      </c>
      <c r="L1402" s="26" t="n">
        <v>0</v>
      </c>
      <c r="M1402" s="26" t="n">
        <v>0</v>
      </c>
    </row>
    <row r="1403" customFormat="false" ht="15" hidden="false" customHeight="false" outlineLevel="0" collapsed="false">
      <c r="A1403" s="7" t="s">
        <v>85</v>
      </c>
      <c r="B1403" s="7" t="n">
        <v>4420028</v>
      </c>
      <c r="C1403" s="7" t="s">
        <v>787</v>
      </c>
      <c r="D1403" s="26" t="n">
        <v>1</v>
      </c>
      <c r="E1403" s="26" t="n">
        <v>0</v>
      </c>
      <c r="F1403" s="26" t="n">
        <v>0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  <c r="L1403" s="26" t="n">
        <v>0</v>
      </c>
      <c r="M1403" s="26" t="n">
        <v>0</v>
      </c>
    </row>
    <row r="1404" customFormat="false" ht="15" hidden="false" customHeight="false" outlineLevel="0" collapsed="false">
      <c r="A1404" s="7" t="s">
        <v>87</v>
      </c>
      <c r="B1404" s="7" t="n">
        <v>4420028</v>
      </c>
      <c r="C1404" s="7" t="s">
        <v>787</v>
      </c>
      <c r="D1404" s="26" t="n">
        <v>35.1</v>
      </c>
      <c r="E1404" s="26" t="n">
        <v>0</v>
      </c>
      <c r="F1404" s="26" t="n">
        <v>0</v>
      </c>
      <c r="G1404" s="26" t="n">
        <v>0</v>
      </c>
      <c r="H1404" s="26" t="n">
        <v>0</v>
      </c>
      <c r="I1404" s="26" t="n">
        <v>0</v>
      </c>
      <c r="J1404" s="26" t="n">
        <v>0</v>
      </c>
      <c r="K1404" s="26" t="n">
        <v>0</v>
      </c>
      <c r="L1404" s="26" t="n">
        <v>0</v>
      </c>
      <c r="M1404" s="26" t="n">
        <v>0</v>
      </c>
    </row>
    <row r="1405" customFormat="false" ht="15" hidden="false" customHeight="false" outlineLevel="0" collapsed="false">
      <c r="A1405" s="7" t="s">
        <v>85</v>
      </c>
      <c r="B1405" s="7" t="n">
        <v>4420000</v>
      </c>
      <c r="C1405" s="7" t="s">
        <v>788</v>
      </c>
      <c r="D1405" s="26" t="n">
        <v>305</v>
      </c>
      <c r="E1405" s="26" t="n">
        <v>14</v>
      </c>
      <c r="F1405" s="26" t="n">
        <v>0</v>
      </c>
      <c r="G1405" s="26" t="n">
        <v>0</v>
      </c>
      <c r="H1405" s="26" t="n">
        <v>0</v>
      </c>
      <c r="I1405" s="26" t="n">
        <v>200</v>
      </c>
      <c r="J1405" s="26" t="n">
        <v>0</v>
      </c>
      <c r="K1405" s="26" t="n">
        <v>100</v>
      </c>
      <c r="L1405" s="26" t="n">
        <v>0</v>
      </c>
      <c r="M1405" s="26" t="n">
        <v>0</v>
      </c>
    </row>
    <row r="1406" customFormat="false" ht="15" hidden="false" customHeight="false" outlineLevel="0" collapsed="false">
      <c r="A1406" s="7" t="s">
        <v>87</v>
      </c>
      <c r="B1406" s="7" t="n">
        <v>4420000</v>
      </c>
      <c r="C1406" s="7" t="s">
        <v>788</v>
      </c>
      <c r="D1406" s="26" t="n">
        <v>3748.4</v>
      </c>
      <c r="E1406" s="26" t="n">
        <v>172.7</v>
      </c>
      <c r="F1406" s="26" t="n">
        <v>0</v>
      </c>
      <c r="G1406" s="26" t="n">
        <v>0</v>
      </c>
      <c r="H1406" s="26" t="n">
        <v>0</v>
      </c>
      <c r="I1406" s="26" t="n">
        <v>2136</v>
      </c>
      <c r="J1406" s="26" t="n">
        <v>0</v>
      </c>
      <c r="K1406" s="26" t="n">
        <v>752.4</v>
      </c>
      <c r="L1406" s="26" t="n">
        <v>0</v>
      </c>
      <c r="M1406" s="26" t="n">
        <v>0</v>
      </c>
    </row>
    <row r="1407" customFormat="false" ht="15" hidden="false" customHeight="false" outlineLevel="0" collapsed="false">
      <c r="A1407" s="7" t="s">
        <v>85</v>
      </c>
      <c r="B1407" s="7" t="n">
        <v>4420027</v>
      </c>
      <c r="C1407" s="7" t="s">
        <v>789</v>
      </c>
      <c r="D1407" s="26" t="n">
        <v>9</v>
      </c>
      <c r="E1407" s="26" t="n">
        <v>0</v>
      </c>
      <c r="F1407" s="26" t="n">
        <v>0</v>
      </c>
      <c r="G1407" s="26" t="n">
        <v>0</v>
      </c>
      <c r="H1407" s="26" t="n">
        <v>59</v>
      </c>
      <c r="I1407" s="26" t="n">
        <v>0</v>
      </c>
      <c r="J1407" s="26" t="n">
        <v>0</v>
      </c>
      <c r="K1407" s="26" t="n">
        <v>0</v>
      </c>
      <c r="L1407" s="26" t="n">
        <v>0</v>
      </c>
      <c r="M1407" s="26" t="n">
        <v>0</v>
      </c>
    </row>
    <row r="1408" customFormat="false" ht="15" hidden="false" customHeight="false" outlineLevel="0" collapsed="false">
      <c r="A1408" s="7" t="s">
        <v>87</v>
      </c>
      <c r="B1408" s="7" t="n">
        <v>4420027</v>
      </c>
      <c r="C1408" s="7" t="s">
        <v>789</v>
      </c>
      <c r="D1408" s="26" t="n">
        <v>112.5</v>
      </c>
      <c r="E1408" s="26" t="n">
        <v>0</v>
      </c>
      <c r="F1408" s="26" t="n">
        <v>0</v>
      </c>
      <c r="G1408" s="26" t="n">
        <v>0</v>
      </c>
      <c r="H1408" s="26" t="n">
        <v>608.5</v>
      </c>
      <c r="I1408" s="26" t="n">
        <v>0</v>
      </c>
      <c r="J1408" s="26" t="n">
        <v>0</v>
      </c>
      <c r="K1408" s="26" t="n">
        <v>0</v>
      </c>
      <c r="L1408" s="26" t="n">
        <v>0</v>
      </c>
      <c r="M1408" s="26" t="n">
        <v>0</v>
      </c>
    </row>
    <row r="1409" customFormat="false" ht="15" hidden="false" customHeight="false" outlineLevel="0" collapsed="false">
      <c r="A1409" s="7" t="s">
        <v>85</v>
      </c>
      <c r="B1409" s="7" t="n">
        <v>4420001</v>
      </c>
      <c r="C1409" s="7" t="s">
        <v>790</v>
      </c>
      <c r="D1409" s="26" t="n">
        <v>89</v>
      </c>
      <c r="E1409" s="26" t="n">
        <v>0</v>
      </c>
      <c r="F1409" s="26" t="n">
        <v>0</v>
      </c>
      <c r="G1409" s="26" t="n">
        <v>0</v>
      </c>
      <c r="H1409" s="26" t="n">
        <v>28</v>
      </c>
      <c r="I1409" s="26" t="n">
        <v>34</v>
      </c>
      <c r="J1409" s="26" t="n">
        <v>0</v>
      </c>
      <c r="K1409" s="26" t="n">
        <v>0</v>
      </c>
      <c r="L1409" s="26" t="n">
        <v>0</v>
      </c>
      <c r="M1409" s="26" t="n">
        <v>0</v>
      </c>
    </row>
    <row r="1410" customFormat="false" ht="15" hidden="false" customHeight="false" outlineLevel="0" collapsed="false">
      <c r="A1410" s="7" t="s">
        <v>87</v>
      </c>
      <c r="B1410" s="7" t="n">
        <v>4420001</v>
      </c>
      <c r="C1410" s="7" t="s">
        <v>790</v>
      </c>
      <c r="D1410" s="26" t="n">
        <v>971.3</v>
      </c>
      <c r="E1410" s="26" t="n">
        <v>0</v>
      </c>
      <c r="F1410" s="26" t="n">
        <v>0</v>
      </c>
      <c r="G1410" s="26" t="n">
        <v>0</v>
      </c>
      <c r="H1410" s="26" t="n">
        <v>279.9</v>
      </c>
      <c r="I1410" s="26" t="n">
        <v>363.1</v>
      </c>
      <c r="J1410" s="26" t="n">
        <v>0</v>
      </c>
      <c r="K1410" s="26" t="n">
        <v>0</v>
      </c>
      <c r="L1410" s="26" t="n">
        <v>0</v>
      </c>
      <c r="M1410" s="26" t="n">
        <v>0</v>
      </c>
    </row>
    <row r="1411" customFormat="false" ht="15" hidden="false" customHeight="false" outlineLevel="0" collapsed="false">
      <c r="A1411" s="7" t="s">
        <v>85</v>
      </c>
      <c r="B1411" s="7" t="n">
        <v>4420002</v>
      </c>
      <c r="C1411" s="7" t="s">
        <v>791</v>
      </c>
      <c r="D1411" s="26" t="n">
        <v>360</v>
      </c>
      <c r="E1411" s="26" t="n">
        <v>6</v>
      </c>
      <c r="F1411" s="26" t="n">
        <v>0</v>
      </c>
      <c r="G1411" s="26" t="n">
        <v>20</v>
      </c>
      <c r="H1411" s="26" t="n">
        <v>0</v>
      </c>
      <c r="I1411" s="26" t="n">
        <v>151</v>
      </c>
      <c r="J1411" s="26" t="n">
        <v>0</v>
      </c>
      <c r="K1411" s="26" t="n">
        <v>188</v>
      </c>
      <c r="L1411" s="26" t="n">
        <v>0</v>
      </c>
      <c r="M1411" s="26" t="n">
        <v>0</v>
      </c>
    </row>
    <row r="1412" customFormat="false" ht="15" hidden="false" customHeight="false" outlineLevel="0" collapsed="false">
      <c r="A1412" s="7" t="s">
        <v>87</v>
      </c>
      <c r="B1412" s="7" t="n">
        <v>4420002</v>
      </c>
      <c r="C1412" s="7" t="s">
        <v>791</v>
      </c>
      <c r="D1412" s="26" t="n">
        <v>5288.7</v>
      </c>
      <c r="E1412" s="26" t="n">
        <v>80.2</v>
      </c>
      <c r="F1412" s="26" t="n">
        <v>0</v>
      </c>
      <c r="G1412" s="26" t="n">
        <v>267.3</v>
      </c>
      <c r="H1412" s="26" t="n">
        <v>0</v>
      </c>
      <c r="I1412" s="26" t="n">
        <v>2047.6</v>
      </c>
      <c r="J1412" s="26" t="n">
        <v>0</v>
      </c>
      <c r="K1412" s="26" t="n">
        <v>1755.3</v>
      </c>
      <c r="L1412" s="26" t="n">
        <v>0</v>
      </c>
      <c r="M1412" s="26" t="n">
        <v>0</v>
      </c>
    </row>
    <row r="1413" customFormat="false" ht="15" hidden="false" customHeight="false" outlineLevel="0" collapsed="false">
      <c r="A1413" s="7" t="s">
        <v>85</v>
      </c>
      <c r="B1413" s="7" t="n">
        <v>4420003</v>
      </c>
      <c r="C1413" s="7" t="s">
        <v>792</v>
      </c>
      <c r="D1413" s="26" t="n">
        <v>204</v>
      </c>
      <c r="E1413" s="26" t="n">
        <v>4</v>
      </c>
      <c r="F1413" s="26" t="n">
        <v>0</v>
      </c>
      <c r="G1413" s="26" t="n">
        <v>0</v>
      </c>
      <c r="H1413" s="26" t="n">
        <v>0</v>
      </c>
      <c r="I1413" s="26" t="n">
        <v>101</v>
      </c>
      <c r="J1413" s="26" t="n">
        <v>0</v>
      </c>
      <c r="K1413" s="26" t="n">
        <v>44</v>
      </c>
      <c r="L1413" s="26" t="n">
        <v>0</v>
      </c>
      <c r="M1413" s="26" t="n">
        <v>0</v>
      </c>
    </row>
    <row r="1414" customFormat="false" ht="15" hidden="false" customHeight="false" outlineLevel="0" collapsed="false">
      <c r="A1414" s="7" t="s">
        <v>87</v>
      </c>
      <c r="B1414" s="7" t="n">
        <v>4420003</v>
      </c>
      <c r="C1414" s="7" t="s">
        <v>792</v>
      </c>
      <c r="D1414" s="26" t="n">
        <v>2891.6</v>
      </c>
      <c r="E1414" s="26" t="n">
        <v>61.7</v>
      </c>
      <c r="F1414" s="26" t="n">
        <v>0</v>
      </c>
      <c r="G1414" s="26" t="n">
        <v>0</v>
      </c>
      <c r="H1414" s="26" t="n">
        <v>0</v>
      </c>
      <c r="I1414" s="26" t="n">
        <v>1347.4</v>
      </c>
      <c r="J1414" s="26" t="n">
        <v>0</v>
      </c>
      <c r="K1414" s="26" t="n">
        <v>400.2</v>
      </c>
      <c r="L1414" s="26" t="n">
        <v>0</v>
      </c>
      <c r="M1414" s="26" t="n">
        <v>0</v>
      </c>
    </row>
    <row r="1415" customFormat="false" ht="15" hidden="false" customHeight="false" outlineLevel="0" collapsed="false">
      <c r="A1415" s="7" t="s">
        <v>85</v>
      </c>
      <c r="B1415" s="7" t="n">
        <v>4420007</v>
      </c>
      <c r="C1415" s="7" t="s">
        <v>793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0</v>
      </c>
      <c r="L1415" s="26" t="n">
        <v>0</v>
      </c>
      <c r="M1415" s="26" t="n">
        <v>0</v>
      </c>
    </row>
    <row r="1416" customFormat="false" ht="15" hidden="false" customHeight="false" outlineLevel="0" collapsed="false">
      <c r="A1416" s="7" t="s">
        <v>87</v>
      </c>
      <c r="B1416" s="7" t="n">
        <v>4420007</v>
      </c>
      <c r="C1416" s="7" t="s">
        <v>793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0</v>
      </c>
      <c r="L1416" s="26" t="n">
        <v>0</v>
      </c>
      <c r="M1416" s="26" t="n">
        <v>0</v>
      </c>
    </row>
    <row r="1417" customFormat="false" ht="15" hidden="false" customHeight="false" outlineLevel="0" collapsed="false">
      <c r="A1417" s="7" t="s">
        <v>85</v>
      </c>
      <c r="B1417" s="7" t="n">
        <v>4420012</v>
      </c>
      <c r="C1417" s="7" t="s">
        <v>794</v>
      </c>
      <c r="D1417" s="26" t="n">
        <v>-1</v>
      </c>
      <c r="E1417" s="26" t="n">
        <v>0</v>
      </c>
      <c r="F1417" s="26" t="n">
        <v>0</v>
      </c>
      <c r="G1417" s="26" t="n">
        <v>0</v>
      </c>
      <c r="H1417" s="26" t="n">
        <v>-1</v>
      </c>
      <c r="I1417" s="26" t="n">
        <v>0</v>
      </c>
      <c r="J1417" s="26" t="n">
        <v>0</v>
      </c>
      <c r="K1417" s="26" t="n">
        <v>0</v>
      </c>
      <c r="L1417" s="26" t="n">
        <v>0</v>
      </c>
      <c r="M1417" s="26" t="n">
        <v>0</v>
      </c>
    </row>
    <row r="1418" customFormat="false" ht="15" hidden="false" customHeight="false" outlineLevel="0" collapsed="false">
      <c r="A1418" s="7" t="s">
        <v>87</v>
      </c>
      <c r="B1418" s="7" t="n">
        <v>4420012</v>
      </c>
      <c r="C1418" s="7" t="s">
        <v>794</v>
      </c>
      <c r="D1418" s="26" t="n">
        <v>-36.5</v>
      </c>
      <c r="E1418" s="26" t="n">
        <v>0</v>
      </c>
      <c r="F1418" s="26" t="n">
        <v>0</v>
      </c>
      <c r="G1418" s="26" t="n">
        <v>0</v>
      </c>
      <c r="H1418" s="26" t="n">
        <v>-36.5</v>
      </c>
      <c r="I1418" s="26" t="n">
        <v>0</v>
      </c>
      <c r="J1418" s="26" t="n">
        <v>0</v>
      </c>
      <c r="K1418" s="26" t="n">
        <v>0</v>
      </c>
      <c r="L1418" s="26" t="n">
        <v>0</v>
      </c>
      <c r="M1418" s="26" t="n">
        <v>0</v>
      </c>
    </row>
    <row r="1419" customFormat="false" ht="15" hidden="false" customHeight="false" outlineLevel="0" collapsed="false">
      <c r="A1419" s="7" t="s">
        <v>85</v>
      </c>
      <c r="B1419" s="7" t="n">
        <v>4420004</v>
      </c>
      <c r="C1419" s="7" t="s">
        <v>795</v>
      </c>
      <c r="D1419" s="26" t="n">
        <v>1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0</v>
      </c>
      <c r="J1419" s="26" t="n">
        <v>0</v>
      </c>
      <c r="K1419" s="26" t="n">
        <v>0</v>
      </c>
      <c r="L1419" s="26" t="n">
        <v>0</v>
      </c>
      <c r="M1419" s="26" t="n">
        <v>0</v>
      </c>
    </row>
    <row r="1420" customFormat="false" ht="15" hidden="false" customHeight="false" outlineLevel="0" collapsed="false">
      <c r="A1420" s="7" t="s">
        <v>87</v>
      </c>
      <c r="B1420" s="7" t="n">
        <v>4420004</v>
      </c>
      <c r="C1420" s="7" t="s">
        <v>795</v>
      </c>
      <c r="D1420" s="26" t="n">
        <v>36.9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0</v>
      </c>
      <c r="J1420" s="26" t="n">
        <v>0</v>
      </c>
      <c r="K1420" s="26" t="n">
        <v>0</v>
      </c>
      <c r="L1420" s="26" t="n">
        <v>0</v>
      </c>
      <c r="M1420" s="26" t="n">
        <v>0</v>
      </c>
    </row>
    <row r="1421" customFormat="false" ht="15" hidden="false" customHeight="false" outlineLevel="0" collapsed="false">
      <c r="A1421" s="7" t="s">
        <v>85</v>
      </c>
      <c r="B1421" s="7" t="n">
        <v>4420006</v>
      </c>
      <c r="C1421" s="7" t="s">
        <v>796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-1</v>
      </c>
      <c r="I1421" s="26" t="n">
        <v>0</v>
      </c>
      <c r="J1421" s="26" t="n">
        <v>0</v>
      </c>
      <c r="K1421" s="26" t="n">
        <v>0</v>
      </c>
      <c r="L1421" s="26" t="n">
        <v>0</v>
      </c>
      <c r="M1421" s="26" t="n">
        <v>0</v>
      </c>
    </row>
    <row r="1422" customFormat="false" ht="15" hidden="false" customHeight="false" outlineLevel="0" collapsed="false">
      <c r="A1422" s="7" t="s">
        <v>87</v>
      </c>
      <c r="B1422" s="7" t="n">
        <v>4420006</v>
      </c>
      <c r="C1422" s="7" t="s">
        <v>796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-36.5</v>
      </c>
      <c r="I1422" s="26" t="n">
        <v>0</v>
      </c>
      <c r="J1422" s="26" t="n">
        <v>0</v>
      </c>
      <c r="K1422" s="26" t="n">
        <v>0</v>
      </c>
      <c r="L1422" s="26" t="n">
        <v>0</v>
      </c>
      <c r="M1422" s="26" t="n">
        <v>0</v>
      </c>
    </row>
    <row r="1423" customFormat="false" ht="15" hidden="false" customHeight="false" outlineLevel="0" collapsed="false">
      <c r="A1423" s="7" t="s">
        <v>85</v>
      </c>
      <c r="B1423" s="7" t="n">
        <v>4420008</v>
      </c>
      <c r="C1423" s="7" t="s">
        <v>797</v>
      </c>
      <c r="D1423" s="26" t="n">
        <v>-1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0</v>
      </c>
      <c r="J1423" s="26" t="n">
        <v>0</v>
      </c>
      <c r="K1423" s="26" t="n">
        <v>0</v>
      </c>
      <c r="L1423" s="26" t="n">
        <v>0</v>
      </c>
      <c r="M1423" s="26" t="n">
        <v>0</v>
      </c>
    </row>
    <row r="1424" customFormat="false" ht="15" hidden="false" customHeight="false" outlineLevel="0" collapsed="false">
      <c r="A1424" s="7" t="s">
        <v>87</v>
      </c>
      <c r="B1424" s="7" t="n">
        <v>4420008</v>
      </c>
      <c r="C1424" s="7" t="s">
        <v>797</v>
      </c>
      <c r="D1424" s="26" t="n">
        <v>-36.5</v>
      </c>
      <c r="E1424" s="26" t="n">
        <v>0</v>
      </c>
      <c r="F1424" s="26" t="n">
        <v>0</v>
      </c>
      <c r="G1424" s="26" t="n">
        <v>0</v>
      </c>
      <c r="H1424" s="26" t="n">
        <v>0</v>
      </c>
      <c r="I1424" s="26" t="n">
        <v>0</v>
      </c>
      <c r="J1424" s="26" t="n">
        <v>0</v>
      </c>
      <c r="K1424" s="26" t="n">
        <v>0</v>
      </c>
      <c r="L1424" s="26" t="n">
        <v>0</v>
      </c>
      <c r="M1424" s="26" t="n">
        <v>0</v>
      </c>
    </row>
    <row r="1425" customFormat="false" ht="15" hidden="false" customHeight="false" outlineLevel="0" collapsed="false">
      <c r="A1425" s="7" t="s">
        <v>85</v>
      </c>
      <c r="B1425" s="7" t="n">
        <v>4420009</v>
      </c>
      <c r="C1425" s="7" t="s">
        <v>798</v>
      </c>
      <c r="D1425" s="26" t="n">
        <v>-1</v>
      </c>
      <c r="E1425" s="26" t="n">
        <v>0</v>
      </c>
      <c r="F1425" s="26" t="n">
        <v>0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  <c r="L1425" s="26" t="n">
        <v>0</v>
      </c>
      <c r="M1425" s="26" t="n">
        <v>0</v>
      </c>
    </row>
    <row r="1426" customFormat="false" ht="15" hidden="false" customHeight="false" outlineLevel="0" collapsed="false">
      <c r="A1426" s="7" t="s">
        <v>87</v>
      </c>
      <c r="B1426" s="7" t="n">
        <v>4420009</v>
      </c>
      <c r="C1426" s="7" t="s">
        <v>798</v>
      </c>
      <c r="D1426" s="26" t="n">
        <v>-36.5</v>
      </c>
      <c r="E1426" s="26" t="n">
        <v>0</v>
      </c>
      <c r="F1426" s="26" t="n">
        <v>0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  <c r="L1426" s="26" t="n">
        <v>0</v>
      </c>
      <c r="M1426" s="26" t="n">
        <v>0</v>
      </c>
    </row>
    <row r="1427" customFormat="false" ht="15" hidden="false" customHeight="false" outlineLevel="0" collapsed="false">
      <c r="A1427" s="7" t="s">
        <v>85</v>
      </c>
      <c r="B1427" s="7" t="n">
        <v>4420015</v>
      </c>
      <c r="C1427" s="7" t="s">
        <v>799</v>
      </c>
      <c r="D1427" s="26" t="n">
        <v>0</v>
      </c>
      <c r="E1427" s="26" t="n">
        <v>0</v>
      </c>
      <c r="F1427" s="26" t="n">
        <v>0</v>
      </c>
      <c r="G1427" s="26" t="n">
        <v>0</v>
      </c>
      <c r="H1427" s="26" t="n">
        <v>-1</v>
      </c>
      <c r="I1427" s="26" t="n">
        <v>0</v>
      </c>
      <c r="J1427" s="26" t="n">
        <v>0</v>
      </c>
      <c r="K1427" s="26" t="n">
        <v>0</v>
      </c>
      <c r="L1427" s="26" t="n">
        <v>0</v>
      </c>
      <c r="M1427" s="26" t="n">
        <v>0</v>
      </c>
    </row>
    <row r="1428" customFormat="false" ht="15" hidden="false" customHeight="false" outlineLevel="0" collapsed="false">
      <c r="A1428" s="7" t="s">
        <v>87</v>
      </c>
      <c r="B1428" s="7" t="n">
        <v>4420015</v>
      </c>
      <c r="C1428" s="7" t="s">
        <v>799</v>
      </c>
      <c r="D1428" s="26" t="n">
        <v>0</v>
      </c>
      <c r="E1428" s="26" t="n">
        <v>0</v>
      </c>
      <c r="F1428" s="26" t="n">
        <v>0</v>
      </c>
      <c r="G1428" s="26" t="n">
        <v>0</v>
      </c>
      <c r="H1428" s="26" t="n">
        <v>-36.5</v>
      </c>
      <c r="I1428" s="26" t="n">
        <v>0</v>
      </c>
      <c r="J1428" s="26" t="n">
        <v>0</v>
      </c>
      <c r="K1428" s="26" t="n">
        <v>0</v>
      </c>
      <c r="L1428" s="26" t="n">
        <v>0</v>
      </c>
      <c r="M1428" s="26" t="n">
        <v>0</v>
      </c>
    </row>
    <row r="1429" customFormat="false" ht="15" hidden="false" customHeight="false" outlineLevel="0" collapsed="false">
      <c r="A1429" s="7" t="s">
        <v>85</v>
      </c>
      <c r="B1429" s="7" t="n">
        <v>4420013</v>
      </c>
      <c r="C1429" s="7" t="s">
        <v>800</v>
      </c>
      <c r="D1429" s="26" t="n">
        <v>0</v>
      </c>
      <c r="E1429" s="26" t="n">
        <v>0</v>
      </c>
      <c r="F1429" s="26" t="n">
        <v>0</v>
      </c>
      <c r="G1429" s="26" t="n">
        <v>0</v>
      </c>
      <c r="H1429" s="26" t="n">
        <v>0</v>
      </c>
      <c r="I1429" s="26" t="n">
        <v>0</v>
      </c>
      <c r="J1429" s="26" t="n">
        <v>0</v>
      </c>
      <c r="K1429" s="26" t="n">
        <v>0</v>
      </c>
      <c r="L1429" s="26" t="n">
        <v>0</v>
      </c>
      <c r="M1429" s="26" t="n">
        <v>0</v>
      </c>
    </row>
    <row r="1430" customFormat="false" ht="15" hidden="false" customHeight="false" outlineLevel="0" collapsed="false">
      <c r="A1430" s="7" t="s">
        <v>87</v>
      </c>
      <c r="B1430" s="7" t="n">
        <v>4420013</v>
      </c>
      <c r="C1430" s="7" t="s">
        <v>800</v>
      </c>
      <c r="D1430" s="26" t="n">
        <v>0</v>
      </c>
      <c r="E1430" s="26" t="n">
        <v>0</v>
      </c>
      <c r="F1430" s="26" t="n">
        <v>0</v>
      </c>
      <c r="G1430" s="26" t="n">
        <v>0</v>
      </c>
      <c r="H1430" s="26" t="n">
        <v>0</v>
      </c>
      <c r="I1430" s="26" t="n">
        <v>0</v>
      </c>
      <c r="J1430" s="26" t="n">
        <v>0</v>
      </c>
      <c r="K1430" s="26" t="n">
        <v>0</v>
      </c>
      <c r="L1430" s="26" t="n">
        <v>0</v>
      </c>
      <c r="M1430" s="26" t="n">
        <v>0</v>
      </c>
    </row>
    <row r="1431" customFormat="false" ht="15" hidden="false" customHeight="false" outlineLevel="0" collapsed="false">
      <c r="A1431" s="7" t="s">
        <v>85</v>
      </c>
      <c r="B1431" s="7" t="n">
        <v>4420010</v>
      </c>
      <c r="C1431" s="7" t="s">
        <v>801</v>
      </c>
      <c r="D1431" s="26" t="n">
        <v>0</v>
      </c>
      <c r="E1431" s="26" t="n">
        <v>0</v>
      </c>
      <c r="F1431" s="26" t="n">
        <v>0</v>
      </c>
      <c r="G1431" s="26" t="n">
        <v>0</v>
      </c>
      <c r="H1431" s="26" t="n">
        <v>-1</v>
      </c>
      <c r="I1431" s="26" t="n">
        <v>0</v>
      </c>
      <c r="J1431" s="26" t="n">
        <v>0</v>
      </c>
      <c r="K1431" s="26" t="n">
        <v>0</v>
      </c>
      <c r="L1431" s="26" t="n">
        <v>0</v>
      </c>
      <c r="M1431" s="26" t="n">
        <v>0</v>
      </c>
    </row>
    <row r="1432" customFormat="false" ht="15" hidden="false" customHeight="false" outlineLevel="0" collapsed="false">
      <c r="A1432" s="7" t="s">
        <v>87</v>
      </c>
      <c r="B1432" s="7" t="n">
        <v>4420010</v>
      </c>
      <c r="C1432" s="7" t="s">
        <v>801</v>
      </c>
      <c r="D1432" s="26" t="n">
        <v>0</v>
      </c>
      <c r="E1432" s="26" t="n">
        <v>0</v>
      </c>
      <c r="F1432" s="26" t="n">
        <v>0</v>
      </c>
      <c r="G1432" s="26" t="n">
        <v>0</v>
      </c>
      <c r="H1432" s="26" t="n">
        <v>-32.7</v>
      </c>
      <c r="I1432" s="26" t="n">
        <v>0</v>
      </c>
      <c r="J1432" s="26" t="n">
        <v>0</v>
      </c>
      <c r="K1432" s="26" t="n">
        <v>0</v>
      </c>
      <c r="L1432" s="26" t="n">
        <v>0</v>
      </c>
      <c r="M1432" s="26" t="n">
        <v>0</v>
      </c>
    </row>
    <row r="1433" customFormat="false" ht="15" hidden="false" customHeight="false" outlineLevel="0" collapsed="false">
      <c r="A1433" s="7" t="s">
        <v>85</v>
      </c>
      <c r="B1433" s="7" t="n">
        <v>4420005</v>
      </c>
      <c r="C1433" s="7" t="s">
        <v>802</v>
      </c>
      <c r="D1433" s="26" t="n">
        <v>0</v>
      </c>
      <c r="E1433" s="26" t="n">
        <v>0</v>
      </c>
      <c r="F1433" s="26" t="n">
        <v>0</v>
      </c>
      <c r="G1433" s="26" t="n">
        <v>0</v>
      </c>
      <c r="H1433" s="26" t="n">
        <v>-2</v>
      </c>
      <c r="I1433" s="26" t="n">
        <v>0</v>
      </c>
      <c r="J1433" s="26" t="n">
        <v>0</v>
      </c>
      <c r="K1433" s="26" t="n">
        <v>0</v>
      </c>
      <c r="L1433" s="26" t="n">
        <v>0</v>
      </c>
      <c r="M1433" s="26" t="n">
        <v>0</v>
      </c>
    </row>
    <row r="1434" customFormat="false" ht="15" hidden="false" customHeight="false" outlineLevel="0" collapsed="false">
      <c r="A1434" s="7" t="s">
        <v>87</v>
      </c>
      <c r="B1434" s="7" t="n">
        <v>4420005</v>
      </c>
      <c r="C1434" s="7" t="s">
        <v>802</v>
      </c>
      <c r="D1434" s="26" t="n">
        <v>3.3</v>
      </c>
      <c r="E1434" s="26" t="n">
        <v>0</v>
      </c>
      <c r="F1434" s="26" t="n">
        <v>0</v>
      </c>
      <c r="G1434" s="26" t="n">
        <v>0</v>
      </c>
      <c r="H1434" s="26" t="n">
        <v>-73</v>
      </c>
      <c r="I1434" s="26" t="n">
        <v>0</v>
      </c>
      <c r="J1434" s="26" t="n">
        <v>0</v>
      </c>
      <c r="K1434" s="26" t="n">
        <v>0</v>
      </c>
      <c r="L1434" s="26" t="n">
        <v>0</v>
      </c>
      <c r="M1434" s="26" t="n">
        <v>0</v>
      </c>
    </row>
    <row r="1435" customFormat="false" ht="15" hidden="false" customHeight="false" outlineLevel="0" collapsed="false">
      <c r="A1435" s="7" t="s">
        <v>85</v>
      </c>
      <c r="B1435" s="7" t="n">
        <v>4420014</v>
      </c>
      <c r="C1435" s="7" t="s">
        <v>803</v>
      </c>
      <c r="D1435" s="26" t="n">
        <v>0</v>
      </c>
      <c r="E1435" s="26" t="n">
        <v>0</v>
      </c>
      <c r="F1435" s="26" t="n">
        <v>0</v>
      </c>
      <c r="G1435" s="26" t="n">
        <v>0</v>
      </c>
      <c r="H1435" s="26" t="n">
        <v>0</v>
      </c>
      <c r="I1435" s="26" t="n">
        <v>0</v>
      </c>
      <c r="J1435" s="26" t="n">
        <v>0</v>
      </c>
      <c r="K1435" s="26" t="n">
        <v>0</v>
      </c>
      <c r="L1435" s="26" t="n">
        <v>0</v>
      </c>
      <c r="M1435" s="26" t="n">
        <v>0</v>
      </c>
    </row>
    <row r="1436" customFormat="false" ht="15" hidden="false" customHeight="false" outlineLevel="0" collapsed="false">
      <c r="A1436" s="7" t="s">
        <v>87</v>
      </c>
      <c r="B1436" s="7" t="n">
        <v>4420014</v>
      </c>
      <c r="C1436" s="7" t="s">
        <v>803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0</v>
      </c>
      <c r="L1436" s="26" t="n">
        <v>0</v>
      </c>
      <c r="M1436" s="26" t="n">
        <v>0</v>
      </c>
    </row>
    <row r="1437" customFormat="false" ht="15" hidden="false" customHeight="false" outlineLevel="0" collapsed="false">
      <c r="A1437" s="7" t="s">
        <v>85</v>
      </c>
      <c r="B1437" s="7" t="n">
        <v>4420011</v>
      </c>
      <c r="C1437" s="7" t="s">
        <v>804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0</v>
      </c>
      <c r="L1437" s="26" t="n">
        <v>0</v>
      </c>
      <c r="M1437" s="26" t="n">
        <v>0</v>
      </c>
    </row>
    <row r="1438" customFormat="false" ht="15" hidden="false" customHeight="false" outlineLevel="0" collapsed="false">
      <c r="A1438" s="7" t="s">
        <v>87</v>
      </c>
      <c r="B1438" s="7" t="n">
        <v>4420011</v>
      </c>
      <c r="C1438" s="7" t="s">
        <v>804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0</v>
      </c>
      <c r="L1438" s="26" t="n">
        <v>0</v>
      </c>
      <c r="M1438" s="26" t="n">
        <v>0</v>
      </c>
    </row>
    <row r="1439" customFormat="false" ht="15" hidden="false" customHeight="false" outlineLevel="0" collapsed="false">
      <c r="A1439" s="7" t="s">
        <v>85</v>
      </c>
      <c r="B1439" s="7" t="n">
        <v>4420029</v>
      </c>
      <c r="C1439" s="7" t="s">
        <v>805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0</v>
      </c>
      <c r="L1439" s="26" t="n">
        <v>0</v>
      </c>
      <c r="M1439" s="26" t="n">
        <v>0</v>
      </c>
    </row>
    <row r="1440" customFormat="false" ht="15" hidden="false" customHeight="false" outlineLevel="0" collapsed="false">
      <c r="A1440" s="7" t="s">
        <v>87</v>
      </c>
      <c r="B1440" s="7" t="n">
        <v>4420029</v>
      </c>
      <c r="C1440" s="7" t="s">
        <v>805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0</v>
      </c>
      <c r="L1440" s="26" t="n">
        <v>0</v>
      </c>
      <c r="M1440" s="26" t="n">
        <v>0</v>
      </c>
    </row>
    <row r="1441" customFormat="false" ht="15" hidden="false" customHeight="false" outlineLevel="0" collapsed="false">
      <c r="A1441" s="7" t="s">
        <v>85</v>
      </c>
      <c r="B1441" s="7" t="n">
        <v>4420030</v>
      </c>
      <c r="C1441" s="7" t="s">
        <v>806</v>
      </c>
      <c r="D1441" s="26" t="n">
        <v>1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0</v>
      </c>
      <c r="J1441" s="26" t="n">
        <v>0</v>
      </c>
      <c r="K1441" s="26" t="n">
        <v>0</v>
      </c>
      <c r="L1441" s="26" t="n">
        <v>0</v>
      </c>
      <c r="M1441" s="26" t="n">
        <v>0</v>
      </c>
    </row>
    <row r="1442" customFormat="false" ht="15" hidden="false" customHeight="false" outlineLevel="0" collapsed="false">
      <c r="A1442" s="7" t="s">
        <v>87</v>
      </c>
      <c r="B1442" s="7" t="n">
        <v>4420030</v>
      </c>
      <c r="C1442" s="7" t="s">
        <v>806</v>
      </c>
      <c r="D1442" s="26" t="n">
        <v>35.1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0</v>
      </c>
      <c r="J1442" s="26" t="n">
        <v>0</v>
      </c>
      <c r="K1442" s="26" t="n">
        <v>0</v>
      </c>
      <c r="L1442" s="26" t="n">
        <v>0</v>
      </c>
      <c r="M1442" s="26" t="n">
        <v>0</v>
      </c>
    </row>
    <row r="1443" customFormat="false" ht="15" hidden="false" customHeight="false" outlineLevel="0" collapsed="false">
      <c r="A1443" s="7" t="s">
        <v>85</v>
      </c>
      <c r="B1443" s="7" t="n">
        <v>4420031</v>
      </c>
      <c r="C1443" s="7" t="s">
        <v>807</v>
      </c>
      <c r="D1443" s="26" t="n">
        <v>3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0</v>
      </c>
      <c r="J1443" s="26" t="n">
        <v>0</v>
      </c>
      <c r="K1443" s="26" t="n">
        <v>0</v>
      </c>
      <c r="L1443" s="26" t="n">
        <v>0</v>
      </c>
      <c r="M1443" s="26" t="n">
        <v>0</v>
      </c>
    </row>
    <row r="1444" customFormat="false" ht="15" hidden="false" customHeight="false" outlineLevel="0" collapsed="false">
      <c r="A1444" s="7" t="s">
        <v>87</v>
      </c>
      <c r="B1444" s="7" t="n">
        <v>4420031</v>
      </c>
      <c r="C1444" s="7" t="s">
        <v>807</v>
      </c>
      <c r="D1444" s="26" t="n">
        <v>105.3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0</v>
      </c>
      <c r="J1444" s="26" t="n">
        <v>0</v>
      </c>
      <c r="K1444" s="26" t="n">
        <v>0</v>
      </c>
      <c r="L1444" s="26" t="n">
        <v>0</v>
      </c>
      <c r="M1444" s="26" t="n">
        <v>0</v>
      </c>
    </row>
    <row r="1445" customFormat="false" ht="15" hidden="false" customHeight="false" outlineLevel="0" collapsed="false">
      <c r="A1445" s="7" t="s">
        <v>85</v>
      </c>
      <c r="B1445" s="7" t="n">
        <v>4420032</v>
      </c>
      <c r="C1445" s="7" t="s">
        <v>808</v>
      </c>
      <c r="D1445" s="26" t="n">
        <v>1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0</v>
      </c>
      <c r="J1445" s="26" t="n">
        <v>0</v>
      </c>
      <c r="K1445" s="26" t="n">
        <v>0</v>
      </c>
      <c r="L1445" s="26" t="n">
        <v>0</v>
      </c>
      <c r="M1445" s="26" t="n">
        <v>0</v>
      </c>
    </row>
    <row r="1446" customFormat="false" ht="15" hidden="false" customHeight="false" outlineLevel="0" collapsed="false">
      <c r="A1446" s="7" t="s">
        <v>87</v>
      </c>
      <c r="B1446" s="7" t="n">
        <v>4420032</v>
      </c>
      <c r="C1446" s="7" t="s">
        <v>808</v>
      </c>
      <c r="D1446" s="26" t="n">
        <v>35.1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0</v>
      </c>
      <c r="L1446" s="26" t="n">
        <v>0</v>
      </c>
      <c r="M1446" s="26" t="n">
        <v>0</v>
      </c>
    </row>
    <row r="1447" customFormat="false" ht="15" hidden="false" customHeight="false" outlineLevel="0" collapsed="false">
      <c r="A1447" s="7" t="s">
        <v>85</v>
      </c>
      <c r="B1447" s="7" t="n">
        <v>4420033</v>
      </c>
      <c r="C1447" s="7" t="s">
        <v>809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0</v>
      </c>
      <c r="L1447" s="26" t="n">
        <v>0</v>
      </c>
      <c r="M1447" s="26" t="n">
        <v>0</v>
      </c>
    </row>
    <row r="1448" customFormat="false" ht="15" hidden="false" customHeight="false" outlineLevel="0" collapsed="false">
      <c r="A1448" s="7" t="s">
        <v>87</v>
      </c>
      <c r="B1448" s="7" t="n">
        <v>4420033</v>
      </c>
      <c r="C1448" s="7" t="s">
        <v>809</v>
      </c>
      <c r="D1448" s="26" t="n">
        <v>0</v>
      </c>
      <c r="E1448" s="26" t="n">
        <v>0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0</v>
      </c>
      <c r="L1448" s="26" t="n">
        <v>0</v>
      </c>
      <c r="M1448" s="26" t="n">
        <v>0</v>
      </c>
    </row>
    <row r="1449" customFormat="false" ht="15" hidden="false" customHeight="false" outlineLevel="0" collapsed="false">
      <c r="A1449" s="7" t="s">
        <v>85</v>
      </c>
      <c r="B1449" s="7" t="n">
        <v>4413112</v>
      </c>
      <c r="C1449" s="7" t="s">
        <v>810</v>
      </c>
      <c r="D1449" s="26" t="n">
        <v>23</v>
      </c>
      <c r="E1449" s="26" t="n">
        <v>0</v>
      </c>
      <c r="F1449" s="26" t="n">
        <v>0</v>
      </c>
      <c r="G1449" s="26" t="n">
        <v>0</v>
      </c>
      <c r="H1449" s="26" t="n">
        <v>29</v>
      </c>
      <c r="I1449" s="26" t="n">
        <v>16</v>
      </c>
      <c r="J1449" s="26" t="n">
        <v>0</v>
      </c>
      <c r="K1449" s="26" t="n">
        <v>9</v>
      </c>
      <c r="L1449" s="26" t="n">
        <v>0</v>
      </c>
      <c r="M1449" s="26" t="n">
        <v>0</v>
      </c>
    </row>
    <row r="1450" customFormat="false" ht="15" hidden="false" customHeight="false" outlineLevel="0" collapsed="false">
      <c r="A1450" s="7" t="s">
        <v>87</v>
      </c>
      <c r="B1450" s="7" t="n">
        <v>4413112</v>
      </c>
      <c r="C1450" s="7" t="s">
        <v>810</v>
      </c>
      <c r="D1450" s="26" t="n">
        <v>798</v>
      </c>
      <c r="E1450" s="26" t="n">
        <v>0</v>
      </c>
      <c r="F1450" s="26" t="n">
        <v>0</v>
      </c>
      <c r="G1450" s="26" t="n">
        <v>0</v>
      </c>
      <c r="H1450" s="26" t="n">
        <v>832.4</v>
      </c>
      <c r="I1450" s="26" t="n">
        <v>439.1</v>
      </c>
      <c r="J1450" s="26" t="n">
        <v>0</v>
      </c>
      <c r="K1450" s="26" t="n">
        <v>162.8</v>
      </c>
      <c r="L1450" s="26" t="n">
        <v>0</v>
      </c>
      <c r="M1450" s="26" t="n">
        <v>0</v>
      </c>
    </row>
    <row r="1451" customFormat="false" ht="15" hidden="false" customHeight="false" outlineLevel="0" collapsed="false">
      <c r="A1451" s="7" t="s">
        <v>85</v>
      </c>
      <c r="B1451" s="7" t="n">
        <v>4413113</v>
      </c>
      <c r="C1451" s="7" t="s">
        <v>811</v>
      </c>
      <c r="D1451" s="26" t="n">
        <v>7</v>
      </c>
      <c r="E1451" s="26" t="n">
        <v>0</v>
      </c>
      <c r="F1451" s="26" t="n">
        <v>0</v>
      </c>
      <c r="G1451" s="26" t="n">
        <v>0</v>
      </c>
      <c r="H1451" s="26" t="n">
        <v>23</v>
      </c>
      <c r="I1451" s="26" t="n">
        <v>12</v>
      </c>
      <c r="J1451" s="26" t="n">
        <v>0</v>
      </c>
      <c r="K1451" s="26" t="n">
        <v>0</v>
      </c>
      <c r="L1451" s="26" t="n">
        <v>0</v>
      </c>
      <c r="M1451" s="26" t="n">
        <v>0</v>
      </c>
    </row>
    <row r="1452" customFormat="false" ht="15" hidden="false" customHeight="false" outlineLevel="0" collapsed="false">
      <c r="A1452" s="7" t="s">
        <v>87</v>
      </c>
      <c r="B1452" s="7" t="n">
        <v>4413113</v>
      </c>
      <c r="C1452" s="7" t="s">
        <v>811</v>
      </c>
      <c r="D1452" s="26" t="n">
        <v>242.6</v>
      </c>
      <c r="E1452" s="26" t="n">
        <v>0</v>
      </c>
      <c r="F1452" s="26" t="n">
        <v>0</v>
      </c>
      <c r="G1452" s="26" t="n">
        <v>0</v>
      </c>
      <c r="H1452" s="26" t="n">
        <v>671.6</v>
      </c>
      <c r="I1452" s="26" t="n">
        <v>366</v>
      </c>
      <c r="J1452" s="26" t="n">
        <v>0</v>
      </c>
      <c r="K1452" s="26" t="n">
        <v>0</v>
      </c>
      <c r="L1452" s="26" t="n">
        <v>0</v>
      </c>
      <c r="M1452" s="26" t="n">
        <v>0</v>
      </c>
    </row>
    <row r="1453" customFormat="false" ht="15" hidden="false" customHeight="false" outlineLevel="0" collapsed="false">
      <c r="A1453" s="7" t="s">
        <v>85</v>
      </c>
      <c r="B1453" s="7" t="n">
        <v>4413111</v>
      </c>
      <c r="C1453" s="7" t="s">
        <v>812</v>
      </c>
      <c r="D1453" s="26" t="n">
        <v>6</v>
      </c>
      <c r="E1453" s="26" t="n">
        <v>0</v>
      </c>
      <c r="F1453" s="26" t="n">
        <v>0</v>
      </c>
      <c r="G1453" s="26" t="n">
        <v>0</v>
      </c>
      <c r="H1453" s="26" t="n">
        <v>12</v>
      </c>
      <c r="I1453" s="26" t="n">
        <v>0</v>
      </c>
      <c r="J1453" s="26" t="n">
        <v>0</v>
      </c>
      <c r="K1453" s="26" t="n">
        <v>1</v>
      </c>
      <c r="L1453" s="26" t="n">
        <v>0</v>
      </c>
      <c r="M1453" s="26" t="n">
        <v>0</v>
      </c>
    </row>
    <row r="1454" customFormat="false" ht="15" hidden="false" customHeight="false" outlineLevel="0" collapsed="false">
      <c r="A1454" s="7" t="s">
        <v>87</v>
      </c>
      <c r="B1454" s="7" t="n">
        <v>4413111</v>
      </c>
      <c r="C1454" s="7" t="s">
        <v>812</v>
      </c>
      <c r="D1454" s="26" t="n">
        <v>194.6</v>
      </c>
      <c r="E1454" s="26" t="n">
        <v>0</v>
      </c>
      <c r="F1454" s="26" t="n">
        <v>0</v>
      </c>
      <c r="G1454" s="26" t="n">
        <v>0</v>
      </c>
      <c r="H1454" s="26" t="n">
        <v>354</v>
      </c>
      <c r="I1454" s="26" t="n">
        <v>0</v>
      </c>
      <c r="J1454" s="26" t="n">
        <v>0</v>
      </c>
      <c r="K1454" s="26" t="n">
        <v>21</v>
      </c>
      <c r="L1454" s="26" t="n">
        <v>0</v>
      </c>
      <c r="M1454" s="26" t="n">
        <v>0</v>
      </c>
    </row>
    <row r="1455" customFormat="false" ht="15" hidden="false" customHeight="false" outlineLevel="0" collapsed="false">
      <c r="A1455" s="7" t="s">
        <v>85</v>
      </c>
      <c r="B1455" s="7" t="n">
        <v>4413114</v>
      </c>
      <c r="C1455" s="7" t="s">
        <v>813</v>
      </c>
      <c r="D1455" s="26" t="n">
        <v>12</v>
      </c>
      <c r="E1455" s="26" t="n">
        <v>0</v>
      </c>
      <c r="F1455" s="26" t="n">
        <v>0</v>
      </c>
      <c r="G1455" s="26" t="n">
        <v>0</v>
      </c>
      <c r="H1455" s="26" t="n">
        <v>38</v>
      </c>
      <c r="I1455" s="26" t="n">
        <v>12</v>
      </c>
      <c r="J1455" s="26" t="n">
        <v>0</v>
      </c>
      <c r="K1455" s="26" t="n">
        <v>11</v>
      </c>
      <c r="L1455" s="26" t="n">
        <v>0</v>
      </c>
      <c r="M1455" s="26" t="n">
        <v>0</v>
      </c>
    </row>
    <row r="1456" customFormat="false" ht="15" hidden="false" customHeight="false" outlineLevel="0" collapsed="false">
      <c r="A1456" s="7" t="s">
        <v>87</v>
      </c>
      <c r="B1456" s="7" t="n">
        <v>4413114</v>
      </c>
      <c r="C1456" s="7" t="s">
        <v>813</v>
      </c>
      <c r="D1456" s="26" t="n">
        <v>416.9</v>
      </c>
      <c r="E1456" s="26" t="n">
        <v>0</v>
      </c>
      <c r="F1456" s="26" t="n">
        <v>0</v>
      </c>
      <c r="G1456" s="26" t="n">
        <v>0</v>
      </c>
      <c r="H1456" s="26" t="n">
        <v>1103</v>
      </c>
      <c r="I1456" s="26" t="n">
        <v>366</v>
      </c>
      <c r="J1456" s="26" t="n">
        <v>0</v>
      </c>
      <c r="K1456" s="26" t="n">
        <v>204.8</v>
      </c>
      <c r="L1456" s="26" t="n">
        <v>0</v>
      </c>
      <c r="M1456" s="26" t="n">
        <v>0</v>
      </c>
    </row>
    <row r="1457" customFormat="false" ht="15" hidden="false" customHeight="false" outlineLevel="0" collapsed="false">
      <c r="A1457" s="7" t="s">
        <v>85</v>
      </c>
      <c r="B1457" s="7" t="n">
        <v>4413115</v>
      </c>
      <c r="C1457" s="7" t="s">
        <v>814</v>
      </c>
      <c r="D1457" s="26" t="n">
        <v>5</v>
      </c>
      <c r="E1457" s="26" t="n">
        <v>0</v>
      </c>
      <c r="F1457" s="26" t="n">
        <v>0</v>
      </c>
      <c r="G1457" s="26" t="n">
        <v>0</v>
      </c>
      <c r="H1457" s="26" t="n">
        <v>2</v>
      </c>
      <c r="I1457" s="26" t="n">
        <v>0</v>
      </c>
      <c r="J1457" s="26" t="n">
        <v>0</v>
      </c>
      <c r="K1457" s="26" t="n">
        <v>0</v>
      </c>
      <c r="L1457" s="26" t="n">
        <v>0</v>
      </c>
      <c r="M1457" s="26" t="n">
        <v>0</v>
      </c>
    </row>
    <row r="1458" customFormat="false" ht="15" hidden="false" customHeight="false" outlineLevel="0" collapsed="false">
      <c r="A1458" s="7" t="s">
        <v>87</v>
      </c>
      <c r="B1458" s="7" t="n">
        <v>4413115</v>
      </c>
      <c r="C1458" s="7" t="s">
        <v>814</v>
      </c>
      <c r="D1458" s="26" t="n">
        <v>175.5</v>
      </c>
      <c r="E1458" s="26" t="n">
        <v>0</v>
      </c>
      <c r="F1458" s="26" t="n">
        <v>0</v>
      </c>
      <c r="G1458" s="26" t="n">
        <v>0</v>
      </c>
      <c r="H1458" s="26" t="n">
        <v>73.3</v>
      </c>
      <c r="I1458" s="26" t="n">
        <v>0</v>
      </c>
      <c r="J1458" s="26" t="n">
        <v>0</v>
      </c>
      <c r="K1458" s="26" t="n">
        <v>0</v>
      </c>
      <c r="L1458" s="26" t="n">
        <v>0</v>
      </c>
      <c r="M1458" s="26" t="n">
        <v>0</v>
      </c>
    </row>
    <row r="1459" customFormat="false" ht="15" hidden="false" customHeight="false" outlineLevel="0" collapsed="false">
      <c r="A1459" s="7" t="s">
        <v>85</v>
      </c>
      <c r="B1459" s="7" t="n">
        <v>4413330</v>
      </c>
      <c r="C1459" s="7" t="s">
        <v>815</v>
      </c>
      <c r="D1459" s="26" t="n">
        <v>22</v>
      </c>
      <c r="E1459" s="26" t="n">
        <v>0</v>
      </c>
      <c r="F1459" s="26" t="n">
        <v>0</v>
      </c>
      <c r="G1459" s="26" t="n">
        <v>0</v>
      </c>
      <c r="H1459" s="26" t="n">
        <v>0</v>
      </c>
      <c r="I1459" s="26" t="n">
        <v>0</v>
      </c>
      <c r="J1459" s="26" t="n">
        <v>0</v>
      </c>
      <c r="K1459" s="26" t="n">
        <v>0</v>
      </c>
      <c r="L1459" s="26" t="n">
        <v>0</v>
      </c>
      <c r="M1459" s="26" t="n">
        <v>0</v>
      </c>
    </row>
    <row r="1460" customFormat="false" ht="15" hidden="false" customHeight="false" outlineLevel="0" collapsed="false">
      <c r="A1460" s="7" t="s">
        <v>87</v>
      </c>
      <c r="B1460" s="7" t="n">
        <v>4413330</v>
      </c>
      <c r="C1460" s="7" t="s">
        <v>815</v>
      </c>
      <c r="D1460" s="26" t="n">
        <v>1335.3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0</v>
      </c>
      <c r="L1460" s="26" t="n">
        <v>0</v>
      </c>
      <c r="M1460" s="26" t="n">
        <v>0</v>
      </c>
    </row>
    <row r="1461" customFormat="false" ht="15" hidden="false" customHeight="false" outlineLevel="0" collapsed="false">
      <c r="A1461" s="7" t="s">
        <v>85</v>
      </c>
      <c r="B1461" s="7" t="n">
        <v>4413533</v>
      </c>
      <c r="C1461" s="7" t="s">
        <v>816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3</v>
      </c>
      <c r="L1461" s="26" t="n">
        <v>0</v>
      </c>
      <c r="M1461" s="26" t="n">
        <v>0</v>
      </c>
    </row>
    <row r="1462" customFormat="false" ht="15" hidden="false" customHeight="false" outlineLevel="0" collapsed="false">
      <c r="A1462" s="7" t="s">
        <v>87</v>
      </c>
      <c r="B1462" s="7" t="n">
        <v>4413533</v>
      </c>
      <c r="C1462" s="7" t="s">
        <v>816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61.5</v>
      </c>
      <c r="L1462" s="26" t="n">
        <v>0</v>
      </c>
      <c r="M1462" s="26" t="n">
        <v>0</v>
      </c>
    </row>
    <row r="1463" customFormat="false" ht="15" hidden="false" customHeight="false" outlineLevel="0" collapsed="false">
      <c r="A1463" s="7" t="s">
        <v>85</v>
      </c>
      <c r="B1463" s="7" t="n">
        <v>4413179</v>
      </c>
      <c r="C1463" s="7" t="s">
        <v>817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0</v>
      </c>
      <c r="L1463" s="26" t="n">
        <v>0</v>
      </c>
      <c r="M1463" s="26" t="n">
        <v>0</v>
      </c>
    </row>
    <row r="1464" customFormat="false" ht="15" hidden="false" customHeight="false" outlineLevel="0" collapsed="false">
      <c r="A1464" s="7" t="s">
        <v>87</v>
      </c>
      <c r="B1464" s="7" t="n">
        <v>4413179</v>
      </c>
      <c r="C1464" s="7" t="s">
        <v>817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0</v>
      </c>
      <c r="L1464" s="26" t="n">
        <v>0</v>
      </c>
      <c r="M1464" s="26" t="n">
        <v>0</v>
      </c>
    </row>
    <row r="1465" customFormat="false" ht="15" hidden="false" customHeight="false" outlineLevel="0" collapsed="false">
      <c r="A1465" s="7" t="s">
        <v>85</v>
      </c>
      <c r="B1465" s="7" t="n">
        <v>4413180</v>
      </c>
      <c r="C1465" s="7" t="s">
        <v>818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1</v>
      </c>
      <c r="J1465" s="26" t="n">
        <v>0</v>
      </c>
      <c r="K1465" s="26" t="n">
        <v>0</v>
      </c>
      <c r="L1465" s="26" t="n">
        <v>0</v>
      </c>
      <c r="M1465" s="26" t="n">
        <v>0</v>
      </c>
    </row>
    <row r="1466" customFormat="false" ht="15" hidden="false" customHeight="false" outlineLevel="0" collapsed="false">
      <c r="A1466" s="7" t="s">
        <v>87</v>
      </c>
      <c r="B1466" s="7" t="n">
        <v>4413180</v>
      </c>
      <c r="C1466" s="7" t="s">
        <v>818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97</v>
      </c>
      <c r="J1466" s="26" t="n">
        <v>0</v>
      </c>
      <c r="K1466" s="26" t="n">
        <v>0</v>
      </c>
      <c r="L1466" s="26" t="n">
        <v>0</v>
      </c>
      <c r="M1466" s="26" t="n">
        <v>0</v>
      </c>
    </row>
    <row r="1467" customFormat="false" ht="15" hidden="false" customHeight="false" outlineLevel="0" collapsed="false">
      <c r="A1467" s="7" t="s">
        <v>85</v>
      </c>
      <c r="B1467" s="7" t="n">
        <v>4413178</v>
      </c>
      <c r="C1467" s="7" t="s">
        <v>819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0</v>
      </c>
      <c r="L1467" s="26" t="n">
        <v>0</v>
      </c>
      <c r="M1467" s="26" t="n">
        <v>0</v>
      </c>
    </row>
    <row r="1468" customFormat="false" ht="15" hidden="false" customHeight="false" outlineLevel="0" collapsed="false">
      <c r="A1468" s="7" t="s">
        <v>87</v>
      </c>
      <c r="B1468" s="7" t="n">
        <v>4413178</v>
      </c>
      <c r="C1468" s="7" t="s">
        <v>819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0</v>
      </c>
      <c r="L1468" s="26" t="n">
        <v>0</v>
      </c>
      <c r="M1468" s="26" t="n">
        <v>0</v>
      </c>
    </row>
    <row r="1469" customFormat="false" ht="15" hidden="false" customHeight="false" outlineLevel="0" collapsed="false">
      <c r="A1469" s="7" t="s">
        <v>85</v>
      </c>
      <c r="B1469" s="7" t="n">
        <v>4413234</v>
      </c>
      <c r="C1469" s="7" t="s">
        <v>820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0</v>
      </c>
      <c r="L1469" s="26" t="n">
        <v>0</v>
      </c>
      <c r="M1469" s="26" t="n">
        <v>0</v>
      </c>
    </row>
    <row r="1470" customFormat="false" ht="15" hidden="false" customHeight="false" outlineLevel="0" collapsed="false">
      <c r="A1470" s="7" t="s">
        <v>87</v>
      </c>
      <c r="B1470" s="7" t="n">
        <v>4413234</v>
      </c>
      <c r="C1470" s="7" t="s">
        <v>820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0</v>
      </c>
      <c r="L1470" s="26" t="n">
        <v>0</v>
      </c>
      <c r="M1470" s="26" t="n">
        <v>0</v>
      </c>
    </row>
    <row r="1471" customFormat="false" ht="15" hidden="false" customHeight="false" outlineLevel="0" collapsed="false">
      <c r="A1471" s="7" t="s">
        <v>85</v>
      </c>
      <c r="B1471" s="7" t="n">
        <v>4413402</v>
      </c>
      <c r="C1471" s="7" t="s">
        <v>821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0</v>
      </c>
      <c r="L1471" s="26" t="n">
        <v>0</v>
      </c>
      <c r="M1471" s="26" t="n">
        <v>0</v>
      </c>
    </row>
    <row r="1472" customFormat="false" ht="15" hidden="false" customHeight="false" outlineLevel="0" collapsed="false">
      <c r="A1472" s="7" t="s">
        <v>87</v>
      </c>
      <c r="B1472" s="7" t="n">
        <v>4413402</v>
      </c>
      <c r="C1472" s="7" t="s">
        <v>821</v>
      </c>
      <c r="D1472" s="26" t="n">
        <v>0</v>
      </c>
      <c r="E1472" s="26" t="n">
        <v>0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0</v>
      </c>
      <c r="L1472" s="26" t="n">
        <v>0</v>
      </c>
      <c r="M1472" s="26" t="n">
        <v>0</v>
      </c>
    </row>
    <row r="1473" customFormat="false" ht="15" hidden="false" customHeight="false" outlineLevel="0" collapsed="false">
      <c r="A1473" s="7" t="s">
        <v>85</v>
      </c>
      <c r="B1473" s="7" t="n">
        <v>4408207</v>
      </c>
      <c r="C1473" s="7" t="s">
        <v>822</v>
      </c>
      <c r="D1473" s="26" t="n">
        <v>792</v>
      </c>
      <c r="E1473" s="26" t="n">
        <v>7</v>
      </c>
      <c r="F1473" s="26" t="n">
        <v>2</v>
      </c>
      <c r="G1473" s="26" t="n">
        <v>0</v>
      </c>
      <c r="H1473" s="26" t="n">
        <v>0</v>
      </c>
      <c r="I1473" s="26" t="n">
        <v>45</v>
      </c>
      <c r="J1473" s="26" t="n">
        <v>0</v>
      </c>
      <c r="K1473" s="26" t="n">
        <v>0</v>
      </c>
      <c r="L1473" s="26" t="n">
        <v>0</v>
      </c>
      <c r="M1473" s="26" t="n">
        <v>0</v>
      </c>
    </row>
    <row r="1474" customFormat="false" ht="15" hidden="false" customHeight="false" outlineLevel="0" collapsed="false">
      <c r="A1474" s="7" t="s">
        <v>87</v>
      </c>
      <c r="B1474" s="7" t="n">
        <v>4408207</v>
      </c>
      <c r="C1474" s="7" t="s">
        <v>822</v>
      </c>
      <c r="D1474" s="26" t="n">
        <v>26554.8</v>
      </c>
      <c r="E1474" s="26" t="n">
        <v>262.2</v>
      </c>
      <c r="F1474" s="26" t="n">
        <v>74.9</v>
      </c>
      <c r="G1474" s="26" t="n">
        <v>0</v>
      </c>
      <c r="H1474" s="26" t="n">
        <v>0</v>
      </c>
      <c r="I1474" s="26" t="n">
        <v>1121.9</v>
      </c>
      <c r="J1474" s="26" t="n">
        <v>0</v>
      </c>
      <c r="K1474" s="26" t="n">
        <v>0</v>
      </c>
      <c r="L1474" s="26" t="n">
        <v>0</v>
      </c>
      <c r="M1474" s="26" t="n">
        <v>0</v>
      </c>
    </row>
    <row r="1475" customFormat="false" ht="15" hidden="false" customHeight="false" outlineLevel="0" collapsed="false">
      <c r="A1475" s="7" t="s">
        <v>85</v>
      </c>
      <c r="B1475" s="7" t="n">
        <v>4415026</v>
      </c>
      <c r="C1475" s="7" t="s">
        <v>823</v>
      </c>
      <c r="D1475" s="26" t="n">
        <v>197</v>
      </c>
      <c r="E1475" s="26" t="n">
        <v>2</v>
      </c>
      <c r="F1475" s="26" t="n">
        <v>0</v>
      </c>
      <c r="G1475" s="26" t="n">
        <v>0</v>
      </c>
      <c r="H1475" s="26" t="n">
        <v>0</v>
      </c>
      <c r="I1475" s="26" t="n">
        <v>22</v>
      </c>
      <c r="J1475" s="26" t="n">
        <v>0</v>
      </c>
      <c r="K1475" s="26" t="n">
        <v>0</v>
      </c>
      <c r="L1475" s="26" t="n">
        <v>0</v>
      </c>
      <c r="M1475" s="26" t="n">
        <v>0</v>
      </c>
    </row>
    <row r="1476" customFormat="false" ht="15" hidden="false" customHeight="false" outlineLevel="0" collapsed="false">
      <c r="A1476" s="7" t="s">
        <v>87</v>
      </c>
      <c r="B1476" s="7" t="n">
        <v>4415026</v>
      </c>
      <c r="C1476" s="7" t="s">
        <v>823</v>
      </c>
      <c r="D1476" s="26" t="n">
        <v>7971.4</v>
      </c>
      <c r="E1476" s="26" t="n">
        <v>93.6</v>
      </c>
      <c r="F1476" s="26" t="n">
        <v>0</v>
      </c>
      <c r="G1476" s="26" t="n">
        <v>0</v>
      </c>
      <c r="H1476" s="26" t="n">
        <v>0</v>
      </c>
      <c r="I1476" s="26" t="n">
        <v>753.9</v>
      </c>
      <c r="J1476" s="26" t="n">
        <v>0</v>
      </c>
      <c r="K1476" s="26" t="n">
        <v>0</v>
      </c>
      <c r="L1476" s="26" t="n">
        <v>0</v>
      </c>
      <c r="M1476" s="26" t="n">
        <v>0</v>
      </c>
    </row>
    <row r="1477" customFormat="false" ht="15" hidden="false" customHeight="false" outlineLevel="0" collapsed="false">
      <c r="A1477" s="7" t="s">
        <v>85</v>
      </c>
      <c r="B1477" s="7" t="n">
        <v>4415027</v>
      </c>
      <c r="C1477" s="7" t="s">
        <v>824</v>
      </c>
      <c r="D1477" s="26" t="n">
        <v>278</v>
      </c>
      <c r="E1477" s="26" t="n">
        <v>2</v>
      </c>
      <c r="F1477" s="26" t="n">
        <v>0</v>
      </c>
      <c r="G1477" s="26" t="n">
        <v>0</v>
      </c>
      <c r="H1477" s="26" t="n">
        <v>0</v>
      </c>
      <c r="I1477" s="26" t="n">
        <v>26</v>
      </c>
      <c r="J1477" s="26" t="n">
        <v>0</v>
      </c>
      <c r="K1477" s="26" t="n">
        <v>0</v>
      </c>
      <c r="L1477" s="26" t="n">
        <v>0</v>
      </c>
      <c r="M1477" s="26" t="n">
        <v>0</v>
      </c>
    </row>
    <row r="1478" customFormat="false" ht="15" hidden="false" customHeight="false" outlineLevel="0" collapsed="false">
      <c r="A1478" s="7" t="s">
        <v>87</v>
      </c>
      <c r="B1478" s="7" t="n">
        <v>4415027</v>
      </c>
      <c r="C1478" s="7" t="s">
        <v>824</v>
      </c>
      <c r="D1478" s="26" t="n">
        <v>11827</v>
      </c>
      <c r="E1478" s="26" t="n">
        <v>93.6</v>
      </c>
      <c r="F1478" s="26" t="n">
        <v>0</v>
      </c>
      <c r="G1478" s="26" t="n">
        <v>0</v>
      </c>
      <c r="H1478" s="26" t="n">
        <v>0</v>
      </c>
      <c r="I1478" s="26" t="n">
        <v>901.9</v>
      </c>
      <c r="J1478" s="26" t="n">
        <v>0</v>
      </c>
      <c r="K1478" s="26" t="n">
        <v>0</v>
      </c>
      <c r="L1478" s="26" t="n">
        <v>0</v>
      </c>
      <c r="M1478" s="26" t="n">
        <v>0</v>
      </c>
    </row>
    <row r="1479" customFormat="false" ht="15" hidden="false" customHeight="false" outlineLevel="0" collapsed="false">
      <c r="A1479" s="7" t="s">
        <v>85</v>
      </c>
      <c r="B1479" s="7" t="n">
        <v>4408249</v>
      </c>
      <c r="C1479" s="7" t="s">
        <v>825</v>
      </c>
      <c r="D1479" s="26" t="n">
        <v>19</v>
      </c>
      <c r="E1479" s="26" t="n">
        <v>0</v>
      </c>
      <c r="F1479" s="26" t="n">
        <v>0</v>
      </c>
      <c r="G1479" s="26" t="n">
        <v>0</v>
      </c>
      <c r="H1479" s="26" t="n">
        <v>11</v>
      </c>
      <c r="I1479" s="26" t="n">
        <v>8</v>
      </c>
      <c r="J1479" s="26" t="n">
        <v>0</v>
      </c>
      <c r="K1479" s="26" t="n">
        <v>0</v>
      </c>
      <c r="L1479" s="26" t="n">
        <v>0</v>
      </c>
      <c r="M1479" s="26" t="n">
        <v>0</v>
      </c>
    </row>
    <row r="1480" customFormat="false" ht="15" hidden="false" customHeight="false" outlineLevel="0" collapsed="false">
      <c r="A1480" s="7" t="s">
        <v>87</v>
      </c>
      <c r="B1480" s="7" t="n">
        <v>4408249</v>
      </c>
      <c r="C1480" s="7" t="s">
        <v>825</v>
      </c>
      <c r="D1480" s="26" t="n">
        <v>1740</v>
      </c>
      <c r="E1480" s="26" t="n">
        <v>0</v>
      </c>
      <c r="F1480" s="26" t="n">
        <v>0</v>
      </c>
      <c r="G1480" s="26" t="n">
        <v>0</v>
      </c>
      <c r="H1480" s="26" t="n">
        <v>821.7</v>
      </c>
      <c r="I1480" s="26" t="n">
        <v>595.9</v>
      </c>
      <c r="J1480" s="26" t="n">
        <v>0</v>
      </c>
      <c r="K1480" s="26" t="n">
        <v>0</v>
      </c>
      <c r="L1480" s="26" t="n">
        <v>0</v>
      </c>
      <c r="M1480" s="26" t="n">
        <v>0</v>
      </c>
    </row>
    <row r="1481" customFormat="false" ht="15" hidden="false" customHeight="false" outlineLevel="0" collapsed="false">
      <c r="A1481" s="7" t="s">
        <v>85</v>
      </c>
      <c r="B1481" s="7" t="n">
        <v>4408248</v>
      </c>
      <c r="C1481" s="7" t="s">
        <v>826</v>
      </c>
      <c r="D1481" s="26" t="n">
        <v>15</v>
      </c>
      <c r="E1481" s="26" t="n">
        <v>0</v>
      </c>
      <c r="F1481" s="26" t="n">
        <v>0</v>
      </c>
      <c r="G1481" s="26" t="n">
        <v>0</v>
      </c>
      <c r="H1481" s="26" t="n">
        <v>8</v>
      </c>
      <c r="I1481" s="26" t="n">
        <v>10</v>
      </c>
      <c r="J1481" s="26" t="n">
        <v>0</v>
      </c>
      <c r="K1481" s="26" t="n">
        <v>0</v>
      </c>
      <c r="L1481" s="26" t="n">
        <v>0</v>
      </c>
      <c r="M1481" s="26" t="n">
        <v>0</v>
      </c>
    </row>
    <row r="1482" customFormat="false" ht="15" hidden="false" customHeight="false" outlineLevel="0" collapsed="false">
      <c r="A1482" s="7" t="s">
        <v>87</v>
      </c>
      <c r="B1482" s="7" t="n">
        <v>4408248</v>
      </c>
      <c r="C1482" s="7" t="s">
        <v>826</v>
      </c>
      <c r="D1482" s="26" t="n">
        <v>1342.6</v>
      </c>
      <c r="E1482" s="26" t="n">
        <v>0</v>
      </c>
      <c r="F1482" s="26" t="n">
        <v>0</v>
      </c>
      <c r="G1482" s="26" t="n">
        <v>0</v>
      </c>
      <c r="H1482" s="26" t="n">
        <v>598.2</v>
      </c>
      <c r="I1482" s="26" t="n">
        <v>744.9</v>
      </c>
      <c r="J1482" s="26" t="n">
        <v>0</v>
      </c>
      <c r="K1482" s="26" t="n">
        <v>0</v>
      </c>
      <c r="L1482" s="26" t="n">
        <v>0</v>
      </c>
      <c r="M1482" s="26" t="n">
        <v>0</v>
      </c>
    </row>
    <row r="1483" customFormat="false" ht="15" hidden="false" customHeight="false" outlineLevel="0" collapsed="false">
      <c r="A1483" s="7" t="s">
        <v>85</v>
      </c>
      <c r="B1483" s="7" t="n">
        <v>4408247</v>
      </c>
      <c r="C1483" s="7" t="s">
        <v>827</v>
      </c>
      <c r="D1483" s="26" t="n">
        <v>12</v>
      </c>
      <c r="E1483" s="26" t="n">
        <v>0</v>
      </c>
      <c r="F1483" s="26" t="n">
        <v>0</v>
      </c>
      <c r="G1483" s="26" t="n">
        <v>0</v>
      </c>
      <c r="H1483" s="26" t="n">
        <v>0</v>
      </c>
      <c r="I1483" s="26" t="n">
        <v>2</v>
      </c>
      <c r="J1483" s="26" t="n">
        <v>1</v>
      </c>
      <c r="K1483" s="26" t="n">
        <v>0</v>
      </c>
      <c r="L1483" s="26" t="n">
        <v>0</v>
      </c>
      <c r="M1483" s="26" t="n">
        <v>0</v>
      </c>
    </row>
    <row r="1484" customFormat="false" ht="15" hidden="false" customHeight="false" outlineLevel="0" collapsed="false">
      <c r="A1484" s="7" t="s">
        <v>87</v>
      </c>
      <c r="B1484" s="7" t="n">
        <v>4408247</v>
      </c>
      <c r="C1484" s="7" t="s">
        <v>827</v>
      </c>
      <c r="D1484" s="26" t="n">
        <v>1080.4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141.1</v>
      </c>
      <c r="J1484" s="26" t="n">
        <v>87.4</v>
      </c>
      <c r="K1484" s="26" t="n">
        <v>0</v>
      </c>
      <c r="L1484" s="26" t="n">
        <v>0</v>
      </c>
      <c r="M1484" s="26" t="n">
        <v>0</v>
      </c>
    </row>
    <row r="1485" customFormat="false" ht="15" hidden="false" customHeight="false" outlineLevel="0" collapsed="false">
      <c r="A1485" s="7" t="s">
        <v>85</v>
      </c>
      <c r="B1485" s="7" t="n">
        <v>4408250</v>
      </c>
      <c r="C1485" s="7" t="s">
        <v>828</v>
      </c>
      <c r="D1485" s="26" t="n">
        <v>9</v>
      </c>
      <c r="E1485" s="26" t="n">
        <v>0</v>
      </c>
      <c r="F1485" s="26" t="n">
        <v>0</v>
      </c>
      <c r="G1485" s="26" t="n">
        <v>0</v>
      </c>
      <c r="H1485" s="26" t="n">
        <v>7</v>
      </c>
      <c r="I1485" s="26" t="n">
        <v>4</v>
      </c>
      <c r="J1485" s="26" t="n">
        <v>1</v>
      </c>
      <c r="K1485" s="26" t="n">
        <v>0</v>
      </c>
      <c r="L1485" s="26" t="n">
        <v>0</v>
      </c>
      <c r="M1485" s="26" t="n">
        <v>0</v>
      </c>
    </row>
    <row r="1486" customFormat="false" ht="15" hidden="false" customHeight="false" outlineLevel="0" collapsed="false">
      <c r="A1486" s="7" t="s">
        <v>87</v>
      </c>
      <c r="B1486" s="7" t="n">
        <v>4408250</v>
      </c>
      <c r="C1486" s="7" t="s">
        <v>828</v>
      </c>
      <c r="D1486" s="26" t="n">
        <v>811.8</v>
      </c>
      <c r="E1486" s="26" t="n">
        <v>0</v>
      </c>
      <c r="F1486" s="26" t="n">
        <v>0</v>
      </c>
      <c r="G1486" s="26" t="n">
        <v>0</v>
      </c>
      <c r="H1486" s="26" t="n">
        <v>524.4</v>
      </c>
      <c r="I1486" s="26" t="n">
        <v>298</v>
      </c>
      <c r="J1486" s="26" t="n">
        <v>87.4</v>
      </c>
      <c r="K1486" s="26" t="n">
        <v>0</v>
      </c>
      <c r="L1486" s="26" t="n">
        <v>0</v>
      </c>
      <c r="M1486" s="26" t="n">
        <v>0</v>
      </c>
    </row>
    <row r="1487" customFormat="false" ht="15" hidden="false" customHeight="false" outlineLevel="0" collapsed="false">
      <c r="A1487" s="7" t="s">
        <v>85</v>
      </c>
      <c r="B1487" s="7" t="n">
        <v>4413422</v>
      </c>
      <c r="C1487" s="7" t="s">
        <v>829</v>
      </c>
      <c r="D1487" s="26" t="n">
        <v>3</v>
      </c>
      <c r="E1487" s="26" t="n">
        <v>0</v>
      </c>
      <c r="F1487" s="26" t="n">
        <v>0</v>
      </c>
      <c r="G1487" s="26" t="n">
        <v>0</v>
      </c>
      <c r="H1487" s="26" t="n">
        <v>18</v>
      </c>
      <c r="I1487" s="26" t="n">
        <v>11</v>
      </c>
      <c r="J1487" s="26" t="n">
        <v>0</v>
      </c>
      <c r="K1487" s="26" t="n">
        <v>0</v>
      </c>
      <c r="L1487" s="26" t="n">
        <v>0</v>
      </c>
      <c r="M1487" s="26" t="n">
        <v>0</v>
      </c>
    </row>
    <row r="1488" customFormat="false" ht="15" hidden="false" customHeight="false" outlineLevel="0" collapsed="false">
      <c r="A1488" s="7" t="s">
        <v>87</v>
      </c>
      <c r="B1488" s="7" t="n">
        <v>4413422</v>
      </c>
      <c r="C1488" s="7" t="s">
        <v>829</v>
      </c>
      <c r="D1488" s="26" t="n">
        <v>281</v>
      </c>
      <c r="E1488" s="26" t="n">
        <v>0</v>
      </c>
      <c r="F1488" s="26" t="n">
        <v>0</v>
      </c>
      <c r="G1488" s="26" t="n">
        <v>0</v>
      </c>
      <c r="H1488" s="26" t="n">
        <v>1356.3</v>
      </c>
      <c r="I1488" s="26" t="n">
        <v>819.4</v>
      </c>
      <c r="J1488" s="26" t="n">
        <v>0</v>
      </c>
      <c r="K1488" s="26" t="n">
        <v>0</v>
      </c>
      <c r="L1488" s="26" t="n">
        <v>0</v>
      </c>
      <c r="M1488" s="26" t="n">
        <v>0</v>
      </c>
    </row>
    <row r="1489" customFormat="false" ht="15" hidden="false" customHeight="false" outlineLevel="0" collapsed="false">
      <c r="A1489" s="7" t="s">
        <v>85</v>
      </c>
      <c r="B1489" s="7" t="n">
        <v>4413421</v>
      </c>
      <c r="C1489" s="7" t="s">
        <v>830</v>
      </c>
      <c r="D1489" s="26" t="n">
        <v>3</v>
      </c>
      <c r="E1489" s="26" t="n">
        <v>0</v>
      </c>
      <c r="F1489" s="26" t="n">
        <v>0</v>
      </c>
      <c r="G1489" s="26" t="n">
        <v>0</v>
      </c>
      <c r="H1489" s="26" t="n">
        <v>6</v>
      </c>
      <c r="I1489" s="26" t="n">
        <v>8</v>
      </c>
      <c r="J1489" s="26" t="n">
        <v>0</v>
      </c>
      <c r="K1489" s="26" t="n">
        <v>0</v>
      </c>
      <c r="L1489" s="26" t="n">
        <v>0</v>
      </c>
      <c r="M1489" s="26" t="n">
        <v>0</v>
      </c>
    </row>
    <row r="1490" customFormat="false" ht="15" hidden="false" customHeight="false" outlineLevel="0" collapsed="false">
      <c r="A1490" s="7" t="s">
        <v>87</v>
      </c>
      <c r="B1490" s="7" t="n">
        <v>4413421</v>
      </c>
      <c r="C1490" s="7" t="s">
        <v>830</v>
      </c>
      <c r="D1490" s="26" t="n">
        <v>299.1</v>
      </c>
      <c r="E1490" s="26" t="n">
        <v>0</v>
      </c>
      <c r="F1490" s="26" t="n">
        <v>0</v>
      </c>
      <c r="G1490" s="26" t="n">
        <v>0</v>
      </c>
      <c r="H1490" s="26" t="n">
        <v>446.9</v>
      </c>
      <c r="I1490" s="26" t="n">
        <v>595.9</v>
      </c>
      <c r="J1490" s="26" t="n">
        <v>0</v>
      </c>
      <c r="K1490" s="26" t="n">
        <v>0</v>
      </c>
      <c r="L1490" s="26" t="n">
        <v>0</v>
      </c>
      <c r="M1490" s="26" t="n">
        <v>0</v>
      </c>
    </row>
    <row r="1491" customFormat="false" ht="15" hidden="false" customHeight="false" outlineLevel="0" collapsed="false">
      <c r="A1491" s="7" t="s">
        <v>85</v>
      </c>
      <c r="B1491" s="7" t="n">
        <v>4413420</v>
      </c>
      <c r="C1491" s="7" t="s">
        <v>831</v>
      </c>
      <c r="D1491" s="26" t="n">
        <v>1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0</v>
      </c>
      <c r="J1491" s="26" t="n">
        <v>0</v>
      </c>
      <c r="K1491" s="26" t="n">
        <v>0</v>
      </c>
      <c r="L1491" s="26" t="n">
        <v>0</v>
      </c>
      <c r="M1491" s="26" t="n">
        <v>0</v>
      </c>
    </row>
    <row r="1492" customFormat="false" ht="15" hidden="false" customHeight="false" outlineLevel="0" collapsed="false">
      <c r="A1492" s="7" t="s">
        <v>87</v>
      </c>
      <c r="B1492" s="7" t="n">
        <v>4413420</v>
      </c>
      <c r="C1492" s="7" t="s">
        <v>831</v>
      </c>
      <c r="D1492" s="26" t="n">
        <v>93.7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0</v>
      </c>
      <c r="J1492" s="26" t="n">
        <v>0</v>
      </c>
      <c r="K1492" s="26" t="n">
        <v>0</v>
      </c>
      <c r="L1492" s="26" t="n">
        <v>0</v>
      </c>
      <c r="M1492" s="26" t="n">
        <v>0</v>
      </c>
    </row>
    <row r="1493" customFormat="false" ht="15" hidden="false" customHeight="false" outlineLevel="0" collapsed="false">
      <c r="A1493" s="7" t="s">
        <v>85</v>
      </c>
      <c r="B1493" s="7" t="n">
        <v>4413423</v>
      </c>
      <c r="C1493" s="7" t="s">
        <v>832</v>
      </c>
      <c r="D1493" s="26" t="n">
        <v>1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6</v>
      </c>
      <c r="J1493" s="26" t="n">
        <v>0</v>
      </c>
      <c r="K1493" s="26" t="n">
        <v>0</v>
      </c>
      <c r="L1493" s="26" t="n">
        <v>0</v>
      </c>
      <c r="M1493" s="26" t="n">
        <v>0</v>
      </c>
    </row>
    <row r="1494" customFormat="false" ht="15" hidden="false" customHeight="false" outlineLevel="0" collapsed="false">
      <c r="A1494" s="7" t="s">
        <v>87</v>
      </c>
      <c r="B1494" s="7" t="n">
        <v>4413423</v>
      </c>
      <c r="C1494" s="7" t="s">
        <v>832</v>
      </c>
      <c r="D1494" s="26" t="n">
        <v>111.8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446.9</v>
      </c>
      <c r="J1494" s="26" t="n">
        <v>0</v>
      </c>
      <c r="K1494" s="26" t="n">
        <v>0</v>
      </c>
      <c r="L1494" s="26" t="n">
        <v>0</v>
      </c>
      <c r="M1494" s="26" t="n">
        <v>0</v>
      </c>
    </row>
    <row r="1495" customFormat="false" ht="15" hidden="false" customHeight="false" outlineLevel="0" collapsed="false">
      <c r="A1495" s="7" t="s">
        <v>85</v>
      </c>
      <c r="B1495" s="7" t="n">
        <v>4413426</v>
      </c>
      <c r="C1495" s="7" t="s">
        <v>833</v>
      </c>
      <c r="D1495" s="26" t="n">
        <v>4</v>
      </c>
      <c r="E1495" s="26" t="n">
        <v>0</v>
      </c>
      <c r="F1495" s="26" t="n">
        <v>0</v>
      </c>
      <c r="G1495" s="26" t="n">
        <v>0</v>
      </c>
      <c r="H1495" s="26" t="n">
        <v>11</v>
      </c>
      <c r="I1495" s="26" t="n">
        <v>4</v>
      </c>
      <c r="J1495" s="26" t="n">
        <v>0</v>
      </c>
      <c r="K1495" s="26" t="n">
        <v>0</v>
      </c>
      <c r="L1495" s="26" t="n">
        <v>0</v>
      </c>
      <c r="M1495" s="26" t="n">
        <v>0</v>
      </c>
    </row>
    <row r="1496" customFormat="false" ht="15" hidden="false" customHeight="false" outlineLevel="0" collapsed="false">
      <c r="A1496" s="7" t="s">
        <v>87</v>
      </c>
      <c r="B1496" s="7" t="n">
        <v>4413426</v>
      </c>
      <c r="C1496" s="7" t="s">
        <v>833</v>
      </c>
      <c r="D1496" s="26" t="n">
        <v>362.2</v>
      </c>
      <c r="E1496" s="26" t="n">
        <v>0</v>
      </c>
      <c r="F1496" s="26" t="n">
        <v>0</v>
      </c>
      <c r="G1496" s="26" t="n">
        <v>0</v>
      </c>
      <c r="H1496" s="26" t="n">
        <v>820.2</v>
      </c>
      <c r="I1496" s="26" t="n">
        <v>298</v>
      </c>
      <c r="J1496" s="26" t="n">
        <v>0</v>
      </c>
      <c r="K1496" s="26" t="n">
        <v>0</v>
      </c>
      <c r="L1496" s="26" t="n">
        <v>0</v>
      </c>
      <c r="M1496" s="26" t="n">
        <v>0</v>
      </c>
    </row>
    <row r="1497" customFormat="false" ht="15" hidden="false" customHeight="false" outlineLevel="0" collapsed="false">
      <c r="A1497" s="7" t="s">
        <v>85</v>
      </c>
      <c r="B1497" s="7" t="n">
        <v>4413425</v>
      </c>
      <c r="C1497" s="7" t="s">
        <v>834</v>
      </c>
      <c r="D1497" s="26" t="n">
        <v>10</v>
      </c>
      <c r="E1497" s="26" t="n">
        <v>0</v>
      </c>
      <c r="F1497" s="26" t="n">
        <v>0</v>
      </c>
      <c r="G1497" s="26" t="n">
        <v>0</v>
      </c>
      <c r="H1497" s="26" t="n">
        <v>19</v>
      </c>
      <c r="I1497" s="26" t="n">
        <v>9</v>
      </c>
      <c r="J1497" s="26" t="n">
        <v>0</v>
      </c>
      <c r="K1497" s="26" t="n">
        <v>0</v>
      </c>
      <c r="L1497" s="26" t="n">
        <v>0</v>
      </c>
      <c r="M1497" s="26" t="n">
        <v>0</v>
      </c>
    </row>
    <row r="1498" customFormat="false" ht="15" hidden="false" customHeight="false" outlineLevel="0" collapsed="false">
      <c r="A1498" s="7" t="s">
        <v>87</v>
      </c>
      <c r="B1498" s="7" t="n">
        <v>4413425</v>
      </c>
      <c r="C1498" s="7" t="s">
        <v>834</v>
      </c>
      <c r="D1498" s="26" t="n">
        <v>911.7</v>
      </c>
      <c r="E1498" s="26" t="n">
        <v>0</v>
      </c>
      <c r="F1498" s="26" t="n">
        <v>0</v>
      </c>
      <c r="G1498" s="26" t="n">
        <v>0</v>
      </c>
      <c r="H1498" s="26" t="n">
        <v>1427.4</v>
      </c>
      <c r="I1498" s="26" t="n">
        <v>670.4</v>
      </c>
      <c r="J1498" s="26" t="n">
        <v>0</v>
      </c>
      <c r="K1498" s="26" t="n">
        <v>0</v>
      </c>
      <c r="L1498" s="26" t="n">
        <v>0</v>
      </c>
      <c r="M1498" s="26" t="n">
        <v>0</v>
      </c>
    </row>
    <row r="1499" customFormat="false" ht="15" hidden="false" customHeight="false" outlineLevel="0" collapsed="false">
      <c r="A1499" s="7" t="s">
        <v>85</v>
      </c>
      <c r="B1499" s="7" t="n">
        <v>4413424</v>
      </c>
      <c r="C1499" s="7" t="s">
        <v>835</v>
      </c>
      <c r="D1499" s="26" t="n">
        <v>4</v>
      </c>
      <c r="E1499" s="26" t="n">
        <v>0</v>
      </c>
      <c r="F1499" s="26" t="n">
        <v>0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  <c r="L1499" s="26" t="n">
        <v>0</v>
      </c>
      <c r="M1499" s="26" t="n">
        <v>0</v>
      </c>
    </row>
    <row r="1500" customFormat="false" ht="15" hidden="false" customHeight="false" outlineLevel="0" collapsed="false">
      <c r="A1500" s="7" t="s">
        <v>87</v>
      </c>
      <c r="B1500" s="7" t="n">
        <v>4413424</v>
      </c>
      <c r="C1500" s="7" t="s">
        <v>835</v>
      </c>
      <c r="D1500" s="26" t="n">
        <v>349.7</v>
      </c>
      <c r="E1500" s="26" t="n">
        <v>0</v>
      </c>
      <c r="F1500" s="26" t="n">
        <v>0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  <c r="L1500" s="26" t="n">
        <v>0</v>
      </c>
      <c r="M1500" s="26" t="n">
        <v>0</v>
      </c>
    </row>
    <row r="1501" customFormat="false" ht="15" hidden="false" customHeight="false" outlineLevel="0" collapsed="false">
      <c r="A1501" s="7" t="s">
        <v>85</v>
      </c>
      <c r="B1501" s="7" t="n">
        <v>4413427</v>
      </c>
      <c r="C1501" s="7" t="s">
        <v>836</v>
      </c>
      <c r="D1501" s="26" t="n">
        <v>4</v>
      </c>
      <c r="E1501" s="26" t="n">
        <v>0</v>
      </c>
      <c r="F1501" s="26" t="n">
        <v>0</v>
      </c>
      <c r="G1501" s="26" t="n">
        <v>0</v>
      </c>
      <c r="H1501" s="26" t="n">
        <v>11</v>
      </c>
      <c r="I1501" s="26" t="n">
        <v>6</v>
      </c>
      <c r="J1501" s="26" t="n">
        <v>0</v>
      </c>
      <c r="K1501" s="26" t="n">
        <v>0</v>
      </c>
      <c r="L1501" s="26" t="n">
        <v>0</v>
      </c>
      <c r="M1501" s="26" t="n">
        <v>0</v>
      </c>
    </row>
    <row r="1502" customFormat="false" ht="15" hidden="false" customHeight="false" outlineLevel="0" collapsed="false">
      <c r="A1502" s="7" t="s">
        <v>87</v>
      </c>
      <c r="B1502" s="7" t="n">
        <v>4413427</v>
      </c>
      <c r="C1502" s="7" t="s">
        <v>836</v>
      </c>
      <c r="D1502" s="26" t="n">
        <v>362.2</v>
      </c>
      <c r="E1502" s="26" t="n">
        <v>0</v>
      </c>
      <c r="F1502" s="26" t="n">
        <v>0</v>
      </c>
      <c r="G1502" s="26" t="n">
        <v>0</v>
      </c>
      <c r="H1502" s="26" t="n">
        <v>823.6</v>
      </c>
      <c r="I1502" s="26" t="n">
        <v>446.9</v>
      </c>
      <c r="J1502" s="26" t="n">
        <v>0</v>
      </c>
      <c r="K1502" s="26" t="n">
        <v>0</v>
      </c>
      <c r="L1502" s="26" t="n">
        <v>0</v>
      </c>
      <c r="M1502" s="26" t="n">
        <v>0</v>
      </c>
    </row>
    <row r="1503" customFormat="false" ht="15" hidden="false" customHeight="false" outlineLevel="0" collapsed="false">
      <c r="A1503" s="7" t="s">
        <v>85</v>
      </c>
      <c r="B1503" s="7" t="n">
        <v>4413417</v>
      </c>
      <c r="C1503" s="7" t="s">
        <v>837</v>
      </c>
      <c r="D1503" s="26" t="n">
        <v>4</v>
      </c>
      <c r="E1503" s="26" t="n">
        <v>0</v>
      </c>
      <c r="F1503" s="26" t="n">
        <v>0</v>
      </c>
      <c r="G1503" s="26" t="n">
        <v>0</v>
      </c>
      <c r="H1503" s="26" t="n">
        <v>8</v>
      </c>
      <c r="I1503" s="26" t="n">
        <v>13</v>
      </c>
      <c r="J1503" s="26" t="n">
        <v>0</v>
      </c>
      <c r="K1503" s="26" t="n">
        <v>0</v>
      </c>
      <c r="L1503" s="26" t="n">
        <v>0</v>
      </c>
      <c r="M1503" s="26" t="n">
        <v>0</v>
      </c>
    </row>
    <row r="1504" customFormat="false" ht="15" hidden="false" customHeight="false" outlineLevel="0" collapsed="false">
      <c r="A1504" s="7" t="s">
        <v>87</v>
      </c>
      <c r="B1504" s="7" t="n">
        <v>4413417</v>
      </c>
      <c r="C1504" s="7" t="s">
        <v>837</v>
      </c>
      <c r="D1504" s="26" t="n">
        <v>678.3</v>
      </c>
      <c r="E1504" s="26" t="n">
        <v>0</v>
      </c>
      <c r="F1504" s="26" t="n">
        <v>0</v>
      </c>
      <c r="G1504" s="26" t="n">
        <v>0</v>
      </c>
      <c r="H1504" s="26" t="n">
        <v>1077</v>
      </c>
      <c r="I1504" s="26" t="n">
        <v>1764.9</v>
      </c>
      <c r="J1504" s="26" t="n">
        <v>0</v>
      </c>
      <c r="K1504" s="26" t="n">
        <v>0</v>
      </c>
      <c r="L1504" s="26" t="n">
        <v>0</v>
      </c>
      <c r="M1504" s="26" t="n">
        <v>0</v>
      </c>
    </row>
    <row r="1505" customFormat="false" ht="15" hidden="false" customHeight="false" outlineLevel="0" collapsed="false">
      <c r="A1505" s="7" t="s">
        <v>85</v>
      </c>
      <c r="B1505" s="7" t="n">
        <v>4413416</v>
      </c>
      <c r="C1505" s="7" t="s">
        <v>838</v>
      </c>
      <c r="D1505" s="26" t="n">
        <v>5</v>
      </c>
      <c r="E1505" s="26" t="n">
        <v>0</v>
      </c>
      <c r="F1505" s="26" t="n">
        <v>0</v>
      </c>
      <c r="G1505" s="26" t="n">
        <v>0</v>
      </c>
      <c r="H1505" s="26" t="n">
        <v>12</v>
      </c>
      <c r="I1505" s="26" t="n">
        <v>8</v>
      </c>
      <c r="J1505" s="26" t="n">
        <v>0</v>
      </c>
      <c r="K1505" s="26" t="n">
        <v>0</v>
      </c>
      <c r="L1505" s="26" t="n">
        <v>0</v>
      </c>
      <c r="M1505" s="26" t="n">
        <v>0</v>
      </c>
    </row>
    <row r="1506" customFormat="false" ht="15" hidden="false" customHeight="false" outlineLevel="0" collapsed="false">
      <c r="A1506" s="7" t="s">
        <v>87</v>
      </c>
      <c r="B1506" s="7" t="n">
        <v>4413416</v>
      </c>
      <c r="C1506" s="7" t="s">
        <v>838</v>
      </c>
      <c r="D1506" s="26" t="n">
        <v>820.1</v>
      </c>
      <c r="E1506" s="26" t="n">
        <v>0</v>
      </c>
      <c r="F1506" s="26" t="n">
        <v>0</v>
      </c>
      <c r="G1506" s="26" t="n">
        <v>0</v>
      </c>
      <c r="H1506" s="26" t="n">
        <v>1593.7</v>
      </c>
      <c r="I1506" s="26" t="n">
        <v>1086.1</v>
      </c>
      <c r="J1506" s="26" t="n">
        <v>0</v>
      </c>
      <c r="K1506" s="26" t="n">
        <v>0</v>
      </c>
      <c r="L1506" s="26" t="n">
        <v>0</v>
      </c>
      <c r="M1506" s="26" t="n">
        <v>0</v>
      </c>
    </row>
    <row r="1507" customFormat="false" ht="15" hidden="false" customHeight="false" outlineLevel="0" collapsed="false">
      <c r="A1507" s="7" t="s">
        <v>85</v>
      </c>
      <c r="B1507" s="7" t="n">
        <v>4413415</v>
      </c>
      <c r="C1507" s="7" t="s">
        <v>839</v>
      </c>
      <c r="D1507" s="26" t="n">
        <v>4</v>
      </c>
      <c r="E1507" s="26" t="n">
        <v>0</v>
      </c>
      <c r="F1507" s="26" t="n">
        <v>0</v>
      </c>
      <c r="G1507" s="26" t="n">
        <v>0</v>
      </c>
      <c r="H1507" s="26" t="n">
        <v>0</v>
      </c>
      <c r="I1507" s="26" t="n">
        <v>0</v>
      </c>
      <c r="J1507" s="26" t="n">
        <v>0</v>
      </c>
      <c r="K1507" s="26" t="n">
        <v>0</v>
      </c>
      <c r="L1507" s="26" t="n">
        <v>0</v>
      </c>
      <c r="M1507" s="26" t="n">
        <v>0</v>
      </c>
    </row>
    <row r="1508" customFormat="false" ht="15" hidden="false" customHeight="false" outlineLevel="0" collapsed="false">
      <c r="A1508" s="7" t="s">
        <v>87</v>
      </c>
      <c r="B1508" s="7" t="n">
        <v>4413415</v>
      </c>
      <c r="C1508" s="7" t="s">
        <v>839</v>
      </c>
      <c r="D1508" s="26" t="n">
        <v>656.1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0</v>
      </c>
      <c r="L1508" s="26" t="n">
        <v>0</v>
      </c>
      <c r="M1508" s="26" t="n">
        <v>0</v>
      </c>
    </row>
    <row r="1509" customFormat="false" ht="15" hidden="false" customHeight="false" outlineLevel="0" collapsed="false">
      <c r="A1509" s="7" t="s">
        <v>85</v>
      </c>
      <c r="B1509" s="7" t="n">
        <v>4413418</v>
      </c>
      <c r="C1509" s="7" t="s">
        <v>840</v>
      </c>
      <c r="D1509" s="26" t="n">
        <v>4</v>
      </c>
      <c r="E1509" s="26" t="n">
        <v>0</v>
      </c>
      <c r="F1509" s="26" t="n">
        <v>0</v>
      </c>
      <c r="G1509" s="26" t="n">
        <v>0</v>
      </c>
      <c r="H1509" s="26" t="n">
        <v>6</v>
      </c>
      <c r="I1509" s="26" t="n">
        <v>0</v>
      </c>
      <c r="J1509" s="26" t="n">
        <v>0</v>
      </c>
      <c r="K1509" s="26" t="n">
        <v>0</v>
      </c>
      <c r="L1509" s="26" t="n">
        <v>0</v>
      </c>
      <c r="M1509" s="26" t="n">
        <v>0</v>
      </c>
    </row>
    <row r="1510" customFormat="false" ht="15" hidden="false" customHeight="false" outlineLevel="0" collapsed="false">
      <c r="A1510" s="7" t="s">
        <v>87</v>
      </c>
      <c r="B1510" s="7" t="n">
        <v>4413418</v>
      </c>
      <c r="C1510" s="7" t="s">
        <v>840</v>
      </c>
      <c r="D1510" s="26" t="n">
        <v>612.4</v>
      </c>
      <c r="E1510" s="26" t="n">
        <v>0</v>
      </c>
      <c r="F1510" s="26" t="n">
        <v>0</v>
      </c>
      <c r="G1510" s="26" t="n">
        <v>0</v>
      </c>
      <c r="H1510" s="26" t="n">
        <v>819.1</v>
      </c>
      <c r="I1510" s="26" t="n">
        <v>0</v>
      </c>
      <c r="J1510" s="26" t="n">
        <v>0</v>
      </c>
      <c r="K1510" s="26" t="n">
        <v>0</v>
      </c>
      <c r="L1510" s="26" t="n">
        <v>0</v>
      </c>
      <c r="M1510" s="26" t="n">
        <v>0</v>
      </c>
    </row>
    <row r="1511" customFormat="false" ht="15" hidden="false" customHeight="false" outlineLevel="0" collapsed="false">
      <c r="A1511" s="7" t="s">
        <v>85</v>
      </c>
      <c r="B1511" s="7" t="n">
        <v>4413419</v>
      </c>
      <c r="C1511" s="7" t="s">
        <v>841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2</v>
      </c>
      <c r="J1511" s="26" t="n">
        <v>0</v>
      </c>
      <c r="K1511" s="26" t="n">
        <v>0</v>
      </c>
      <c r="L1511" s="26" t="n">
        <v>0</v>
      </c>
      <c r="M1511" s="26" t="n">
        <v>0</v>
      </c>
    </row>
    <row r="1512" customFormat="false" ht="15" hidden="false" customHeight="false" outlineLevel="0" collapsed="false">
      <c r="A1512" s="7" t="s">
        <v>87</v>
      </c>
      <c r="B1512" s="7" t="n">
        <v>4413419</v>
      </c>
      <c r="C1512" s="7" t="s">
        <v>841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271.5</v>
      </c>
      <c r="J1512" s="26" t="n">
        <v>0</v>
      </c>
      <c r="K1512" s="26" t="n">
        <v>0</v>
      </c>
      <c r="L1512" s="26" t="n">
        <v>0</v>
      </c>
      <c r="M1512" s="26" t="n">
        <v>0</v>
      </c>
    </row>
    <row r="1513" customFormat="false" ht="15" hidden="false" customHeight="false" outlineLevel="0" collapsed="false">
      <c r="A1513" s="7" t="s">
        <v>85</v>
      </c>
      <c r="B1513" s="7" t="n">
        <v>4413440</v>
      </c>
      <c r="C1513" s="7" t="s">
        <v>842</v>
      </c>
      <c r="D1513" s="26" t="n">
        <v>23</v>
      </c>
      <c r="E1513" s="26" t="n">
        <v>0</v>
      </c>
      <c r="F1513" s="26" t="n">
        <v>0</v>
      </c>
      <c r="G1513" s="26" t="n">
        <v>0</v>
      </c>
      <c r="H1513" s="26" t="n">
        <v>22</v>
      </c>
      <c r="I1513" s="26" t="n">
        <v>14</v>
      </c>
      <c r="J1513" s="26" t="n">
        <v>0</v>
      </c>
      <c r="K1513" s="26" t="n">
        <v>0</v>
      </c>
      <c r="L1513" s="26" t="n">
        <v>0</v>
      </c>
      <c r="M1513" s="26" t="n">
        <v>0</v>
      </c>
    </row>
    <row r="1514" customFormat="false" ht="15" hidden="false" customHeight="false" outlineLevel="0" collapsed="false">
      <c r="A1514" s="7" t="s">
        <v>87</v>
      </c>
      <c r="B1514" s="7" t="n">
        <v>4413440</v>
      </c>
      <c r="C1514" s="7" t="s">
        <v>842</v>
      </c>
      <c r="D1514" s="26" t="n">
        <v>3139.4</v>
      </c>
      <c r="E1514" s="26" t="n">
        <v>0</v>
      </c>
      <c r="F1514" s="26" t="n">
        <v>0</v>
      </c>
      <c r="G1514" s="26" t="n">
        <v>0</v>
      </c>
      <c r="H1514" s="26" t="n">
        <v>2962.7</v>
      </c>
      <c r="I1514" s="26" t="n">
        <v>1900.6</v>
      </c>
      <c r="J1514" s="26" t="n">
        <v>0</v>
      </c>
      <c r="K1514" s="26" t="n">
        <v>0</v>
      </c>
      <c r="L1514" s="26" t="n">
        <v>0</v>
      </c>
      <c r="M1514" s="26" t="n">
        <v>0</v>
      </c>
    </row>
    <row r="1515" customFormat="false" ht="15" hidden="false" customHeight="false" outlineLevel="0" collapsed="false">
      <c r="A1515" s="7" t="s">
        <v>85</v>
      </c>
      <c r="B1515" s="7" t="n">
        <v>4413439</v>
      </c>
      <c r="C1515" s="7" t="s">
        <v>843</v>
      </c>
      <c r="D1515" s="26" t="n">
        <v>20</v>
      </c>
      <c r="E1515" s="26" t="n">
        <v>0</v>
      </c>
      <c r="F1515" s="26" t="n">
        <v>0</v>
      </c>
      <c r="G1515" s="26" t="n">
        <v>0</v>
      </c>
      <c r="H1515" s="26" t="n">
        <v>20</v>
      </c>
      <c r="I1515" s="26" t="n">
        <v>18</v>
      </c>
      <c r="J1515" s="26" t="n">
        <v>0</v>
      </c>
      <c r="K1515" s="26" t="n">
        <v>0</v>
      </c>
      <c r="L1515" s="26" t="n">
        <v>0</v>
      </c>
      <c r="M1515" s="26" t="n">
        <v>0</v>
      </c>
    </row>
    <row r="1516" customFormat="false" ht="15" hidden="false" customHeight="false" outlineLevel="0" collapsed="false">
      <c r="A1516" s="7" t="s">
        <v>87</v>
      </c>
      <c r="B1516" s="7" t="n">
        <v>4413439</v>
      </c>
      <c r="C1516" s="7" t="s">
        <v>843</v>
      </c>
      <c r="D1516" s="26" t="n">
        <v>2689.6</v>
      </c>
      <c r="E1516" s="26" t="n">
        <v>0</v>
      </c>
      <c r="F1516" s="26" t="n">
        <v>0</v>
      </c>
      <c r="G1516" s="26" t="n">
        <v>0</v>
      </c>
      <c r="H1516" s="26" t="n">
        <v>2675</v>
      </c>
      <c r="I1516" s="26" t="n">
        <v>2443.7</v>
      </c>
      <c r="J1516" s="26" t="n">
        <v>0</v>
      </c>
      <c r="K1516" s="26" t="n">
        <v>0</v>
      </c>
      <c r="L1516" s="26" t="n">
        <v>0</v>
      </c>
      <c r="M1516" s="26" t="n">
        <v>0</v>
      </c>
    </row>
    <row r="1517" customFormat="false" ht="15" hidden="false" customHeight="false" outlineLevel="0" collapsed="false">
      <c r="A1517" s="7" t="s">
        <v>85</v>
      </c>
      <c r="B1517" s="7" t="n">
        <v>4413441</v>
      </c>
      <c r="C1517" s="7" t="s">
        <v>844</v>
      </c>
      <c r="D1517" s="26" t="n">
        <v>15</v>
      </c>
      <c r="E1517" s="26" t="n">
        <v>0</v>
      </c>
      <c r="F1517" s="26" t="n">
        <v>0</v>
      </c>
      <c r="G1517" s="26" t="n">
        <v>0</v>
      </c>
      <c r="H1517" s="26" t="n">
        <v>13</v>
      </c>
      <c r="I1517" s="26" t="n">
        <v>14</v>
      </c>
      <c r="J1517" s="26" t="n">
        <v>0</v>
      </c>
      <c r="K1517" s="26" t="n">
        <v>0</v>
      </c>
      <c r="L1517" s="26" t="n">
        <v>0</v>
      </c>
      <c r="M1517" s="26" t="n">
        <v>0</v>
      </c>
    </row>
    <row r="1518" customFormat="false" ht="15" hidden="false" customHeight="false" outlineLevel="0" collapsed="false">
      <c r="A1518" s="7" t="s">
        <v>87</v>
      </c>
      <c r="B1518" s="7" t="n">
        <v>4413441</v>
      </c>
      <c r="C1518" s="7" t="s">
        <v>844</v>
      </c>
      <c r="D1518" s="26" t="n">
        <v>2061.7</v>
      </c>
      <c r="E1518" s="26" t="n">
        <v>0</v>
      </c>
      <c r="F1518" s="26" t="n">
        <v>0</v>
      </c>
      <c r="G1518" s="26" t="n">
        <v>0</v>
      </c>
      <c r="H1518" s="26" t="n">
        <v>1735.5</v>
      </c>
      <c r="I1518" s="26" t="n">
        <v>1900.6</v>
      </c>
      <c r="J1518" s="26" t="n">
        <v>0</v>
      </c>
      <c r="K1518" s="26" t="n">
        <v>0</v>
      </c>
      <c r="L1518" s="26" t="n">
        <v>0</v>
      </c>
      <c r="M1518" s="26" t="n">
        <v>0</v>
      </c>
    </row>
    <row r="1519" customFormat="false" ht="15" hidden="false" customHeight="false" outlineLevel="0" collapsed="false">
      <c r="A1519" s="7" t="s">
        <v>85</v>
      </c>
      <c r="B1519" s="7" t="n">
        <v>4413407</v>
      </c>
      <c r="C1519" s="7" t="s">
        <v>845</v>
      </c>
      <c r="D1519" s="26" t="n">
        <v>7</v>
      </c>
      <c r="E1519" s="26" t="n">
        <v>0</v>
      </c>
      <c r="F1519" s="26" t="n">
        <v>0</v>
      </c>
      <c r="G1519" s="26" t="n">
        <v>0</v>
      </c>
      <c r="H1519" s="26" t="n">
        <v>11</v>
      </c>
      <c r="I1519" s="26" t="n">
        <v>2</v>
      </c>
      <c r="J1519" s="26" t="n">
        <v>0</v>
      </c>
      <c r="K1519" s="26" t="n">
        <v>0</v>
      </c>
      <c r="L1519" s="26" t="n">
        <v>0</v>
      </c>
      <c r="M1519" s="26" t="n">
        <v>0</v>
      </c>
    </row>
    <row r="1520" customFormat="false" ht="15" hidden="false" customHeight="false" outlineLevel="0" collapsed="false">
      <c r="A1520" s="7" t="s">
        <v>87</v>
      </c>
      <c r="B1520" s="7" t="n">
        <v>4413407</v>
      </c>
      <c r="C1520" s="7" t="s">
        <v>845</v>
      </c>
      <c r="D1520" s="26" t="n">
        <v>661.9</v>
      </c>
      <c r="E1520" s="26" t="n">
        <v>0</v>
      </c>
      <c r="F1520" s="26" t="n">
        <v>0</v>
      </c>
      <c r="G1520" s="26" t="n">
        <v>0</v>
      </c>
      <c r="H1520" s="26" t="n">
        <v>832.1</v>
      </c>
      <c r="I1520" s="26" t="n">
        <v>149</v>
      </c>
      <c r="J1520" s="26" t="n">
        <v>0</v>
      </c>
      <c r="K1520" s="26" t="n">
        <v>0</v>
      </c>
      <c r="L1520" s="26" t="n">
        <v>0</v>
      </c>
      <c r="M1520" s="26" t="n">
        <v>0</v>
      </c>
    </row>
    <row r="1521" customFormat="false" ht="15" hidden="false" customHeight="false" outlineLevel="0" collapsed="false">
      <c r="A1521" s="7" t="s">
        <v>85</v>
      </c>
      <c r="B1521" s="7" t="n">
        <v>4413406</v>
      </c>
      <c r="C1521" s="7" t="s">
        <v>846</v>
      </c>
      <c r="D1521" s="26" t="n">
        <v>7</v>
      </c>
      <c r="E1521" s="26" t="n">
        <v>0</v>
      </c>
      <c r="F1521" s="26" t="n">
        <v>0</v>
      </c>
      <c r="G1521" s="26" t="n">
        <v>0</v>
      </c>
      <c r="H1521" s="26" t="n">
        <v>9</v>
      </c>
      <c r="I1521" s="26" t="n">
        <v>1</v>
      </c>
      <c r="J1521" s="26" t="n">
        <v>0</v>
      </c>
      <c r="K1521" s="26" t="n">
        <v>0</v>
      </c>
      <c r="L1521" s="26" t="n">
        <v>0</v>
      </c>
      <c r="M1521" s="26" t="n">
        <v>0</v>
      </c>
    </row>
    <row r="1522" customFormat="false" ht="15" hidden="false" customHeight="false" outlineLevel="0" collapsed="false">
      <c r="A1522" s="7" t="s">
        <v>87</v>
      </c>
      <c r="B1522" s="7" t="n">
        <v>4413406</v>
      </c>
      <c r="C1522" s="7" t="s">
        <v>846</v>
      </c>
      <c r="D1522" s="26" t="n">
        <v>655.7</v>
      </c>
      <c r="E1522" s="26" t="n">
        <v>0</v>
      </c>
      <c r="F1522" s="26" t="n">
        <v>0</v>
      </c>
      <c r="G1522" s="26" t="n">
        <v>0</v>
      </c>
      <c r="H1522" s="26" t="n">
        <v>679.4</v>
      </c>
      <c r="I1522" s="26" t="n">
        <v>74.5</v>
      </c>
      <c r="J1522" s="26" t="n">
        <v>0</v>
      </c>
      <c r="K1522" s="26" t="n">
        <v>0</v>
      </c>
      <c r="L1522" s="26" t="n">
        <v>0</v>
      </c>
      <c r="M1522" s="26" t="n">
        <v>0</v>
      </c>
    </row>
    <row r="1523" customFormat="false" ht="15" hidden="false" customHeight="false" outlineLevel="0" collapsed="false">
      <c r="A1523" s="7" t="s">
        <v>85</v>
      </c>
      <c r="B1523" s="7" t="n">
        <v>4413408</v>
      </c>
      <c r="C1523" s="7" t="s">
        <v>847</v>
      </c>
      <c r="D1523" s="26" t="n">
        <v>3</v>
      </c>
      <c r="E1523" s="26" t="n">
        <v>0</v>
      </c>
      <c r="F1523" s="26" t="n">
        <v>0</v>
      </c>
      <c r="G1523" s="26" t="n">
        <v>0</v>
      </c>
      <c r="H1523" s="26" t="n">
        <v>16</v>
      </c>
      <c r="I1523" s="26" t="n">
        <v>3</v>
      </c>
      <c r="J1523" s="26" t="n">
        <v>0</v>
      </c>
      <c r="K1523" s="26" t="n">
        <v>0</v>
      </c>
      <c r="L1523" s="26" t="n">
        <v>0</v>
      </c>
      <c r="M1523" s="26" t="n">
        <v>0</v>
      </c>
    </row>
    <row r="1524" customFormat="false" ht="15" hidden="false" customHeight="false" outlineLevel="0" collapsed="false">
      <c r="A1524" s="7" t="s">
        <v>87</v>
      </c>
      <c r="B1524" s="7" t="n">
        <v>4413408</v>
      </c>
      <c r="C1524" s="7" t="s">
        <v>847</v>
      </c>
      <c r="D1524" s="26" t="n">
        <v>281</v>
      </c>
      <c r="E1524" s="26" t="n">
        <v>0</v>
      </c>
      <c r="F1524" s="26" t="n">
        <v>0</v>
      </c>
      <c r="G1524" s="26" t="n">
        <v>0</v>
      </c>
      <c r="H1524" s="26" t="n">
        <v>1200.5</v>
      </c>
      <c r="I1524" s="26" t="n">
        <v>223.5</v>
      </c>
      <c r="J1524" s="26" t="n">
        <v>0</v>
      </c>
      <c r="K1524" s="26" t="n">
        <v>0</v>
      </c>
      <c r="L1524" s="26" t="n">
        <v>0</v>
      </c>
      <c r="M1524" s="26" t="n">
        <v>0</v>
      </c>
    </row>
    <row r="1525" customFormat="false" ht="15" hidden="false" customHeight="false" outlineLevel="0" collapsed="false">
      <c r="A1525" s="7" t="s">
        <v>85</v>
      </c>
      <c r="B1525" s="7" t="n">
        <v>4413181</v>
      </c>
      <c r="C1525" s="7" t="s">
        <v>848</v>
      </c>
      <c r="D1525" s="26" t="n">
        <v>0</v>
      </c>
      <c r="E1525" s="26" t="n">
        <v>0</v>
      </c>
      <c r="F1525" s="26" t="n">
        <v>0</v>
      </c>
      <c r="G1525" s="26" t="n">
        <v>0</v>
      </c>
      <c r="H1525" s="26" t="n">
        <v>0</v>
      </c>
      <c r="I1525" s="26" t="n">
        <v>0</v>
      </c>
      <c r="J1525" s="26" t="n">
        <v>0</v>
      </c>
      <c r="K1525" s="26" t="n">
        <v>0</v>
      </c>
      <c r="L1525" s="26" t="n">
        <v>0</v>
      </c>
      <c r="M1525" s="26" t="n">
        <v>0</v>
      </c>
    </row>
    <row r="1526" customFormat="false" ht="15" hidden="false" customHeight="false" outlineLevel="0" collapsed="false">
      <c r="A1526" s="7" t="s">
        <v>87</v>
      </c>
      <c r="B1526" s="7" t="n">
        <v>4413181</v>
      </c>
      <c r="C1526" s="7" t="s">
        <v>848</v>
      </c>
      <c r="D1526" s="26" t="n">
        <v>0</v>
      </c>
      <c r="E1526" s="26" t="n">
        <v>0</v>
      </c>
      <c r="F1526" s="26" t="n">
        <v>0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  <c r="L1526" s="26" t="n">
        <v>0</v>
      </c>
      <c r="M1526" s="26" t="n">
        <v>0</v>
      </c>
    </row>
    <row r="1527" customFormat="false" ht="15" hidden="false" customHeight="false" outlineLevel="0" collapsed="false">
      <c r="A1527" s="7" t="s">
        <v>85</v>
      </c>
      <c r="B1527" s="7" t="n">
        <v>4420034</v>
      </c>
      <c r="C1527" s="7" t="s">
        <v>849</v>
      </c>
      <c r="D1527" s="26" t="n">
        <v>3</v>
      </c>
      <c r="E1527" s="26" t="n">
        <v>0</v>
      </c>
      <c r="F1527" s="26" t="n">
        <v>0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  <c r="L1527" s="26" t="n">
        <v>0</v>
      </c>
      <c r="M1527" s="26" t="n">
        <v>0</v>
      </c>
    </row>
    <row r="1528" customFormat="false" ht="15" hidden="false" customHeight="false" outlineLevel="0" collapsed="false">
      <c r="A1528" s="7" t="s">
        <v>87</v>
      </c>
      <c r="B1528" s="7" t="n">
        <v>4420034</v>
      </c>
      <c r="C1528" s="7" t="s">
        <v>849</v>
      </c>
      <c r="D1528" s="26" t="n">
        <v>113.3</v>
      </c>
      <c r="E1528" s="26" t="n">
        <v>0</v>
      </c>
      <c r="F1528" s="26" t="n">
        <v>0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  <c r="L1528" s="26" t="n">
        <v>0</v>
      </c>
      <c r="M1528" s="26" t="n">
        <v>0</v>
      </c>
    </row>
    <row r="1529" customFormat="false" ht="15" hidden="false" customHeight="false" outlineLevel="0" collapsed="false">
      <c r="A1529" s="7" t="s">
        <v>85</v>
      </c>
      <c r="B1529" s="7" t="n">
        <v>4415299</v>
      </c>
      <c r="C1529" s="7" t="s">
        <v>850</v>
      </c>
      <c r="D1529" s="26" t="n">
        <v>16</v>
      </c>
      <c r="E1529" s="26" t="n">
        <v>0</v>
      </c>
      <c r="F1529" s="26" t="n">
        <v>0</v>
      </c>
      <c r="G1529" s="26" t="n">
        <v>0</v>
      </c>
      <c r="H1529" s="26" t="n">
        <v>20</v>
      </c>
      <c r="I1529" s="26" t="n">
        <v>0</v>
      </c>
      <c r="J1529" s="26" t="n">
        <v>0</v>
      </c>
      <c r="K1529" s="26" t="n">
        <v>27</v>
      </c>
      <c r="L1529" s="26" t="n">
        <v>0</v>
      </c>
      <c r="M1529" s="26" t="n">
        <v>0</v>
      </c>
    </row>
    <row r="1530" customFormat="false" ht="15" hidden="false" customHeight="false" outlineLevel="0" collapsed="false">
      <c r="A1530" s="7" t="s">
        <v>87</v>
      </c>
      <c r="B1530" s="7" t="n">
        <v>4415299</v>
      </c>
      <c r="C1530" s="7" t="s">
        <v>850</v>
      </c>
      <c r="D1530" s="26" t="n">
        <v>1147.2</v>
      </c>
      <c r="E1530" s="26" t="n">
        <v>0</v>
      </c>
      <c r="F1530" s="26" t="n">
        <v>0</v>
      </c>
      <c r="G1530" s="26" t="n">
        <v>0</v>
      </c>
      <c r="H1530" s="26" t="n">
        <v>1278</v>
      </c>
      <c r="I1530" s="26" t="n">
        <v>0</v>
      </c>
      <c r="J1530" s="26" t="n">
        <v>0</v>
      </c>
      <c r="K1530" s="26" t="n">
        <v>1134</v>
      </c>
      <c r="L1530" s="26" t="n">
        <v>0</v>
      </c>
      <c r="M1530" s="26" t="n">
        <v>0</v>
      </c>
    </row>
    <row r="1531" customFormat="false" ht="15" hidden="false" customHeight="false" outlineLevel="0" collapsed="false">
      <c r="A1531" s="7" t="s">
        <v>85</v>
      </c>
      <c r="B1531" s="7" t="n">
        <v>4415298</v>
      </c>
      <c r="C1531" s="7" t="s">
        <v>851</v>
      </c>
      <c r="D1531" s="26" t="n">
        <v>17</v>
      </c>
      <c r="E1531" s="26" t="n">
        <v>0</v>
      </c>
      <c r="F1531" s="26" t="n">
        <v>0</v>
      </c>
      <c r="G1531" s="26" t="n">
        <v>0</v>
      </c>
      <c r="H1531" s="26" t="n">
        <v>20</v>
      </c>
      <c r="I1531" s="26" t="n">
        <v>0</v>
      </c>
      <c r="J1531" s="26" t="n">
        <v>0</v>
      </c>
      <c r="K1531" s="26" t="n">
        <v>16</v>
      </c>
      <c r="L1531" s="26" t="n">
        <v>0</v>
      </c>
      <c r="M1531" s="26" t="n">
        <v>0</v>
      </c>
    </row>
    <row r="1532" customFormat="false" ht="15" hidden="false" customHeight="false" outlineLevel="0" collapsed="false">
      <c r="A1532" s="7" t="s">
        <v>87</v>
      </c>
      <c r="B1532" s="7" t="n">
        <v>4415298</v>
      </c>
      <c r="C1532" s="7" t="s">
        <v>851</v>
      </c>
      <c r="D1532" s="26" t="n">
        <v>1132.5</v>
      </c>
      <c r="E1532" s="26" t="n">
        <v>0</v>
      </c>
      <c r="F1532" s="26" t="n">
        <v>0</v>
      </c>
      <c r="G1532" s="26" t="n">
        <v>0</v>
      </c>
      <c r="H1532" s="26" t="n">
        <v>1293.3</v>
      </c>
      <c r="I1532" s="26" t="n">
        <v>0</v>
      </c>
      <c r="J1532" s="26" t="n">
        <v>0</v>
      </c>
      <c r="K1532" s="26" t="n">
        <v>672</v>
      </c>
      <c r="L1532" s="26" t="n">
        <v>0</v>
      </c>
      <c r="M1532" s="26" t="n">
        <v>0</v>
      </c>
    </row>
    <row r="1533" customFormat="false" ht="15" hidden="false" customHeight="false" outlineLevel="0" collapsed="false">
      <c r="A1533" s="7" t="s">
        <v>85</v>
      </c>
      <c r="B1533" s="7" t="n">
        <v>4422000</v>
      </c>
      <c r="C1533" s="7" t="s">
        <v>852</v>
      </c>
      <c r="D1533" s="26" t="n">
        <v>112</v>
      </c>
      <c r="E1533" s="26" t="n">
        <v>6</v>
      </c>
      <c r="F1533" s="26" t="n">
        <v>6</v>
      </c>
      <c r="G1533" s="26" t="n">
        <v>0</v>
      </c>
      <c r="H1533" s="26" t="n">
        <v>429</v>
      </c>
      <c r="I1533" s="26" t="n">
        <v>87</v>
      </c>
      <c r="J1533" s="26" t="n">
        <v>0</v>
      </c>
      <c r="K1533" s="26" t="n">
        <v>65</v>
      </c>
      <c r="L1533" s="26" t="n">
        <v>0</v>
      </c>
      <c r="M1533" s="26" t="n">
        <v>0</v>
      </c>
    </row>
    <row r="1534" customFormat="false" ht="15" hidden="false" customHeight="false" outlineLevel="0" collapsed="false">
      <c r="A1534" s="7" t="s">
        <v>87</v>
      </c>
      <c r="B1534" s="7" t="n">
        <v>4422000</v>
      </c>
      <c r="C1534" s="7" t="s">
        <v>852</v>
      </c>
      <c r="D1534" s="26" t="n">
        <v>2369.5</v>
      </c>
      <c r="E1534" s="26" t="n">
        <v>129.1</v>
      </c>
      <c r="F1534" s="26" t="n">
        <v>129.1</v>
      </c>
      <c r="G1534" s="26" t="n">
        <v>0</v>
      </c>
      <c r="H1534" s="26" t="n">
        <v>7083.4</v>
      </c>
      <c r="I1534" s="26" t="n">
        <v>1525</v>
      </c>
      <c r="J1534" s="26" t="n">
        <v>0</v>
      </c>
      <c r="K1534" s="26" t="n">
        <v>879.9</v>
      </c>
      <c r="L1534" s="26" t="n">
        <v>0</v>
      </c>
      <c r="M1534" s="26" t="n">
        <v>0</v>
      </c>
    </row>
    <row r="1535" customFormat="false" ht="15" hidden="false" customHeight="false" outlineLevel="0" collapsed="false">
      <c r="A1535" s="7" t="s">
        <v>85</v>
      </c>
      <c r="B1535" s="7" t="n">
        <v>4422023</v>
      </c>
      <c r="C1535" s="7" t="s">
        <v>853</v>
      </c>
      <c r="D1535" s="26" t="n">
        <v>851</v>
      </c>
      <c r="E1535" s="26" t="n">
        <v>0</v>
      </c>
      <c r="F1535" s="26" t="n">
        <v>0</v>
      </c>
      <c r="G1535" s="26" t="n">
        <v>0</v>
      </c>
      <c r="H1535" s="26" t="n">
        <v>1182</v>
      </c>
      <c r="I1535" s="26" t="n">
        <v>283</v>
      </c>
      <c r="J1535" s="26" t="n">
        <v>0</v>
      </c>
      <c r="K1535" s="26" t="n">
        <v>0</v>
      </c>
      <c r="L1535" s="26" t="n">
        <v>0</v>
      </c>
      <c r="M1535" s="26" t="n">
        <v>0</v>
      </c>
    </row>
    <row r="1536" customFormat="false" ht="15" hidden="false" customHeight="false" outlineLevel="0" collapsed="false">
      <c r="A1536" s="7" t="s">
        <v>87</v>
      </c>
      <c r="B1536" s="7" t="n">
        <v>4422023</v>
      </c>
      <c r="C1536" s="7" t="s">
        <v>853</v>
      </c>
      <c r="D1536" s="26" t="n">
        <v>9467.1</v>
      </c>
      <c r="E1536" s="26" t="n">
        <v>0</v>
      </c>
      <c r="F1536" s="26" t="n">
        <v>0</v>
      </c>
      <c r="G1536" s="26" t="n">
        <v>0</v>
      </c>
      <c r="H1536" s="26" t="n">
        <v>12070.7</v>
      </c>
      <c r="I1536" s="26" t="n">
        <v>3107.3</v>
      </c>
      <c r="J1536" s="26" t="n">
        <v>0</v>
      </c>
      <c r="K1536" s="26" t="n">
        <v>0</v>
      </c>
      <c r="L1536" s="26" t="n">
        <v>0</v>
      </c>
      <c r="M1536" s="26" t="n">
        <v>0</v>
      </c>
    </row>
    <row r="1537" customFormat="false" ht="15" hidden="false" customHeight="false" outlineLevel="0" collapsed="false">
      <c r="A1537" s="7" t="s">
        <v>85</v>
      </c>
      <c r="B1537" s="7" t="n">
        <v>4422024</v>
      </c>
      <c r="C1537" s="7" t="s">
        <v>854</v>
      </c>
      <c r="D1537" s="26" t="n">
        <v>513</v>
      </c>
      <c r="E1537" s="26" t="n">
        <v>0</v>
      </c>
      <c r="F1537" s="26" t="n">
        <v>0</v>
      </c>
      <c r="G1537" s="26" t="n">
        <v>0</v>
      </c>
      <c r="H1537" s="26" t="n">
        <v>1822</v>
      </c>
      <c r="I1537" s="26" t="n">
        <v>490</v>
      </c>
      <c r="J1537" s="26" t="n">
        <v>0</v>
      </c>
      <c r="K1537" s="26" t="n">
        <v>0</v>
      </c>
      <c r="L1537" s="26" t="n">
        <v>0</v>
      </c>
      <c r="M1537" s="26" t="n">
        <v>0</v>
      </c>
    </row>
    <row r="1538" customFormat="false" ht="15" hidden="false" customHeight="false" outlineLevel="0" collapsed="false">
      <c r="A1538" s="7" t="s">
        <v>87</v>
      </c>
      <c r="B1538" s="7" t="n">
        <v>4422024</v>
      </c>
      <c r="C1538" s="7" t="s">
        <v>854</v>
      </c>
      <c r="D1538" s="26" t="n">
        <v>5672.9</v>
      </c>
      <c r="E1538" s="26" t="n">
        <v>0</v>
      </c>
      <c r="F1538" s="26" t="n">
        <v>0</v>
      </c>
      <c r="G1538" s="26" t="n">
        <v>0</v>
      </c>
      <c r="H1538" s="26" t="n">
        <v>18650.2</v>
      </c>
      <c r="I1538" s="26" t="n">
        <v>5384.1</v>
      </c>
      <c r="J1538" s="26" t="n">
        <v>0</v>
      </c>
      <c r="K1538" s="26" t="n">
        <v>0</v>
      </c>
      <c r="L1538" s="26" t="n">
        <v>0</v>
      </c>
      <c r="M1538" s="26" t="n">
        <v>0</v>
      </c>
    </row>
    <row r="1539" customFormat="false" ht="15" hidden="false" customHeight="false" outlineLevel="0" collapsed="false">
      <c r="A1539" s="7" t="s">
        <v>85</v>
      </c>
      <c r="B1539" s="7" t="n">
        <v>4422025</v>
      </c>
      <c r="C1539" s="7" t="s">
        <v>855</v>
      </c>
      <c r="D1539" s="26" t="n">
        <v>180</v>
      </c>
      <c r="E1539" s="26" t="n">
        <v>0</v>
      </c>
      <c r="F1539" s="26" t="n">
        <v>0</v>
      </c>
      <c r="G1539" s="26" t="n">
        <v>0</v>
      </c>
      <c r="H1539" s="26" t="n">
        <v>820</v>
      </c>
      <c r="I1539" s="26" t="n">
        <v>134</v>
      </c>
      <c r="J1539" s="26" t="n">
        <v>0</v>
      </c>
      <c r="K1539" s="26" t="n">
        <v>0</v>
      </c>
      <c r="L1539" s="26" t="n">
        <v>0</v>
      </c>
      <c r="M1539" s="26" t="n">
        <v>0</v>
      </c>
    </row>
    <row r="1540" customFormat="false" ht="15" hidden="false" customHeight="false" outlineLevel="0" collapsed="false">
      <c r="A1540" s="7" t="s">
        <v>87</v>
      </c>
      <c r="B1540" s="7" t="n">
        <v>4422025</v>
      </c>
      <c r="C1540" s="7" t="s">
        <v>855</v>
      </c>
      <c r="D1540" s="26" t="n">
        <v>2001.6</v>
      </c>
      <c r="E1540" s="26" t="n">
        <v>0</v>
      </c>
      <c r="F1540" s="26" t="n">
        <v>0</v>
      </c>
      <c r="G1540" s="26" t="n">
        <v>0</v>
      </c>
      <c r="H1540" s="26" t="n">
        <v>8468.2</v>
      </c>
      <c r="I1540" s="26" t="n">
        <v>1471.3</v>
      </c>
      <c r="J1540" s="26" t="n">
        <v>0</v>
      </c>
      <c r="K1540" s="26" t="n">
        <v>0</v>
      </c>
      <c r="L1540" s="26" t="n">
        <v>0</v>
      </c>
      <c r="M1540" s="26" t="n">
        <v>0</v>
      </c>
    </row>
    <row r="1541" customFormat="false" ht="15" hidden="false" customHeight="false" outlineLevel="0" collapsed="false">
      <c r="A1541" s="7" t="s">
        <v>85</v>
      </c>
      <c r="B1541" s="7" t="n">
        <v>4422026</v>
      </c>
      <c r="C1541" s="7" t="s">
        <v>856</v>
      </c>
      <c r="D1541" s="26" t="n">
        <v>186</v>
      </c>
      <c r="E1541" s="26" t="n">
        <v>0</v>
      </c>
      <c r="F1541" s="26" t="n">
        <v>6</v>
      </c>
      <c r="G1541" s="26" t="n">
        <v>0</v>
      </c>
      <c r="H1541" s="26" t="n">
        <v>697</v>
      </c>
      <c r="I1541" s="26" t="n">
        <v>277</v>
      </c>
      <c r="J1541" s="26" t="n">
        <v>0</v>
      </c>
      <c r="K1541" s="26" t="n">
        <v>0</v>
      </c>
      <c r="L1541" s="26" t="n">
        <v>0</v>
      </c>
      <c r="M1541" s="26" t="n">
        <v>0</v>
      </c>
    </row>
    <row r="1542" customFormat="false" ht="15" hidden="false" customHeight="false" outlineLevel="0" collapsed="false">
      <c r="A1542" s="7" t="s">
        <v>87</v>
      </c>
      <c r="B1542" s="7" t="n">
        <v>4422026</v>
      </c>
      <c r="C1542" s="7" t="s">
        <v>856</v>
      </c>
      <c r="D1542" s="26" t="n">
        <v>2062.9</v>
      </c>
      <c r="E1542" s="26" t="n">
        <v>0</v>
      </c>
      <c r="F1542" s="26" t="n">
        <v>75.6</v>
      </c>
      <c r="G1542" s="26" t="n">
        <v>0</v>
      </c>
      <c r="H1542" s="26" t="n">
        <v>7156.9</v>
      </c>
      <c r="I1542" s="26" t="n">
        <v>3041.5</v>
      </c>
      <c r="J1542" s="26" t="n">
        <v>0</v>
      </c>
      <c r="K1542" s="26" t="n">
        <v>0</v>
      </c>
      <c r="L1542" s="26" t="n">
        <v>0</v>
      </c>
      <c r="M1542" s="26" t="n">
        <v>0</v>
      </c>
    </row>
    <row r="1543" customFormat="false" ht="15" hidden="false" customHeight="false" outlineLevel="0" collapsed="false">
      <c r="A1543" s="7" t="s">
        <v>85</v>
      </c>
      <c r="B1543" s="7" t="n">
        <v>4422032</v>
      </c>
      <c r="C1543" s="7" t="s">
        <v>857</v>
      </c>
      <c r="D1543" s="26" t="n">
        <v>212</v>
      </c>
      <c r="E1543" s="26" t="n">
        <v>0</v>
      </c>
      <c r="F1543" s="26" t="n">
        <v>0</v>
      </c>
      <c r="G1543" s="26" t="n">
        <v>0</v>
      </c>
      <c r="H1543" s="26" t="n">
        <v>581</v>
      </c>
      <c r="I1543" s="26" t="n">
        <v>0</v>
      </c>
      <c r="J1543" s="26" t="n">
        <v>0</v>
      </c>
      <c r="K1543" s="26" t="n">
        <v>0</v>
      </c>
      <c r="L1543" s="26" t="n">
        <v>0</v>
      </c>
      <c r="M1543" s="26" t="n">
        <v>0</v>
      </c>
    </row>
    <row r="1544" customFormat="false" ht="15" hidden="false" customHeight="false" outlineLevel="0" collapsed="false">
      <c r="A1544" s="7" t="s">
        <v>87</v>
      </c>
      <c r="B1544" s="7" t="n">
        <v>4422032</v>
      </c>
      <c r="C1544" s="7" t="s">
        <v>857</v>
      </c>
      <c r="D1544" s="26" t="n">
        <v>2361.9</v>
      </c>
      <c r="E1544" s="26" t="n">
        <v>0</v>
      </c>
      <c r="F1544" s="26" t="n">
        <v>0</v>
      </c>
      <c r="G1544" s="26" t="n">
        <v>0</v>
      </c>
      <c r="H1544" s="26" t="n">
        <v>5953.1</v>
      </c>
      <c r="I1544" s="26" t="n">
        <v>0</v>
      </c>
      <c r="J1544" s="26" t="n">
        <v>0</v>
      </c>
      <c r="K1544" s="26" t="n">
        <v>0</v>
      </c>
      <c r="L1544" s="26" t="n">
        <v>0</v>
      </c>
      <c r="M1544" s="26" t="n">
        <v>0</v>
      </c>
    </row>
    <row r="1545" customFormat="false" ht="15" hidden="false" customHeight="false" outlineLevel="0" collapsed="false">
      <c r="A1545" s="7" t="s">
        <v>85</v>
      </c>
      <c r="B1545" s="7" t="n">
        <v>4422033</v>
      </c>
      <c r="C1545" s="7" t="s">
        <v>858</v>
      </c>
      <c r="D1545" s="26" t="n">
        <v>124</v>
      </c>
      <c r="E1545" s="26" t="n">
        <v>0</v>
      </c>
      <c r="F1545" s="26" t="n">
        <v>0</v>
      </c>
      <c r="G1545" s="26" t="n">
        <v>0</v>
      </c>
      <c r="H1545" s="26" t="n">
        <v>362</v>
      </c>
      <c r="I1545" s="26" t="n">
        <v>0</v>
      </c>
      <c r="J1545" s="26" t="n">
        <v>0</v>
      </c>
      <c r="K1545" s="26" t="n">
        <v>0</v>
      </c>
      <c r="L1545" s="26" t="n">
        <v>0</v>
      </c>
      <c r="M1545" s="26" t="n">
        <v>0</v>
      </c>
    </row>
    <row r="1546" customFormat="false" ht="15" hidden="false" customHeight="false" outlineLevel="0" collapsed="false">
      <c r="A1546" s="7" t="s">
        <v>87</v>
      </c>
      <c r="B1546" s="7" t="n">
        <v>4422033</v>
      </c>
      <c r="C1546" s="7" t="s">
        <v>858</v>
      </c>
      <c r="D1546" s="26" t="n">
        <v>1388.3</v>
      </c>
      <c r="E1546" s="26" t="n">
        <v>0</v>
      </c>
      <c r="F1546" s="26" t="n">
        <v>0</v>
      </c>
      <c r="G1546" s="26" t="n">
        <v>0</v>
      </c>
      <c r="H1546" s="26" t="n">
        <v>3718.5</v>
      </c>
      <c r="I1546" s="26" t="n">
        <v>0</v>
      </c>
      <c r="J1546" s="26" t="n">
        <v>0</v>
      </c>
      <c r="K1546" s="26" t="n">
        <v>0</v>
      </c>
      <c r="L1546" s="26" t="n">
        <v>0</v>
      </c>
      <c r="M1546" s="26" t="n">
        <v>0</v>
      </c>
    </row>
    <row r="1547" customFormat="false" ht="15" hidden="false" customHeight="false" outlineLevel="0" collapsed="false">
      <c r="A1547" s="7" t="s">
        <v>85</v>
      </c>
      <c r="B1547" s="7" t="n">
        <v>4422031</v>
      </c>
      <c r="C1547" s="7" t="s">
        <v>859</v>
      </c>
      <c r="D1547" s="26" t="n">
        <v>745</v>
      </c>
      <c r="E1547" s="26" t="n">
        <v>0</v>
      </c>
      <c r="F1547" s="26" t="n">
        <v>0</v>
      </c>
      <c r="G1547" s="26" t="n">
        <v>0</v>
      </c>
      <c r="H1547" s="26" t="n">
        <v>1002</v>
      </c>
      <c r="I1547" s="26" t="n">
        <v>0</v>
      </c>
      <c r="J1547" s="26" t="n">
        <v>0</v>
      </c>
      <c r="K1547" s="26" t="n">
        <v>0</v>
      </c>
      <c r="L1547" s="26" t="n">
        <v>0</v>
      </c>
      <c r="M1547" s="26" t="n">
        <v>0</v>
      </c>
    </row>
    <row r="1548" customFormat="false" ht="15" hidden="false" customHeight="false" outlineLevel="0" collapsed="false">
      <c r="A1548" s="7" t="s">
        <v>87</v>
      </c>
      <c r="B1548" s="7" t="n">
        <v>4422031</v>
      </c>
      <c r="C1548" s="7" t="s">
        <v>859</v>
      </c>
      <c r="D1548" s="26" t="n">
        <v>8337</v>
      </c>
      <c r="E1548" s="26" t="n">
        <v>0</v>
      </c>
      <c r="F1548" s="26" t="n">
        <v>0</v>
      </c>
      <c r="G1548" s="26" t="n">
        <v>0</v>
      </c>
      <c r="H1548" s="26" t="n">
        <v>10223.7</v>
      </c>
      <c r="I1548" s="26" t="n">
        <v>0</v>
      </c>
      <c r="J1548" s="26" t="n">
        <v>0</v>
      </c>
      <c r="K1548" s="26" t="n">
        <v>0</v>
      </c>
      <c r="L1548" s="26" t="n">
        <v>0</v>
      </c>
      <c r="M1548" s="26" t="n">
        <v>0</v>
      </c>
    </row>
    <row r="1549" customFormat="false" ht="15" hidden="false" customHeight="false" outlineLevel="0" collapsed="false">
      <c r="A1549" s="7" t="s">
        <v>85</v>
      </c>
      <c r="B1549" s="7" t="n">
        <v>4422034</v>
      </c>
      <c r="C1549" s="7" t="s">
        <v>860</v>
      </c>
      <c r="D1549" s="26" t="n">
        <v>64</v>
      </c>
      <c r="E1549" s="26" t="n">
        <v>0</v>
      </c>
      <c r="F1549" s="26" t="n">
        <v>0</v>
      </c>
      <c r="G1549" s="26" t="n">
        <v>0</v>
      </c>
      <c r="H1549" s="26" t="n">
        <v>285</v>
      </c>
      <c r="I1549" s="26" t="n">
        <v>0</v>
      </c>
      <c r="J1549" s="26" t="n">
        <v>0</v>
      </c>
      <c r="K1549" s="26" t="n">
        <v>0</v>
      </c>
      <c r="L1549" s="26" t="n">
        <v>0</v>
      </c>
      <c r="M1549" s="26" t="n">
        <v>0</v>
      </c>
    </row>
    <row r="1550" customFormat="false" ht="15" hidden="false" customHeight="false" outlineLevel="0" collapsed="false">
      <c r="A1550" s="7" t="s">
        <v>87</v>
      </c>
      <c r="B1550" s="7" t="n">
        <v>4422034</v>
      </c>
      <c r="C1550" s="7" t="s">
        <v>860</v>
      </c>
      <c r="D1550" s="26" t="n">
        <v>748.7</v>
      </c>
      <c r="E1550" s="26" t="n">
        <v>0</v>
      </c>
      <c r="F1550" s="26" t="n">
        <v>0</v>
      </c>
      <c r="G1550" s="26" t="n">
        <v>0</v>
      </c>
      <c r="H1550" s="26" t="n">
        <v>2937.8</v>
      </c>
      <c r="I1550" s="26" t="n">
        <v>0</v>
      </c>
      <c r="J1550" s="26" t="n">
        <v>0</v>
      </c>
      <c r="K1550" s="26" t="n">
        <v>0</v>
      </c>
      <c r="L1550" s="26" t="n">
        <v>0</v>
      </c>
      <c r="M1550" s="26" t="n">
        <v>0</v>
      </c>
    </row>
    <row r="1551" customFormat="false" ht="15" hidden="false" customHeight="false" outlineLevel="0" collapsed="false">
      <c r="A1551" s="7" t="s">
        <v>85</v>
      </c>
      <c r="B1551" s="7" t="n">
        <v>4422027</v>
      </c>
      <c r="C1551" s="7" t="s">
        <v>861</v>
      </c>
      <c r="D1551" s="26" t="n">
        <v>0</v>
      </c>
      <c r="E1551" s="26" t="n">
        <v>0</v>
      </c>
      <c r="F1551" s="26" t="n">
        <v>0</v>
      </c>
      <c r="G1551" s="26" t="n">
        <v>0</v>
      </c>
      <c r="H1551" s="26" t="n">
        <v>0</v>
      </c>
      <c r="I1551" s="26" t="n">
        <v>0</v>
      </c>
      <c r="J1551" s="26" t="n">
        <v>0</v>
      </c>
      <c r="K1551" s="26" t="n">
        <v>0</v>
      </c>
      <c r="L1551" s="26" t="n">
        <v>0</v>
      </c>
      <c r="M1551" s="26" t="n">
        <v>0</v>
      </c>
    </row>
    <row r="1552" customFormat="false" ht="15" hidden="false" customHeight="false" outlineLevel="0" collapsed="false">
      <c r="A1552" s="7" t="s">
        <v>87</v>
      </c>
      <c r="B1552" s="7" t="n">
        <v>4422027</v>
      </c>
      <c r="C1552" s="7" t="s">
        <v>861</v>
      </c>
      <c r="D1552" s="26" t="n">
        <v>0</v>
      </c>
      <c r="E1552" s="26" t="n">
        <v>0</v>
      </c>
      <c r="F1552" s="26" t="n">
        <v>0</v>
      </c>
      <c r="G1552" s="26" t="n">
        <v>0</v>
      </c>
      <c r="H1552" s="26" t="n">
        <v>0</v>
      </c>
      <c r="I1552" s="26" t="n">
        <v>0</v>
      </c>
      <c r="J1552" s="26" t="n">
        <v>0</v>
      </c>
      <c r="K1552" s="26" t="n">
        <v>0</v>
      </c>
      <c r="L1552" s="26" t="n">
        <v>0</v>
      </c>
      <c r="M1552" s="26" t="n">
        <v>0</v>
      </c>
    </row>
    <row r="1553" customFormat="false" ht="15" hidden="false" customHeight="false" outlineLevel="0" collapsed="false">
      <c r="A1553" s="7" t="s">
        <v>85</v>
      </c>
      <c r="B1553" s="7" t="n">
        <v>4422028</v>
      </c>
      <c r="C1553" s="7" t="s">
        <v>862</v>
      </c>
      <c r="D1553" s="26" t="n">
        <v>0</v>
      </c>
      <c r="E1553" s="26" t="n">
        <v>0</v>
      </c>
      <c r="F1553" s="26" t="n">
        <v>0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  <c r="L1553" s="26" t="n">
        <v>0</v>
      </c>
      <c r="M1553" s="26" t="n">
        <v>0</v>
      </c>
    </row>
    <row r="1554" customFormat="false" ht="15" hidden="false" customHeight="false" outlineLevel="0" collapsed="false">
      <c r="A1554" s="7" t="s">
        <v>87</v>
      </c>
      <c r="B1554" s="7" t="n">
        <v>4422028</v>
      </c>
      <c r="C1554" s="7" t="s">
        <v>862</v>
      </c>
      <c r="D1554" s="26" t="n">
        <v>0</v>
      </c>
      <c r="E1554" s="26" t="n">
        <v>0</v>
      </c>
      <c r="F1554" s="26" t="n">
        <v>0</v>
      </c>
      <c r="G1554" s="26" t="n">
        <v>0</v>
      </c>
      <c r="H1554" s="26" t="n">
        <v>0</v>
      </c>
      <c r="I1554" s="26" t="n">
        <v>0</v>
      </c>
      <c r="J1554" s="26" t="n">
        <v>0</v>
      </c>
      <c r="K1554" s="26" t="n">
        <v>0</v>
      </c>
      <c r="L1554" s="26" t="n">
        <v>0</v>
      </c>
      <c r="M1554" s="26" t="n">
        <v>0</v>
      </c>
    </row>
    <row r="1555" customFormat="false" ht="15" hidden="false" customHeight="false" outlineLevel="0" collapsed="false">
      <c r="A1555" s="7" t="s">
        <v>85</v>
      </c>
      <c r="B1555" s="7" t="n">
        <v>4422029</v>
      </c>
      <c r="C1555" s="7" t="s">
        <v>863</v>
      </c>
      <c r="D1555" s="26" t="n">
        <v>0</v>
      </c>
      <c r="E1555" s="26" t="n">
        <v>0</v>
      </c>
      <c r="F1555" s="26" t="n">
        <v>0</v>
      </c>
      <c r="G1555" s="26" t="n">
        <v>0</v>
      </c>
      <c r="H1555" s="26" t="n">
        <v>0</v>
      </c>
      <c r="I1555" s="26" t="n">
        <v>0</v>
      </c>
      <c r="J1555" s="26" t="n">
        <v>0</v>
      </c>
      <c r="K1555" s="26" t="n">
        <v>0</v>
      </c>
      <c r="L1555" s="26" t="n">
        <v>0</v>
      </c>
      <c r="M1555" s="26" t="n">
        <v>0</v>
      </c>
    </row>
    <row r="1556" customFormat="false" ht="15" hidden="false" customHeight="false" outlineLevel="0" collapsed="false">
      <c r="A1556" s="7" t="s">
        <v>87</v>
      </c>
      <c r="B1556" s="7" t="n">
        <v>4422029</v>
      </c>
      <c r="C1556" s="7" t="s">
        <v>863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0</v>
      </c>
      <c r="L1556" s="26" t="n">
        <v>0</v>
      </c>
      <c r="M1556" s="26" t="n"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2026-09-24T07:18:18Z</dcterms:created>
  <dc:creator>openpyxl</dc:creator>
  <dc:description/>
  <dc:language>en-US</dc:language>
  <cp:lastModifiedBy/>
  <dcterms:modified xsi:type="dcterms:W3CDTF">2026-09-24T07:18:53Z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